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ctrlProps/ctrlProp58.xml" ContentType="application/vnd.ms-excel.contro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comments6.xml" ContentType="application/vnd.openxmlformats-officedocument.spreadsheetml.comments+xml"/>
  <Override PartName="/xl/vbaProject.bin" ContentType="application/vnd.ms-office.vbaProject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omments18.xml" ContentType="application/vnd.openxmlformats-officedocument.spreadsheetml.comment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16.xml" ContentType="application/vnd.openxmlformats-officedocument.spreadsheetml.comments+xml"/>
  <Override PartName="/xl/ctrlProps/ctrlProp14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comments14.xml" ContentType="application/vnd.openxmlformats-officedocument.spreadsheetml.comment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21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trlProps/ctrlProp59.xml" ContentType="application/vnd.ms-excel.controlproperties+xml"/>
  <Override PartName="/xl/worksheets/sheet14.xml" ContentType="application/vnd.openxmlformats-officedocument.spreadsheetml.worksheet+xml"/>
  <Override PartName="/xl/comments9.xml" ContentType="application/vnd.openxmlformats-officedocument.spreadsheetml.comments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charts/chart3.xml" ContentType="application/vnd.openxmlformats-officedocument.drawingml.chart+xml"/>
  <Override PartName="/xl/comments7.xml" ContentType="application/vnd.openxmlformats-officedocument.spreadsheetml.comment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omments5.xml" ContentType="application/vnd.openxmlformats-officedocument.spreadsheetml.comments+xml"/>
  <Override PartName="/xl/ctrlProps/ctrlProp15.xml" ContentType="application/vnd.ms-excel.controlproperties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17.xml" ContentType="application/vnd.openxmlformats-officedocument.spreadsheetml.comments+xml"/>
  <Override PartName="/xl/ctrlProps/ctrlProp13.xml" ContentType="application/vnd.ms-excel.controlproperties+xml"/>
  <Override PartName="/xl/ctrlProps/ctrlProp7.xml" ContentType="application/vnd.ms-excel.controlproperties+xml"/>
  <Default Extension="vml" ContentType="application/vnd.openxmlformats-officedocument.vmlDrawing"/>
  <Override PartName="/xl/comments1.xml" ContentType="application/vnd.openxmlformats-officedocument.spreadsheetml.comments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11.xml" ContentType="application/vnd.ms-excel.controlproperties+xml"/>
  <Override PartName="/xl/ctrlProps/ctrlProp20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fileSharing userName="Robbins, Dale" reservationPassword="86D9"/>
  <workbookPr codeName="ThisWorkbook"/>
  <bookViews>
    <workbookView xWindow="30" yWindow="0" windowWidth="11040" windowHeight="14520" tabRatio="738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64" r:id="rId7"/>
    <sheet name="Wk03" sheetId="265" r:id="rId8"/>
    <sheet name="Wk04" sheetId="266" r:id="rId9"/>
    <sheet name="Wk05" sheetId="267" r:id="rId10"/>
    <sheet name="Wk06" sheetId="268" r:id="rId11"/>
    <sheet name="Wk07" sheetId="269" r:id="rId12"/>
    <sheet name="Wk08" sheetId="270" r:id="rId13"/>
    <sheet name="Wk09" sheetId="271" r:id="rId14"/>
    <sheet name="Wk10" sheetId="272" r:id="rId15"/>
    <sheet name="Wk11" sheetId="273" r:id="rId16"/>
    <sheet name="Wk12" sheetId="274" r:id="rId17"/>
    <sheet name="Wk13" sheetId="275" r:id="rId18"/>
    <sheet name="End" sheetId="31" r:id="rId19"/>
    <sheet name="Conference" sheetId="223" r:id="rId20"/>
    <sheet name="Featured" sheetId="237" r:id="rId21"/>
    <sheet name="Instructions" sheetId="184" r:id="rId22"/>
  </sheets>
  <functionGroups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25725" iterate="1"/>
</workbook>
</file>

<file path=xl/calcChain.xml><?xml version="1.0" encoding="utf-8"?>
<calcChain xmlns="http://schemas.openxmlformats.org/spreadsheetml/2006/main">
  <c r="AB35" i="275"/>
  <c r="AA35"/>
  <c r="Z35"/>
  <c r="Y35"/>
  <c r="X35"/>
  <c r="W35"/>
  <c r="V35"/>
  <c r="U35"/>
  <c r="T35"/>
  <c r="S35"/>
  <c r="R35"/>
  <c r="Q35"/>
  <c r="P35"/>
  <c r="O35"/>
  <c r="N35"/>
  <c r="M35"/>
  <c r="L35"/>
  <c r="K35"/>
  <c r="AB29" l="1"/>
  <c r="AA29"/>
  <c r="Z29"/>
  <c r="Y29"/>
  <c r="X29"/>
  <c r="W29"/>
  <c r="V29"/>
  <c r="U29"/>
  <c r="T29"/>
  <c r="S29"/>
  <c r="R29"/>
  <c r="Q29"/>
  <c r="P29"/>
  <c r="O29"/>
  <c r="N29"/>
  <c r="M29"/>
  <c r="L29"/>
  <c r="K29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Y31" l="1"/>
  <c r="U31"/>
  <c r="Q31"/>
  <c r="M31"/>
  <c r="Z31"/>
  <c r="V31"/>
  <c r="R31"/>
  <c r="N31"/>
  <c r="AA31"/>
  <c r="W31"/>
  <c r="S31"/>
  <c r="O31"/>
  <c r="K31"/>
  <c r="AB31"/>
  <c r="X31"/>
  <c r="T31"/>
  <c r="P31"/>
  <c r="L31"/>
  <c r="H3"/>
  <c r="F3"/>
  <c r="AA30" l="1"/>
  <c r="W30"/>
  <c r="S30"/>
  <c r="O30"/>
  <c r="K30"/>
  <c r="P30"/>
  <c r="AB30"/>
  <c r="X30"/>
  <c r="T30"/>
  <c r="L30"/>
  <c r="Y30"/>
  <c r="U30"/>
  <c r="Q30"/>
  <c r="M30"/>
  <c r="V30"/>
  <c r="N30"/>
  <c r="Z30"/>
  <c r="R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S25"/>
  <c r="S36" s="1"/>
  <c r="K25"/>
  <c r="Z25"/>
  <c r="Z36" s="1"/>
  <c r="V25"/>
  <c r="V36" s="1"/>
  <c r="R25"/>
  <c r="R36" s="1"/>
  <c r="N25"/>
  <c r="N36" s="1"/>
  <c r="J25"/>
  <c r="AA25"/>
  <c r="AA36" s="1"/>
  <c r="W25"/>
  <c r="W36" s="1"/>
  <c r="O25"/>
  <c r="O36" s="1"/>
  <c r="G25"/>
  <c r="AB25"/>
  <c r="AB36" s="1"/>
  <c r="X25"/>
  <c r="X36" s="1"/>
  <c r="T25"/>
  <c r="T36" s="1"/>
  <c r="P25"/>
  <c r="P36" s="1"/>
  <c r="L25"/>
  <c r="L36" s="1"/>
  <c r="I25"/>
  <c r="J1"/>
  <c r="I1"/>
  <c r="C29"/>
  <c r="K41"/>
  <c r="K42"/>
  <c r="C30"/>
  <c r="K36" l="1"/>
  <c r="AB35" i="274"/>
  <c r="AA35"/>
  <c r="Z35"/>
  <c r="Y35"/>
  <c r="X35"/>
  <c r="W35"/>
  <c r="V35"/>
  <c r="U35"/>
  <c r="T35"/>
  <c r="S35"/>
  <c r="R35"/>
  <c r="Q35"/>
  <c r="P35"/>
  <c r="O35"/>
  <c r="N35"/>
  <c r="M35"/>
  <c r="L35"/>
  <c r="K35"/>
  <c r="R28" i="275"/>
  <c r="S28"/>
  <c r="Y28"/>
  <c r="W28"/>
  <c r="T28"/>
  <c r="O28"/>
  <c r="N28"/>
  <c r="U28"/>
  <c r="P28"/>
  <c r="Z28"/>
  <c r="Q28"/>
  <c r="X28"/>
  <c r="L28"/>
  <c r="AB28"/>
  <c r="AA28"/>
  <c r="V28"/>
  <c r="M28"/>
  <c r="K28"/>
  <c r="AB29" i="274" l="1"/>
  <c r="AA29"/>
  <c r="Z29"/>
  <c r="Y29"/>
  <c r="X29"/>
  <c r="W29"/>
  <c r="V29"/>
  <c r="U29"/>
  <c r="T29"/>
  <c r="S29"/>
  <c r="R29"/>
  <c r="Q29"/>
  <c r="P29"/>
  <c r="O29"/>
  <c r="N29"/>
  <c r="M29"/>
  <c r="L29"/>
  <c r="K29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AB31"/>
  <c r="T31"/>
  <c r="P31"/>
  <c r="AA31"/>
  <c r="W31"/>
  <c r="S31"/>
  <c r="O31"/>
  <c r="K31"/>
  <c r="X31"/>
  <c r="L31"/>
  <c r="Y31"/>
  <c r="U31"/>
  <c r="Q31"/>
  <c r="M31"/>
  <c r="H3"/>
  <c r="F3"/>
  <c r="AB30" l="1"/>
  <c r="X30"/>
  <c r="T30"/>
  <c r="P30"/>
  <c r="L30"/>
  <c r="Z30"/>
  <c r="R30"/>
  <c r="AA30"/>
  <c r="O30"/>
  <c r="Y30"/>
  <c r="U30"/>
  <c r="Q30"/>
  <c r="M30"/>
  <c r="V30"/>
  <c r="N30"/>
  <c r="W30"/>
  <c r="K30"/>
  <c r="S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AA25"/>
  <c r="AA36" s="1"/>
  <c r="S25"/>
  <c r="S36" s="1"/>
  <c r="K25"/>
  <c r="AB25"/>
  <c r="AB36" s="1"/>
  <c r="T25"/>
  <c r="T36" s="1"/>
  <c r="P25"/>
  <c r="P36" s="1"/>
  <c r="L25"/>
  <c r="L36" s="1"/>
  <c r="Z25"/>
  <c r="Z36" s="1"/>
  <c r="V25"/>
  <c r="V36" s="1"/>
  <c r="R25"/>
  <c r="R36" s="1"/>
  <c r="N25"/>
  <c r="N36" s="1"/>
  <c r="J25"/>
  <c r="W25"/>
  <c r="W36" s="1"/>
  <c r="O25"/>
  <c r="O36" s="1"/>
  <c r="G25"/>
  <c r="X25"/>
  <c r="X36" s="1"/>
  <c r="I25"/>
  <c r="J1"/>
  <c r="I1"/>
  <c r="C29"/>
  <c r="K41"/>
  <c r="C30"/>
  <c r="K42"/>
  <c r="K36" l="1"/>
  <c r="AB35" i="273"/>
  <c r="AA35"/>
  <c r="Z35"/>
  <c r="Y35"/>
  <c r="X35"/>
  <c r="W35"/>
  <c r="V35"/>
  <c r="U35"/>
  <c r="T35"/>
  <c r="S35"/>
  <c r="R35"/>
  <c r="Q35"/>
  <c r="P35"/>
  <c r="O35"/>
  <c r="N35"/>
  <c r="M35"/>
  <c r="L35"/>
  <c r="K35"/>
  <c r="T28" i="274"/>
  <c r="AA28"/>
  <c r="Y28"/>
  <c r="V28"/>
  <c r="O28"/>
  <c r="R28"/>
  <c r="P28"/>
  <c r="S28"/>
  <c r="U28"/>
  <c r="L28"/>
  <c r="Q28"/>
  <c r="W28"/>
  <c r="N28"/>
  <c r="X28"/>
  <c r="Z28"/>
  <c r="AB28"/>
  <c r="M28"/>
  <c r="K28"/>
  <c r="AB29" i="273" l="1"/>
  <c r="AA29"/>
  <c r="Z29"/>
  <c r="Y29"/>
  <c r="X29"/>
  <c r="W29"/>
  <c r="V29"/>
  <c r="U29"/>
  <c r="T29"/>
  <c r="S29"/>
  <c r="R29"/>
  <c r="Q29"/>
  <c r="P29"/>
  <c r="O29"/>
  <c r="N29"/>
  <c r="M29"/>
  <c r="L29"/>
  <c r="K29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W31"/>
  <c r="S31"/>
  <c r="K31"/>
  <c r="AA31"/>
  <c r="O31"/>
  <c r="AB31"/>
  <c r="X31"/>
  <c r="T31"/>
  <c r="P31"/>
  <c r="L31"/>
  <c r="Y31"/>
  <c r="U31"/>
  <c r="Q31"/>
  <c r="M31"/>
  <c r="H3"/>
  <c r="F3"/>
  <c r="AB30" l="1"/>
  <c r="X30"/>
  <c r="T30"/>
  <c r="P30"/>
  <c r="L30"/>
  <c r="Y30"/>
  <c r="U30"/>
  <c r="M30"/>
  <c r="R30"/>
  <c r="Q30"/>
  <c r="Z30"/>
  <c r="V30"/>
  <c r="AA30"/>
  <c r="W30"/>
  <c r="S30"/>
  <c r="O30"/>
  <c r="K30"/>
  <c r="N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K25"/>
  <c r="X25"/>
  <c r="X36" s="1"/>
  <c r="L25"/>
  <c r="L36" s="1"/>
  <c r="Z25"/>
  <c r="Z36" s="1"/>
  <c r="V25"/>
  <c r="V36" s="1"/>
  <c r="R25"/>
  <c r="R36" s="1"/>
  <c r="N25"/>
  <c r="N36" s="1"/>
  <c r="J25"/>
  <c r="AB25"/>
  <c r="AB36" s="1"/>
  <c r="P25"/>
  <c r="P36" s="1"/>
  <c r="AA25"/>
  <c r="AA36" s="1"/>
  <c r="W25"/>
  <c r="W36" s="1"/>
  <c r="S25"/>
  <c r="S36" s="1"/>
  <c r="O25"/>
  <c r="O36" s="1"/>
  <c r="G25"/>
  <c r="T25"/>
  <c r="T36" s="1"/>
  <c r="I25"/>
  <c r="J1"/>
  <c r="I1"/>
  <c r="C29"/>
  <c r="K41"/>
  <c r="C30"/>
  <c r="K42"/>
  <c r="K36" l="1"/>
  <c r="AB35" i="272"/>
  <c r="AA35"/>
  <c r="Z35"/>
  <c r="Y35"/>
  <c r="X35"/>
  <c r="W35"/>
  <c r="V35"/>
  <c r="U35"/>
  <c r="T35"/>
  <c r="S35"/>
  <c r="R35"/>
  <c r="Q35"/>
  <c r="P35"/>
  <c r="O35"/>
  <c r="N35"/>
  <c r="M35"/>
  <c r="L35"/>
  <c r="K35"/>
  <c r="S28" i="273"/>
  <c r="V28"/>
  <c r="Y28"/>
  <c r="AB28"/>
  <c r="O28"/>
  <c r="P28"/>
  <c r="R28"/>
  <c r="X28"/>
  <c r="U28"/>
  <c r="N28"/>
  <c r="L28"/>
  <c r="Q28"/>
  <c r="AA28"/>
  <c r="T28"/>
  <c r="W28"/>
  <c r="Z28"/>
  <c r="M28"/>
  <c r="K28"/>
  <c r="AB29" i="272" l="1"/>
  <c r="AA29"/>
  <c r="Z29"/>
  <c r="Y29"/>
  <c r="X29"/>
  <c r="W29"/>
  <c r="V29"/>
  <c r="U29"/>
  <c r="T29"/>
  <c r="S29"/>
  <c r="R29"/>
  <c r="Q29"/>
  <c r="P29"/>
  <c r="O29"/>
  <c r="N29"/>
  <c r="M29"/>
  <c r="L29"/>
  <c r="K29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K31"/>
  <c r="X31"/>
  <c r="L31"/>
  <c r="AA31"/>
  <c r="W31"/>
  <c r="S31"/>
  <c r="O31"/>
  <c r="AB31"/>
  <c r="P31"/>
  <c r="Y31"/>
  <c r="U31"/>
  <c r="Q31"/>
  <c r="M31"/>
  <c r="T31"/>
  <c r="H3"/>
  <c r="F3"/>
  <c r="AB30" l="1"/>
  <c r="X30"/>
  <c r="T30"/>
  <c r="P30"/>
  <c r="L30"/>
  <c r="Q30"/>
  <c r="R30"/>
  <c r="U30"/>
  <c r="V30"/>
  <c r="N30"/>
  <c r="AA30"/>
  <c r="W30"/>
  <c r="S30"/>
  <c r="O30"/>
  <c r="K30"/>
  <c r="Y30"/>
  <c r="M30"/>
  <c r="Z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AA25"/>
  <c r="AA36" s="1"/>
  <c r="K25"/>
  <c r="X25"/>
  <c r="X36" s="1"/>
  <c r="T25"/>
  <c r="T36" s="1"/>
  <c r="L25"/>
  <c r="L36" s="1"/>
  <c r="Z25"/>
  <c r="Z36" s="1"/>
  <c r="V25"/>
  <c r="V36" s="1"/>
  <c r="R25"/>
  <c r="R36" s="1"/>
  <c r="N25"/>
  <c r="N36" s="1"/>
  <c r="J25"/>
  <c r="W25"/>
  <c r="W36" s="1"/>
  <c r="O25"/>
  <c r="O36" s="1"/>
  <c r="G25"/>
  <c r="S25"/>
  <c r="S36" s="1"/>
  <c r="AB25"/>
  <c r="AB36" s="1"/>
  <c r="P25"/>
  <c r="P36" s="1"/>
  <c r="I25"/>
  <c r="J1"/>
  <c r="I1"/>
  <c r="C29"/>
  <c r="K41"/>
  <c r="K42"/>
  <c r="C30"/>
  <c r="K36" l="1"/>
  <c r="AB35" i="271"/>
  <c r="AA35"/>
  <c r="Z35"/>
  <c r="Y35"/>
  <c r="X35"/>
  <c r="W35"/>
  <c r="V35"/>
  <c r="U35"/>
  <c r="T35"/>
  <c r="S35"/>
  <c r="R35"/>
  <c r="Q35"/>
  <c r="P35"/>
  <c r="O35"/>
  <c r="N35"/>
  <c r="M35"/>
  <c r="L35"/>
  <c r="K35"/>
  <c r="L28" i="272"/>
  <c r="AA28"/>
  <c r="Y28"/>
  <c r="N28"/>
  <c r="S28"/>
  <c r="Z28"/>
  <c r="U28"/>
  <c r="W28"/>
  <c r="X28"/>
  <c r="Q28"/>
  <c r="AB28"/>
  <c r="V28"/>
  <c r="P28"/>
  <c r="O28"/>
  <c r="R28"/>
  <c r="T28"/>
  <c r="M28"/>
  <c r="K28"/>
  <c r="AB29" i="271" l="1"/>
  <c r="AA29"/>
  <c r="Z29"/>
  <c r="Y29"/>
  <c r="X29"/>
  <c r="W29"/>
  <c r="V29"/>
  <c r="U29"/>
  <c r="T29"/>
  <c r="S29"/>
  <c r="R29"/>
  <c r="Q29"/>
  <c r="P29"/>
  <c r="O29"/>
  <c r="N29"/>
  <c r="M29"/>
  <c r="L29"/>
  <c r="K29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U31"/>
  <c r="AA31"/>
  <c r="W31"/>
  <c r="S31"/>
  <c r="O31"/>
  <c r="K31"/>
  <c r="Y31"/>
  <c r="Q31"/>
  <c r="AB31"/>
  <c r="X31"/>
  <c r="T31"/>
  <c r="P31"/>
  <c r="L31"/>
  <c r="M31"/>
  <c r="H3"/>
  <c r="F3"/>
  <c r="AB30" l="1"/>
  <c r="X30"/>
  <c r="T30"/>
  <c r="P30"/>
  <c r="L30"/>
  <c r="R30"/>
  <c r="W30"/>
  <c r="Y30"/>
  <c r="U30"/>
  <c r="Q30"/>
  <c r="M30"/>
  <c r="V30"/>
  <c r="N30"/>
  <c r="AA30"/>
  <c r="O30"/>
  <c r="Z30"/>
  <c r="S30"/>
  <c r="K30"/>
  <c r="E3"/>
  <c r="H25" s="1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W25"/>
  <c r="W36" s="1"/>
  <c r="K25"/>
  <c r="Z25"/>
  <c r="Z36" s="1"/>
  <c r="V25"/>
  <c r="V36" s="1"/>
  <c r="R25"/>
  <c r="R36" s="1"/>
  <c r="N25"/>
  <c r="N36" s="1"/>
  <c r="J25"/>
  <c r="AA25"/>
  <c r="AA36" s="1"/>
  <c r="O25"/>
  <c r="O36" s="1"/>
  <c r="G25"/>
  <c r="S25"/>
  <c r="S36" s="1"/>
  <c r="AB25"/>
  <c r="AB36" s="1"/>
  <c r="X25"/>
  <c r="X36" s="1"/>
  <c r="T25"/>
  <c r="T36" s="1"/>
  <c r="P25"/>
  <c r="P36" s="1"/>
  <c r="L25"/>
  <c r="L36" s="1"/>
  <c r="I25"/>
  <c r="J1"/>
  <c r="I1"/>
  <c r="C29"/>
  <c r="K41"/>
  <c r="K42"/>
  <c r="C30"/>
  <c r="K36" l="1"/>
  <c r="AB35" i="270"/>
  <c r="AA35"/>
  <c r="Z35"/>
  <c r="Y35"/>
  <c r="X35"/>
  <c r="W35"/>
  <c r="V35"/>
  <c r="U35"/>
  <c r="T35"/>
  <c r="S35"/>
  <c r="R35"/>
  <c r="Q35"/>
  <c r="P35"/>
  <c r="O35"/>
  <c r="N35"/>
  <c r="M35"/>
  <c r="L35"/>
  <c r="K35"/>
  <c r="X28" i="271"/>
  <c r="R28"/>
  <c r="W28"/>
  <c r="Y28"/>
  <c r="O28"/>
  <c r="T28"/>
  <c r="N28"/>
  <c r="U28"/>
  <c r="P28"/>
  <c r="Z28"/>
  <c r="Q28"/>
  <c r="S28"/>
  <c r="L28"/>
  <c r="AB28"/>
  <c r="AA28"/>
  <c r="V28"/>
  <c r="M28"/>
  <c r="K28"/>
  <c r="AB29" i="270" l="1"/>
  <c r="AA29"/>
  <c r="Z29"/>
  <c r="Y29"/>
  <c r="X29"/>
  <c r="W29"/>
  <c r="V29"/>
  <c r="U29"/>
  <c r="T29"/>
  <c r="S29"/>
  <c r="R29"/>
  <c r="Q29"/>
  <c r="P29"/>
  <c r="O29"/>
  <c r="N29"/>
  <c r="M29"/>
  <c r="L29"/>
  <c r="K29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AA31"/>
  <c r="S31"/>
  <c r="K31"/>
  <c r="W31"/>
  <c r="O31"/>
  <c r="Q31"/>
  <c r="AB31"/>
  <c r="X31"/>
  <c r="T31"/>
  <c r="P31"/>
  <c r="L31"/>
  <c r="Y31"/>
  <c r="M31"/>
  <c r="U31"/>
  <c r="H3"/>
  <c r="F3"/>
  <c r="AB30" l="1"/>
  <c r="X30"/>
  <c r="T30"/>
  <c r="P30"/>
  <c r="L30"/>
  <c r="Y30"/>
  <c r="Q30"/>
  <c r="M30"/>
  <c r="V30"/>
  <c r="N30"/>
  <c r="O30"/>
  <c r="U30"/>
  <c r="AA30"/>
  <c r="K30"/>
  <c r="Z30"/>
  <c r="R30"/>
  <c r="S30"/>
  <c r="W30"/>
  <c r="E3"/>
  <c r="H25" s="1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Z25"/>
  <c r="Z36" s="1"/>
  <c r="R25"/>
  <c r="R36" s="1"/>
  <c r="N25"/>
  <c r="N36" s="1"/>
  <c r="J25"/>
  <c r="W25"/>
  <c r="W36" s="1"/>
  <c r="O25"/>
  <c r="O36" s="1"/>
  <c r="K25"/>
  <c r="X25"/>
  <c r="X36" s="1"/>
  <c r="L25"/>
  <c r="L36" s="1"/>
  <c r="V25"/>
  <c r="V36" s="1"/>
  <c r="G25"/>
  <c r="AA25"/>
  <c r="AA36" s="1"/>
  <c r="S25"/>
  <c r="S36" s="1"/>
  <c r="AB25"/>
  <c r="AB36" s="1"/>
  <c r="P25"/>
  <c r="P36" s="1"/>
  <c r="T25"/>
  <c r="T36" s="1"/>
  <c r="I25"/>
  <c r="J1"/>
  <c r="I1"/>
  <c r="C29"/>
  <c r="K41"/>
  <c r="C30"/>
  <c r="K42"/>
  <c r="K36" l="1"/>
  <c r="AB35" i="269"/>
  <c r="AA35"/>
  <c r="Z35"/>
  <c r="Y35"/>
  <c r="X35"/>
  <c r="W35"/>
  <c r="V35"/>
  <c r="U35"/>
  <c r="T35"/>
  <c r="S35"/>
  <c r="R35"/>
  <c r="Q35"/>
  <c r="P35"/>
  <c r="O35"/>
  <c r="N35"/>
  <c r="M35"/>
  <c r="L35"/>
  <c r="K35"/>
  <c r="W28" i="270"/>
  <c r="Z28"/>
  <c r="Y28"/>
  <c r="L28"/>
  <c r="AB28"/>
  <c r="V28"/>
  <c r="O28"/>
  <c r="R28"/>
  <c r="U28"/>
  <c r="P28"/>
  <c r="N28"/>
  <c r="Q28"/>
  <c r="S28"/>
  <c r="T28"/>
  <c r="AA28"/>
  <c r="X28"/>
  <c r="M28"/>
  <c r="K28"/>
  <c r="AB29" i="269" l="1"/>
  <c r="AA29"/>
  <c r="Z29"/>
  <c r="Y29"/>
  <c r="X29"/>
  <c r="W29"/>
  <c r="V29"/>
  <c r="U29"/>
  <c r="T29"/>
  <c r="S29"/>
  <c r="R29"/>
  <c r="Q29"/>
  <c r="P29"/>
  <c r="O29"/>
  <c r="N29"/>
  <c r="M29"/>
  <c r="L29"/>
  <c r="K29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AB31"/>
  <c r="AA31"/>
  <c r="W31"/>
  <c r="S31"/>
  <c r="O31"/>
  <c r="K31"/>
  <c r="T31"/>
  <c r="P31"/>
  <c r="Y31"/>
  <c r="U31"/>
  <c r="Q31"/>
  <c r="M31"/>
  <c r="X31"/>
  <c r="L31"/>
  <c r="H3"/>
  <c r="F3"/>
  <c r="AB30" l="1"/>
  <c r="X30"/>
  <c r="T30"/>
  <c r="P30"/>
  <c r="L30"/>
  <c r="Z30"/>
  <c r="N30"/>
  <c r="Y30"/>
  <c r="U30"/>
  <c r="Q30"/>
  <c r="M30"/>
  <c r="V30"/>
  <c r="AA30"/>
  <c r="W30"/>
  <c r="S30"/>
  <c r="O30"/>
  <c r="K30"/>
  <c r="R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Z25"/>
  <c r="Z36" s="1"/>
  <c r="V25"/>
  <c r="V36" s="1"/>
  <c r="R25"/>
  <c r="R36" s="1"/>
  <c r="N25"/>
  <c r="N36" s="1"/>
  <c r="J25"/>
  <c r="X25"/>
  <c r="X36" s="1"/>
  <c r="P25"/>
  <c r="P36" s="1"/>
  <c r="AA25"/>
  <c r="AA36" s="1"/>
  <c r="W25"/>
  <c r="W36" s="1"/>
  <c r="S25"/>
  <c r="S36" s="1"/>
  <c r="O25"/>
  <c r="O36" s="1"/>
  <c r="K25"/>
  <c r="G25"/>
  <c r="AB25"/>
  <c r="AB36" s="1"/>
  <c r="T25"/>
  <c r="T36" s="1"/>
  <c r="L25"/>
  <c r="L36" s="1"/>
  <c r="I25"/>
  <c r="J1"/>
  <c r="I1"/>
  <c r="C29"/>
  <c r="C30"/>
  <c r="K41"/>
  <c r="K42"/>
  <c r="K36" l="1"/>
  <c r="AB35" i="268"/>
  <c r="AA35"/>
  <c r="Z35"/>
  <c r="Y35"/>
  <c r="X35"/>
  <c r="W35"/>
  <c r="V35"/>
  <c r="U35"/>
  <c r="T35"/>
  <c r="S35"/>
  <c r="R35"/>
  <c r="Q35"/>
  <c r="P35"/>
  <c r="O35"/>
  <c r="N35"/>
  <c r="M35"/>
  <c r="L35"/>
  <c r="K35"/>
  <c r="W28" i="269"/>
  <c r="Z28"/>
  <c r="Y28"/>
  <c r="AB28"/>
  <c r="S28"/>
  <c r="X28"/>
  <c r="V28"/>
  <c r="U28"/>
  <c r="O28"/>
  <c r="R28"/>
  <c r="Q28"/>
  <c r="T28"/>
  <c r="P28"/>
  <c r="L28"/>
  <c r="AA28"/>
  <c r="N28"/>
  <c r="M28"/>
  <c r="K28"/>
  <c r="AB29" i="268" l="1"/>
  <c r="AA29"/>
  <c r="Z29"/>
  <c r="Y29"/>
  <c r="X29"/>
  <c r="W29"/>
  <c r="V29"/>
  <c r="U29"/>
  <c r="T29"/>
  <c r="S29"/>
  <c r="R29"/>
  <c r="Q29"/>
  <c r="P29"/>
  <c r="O29"/>
  <c r="N29"/>
  <c r="M29"/>
  <c r="L29"/>
  <c r="K29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L31"/>
  <c r="AA31"/>
  <c r="W31"/>
  <c r="S31"/>
  <c r="O31"/>
  <c r="K31"/>
  <c r="P31"/>
  <c r="AB31"/>
  <c r="X31"/>
  <c r="T31"/>
  <c r="Y31"/>
  <c r="U31"/>
  <c r="Q31"/>
  <c r="M31"/>
  <c r="H3"/>
  <c r="F3"/>
  <c r="AB30" l="1"/>
  <c r="X30"/>
  <c r="T30"/>
  <c r="P30"/>
  <c r="L30"/>
  <c r="R30"/>
  <c r="W30"/>
  <c r="K30"/>
  <c r="Y30"/>
  <c r="U30"/>
  <c r="Q30"/>
  <c r="M30"/>
  <c r="V30"/>
  <c r="N30"/>
  <c r="O30"/>
  <c r="Z30"/>
  <c r="AA30"/>
  <c r="S30"/>
  <c r="E3"/>
  <c r="H25" s="1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V25"/>
  <c r="V36" s="1"/>
  <c r="R25"/>
  <c r="R36" s="1"/>
  <c r="J25"/>
  <c r="X25"/>
  <c r="X36" s="1"/>
  <c r="P25"/>
  <c r="P36" s="1"/>
  <c r="Z25"/>
  <c r="Z36" s="1"/>
  <c r="N25"/>
  <c r="N36" s="1"/>
  <c r="L25"/>
  <c r="L36" s="1"/>
  <c r="AA25"/>
  <c r="AA36" s="1"/>
  <c r="W25"/>
  <c r="W36" s="1"/>
  <c r="S25"/>
  <c r="S36" s="1"/>
  <c r="O25"/>
  <c r="O36" s="1"/>
  <c r="K25"/>
  <c r="G25"/>
  <c r="AB25"/>
  <c r="AB36" s="1"/>
  <c r="T25"/>
  <c r="T36" s="1"/>
  <c r="I25"/>
  <c r="J1"/>
  <c r="I1"/>
  <c r="C29"/>
  <c r="K41"/>
  <c r="K42"/>
  <c r="C30"/>
  <c r="K36" l="1"/>
  <c r="AB35" i="267"/>
  <c r="AA35"/>
  <c r="Z35"/>
  <c r="Y35"/>
  <c r="X35"/>
  <c r="W35"/>
  <c r="V35"/>
  <c r="U35"/>
  <c r="T35"/>
  <c r="S35"/>
  <c r="R35"/>
  <c r="Q35"/>
  <c r="P35"/>
  <c r="O35"/>
  <c r="N35"/>
  <c r="M35"/>
  <c r="L35"/>
  <c r="K35"/>
  <c r="AA28" i="268"/>
  <c r="P28"/>
  <c r="V28"/>
  <c r="Y28"/>
  <c r="W28"/>
  <c r="U28"/>
  <c r="Z28"/>
  <c r="AB28"/>
  <c r="N28"/>
  <c r="Q28"/>
  <c r="R28"/>
  <c r="S28"/>
  <c r="T28"/>
  <c r="O28"/>
  <c r="L28"/>
  <c r="X28"/>
  <c r="M28"/>
  <c r="K28"/>
  <c r="AB29" i="267" l="1"/>
  <c r="AA29"/>
  <c r="Z29"/>
  <c r="Y29"/>
  <c r="X29"/>
  <c r="W29"/>
  <c r="V29"/>
  <c r="U29"/>
  <c r="T29"/>
  <c r="S29"/>
  <c r="R29"/>
  <c r="Q29"/>
  <c r="P29"/>
  <c r="O29"/>
  <c r="N29"/>
  <c r="M29"/>
  <c r="L29"/>
  <c r="K29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W31"/>
  <c r="O31"/>
  <c r="Y31"/>
  <c r="AA31"/>
  <c r="S31"/>
  <c r="K31"/>
  <c r="U31"/>
  <c r="AB31"/>
  <c r="X31"/>
  <c r="T31"/>
  <c r="P31"/>
  <c r="L31"/>
  <c r="Q31"/>
  <c r="M31"/>
  <c r="H3"/>
  <c r="F3"/>
  <c r="AB30" l="1"/>
  <c r="X30"/>
  <c r="T30"/>
  <c r="P30"/>
  <c r="L30"/>
  <c r="Y30"/>
  <c r="U30"/>
  <c r="M30"/>
  <c r="V30"/>
  <c r="N30"/>
  <c r="AA30"/>
  <c r="O30"/>
  <c r="Q30"/>
  <c r="W30"/>
  <c r="Z30"/>
  <c r="R30"/>
  <c r="S30"/>
  <c r="K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N25"/>
  <c r="N36" s="1"/>
  <c r="G25"/>
  <c r="Z25"/>
  <c r="Z36" s="1"/>
  <c r="V25"/>
  <c r="V36" s="1"/>
  <c r="R25"/>
  <c r="R36" s="1"/>
  <c r="J25"/>
  <c r="AA25"/>
  <c r="AA36" s="1"/>
  <c r="W25"/>
  <c r="W36" s="1"/>
  <c r="S25"/>
  <c r="S36" s="1"/>
  <c r="O25"/>
  <c r="O36" s="1"/>
  <c r="K25"/>
  <c r="AB25"/>
  <c r="AB36" s="1"/>
  <c r="X25"/>
  <c r="X36" s="1"/>
  <c r="T25"/>
  <c r="T36" s="1"/>
  <c r="P25"/>
  <c r="P36" s="1"/>
  <c r="L25"/>
  <c r="L36" s="1"/>
  <c r="I25"/>
  <c r="J1"/>
  <c r="I1"/>
  <c r="C29"/>
  <c r="K41"/>
  <c r="C30"/>
  <c r="K42"/>
  <c r="K36" l="1"/>
  <c r="AB35" i="266"/>
  <c r="AA35"/>
  <c r="Z35"/>
  <c r="Y35"/>
  <c r="X35"/>
  <c r="W35"/>
  <c r="V35"/>
  <c r="U35"/>
  <c r="T35"/>
  <c r="S35"/>
  <c r="R35"/>
  <c r="Q35"/>
  <c r="P35"/>
  <c r="O35"/>
  <c r="N35"/>
  <c r="M35"/>
  <c r="L35"/>
  <c r="K35"/>
  <c r="X28" i="267"/>
  <c r="R28"/>
  <c r="N28"/>
  <c r="Y28"/>
  <c r="S28"/>
  <c r="T28"/>
  <c r="O28"/>
  <c r="U28"/>
  <c r="P28"/>
  <c r="Z28"/>
  <c r="Q28"/>
  <c r="AA28"/>
  <c r="L28"/>
  <c r="AB28"/>
  <c r="W28"/>
  <c r="V28"/>
  <c r="M28"/>
  <c r="K28"/>
  <c r="AB29" i="266" l="1"/>
  <c r="AA29"/>
  <c r="Z29"/>
  <c r="Y29"/>
  <c r="X29"/>
  <c r="W29"/>
  <c r="V29"/>
  <c r="U29"/>
  <c r="T29"/>
  <c r="S29"/>
  <c r="R29"/>
  <c r="Q29"/>
  <c r="P29"/>
  <c r="O29"/>
  <c r="N29"/>
  <c r="M29"/>
  <c r="L29"/>
  <c r="K29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AA31"/>
  <c r="W31"/>
  <c r="O31"/>
  <c r="K31"/>
  <c r="Y31"/>
  <c r="Q31"/>
  <c r="S31"/>
  <c r="M31"/>
  <c r="AB31"/>
  <c r="X31"/>
  <c r="T31"/>
  <c r="P31"/>
  <c r="L31"/>
  <c r="U31"/>
  <c r="H3"/>
  <c r="F3"/>
  <c r="AB30" l="1"/>
  <c r="X30"/>
  <c r="T30"/>
  <c r="P30"/>
  <c r="L30"/>
  <c r="U30"/>
  <c r="Q30"/>
  <c r="M30"/>
  <c r="V30"/>
  <c r="W30"/>
  <c r="Y30"/>
  <c r="R30"/>
  <c r="O30"/>
  <c r="Z30"/>
  <c r="N30"/>
  <c r="S30"/>
  <c r="K30"/>
  <c r="AA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V25"/>
  <c r="V36" s="1"/>
  <c r="R25"/>
  <c r="R36" s="1"/>
  <c r="N25"/>
  <c r="N36" s="1"/>
  <c r="AA25"/>
  <c r="AA36" s="1"/>
  <c r="W25"/>
  <c r="W36" s="1"/>
  <c r="O25"/>
  <c r="O36" s="1"/>
  <c r="K25"/>
  <c r="G25"/>
  <c r="Z25"/>
  <c r="Z36" s="1"/>
  <c r="J25"/>
  <c r="S25"/>
  <c r="S36" s="1"/>
  <c r="AB25"/>
  <c r="AB36" s="1"/>
  <c r="X25"/>
  <c r="X36" s="1"/>
  <c r="T25"/>
  <c r="T36" s="1"/>
  <c r="P25"/>
  <c r="P36" s="1"/>
  <c r="L25"/>
  <c r="L36" s="1"/>
  <c r="I25"/>
  <c r="J1"/>
  <c r="I1"/>
  <c r="C29"/>
  <c r="K41"/>
  <c r="C30"/>
  <c r="K42"/>
  <c r="K36" l="1"/>
  <c r="AB35" i="265"/>
  <c r="AA35"/>
  <c r="Z35"/>
  <c r="Y35"/>
  <c r="X35"/>
  <c r="W35"/>
  <c r="V35"/>
  <c r="U35"/>
  <c r="T35"/>
  <c r="S35"/>
  <c r="R35"/>
  <c r="Q35"/>
  <c r="P35"/>
  <c r="O35"/>
  <c r="N35"/>
  <c r="M35"/>
  <c r="L35"/>
  <c r="K35"/>
  <c r="W28" i="266"/>
  <c r="V28"/>
  <c r="Y28"/>
  <c r="Z28"/>
  <c r="T28"/>
  <c r="O28"/>
  <c r="R28"/>
  <c r="U28"/>
  <c r="X28"/>
  <c r="S28"/>
  <c r="Q28"/>
  <c r="P28"/>
  <c r="N28"/>
  <c r="L28"/>
  <c r="AB28"/>
  <c r="AA28"/>
  <c r="M28"/>
  <c r="K28"/>
  <c r="AB29" i="265" l="1"/>
  <c r="AA29"/>
  <c r="Z29"/>
  <c r="Y29"/>
  <c r="X29"/>
  <c r="W29"/>
  <c r="V29"/>
  <c r="U29"/>
  <c r="T29"/>
  <c r="S29"/>
  <c r="R29"/>
  <c r="Q29"/>
  <c r="P29"/>
  <c r="O29"/>
  <c r="N29"/>
  <c r="M29"/>
  <c r="L29"/>
  <c r="K29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W31"/>
  <c r="O31"/>
  <c r="K31"/>
  <c r="AA31"/>
  <c r="S31"/>
  <c r="Y31"/>
  <c r="M31"/>
  <c r="AB31"/>
  <c r="X31"/>
  <c r="T31"/>
  <c r="P31"/>
  <c r="L31"/>
  <c r="Q31"/>
  <c r="U31"/>
  <c r="H3"/>
  <c r="F3"/>
  <c r="AB30" l="1"/>
  <c r="X30"/>
  <c r="T30"/>
  <c r="P30"/>
  <c r="L30"/>
  <c r="U30"/>
  <c r="Q30"/>
  <c r="M30"/>
  <c r="R30"/>
  <c r="AA30"/>
  <c r="O30"/>
  <c r="Y30"/>
  <c r="W30"/>
  <c r="Z30"/>
  <c r="V30"/>
  <c r="N30"/>
  <c r="S30"/>
  <c r="K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Z25"/>
  <c r="Z36" s="1"/>
  <c r="V25"/>
  <c r="V36" s="1"/>
  <c r="R25"/>
  <c r="R36" s="1"/>
  <c r="N25"/>
  <c r="N36" s="1"/>
  <c r="J25"/>
  <c r="P25"/>
  <c r="P36" s="1"/>
  <c r="AA25"/>
  <c r="AA36" s="1"/>
  <c r="W25"/>
  <c r="W36" s="1"/>
  <c r="S25"/>
  <c r="S36" s="1"/>
  <c r="O25"/>
  <c r="O36" s="1"/>
  <c r="K25"/>
  <c r="G25"/>
  <c r="AB25"/>
  <c r="AB36" s="1"/>
  <c r="X25"/>
  <c r="X36" s="1"/>
  <c r="T25"/>
  <c r="T36" s="1"/>
  <c r="L25"/>
  <c r="L36" s="1"/>
  <c r="I25"/>
  <c r="J1"/>
  <c r="I1"/>
  <c r="C29"/>
  <c r="K41"/>
  <c r="C30"/>
  <c r="K42"/>
  <c r="K36" l="1"/>
  <c r="AB35" i="264"/>
  <c r="AA35"/>
  <c r="Z35"/>
  <c r="Y35"/>
  <c r="X35"/>
  <c r="W35"/>
  <c r="V35"/>
  <c r="U35"/>
  <c r="T35"/>
  <c r="S35"/>
  <c r="R35"/>
  <c r="Q35"/>
  <c r="P35"/>
  <c r="O35"/>
  <c r="N35"/>
  <c r="M35"/>
  <c r="L35"/>
  <c r="K35"/>
  <c r="S28" i="265"/>
  <c r="Z28"/>
  <c r="Y28"/>
  <c r="X28"/>
  <c r="O28"/>
  <c r="P28"/>
  <c r="V28"/>
  <c r="U28"/>
  <c r="T28"/>
  <c r="AA28"/>
  <c r="Q28"/>
  <c r="AB28"/>
  <c r="R28"/>
  <c r="L28"/>
  <c r="W28"/>
  <c r="N28"/>
  <c r="M28"/>
  <c r="K28"/>
  <c r="AB29" i="264" l="1"/>
  <c r="AA29"/>
  <c r="Z29"/>
  <c r="Y29"/>
  <c r="X29"/>
  <c r="W29"/>
  <c r="V29"/>
  <c r="U29"/>
  <c r="T29"/>
  <c r="S29"/>
  <c r="R29"/>
  <c r="Q29"/>
  <c r="P29"/>
  <c r="O29"/>
  <c r="N29"/>
  <c r="M29"/>
  <c r="L29"/>
  <c r="K29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AB31"/>
  <c r="T31"/>
  <c r="L31"/>
  <c r="AA31"/>
  <c r="W31"/>
  <c r="S31"/>
  <c r="O31"/>
  <c r="K31"/>
  <c r="X31"/>
  <c r="P31"/>
  <c r="Y31"/>
  <c r="U31"/>
  <c r="Q31"/>
  <c r="M31"/>
  <c r="H3"/>
  <c r="F3"/>
  <c r="AB30" l="1"/>
  <c r="X30"/>
  <c r="T30"/>
  <c r="P30"/>
  <c r="L30"/>
  <c r="V30"/>
  <c r="N30"/>
  <c r="S30"/>
  <c r="K30"/>
  <c r="Y30"/>
  <c r="U30"/>
  <c r="Q30"/>
  <c r="M30"/>
  <c r="Z30"/>
  <c r="R30"/>
  <c r="W30"/>
  <c r="O30"/>
  <c r="AA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S25"/>
  <c r="S36" s="1"/>
  <c r="K25"/>
  <c r="AB25"/>
  <c r="AB36" s="1"/>
  <c r="X25"/>
  <c r="X36" s="1"/>
  <c r="P25"/>
  <c r="P36" s="1"/>
  <c r="L25"/>
  <c r="L36" s="1"/>
  <c r="Z25"/>
  <c r="Z36" s="1"/>
  <c r="V25"/>
  <c r="V36" s="1"/>
  <c r="R25"/>
  <c r="R36" s="1"/>
  <c r="N25"/>
  <c r="N36" s="1"/>
  <c r="J25"/>
  <c r="AA25"/>
  <c r="AA36" s="1"/>
  <c r="W25"/>
  <c r="W36" s="1"/>
  <c r="O25"/>
  <c r="O36" s="1"/>
  <c r="G25"/>
  <c r="T25"/>
  <c r="T36" s="1"/>
  <c r="I25"/>
  <c r="J1"/>
  <c r="I1"/>
  <c r="C29"/>
  <c r="K41"/>
  <c r="K42"/>
  <c r="C30"/>
  <c r="K36" l="1"/>
  <c r="W28"/>
  <c r="R28"/>
  <c r="P28"/>
  <c r="S28"/>
  <c r="Y28"/>
  <c r="O28"/>
  <c r="N28"/>
  <c r="L28"/>
  <c r="U28"/>
  <c r="Z28"/>
  <c r="AB28"/>
  <c r="Q28"/>
  <c r="T28"/>
  <c r="AA28"/>
  <c r="V28"/>
  <c r="X28"/>
  <c r="M28"/>
  <c r="K28"/>
  <c r="I1" i="1" l="1"/>
  <c r="J1"/>
  <c r="F2" i="15" l="1"/>
  <c r="A13" i="237" l="1"/>
  <c r="A4"/>
  <c r="A12"/>
  <c r="A11"/>
  <c r="A10"/>
  <c r="A9"/>
  <c r="A8"/>
  <c r="A7"/>
  <c r="A6"/>
  <c r="A3"/>
  <c r="A5"/>
  <c r="B2" i="15" l="1"/>
  <c r="BW104" i="18" l="1"/>
  <c r="G106"/>
  <c r="K106"/>
  <c r="O106"/>
  <c r="S106"/>
  <c r="W106"/>
  <c r="AA106"/>
  <c r="AE106"/>
  <c r="AI106"/>
  <c r="AM106"/>
  <c r="AQ106"/>
  <c r="AU106"/>
  <c r="AY106"/>
  <c r="BC106"/>
  <c r="BG106"/>
  <c r="BK106"/>
  <c r="BO106"/>
  <c r="BS106"/>
  <c r="BW106"/>
  <c r="I107"/>
  <c r="M107"/>
  <c r="Q107"/>
  <c r="U107"/>
  <c r="Y107"/>
  <c r="AC107"/>
  <c r="AG107"/>
  <c r="AK107"/>
  <c r="AO107"/>
  <c r="AS107"/>
  <c r="AW107"/>
  <c r="BA107"/>
  <c r="BE107"/>
  <c r="BI107"/>
  <c r="BM107"/>
  <c r="BQ107"/>
  <c r="BU107"/>
  <c r="BX104"/>
  <c r="H106"/>
  <c r="L106"/>
  <c r="P106"/>
  <c r="T106"/>
  <c r="X106"/>
  <c r="AB106"/>
  <c r="AF106"/>
  <c r="AJ106"/>
  <c r="AN106"/>
  <c r="AR106"/>
  <c r="AV106"/>
  <c r="AZ106"/>
  <c r="BD106"/>
  <c r="BH106"/>
  <c r="BL106"/>
  <c r="BP106"/>
  <c r="BT106"/>
  <c r="BX106"/>
  <c r="J107"/>
  <c r="N107"/>
  <c r="R107"/>
  <c r="V107"/>
  <c r="Z107"/>
  <c r="AD107"/>
  <c r="AH107"/>
  <c r="AL107"/>
  <c r="AP107"/>
  <c r="AT107"/>
  <c r="AX107"/>
  <c r="BB107"/>
  <c r="BF107"/>
  <c r="BJ107"/>
  <c r="BN107"/>
  <c r="BR107"/>
  <c r="BV107"/>
  <c r="BW94"/>
  <c r="BW96"/>
  <c r="BW98"/>
  <c r="BW100"/>
  <c r="BW102"/>
  <c r="BW105"/>
  <c r="M106"/>
  <c r="U106"/>
  <c r="AC106"/>
  <c r="AK106"/>
  <c r="AS106"/>
  <c r="BA106"/>
  <c r="BI106"/>
  <c r="BQ106"/>
  <c r="G107"/>
  <c r="O107"/>
  <c r="W107"/>
  <c r="AE107"/>
  <c r="AM107"/>
  <c r="AU107"/>
  <c r="BC107"/>
  <c r="BK107"/>
  <c r="BS107"/>
  <c r="BW39"/>
  <c r="BW95"/>
  <c r="BW97"/>
  <c r="BW99"/>
  <c r="BW101"/>
  <c r="BW103"/>
  <c r="I106"/>
  <c r="Q106"/>
  <c r="Y106"/>
  <c r="AG106"/>
  <c r="AO106"/>
  <c r="AW106"/>
  <c r="BE106"/>
  <c r="BM106"/>
  <c r="BU106"/>
  <c r="K107"/>
  <c r="S107"/>
  <c r="AA107"/>
  <c r="AI107"/>
  <c r="AQ107"/>
  <c r="AY107"/>
  <c r="BG107"/>
  <c r="BO107"/>
  <c r="BW107"/>
  <c r="BW38"/>
  <c r="BW40"/>
  <c r="BX94"/>
  <c r="BX98"/>
  <c r="BX102"/>
  <c r="BX105"/>
  <c r="V106"/>
  <c r="AL106"/>
  <c r="BB106"/>
  <c r="BR106"/>
  <c r="P107"/>
  <c r="AF107"/>
  <c r="AV107"/>
  <c r="BL107"/>
  <c r="BW41"/>
  <c r="BX42"/>
  <c r="BW45"/>
  <c r="BX46"/>
  <c r="BW49"/>
  <c r="BX50"/>
  <c r="BW53"/>
  <c r="BX54"/>
  <c r="BW57"/>
  <c r="BX58"/>
  <c r="BW61"/>
  <c r="BX62"/>
  <c r="BW65"/>
  <c r="BX66"/>
  <c r="BW69"/>
  <c r="BX70"/>
  <c r="BW73"/>
  <c r="BX74"/>
  <c r="BW77"/>
  <c r="BX78"/>
  <c r="BW81"/>
  <c r="BX82"/>
  <c r="BV108"/>
  <c r="BV109"/>
  <c r="BV110"/>
  <c r="BX95"/>
  <c r="BX99"/>
  <c r="BX103"/>
  <c r="J106"/>
  <c r="Z106"/>
  <c r="AP106"/>
  <c r="BF106"/>
  <c r="BV106"/>
  <c r="T107"/>
  <c r="AJ107"/>
  <c r="AZ107"/>
  <c r="BX96"/>
  <c r="BX100"/>
  <c r="N106"/>
  <c r="AD106"/>
  <c r="AT106"/>
  <c r="BJ106"/>
  <c r="H107"/>
  <c r="X107"/>
  <c r="AN107"/>
  <c r="BD107"/>
  <c r="BT107"/>
  <c r="BX39"/>
  <c r="BW43"/>
  <c r="BX44"/>
  <c r="BW47"/>
  <c r="BX48"/>
  <c r="BW51"/>
  <c r="BX52"/>
  <c r="BW55"/>
  <c r="BX56"/>
  <c r="BW59"/>
  <c r="BX60"/>
  <c r="BW63"/>
  <c r="BX64"/>
  <c r="BW67"/>
  <c r="BX68"/>
  <c r="BW71"/>
  <c r="BX72"/>
  <c r="BW75"/>
  <c r="BX76"/>
  <c r="BW79"/>
  <c r="BX80"/>
  <c r="BW83"/>
  <c r="BX84"/>
  <c r="BX85"/>
  <c r="BX86"/>
  <c r="BX87"/>
  <c r="BX88"/>
  <c r="BX89"/>
  <c r="BX90"/>
  <c r="BX91"/>
  <c r="BX92"/>
  <c r="BX93"/>
  <c r="BX108"/>
  <c r="BX109"/>
  <c r="BX110"/>
  <c r="BX97"/>
  <c r="BX101"/>
  <c r="R106"/>
  <c r="AH106"/>
  <c r="AX106"/>
  <c r="BN106"/>
  <c r="L107"/>
  <c r="AB107"/>
  <c r="AR107"/>
  <c r="BH107"/>
  <c r="BX107"/>
  <c r="BX40"/>
  <c r="BW42"/>
  <c r="BX43"/>
  <c r="BW46"/>
  <c r="BX47"/>
  <c r="BW50"/>
  <c r="BX51"/>
  <c r="BW54"/>
  <c r="BX55"/>
  <c r="BW58"/>
  <c r="BX59"/>
  <c r="BW62"/>
  <c r="BX63"/>
  <c r="BW66"/>
  <c r="BX67"/>
  <c r="BW70"/>
  <c r="BX71"/>
  <c r="BW74"/>
  <c r="BX75"/>
  <c r="BW78"/>
  <c r="BP107"/>
  <c r="BW44"/>
  <c r="BX49"/>
  <c r="BW60"/>
  <c r="BX65"/>
  <c r="BW76"/>
  <c r="BW80"/>
  <c r="BW85"/>
  <c r="BW87"/>
  <c r="BW89"/>
  <c r="BW91"/>
  <c r="BW93"/>
  <c r="BW109"/>
  <c r="BX41"/>
  <c r="BW52"/>
  <c r="BX57"/>
  <c r="BX73"/>
  <c r="BX81"/>
  <c r="BW86"/>
  <c r="BW90"/>
  <c r="BW108"/>
  <c r="BX53"/>
  <c r="BW64"/>
  <c r="BW82"/>
  <c r="BU109"/>
  <c r="BX38"/>
  <c r="BX45"/>
  <c r="BW56"/>
  <c r="BX61"/>
  <c r="BW72"/>
  <c r="BX77"/>
  <c r="BX83"/>
  <c r="BU108"/>
  <c r="BU110"/>
  <c r="BW68"/>
  <c r="BW84"/>
  <c r="BW88"/>
  <c r="BW92"/>
  <c r="BW110"/>
  <c r="BW48"/>
  <c r="BX69"/>
  <c r="BX79"/>
  <c r="AV110"/>
  <c r="V109"/>
  <c r="Z110"/>
  <c r="BJ108"/>
  <c r="BN109"/>
  <c r="AN108"/>
  <c r="AR109"/>
  <c r="P108"/>
  <c r="BL110"/>
  <c r="AP110"/>
  <c r="V110"/>
  <c r="BH109"/>
  <c r="AL109"/>
  <c r="R109"/>
  <c r="BD108"/>
  <c r="AH108"/>
  <c r="H108"/>
  <c r="BF110"/>
  <c r="AL110"/>
  <c r="P110"/>
  <c r="BB109"/>
  <c r="AH109"/>
  <c r="L109"/>
  <c r="AX108"/>
  <c r="AD108"/>
  <c r="BT110"/>
  <c r="BB110"/>
  <c r="AF110"/>
  <c r="J110"/>
  <c r="AX109"/>
  <c r="AB109"/>
  <c r="BN108"/>
  <c r="AT108"/>
  <c r="X108"/>
  <c r="BR108"/>
  <c r="BO108"/>
  <c r="BS108"/>
  <c r="BQ109"/>
  <c r="BO110"/>
  <c r="BS110"/>
  <c r="BQ108"/>
  <c r="BR109"/>
  <c r="BR110"/>
  <c r="G108"/>
  <c r="K108"/>
  <c r="O108"/>
  <c r="S108"/>
  <c r="W108"/>
  <c r="AA108"/>
  <c r="AE108"/>
  <c r="AI108"/>
  <c r="AM108"/>
  <c r="AQ108"/>
  <c r="AU108"/>
  <c r="AY108"/>
  <c r="BC108"/>
  <c r="BG108"/>
  <c r="BK108"/>
  <c r="G109"/>
  <c r="K109"/>
  <c r="O109"/>
  <c r="S109"/>
  <c r="W109"/>
  <c r="AA109"/>
  <c r="AE109"/>
  <c r="AI109"/>
  <c r="AM109"/>
  <c r="AQ109"/>
  <c r="AU109"/>
  <c r="AY109"/>
  <c r="BC109"/>
  <c r="BG109"/>
  <c r="BK109"/>
  <c r="G110"/>
  <c r="K110"/>
  <c r="O110"/>
  <c r="S110"/>
  <c r="W110"/>
  <c r="AA110"/>
  <c r="AE110"/>
  <c r="AI110"/>
  <c r="AM110"/>
  <c r="AQ110"/>
  <c r="AU110"/>
  <c r="AY110"/>
  <c r="BC110"/>
  <c r="BG110"/>
  <c r="BK110"/>
  <c r="BT108"/>
  <c r="BO109"/>
  <c r="BT109"/>
  <c r="BP110"/>
  <c r="I108"/>
  <c r="M108"/>
  <c r="Q108"/>
  <c r="U108"/>
  <c r="Y108"/>
  <c r="AC108"/>
  <c r="AG108"/>
  <c r="AK108"/>
  <c r="AO108"/>
  <c r="AS108"/>
  <c r="AW108"/>
  <c r="BA108"/>
  <c r="BE108"/>
  <c r="BI108"/>
  <c r="BM108"/>
  <c r="I109"/>
  <c r="M109"/>
  <c r="Q109"/>
  <c r="U109"/>
  <c r="Y109"/>
  <c r="AC109"/>
  <c r="AG109"/>
  <c r="AK109"/>
  <c r="AO109"/>
  <c r="AS109"/>
  <c r="AW109"/>
  <c r="BA109"/>
  <c r="BE109"/>
  <c r="BI109"/>
  <c r="BM109"/>
  <c r="I110"/>
  <c r="M110"/>
  <c r="Q110"/>
  <c r="U110"/>
  <c r="Y110"/>
  <c r="AC110"/>
  <c r="AG110"/>
  <c r="AK110"/>
  <c r="AO110"/>
  <c r="AS110"/>
  <c r="AW110"/>
  <c r="BA110"/>
  <c r="BE110"/>
  <c r="BI110"/>
  <c r="BM110"/>
  <c r="J108"/>
  <c r="R108"/>
  <c r="L108"/>
  <c r="T108"/>
  <c r="AB108"/>
  <c r="AJ108"/>
  <c r="AR108"/>
  <c r="AZ108"/>
  <c r="BH108"/>
  <c r="H109"/>
  <c r="P109"/>
  <c r="X109"/>
  <c r="AF109"/>
  <c r="AN109"/>
  <c r="AV109"/>
  <c r="BD109"/>
  <c r="BL109"/>
  <c r="L110"/>
  <c r="T110"/>
  <c r="AB110"/>
  <c r="AJ110"/>
  <c r="AR110"/>
  <c r="AZ110"/>
  <c r="BH110"/>
  <c r="BP108"/>
  <c r="BP109"/>
  <c r="BQ110"/>
  <c r="BN110"/>
  <c r="BD110"/>
  <c r="AT110"/>
  <c r="AH110"/>
  <c r="X110"/>
  <c r="N110"/>
  <c r="BJ109"/>
  <c r="AZ109"/>
  <c r="AP109"/>
  <c r="AD109"/>
  <c r="T109"/>
  <c r="J109"/>
  <c r="BF108"/>
  <c r="AV108"/>
  <c r="AL108"/>
  <c r="Z108"/>
  <c r="N108"/>
  <c r="BS109"/>
  <c r="BJ110"/>
  <c r="AX110"/>
  <c r="AN110"/>
  <c r="AD110"/>
  <c r="R110"/>
  <c r="H110"/>
  <c r="BF109"/>
  <c r="AT109"/>
  <c r="AJ109"/>
  <c r="Z109"/>
  <c r="N109"/>
  <c r="BL108"/>
  <c r="BB108"/>
  <c r="AP108"/>
  <c r="AF108"/>
  <c r="V108"/>
  <c r="D2" i="14" l="1"/>
  <c r="E22" i="15"/>
  <c r="A19"/>
  <c r="E19"/>
  <c r="A20"/>
  <c r="E20"/>
  <c r="A21"/>
  <c r="E21"/>
  <c r="A22"/>
  <c r="A23"/>
  <c r="E23"/>
  <c r="A24"/>
  <c r="E24"/>
  <c r="A25"/>
  <c r="E25"/>
  <c r="A26"/>
  <c r="E26"/>
  <c r="A27"/>
  <c r="E27"/>
  <c r="A28"/>
  <c r="E28"/>
  <c r="A29"/>
  <c r="E29"/>
  <c r="A30"/>
  <c r="E30"/>
  <c r="F30"/>
  <c r="A31"/>
  <c r="E31"/>
  <c r="A5" i="223"/>
  <c r="A4"/>
  <c r="A9"/>
  <c r="A7"/>
  <c r="A8"/>
  <c r="A11"/>
  <c r="A6"/>
  <c r="A10"/>
  <c r="A12"/>
  <c r="A14"/>
  <c r="A13"/>
  <c r="B4" i="14"/>
  <c r="B5"/>
  <c r="B6"/>
  <c r="B7"/>
  <c r="Y8"/>
  <c r="Y9" s="1"/>
  <c r="Y10" s="1"/>
  <c r="Y11" s="1"/>
  <c r="Y12" s="1"/>
  <c r="Y13" s="1"/>
  <c r="Y14" s="1"/>
  <c r="Y15" s="1"/>
  <c r="Y16" s="1"/>
  <c r="Y17" s="1"/>
  <c r="Y18" s="1"/>
  <c r="Y19" s="1"/>
  <c r="Y20" s="1"/>
  <c r="Y21" s="1"/>
  <c r="Y22" s="1"/>
  <c r="Y23" s="1"/>
  <c r="Y24" s="1"/>
  <c r="Y25" s="1"/>
  <c r="E3" i="1"/>
  <c r="H3"/>
  <c r="H4"/>
  <c r="E4"/>
  <c r="E5"/>
  <c r="H5"/>
  <c r="E6"/>
  <c r="H6"/>
  <c r="E7"/>
  <c r="H7"/>
  <c r="E8"/>
  <c r="H8"/>
  <c r="E9"/>
  <c r="H9"/>
  <c r="E10"/>
  <c r="H10"/>
  <c r="E11"/>
  <c r="H11"/>
  <c r="E12"/>
  <c r="H12"/>
  <c r="E13"/>
  <c r="H13"/>
  <c r="E14"/>
  <c r="H14"/>
  <c r="E15"/>
  <c r="H15"/>
  <c r="E16"/>
  <c r="H16"/>
  <c r="E17"/>
  <c r="H17"/>
  <c r="E18"/>
  <c r="H18"/>
  <c r="E19"/>
  <c r="H19"/>
  <c r="E20"/>
  <c r="H20"/>
  <c r="E21"/>
  <c r="H21"/>
  <c r="E22"/>
  <c r="H22"/>
  <c r="B23"/>
  <c r="B24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F22" i="15"/>
  <c r="F19"/>
  <c r="F21"/>
  <c r="F27"/>
  <c r="F29"/>
  <c r="F20"/>
  <c r="F24"/>
  <c r="F23"/>
  <c r="F31"/>
  <c r="F26"/>
  <c r="F25"/>
  <c r="F28"/>
  <c r="AB30" i="1" l="1"/>
  <c r="X30"/>
  <c r="S25"/>
  <c r="S36" s="1"/>
  <c r="A4" i="46"/>
  <c r="T25" i="1"/>
  <c r="T36" s="1"/>
  <c r="Z25"/>
  <c r="Z36" s="1"/>
  <c r="M25"/>
  <c r="M36" s="1"/>
  <c r="W25"/>
  <c r="W36" s="1"/>
  <c r="V25"/>
  <c r="V36" s="1"/>
  <c r="AA25"/>
  <c r="AA36" s="1"/>
  <c r="AB25"/>
  <c r="AB36" s="1"/>
  <c r="Y25"/>
  <c r="Y36" s="1"/>
  <c r="S30"/>
  <c r="T30"/>
  <c r="A1" i="185"/>
  <c r="P25" i="1"/>
  <c r="P36" s="1"/>
  <c r="P30"/>
  <c r="A33" i="18"/>
  <c r="V30" i="1"/>
  <c r="A2" i="15"/>
  <c r="N30" i="1"/>
  <c r="O30"/>
  <c r="K25"/>
  <c r="X25"/>
  <c r="X36" s="1"/>
  <c r="G25"/>
  <c r="D4" i="14" s="1"/>
  <c r="W30" i="1"/>
  <c r="U25"/>
  <c r="U36" s="1"/>
  <c r="N25"/>
  <c r="N36" s="1"/>
  <c r="Q25"/>
  <c r="Q36" s="1"/>
  <c r="R25"/>
  <c r="R36" s="1"/>
  <c r="O25"/>
  <c r="O36" s="1"/>
  <c r="J25"/>
  <c r="D7" i="14" s="1"/>
  <c r="L25" i="1"/>
  <c r="L36" s="1"/>
  <c r="Q30"/>
  <c r="Y30"/>
  <c r="K30"/>
  <c r="M30"/>
  <c r="H25"/>
  <c r="Z30"/>
  <c r="U30"/>
  <c r="AA30"/>
  <c r="R30"/>
  <c r="L30"/>
  <c r="BV34" i="18"/>
  <c r="BU34"/>
  <c r="BT34"/>
  <c r="BS34"/>
  <c r="BR34"/>
  <c r="BQ34"/>
  <c r="BO34"/>
  <c r="BP34"/>
  <c r="D10" i="14"/>
  <c r="D19"/>
  <c r="D12"/>
  <c r="D14"/>
  <c r="D25"/>
  <c r="D20"/>
  <c r="D15"/>
  <c r="D24"/>
  <c r="D23"/>
  <c r="D16"/>
  <c r="D22"/>
  <c r="D17"/>
  <c r="D18"/>
  <c r="D21"/>
  <c r="D8"/>
  <c r="D11"/>
  <c r="D13"/>
  <c r="T5"/>
  <c r="W5"/>
  <c r="S4"/>
  <c r="V5"/>
  <c r="T4"/>
  <c r="U5"/>
  <c r="U7"/>
  <c r="U4"/>
  <c r="V4"/>
  <c r="S5"/>
  <c r="V7"/>
  <c r="T7"/>
  <c r="S7"/>
  <c r="W4"/>
  <c r="W7"/>
  <c r="E7" l="1"/>
  <c r="E4"/>
  <c r="E4" i="15"/>
  <c r="E5" s="1"/>
  <c r="E6" s="1"/>
  <c r="E7" s="1"/>
  <c r="E8" s="1"/>
  <c r="E9" s="1"/>
  <c r="E10" s="1"/>
  <c r="E11" s="1"/>
  <c r="E12" s="1"/>
  <c r="E13" s="1"/>
  <c r="E14" s="1"/>
  <c r="E15" s="1"/>
  <c r="E16" s="1"/>
  <c r="K36" i="1"/>
  <c r="F4" i="15"/>
  <c r="F5" s="1"/>
  <c r="F6" s="1"/>
  <c r="F7" s="1"/>
  <c r="F8" s="1"/>
  <c r="F9" s="1"/>
  <c r="F10" s="1"/>
  <c r="F11" s="1"/>
  <c r="F12" s="1"/>
  <c r="F13" s="1"/>
  <c r="F14" s="1"/>
  <c r="F15" s="1"/>
  <c r="F16" s="1"/>
  <c r="E8" i="14"/>
  <c r="E10"/>
  <c r="E11"/>
  <c r="E19"/>
  <c r="E13"/>
  <c r="E24"/>
  <c r="E23"/>
  <c r="E17"/>
  <c r="E18"/>
  <c r="E25"/>
  <c r="E21"/>
  <c r="E14"/>
  <c r="E16"/>
  <c r="E22"/>
  <c r="E15"/>
  <c r="E12"/>
  <c r="E20"/>
  <c r="D5"/>
  <c r="E5" s="1"/>
  <c r="D9"/>
  <c r="F23" l="1"/>
  <c r="F22"/>
  <c r="F19"/>
  <c r="F20"/>
  <c r="F16"/>
  <c r="F12"/>
  <c r="F25"/>
  <c r="F17"/>
  <c r="F8"/>
  <c r="F11"/>
  <c r="F14"/>
  <c r="F21"/>
  <c r="F24"/>
  <c r="F10"/>
  <c r="F13"/>
  <c r="F18"/>
  <c r="F15"/>
  <c r="E9"/>
  <c r="F9"/>
  <c r="BS103" i="18"/>
  <c r="BT102"/>
  <c r="BT103"/>
  <c r="BS102"/>
  <c r="BN34"/>
  <c r="BR55" l="1"/>
  <c r="BR78"/>
  <c r="BR66"/>
  <c r="BR42"/>
  <c r="BR39"/>
  <c r="N101"/>
  <c r="BR84"/>
  <c r="BR57"/>
  <c r="BR99"/>
  <c r="BR67"/>
  <c r="AU101"/>
  <c r="BR80"/>
  <c r="BR85"/>
  <c r="BJ101"/>
  <c r="BQ101"/>
  <c r="BR54"/>
  <c r="BR38"/>
  <c r="BR91"/>
  <c r="BR71"/>
  <c r="BR93"/>
  <c r="AL101"/>
  <c r="G101"/>
  <c r="BR56"/>
  <c r="X101"/>
  <c r="Y101"/>
  <c r="BR94"/>
  <c r="AE101"/>
  <c r="BR40"/>
  <c r="BR47"/>
  <c r="BR50"/>
  <c r="BR97"/>
  <c r="BR45"/>
  <c r="BR64"/>
  <c r="BR88"/>
  <c r="BP101"/>
  <c r="BA101"/>
  <c r="BR89"/>
  <c r="BR100"/>
  <c r="I101"/>
  <c r="BR65"/>
  <c r="BR52"/>
  <c r="BI101"/>
  <c r="AW101"/>
  <c r="BR69"/>
  <c r="AC101"/>
  <c r="AD101"/>
  <c r="BR63"/>
  <c r="Z101"/>
  <c r="BK101"/>
  <c r="BR68"/>
  <c r="AY101"/>
  <c r="BR74"/>
  <c r="BR98"/>
  <c r="BR86"/>
  <c r="AV101"/>
  <c r="BE101"/>
  <c r="L101"/>
  <c r="AG101"/>
  <c r="BR96"/>
  <c r="V101"/>
  <c r="BR44"/>
  <c r="J101"/>
  <c r="AB101"/>
  <c r="AT101"/>
  <c r="BR60"/>
  <c r="BR81"/>
  <c r="BR61"/>
  <c r="BR82"/>
  <c r="AJ101"/>
  <c r="T101"/>
  <c r="BR48"/>
  <c r="AA101"/>
  <c r="H101"/>
  <c r="BR46"/>
  <c r="P101"/>
  <c r="AK101"/>
  <c r="BM101"/>
  <c r="BN101"/>
  <c r="BR58"/>
  <c r="BO101"/>
  <c r="BR75"/>
  <c r="AZ101"/>
  <c r="M101"/>
  <c r="K101"/>
  <c r="AF101"/>
  <c r="BH101"/>
  <c r="R101"/>
  <c r="BC101"/>
  <c r="BB101"/>
  <c r="BR95"/>
  <c r="AI101"/>
  <c r="AO101"/>
  <c r="BR51"/>
  <c r="AM101"/>
  <c r="BR90"/>
  <c r="BR92"/>
  <c r="W101"/>
  <c r="Q101"/>
  <c r="BR79"/>
  <c r="BR62"/>
  <c r="BR87"/>
  <c r="BR72"/>
  <c r="BR59"/>
  <c r="AR101"/>
  <c r="AQ101"/>
  <c r="BL101"/>
  <c r="BR49"/>
  <c r="BD101"/>
  <c r="AS101"/>
  <c r="O101"/>
  <c r="BR73"/>
  <c r="BR76"/>
  <c r="U101"/>
  <c r="AP101"/>
  <c r="BR77"/>
  <c r="AH101"/>
  <c r="AN101"/>
  <c r="BR53"/>
  <c r="BF101"/>
  <c r="BR70"/>
  <c r="BR43"/>
  <c r="BG101"/>
  <c r="BR101"/>
  <c r="S101"/>
  <c r="BR41"/>
  <c r="BR83"/>
  <c r="AX101"/>
  <c r="BQ77"/>
  <c r="BJ100"/>
  <c r="BQ85"/>
  <c r="BQ64"/>
  <c r="BQ40"/>
  <c r="BQ96"/>
  <c r="BQ44"/>
  <c r="L100"/>
  <c r="AL100"/>
  <c r="BQ75"/>
  <c r="O100"/>
  <c r="AR100"/>
  <c r="BQ60"/>
  <c r="BQ97"/>
  <c r="BQ56"/>
  <c r="BI100"/>
  <c r="AS100"/>
  <c r="W100"/>
  <c r="BQ81"/>
  <c r="BQ78"/>
  <c r="BQ53"/>
  <c r="BQ42"/>
  <c r="BQ47"/>
  <c r="BQ86"/>
  <c r="BA100"/>
  <c r="BQ73"/>
  <c r="AP100"/>
  <c r="AQ100"/>
  <c r="T100"/>
  <c r="BQ98"/>
  <c r="AD100"/>
  <c r="I100"/>
  <c r="BQ99"/>
  <c r="AJ100"/>
  <c r="BQ46"/>
  <c r="AG100"/>
  <c r="BQ76"/>
  <c r="BQ48"/>
  <c r="AX100"/>
  <c r="V100"/>
  <c r="BQ72"/>
  <c r="G100"/>
  <c r="BQ93"/>
  <c r="AE100"/>
  <c r="BQ68"/>
  <c r="BQ100"/>
  <c r="BQ50"/>
  <c r="BQ49"/>
  <c r="J100"/>
  <c r="BQ45"/>
  <c r="AU100"/>
  <c r="BQ54"/>
  <c r="P100"/>
  <c r="K100"/>
  <c r="BQ82"/>
  <c r="BQ62"/>
  <c r="BQ58"/>
  <c r="H100"/>
  <c r="BQ41"/>
  <c r="AF100"/>
  <c r="AH100"/>
  <c r="AA100"/>
  <c r="BQ87"/>
  <c r="BQ94"/>
  <c r="BQ83"/>
  <c r="BQ63"/>
  <c r="BQ95"/>
  <c r="Z100"/>
  <c r="BP100"/>
  <c r="BQ55"/>
  <c r="AN100"/>
  <c r="BH100"/>
  <c r="BQ57"/>
  <c r="BQ91"/>
  <c r="BQ43"/>
  <c r="BQ70"/>
  <c r="AT100"/>
  <c r="BQ38"/>
  <c r="BQ84"/>
  <c r="BB100"/>
  <c r="BQ79"/>
  <c r="BQ88"/>
  <c r="N100"/>
  <c r="BQ52"/>
  <c r="BE100"/>
  <c r="AI100"/>
  <c r="BQ39"/>
  <c r="Q100"/>
  <c r="BN100"/>
  <c r="M100"/>
  <c r="R100"/>
  <c r="BQ67"/>
  <c r="BQ59"/>
  <c r="BQ66"/>
  <c r="BQ74"/>
  <c r="BO100"/>
  <c r="BM100"/>
  <c r="X100"/>
  <c r="AV100"/>
  <c r="BL100"/>
  <c r="BC100"/>
  <c r="BQ71"/>
  <c r="BK100"/>
  <c r="AB100"/>
  <c r="BG100"/>
  <c r="S100"/>
  <c r="BQ92"/>
  <c r="BQ61"/>
  <c r="AC100"/>
  <c r="BQ69"/>
  <c r="BQ51"/>
  <c r="BF100"/>
  <c r="AK100"/>
  <c r="AM100"/>
  <c r="BQ89"/>
  <c r="BD100"/>
  <c r="AW100"/>
  <c r="AZ100"/>
  <c r="Y100"/>
  <c r="AY100"/>
  <c r="BQ90"/>
  <c r="AO100"/>
  <c r="U100"/>
  <c r="BQ80"/>
  <c r="BQ65"/>
  <c r="BP99"/>
  <c r="BP68"/>
  <c r="BP84"/>
  <c r="BP61"/>
  <c r="AS98"/>
  <c r="BP77"/>
  <c r="BP87"/>
  <c r="BI99"/>
  <c r="BP42"/>
  <c r="BK99"/>
  <c r="BO57"/>
  <c r="BP67"/>
  <c r="P99"/>
  <c r="AQ98"/>
  <c r="H99"/>
  <c r="BP98"/>
  <c r="BO89"/>
  <c r="BM98"/>
  <c r="X99"/>
  <c r="BO58"/>
  <c r="AW99"/>
  <c r="AT98"/>
  <c r="AX98"/>
  <c r="BO72"/>
  <c r="AL98"/>
  <c r="AO98"/>
  <c r="BP48"/>
  <c r="BO92"/>
  <c r="BP60"/>
  <c r="K99"/>
  <c r="S98"/>
  <c r="BO78"/>
  <c r="BP86"/>
  <c r="BP90"/>
  <c r="BO93"/>
  <c r="BO61"/>
  <c r="BP65"/>
  <c r="BD98"/>
  <c r="BO77"/>
  <c r="BA98"/>
  <c r="I99"/>
  <c r="V99"/>
  <c r="BO86"/>
  <c r="N98"/>
  <c r="BO76"/>
  <c r="BO44"/>
  <c r="BO66"/>
  <c r="BB99"/>
  <c r="BO98"/>
  <c r="T99"/>
  <c r="BF99"/>
  <c r="BO60"/>
  <c r="AB99"/>
  <c r="AZ98"/>
  <c r="G99"/>
  <c r="AW98"/>
  <c r="AG98"/>
  <c r="AK98"/>
  <c r="AH99"/>
  <c r="AV99"/>
  <c r="BP55"/>
  <c r="BP41"/>
  <c r="BN98"/>
  <c r="Y98"/>
  <c r="AH98"/>
  <c r="BI98"/>
  <c r="BO40"/>
  <c r="AQ99"/>
  <c r="AJ98"/>
  <c r="M99"/>
  <c r="BP95"/>
  <c r="Q98"/>
  <c r="AZ99"/>
  <c r="BO64"/>
  <c r="BO88"/>
  <c r="BO39"/>
  <c r="BC98"/>
  <c r="BL99"/>
  <c r="BO67"/>
  <c r="BO48"/>
  <c r="AB98"/>
  <c r="BM99"/>
  <c r="BP75"/>
  <c r="AC99"/>
  <c r="BO52"/>
  <c r="BG98"/>
  <c r="BF98"/>
  <c r="BP63"/>
  <c r="BP73"/>
  <c r="BP85"/>
  <c r="Y99"/>
  <c r="O99"/>
  <c r="BP57"/>
  <c r="I98"/>
  <c r="BP69"/>
  <c r="BO55"/>
  <c r="AA98"/>
  <c r="Z99"/>
  <c r="AD98"/>
  <c r="BP83"/>
  <c r="BP44"/>
  <c r="BC99"/>
  <c r="BP79"/>
  <c r="BP46"/>
  <c r="BO90"/>
  <c r="BP76"/>
  <c r="BP71"/>
  <c r="BO69"/>
  <c r="S99"/>
  <c r="BP89"/>
  <c r="AF98"/>
  <c r="BO96"/>
  <c r="AV98"/>
  <c r="BG99"/>
  <c r="AR99"/>
  <c r="BP80"/>
  <c r="AJ99"/>
  <c r="U99"/>
  <c r="V98"/>
  <c r="BO94"/>
  <c r="BP38"/>
  <c r="BP96"/>
  <c r="AI99"/>
  <c r="AL99"/>
  <c r="M98"/>
  <c r="AO99"/>
  <c r="BO75"/>
  <c r="N99"/>
  <c r="BO53"/>
  <c r="AI98"/>
  <c r="R99"/>
  <c r="AE98"/>
  <c r="BE98"/>
  <c r="W98"/>
  <c r="BO73"/>
  <c r="BA99"/>
  <c r="BO49"/>
  <c r="X98"/>
  <c r="BO95"/>
  <c r="BO51"/>
  <c r="BP47"/>
  <c r="BP93"/>
  <c r="BO87"/>
  <c r="AT99"/>
  <c r="AY98"/>
  <c r="AS99"/>
  <c r="BO56"/>
  <c r="BO84"/>
  <c r="BO79"/>
  <c r="AM98"/>
  <c r="BP78"/>
  <c r="BP45"/>
  <c r="AG99"/>
  <c r="T98"/>
  <c r="Z98"/>
  <c r="AY99"/>
  <c r="BP70"/>
  <c r="BP58"/>
  <c r="P98"/>
  <c r="BO45"/>
  <c r="BN99"/>
  <c r="BO91"/>
  <c r="BH99"/>
  <c r="Q99"/>
  <c r="BO46"/>
  <c r="BP62"/>
  <c r="BP53"/>
  <c r="BJ99"/>
  <c r="AE99"/>
  <c r="BP81"/>
  <c r="L99"/>
  <c r="BH98"/>
  <c r="BP74"/>
  <c r="BO65"/>
  <c r="BP52"/>
  <c r="AN98"/>
  <c r="G98"/>
  <c r="BO70"/>
  <c r="BO85"/>
  <c r="BP66"/>
  <c r="W99"/>
  <c r="BP91"/>
  <c r="BO54"/>
  <c r="BO82"/>
  <c r="AU98"/>
  <c r="BP54"/>
  <c r="BP39"/>
  <c r="H98"/>
  <c r="L98"/>
  <c r="BO74"/>
  <c r="BE99"/>
  <c r="AX99"/>
  <c r="BO97"/>
  <c r="BP64"/>
  <c r="BL98"/>
  <c r="BO68"/>
  <c r="K98"/>
  <c r="AM99"/>
  <c r="AC98"/>
  <c r="BP40"/>
  <c r="AU99"/>
  <c r="BO38"/>
  <c r="BP43"/>
  <c r="J99"/>
  <c r="J98"/>
  <c r="U98"/>
  <c r="BO83"/>
  <c r="BO47"/>
  <c r="BP59"/>
  <c r="BP50"/>
  <c r="BB98"/>
  <c r="BP97"/>
  <c r="BO41"/>
  <c r="BP49"/>
  <c r="AD99"/>
  <c r="BO50"/>
  <c r="AP99"/>
  <c r="BO81"/>
  <c r="BP92"/>
  <c r="AN99"/>
  <c r="BJ98"/>
  <c r="R98"/>
  <c r="BO71"/>
  <c r="BO99"/>
  <c r="AR98"/>
  <c r="AA99"/>
  <c r="BK98"/>
  <c r="BO80"/>
  <c r="AK99"/>
  <c r="BO63"/>
  <c r="AP98"/>
  <c r="BO59"/>
  <c r="O98"/>
  <c r="BO62"/>
  <c r="BO42"/>
  <c r="BP56"/>
  <c r="BP88"/>
  <c r="BP82"/>
  <c r="BO43"/>
  <c r="BP94"/>
  <c r="BP72"/>
  <c r="AF99"/>
  <c r="BP51"/>
  <c r="BD99"/>
  <c r="AB97"/>
  <c r="BE97"/>
  <c r="AW97"/>
  <c r="BN50"/>
  <c r="BL97"/>
  <c r="AU97"/>
  <c r="BK97"/>
  <c r="AY97"/>
  <c r="Q97"/>
  <c r="AS97"/>
  <c r="BN39"/>
  <c r="BA97"/>
  <c r="BN77"/>
  <c r="BN63"/>
  <c r="BN61"/>
  <c r="AX97"/>
  <c r="BN67"/>
  <c r="S97"/>
  <c r="BN93"/>
  <c r="Z97"/>
  <c r="BN89"/>
  <c r="BN48"/>
  <c r="AE97"/>
  <c r="BN47"/>
  <c r="BN91"/>
  <c r="H97"/>
  <c r="BN76"/>
  <c r="U97"/>
  <c r="O97"/>
  <c r="AD97"/>
  <c r="BN49"/>
  <c r="BI97"/>
  <c r="BN41"/>
  <c r="AK97"/>
  <c r="G97"/>
  <c r="N97"/>
  <c r="BN60"/>
  <c r="AV97"/>
  <c r="BN45"/>
  <c r="BN65"/>
  <c r="X97"/>
  <c r="AG97"/>
  <c r="BN72"/>
  <c r="BC97"/>
  <c r="V97"/>
  <c r="BN46"/>
  <c r="BN96"/>
  <c r="AC97"/>
  <c r="AI97"/>
  <c r="K97"/>
  <c r="BN97"/>
  <c r="BN62"/>
  <c r="BF97"/>
  <c r="BN90"/>
  <c r="BD97"/>
  <c r="BN53"/>
  <c r="BN78"/>
  <c r="AL97"/>
  <c r="BN87"/>
  <c r="AP97"/>
  <c r="BN54"/>
  <c r="BN52"/>
  <c r="BN58"/>
  <c r="Y97"/>
  <c r="BN83"/>
  <c r="BN82"/>
  <c r="I97"/>
  <c r="BN84"/>
  <c r="BN43"/>
  <c r="BJ97"/>
  <c r="BN80"/>
  <c r="R97"/>
  <c r="AO97"/>
  <c r="AT97"/>
  <c r="AM97"/>
  <c r="AQ97"/>
  <c r="BN56"/>
  <c r="BN75"/>
  <c r="AN97"/>
  <c r="T97"/>
  <c r="BN69"/>
  <c r="BN95"/>
  <c r="BH97"/>
  <c r="BN42"/>
  <c r="BN94"/>
  <c r="BN38"/>
  <c r="BN64"/>
  <c r="AJ97"/>
  <c r="BN66"/>
  <c r="BN74"/>
  <c r="BN92"/>
  <c r="AA97"/>
  <c r="J97"/>
  <c r="BM97"/>
  <c r="BN70"/>
  <c r="BN44"/>
  <c r="BN59"/>
  <c r="AF97"/>
  <c r="M97"/>
  <c r="BN85"/>
  <c r="L97"/>
  <c r="W97"/>
  <c r="BN68"/>
  <c r="BN51"/>
  <c r="BN71"/>
  <c r="BN57"/>
  <c r="AZ97"/>
  <c r="BG97"/>
  <c r="BN55"/>
  <c r="BN40"/>
  <c r="AR97"/>
  <c r="BN73"/>
  <c r="P97"/>
  <c r="AH97"/>
  <c r="BN79"/>
  <c r="BN86"/>
  <c r="BB97"/>
  <c r="BN81"/>
  <c r="BN88"/>
  <c r="AY105" l="1"/>
  <c r="BV87"/>
  <c r="BV95"/>
  <c r="BV85"/>
  <c r="BV46"/>
  <c r="AB105"/>
  <c r="AJ105"/>
  <c r="L105"/>
  <c r="AA105"/>
  <c r="BG105"/>
  <c r="BV71"/>
  <c r="BV51"/>
  <c r="BD105"/>
  <c r="U105"/>
  <c r="BV50"/>
  <c r="BV54"/>
  <c r="BV47"/>
  <c r="AO105"/>
  <c r="T105"/>
  <c r="K105"/>
  <c r="BE105"/>
  <c r="BV68"/>
  <c r="BK105"/>
  <c r="BV56"/>
  <c r="BV81"/>
  <c r="BA105"/>
  <c r="BV53"/>
  <c r="BV60"/>
  <c r="BV84"/>
  <c r="BV73"/>
  <c r="BC105"/>
  <c r="BV42"/>
  <c r="AM105"/>
  <c r="BV45"/>
  <c r="BJ105"/>
  <c r="BH105"/>
  <c r="O105"/>
  <c r="W105"/>
  <c r="BV58"/>
  <c r="BV80"/>
  <c r="AN105"/>
  <c r="BV88"/>
  <c r="S105"/>
  <c r="BF105"/>
  <c r="BV67"/>
  <c r="BV91"/>
  <c r="BV59"/>
  <c r="BB105"/>
  <c r="Z105"/>
  <c r="BV44"/>
  <c r="J105"/>
  <c r="Y105"/>
  <c r="BP105"/>
  <c r="AG105"/>
  <c r="AI105"/>
  <c r="BV77"/>
  <c r="AL105"/>
  <c r="BV74"/>
  <c r="AH105"/>
  <c r="I105"/>
  <c r="X105"/>
  <c r="BR105"/>
  <c r="BV98"/>
  <c r="BV55"/>
  <c r="BV70"/>
  <c r="G105"/>
  <c r="BO105"/>
  <c r="BV97"/>
  <c r="N105"/>
  <c r="AZ105"/>
  <c r="BV64"/>
  <c r="BV40"/>
  <c r="BV86"/>
  <c r="BI105"/>
  <c r="AS105"/>
  <c r="BV38"/>
  <c r="BV99"/>
  <c r="AC105"/>
  <c r="BV92"/>
  <c r="BV100"/>
  <c r="AX105"/>
  <c r="Q105"/>
  <c r="BV94"/>
  <c r="AF105"/>
  <c r="BV75"/>
  <c r="BV78"/>
  <c r="BV41"/>
  <c r="P105"/>
  <c r="BV89"/>
  <c r="BV101"/>
  <c r="BV90"/>
  <c r="BV82"/>
  <c r="BN105"/>
  <c r="BV93"/>
  <c r="AW105"/>
  <c r="AQ105"/>
  <c r="AT105"/>
  <c r="M105"/>
  <c r="AE105"/>
  <c r="AD105"/>
  <c r="BV72"/>
  <c r="BV52"/>
  <c r="BV76"/>
  <c r="BV43"/>
  <c r="BM105"/>
  <c r="AK105"/>
  <c r="AR105"/>
  <c r="BV57"/>
  <c r="BQ105"/>
  <c r="BV69"/>
  <c r="BV66"/>
  <c r="BV79"/>
  <c r="BL105"/>
  <c r="AV105"/>
  <c r="BV63"/>
  <c r="BV48"/>
  <c r="AP105"/>
  <c r="V105"/>
  <c r="BV96"/>
  <c r="R105"/>
  <c r="AU105"/>
  <c r="H105"/>
  <c r="BV61"/>
  <c r="BV65"/>
  <c r="BV39"/>
  <c r="BV83"/>
  <c r="BV62"/>
  <c r="BV49"/>
  <c r="Q104"/>
  <c r="W104"/>
  <c r="AO103"/>
  <c r="BR104"/>
  <c r="BU96"/>
  <c r="BU82"/>
  <c r="BU99"/>
  <c r="BT63"/>
  <c r="AV104"/>
  <c r="BT59"/>
  <c r="AZ104"/>
  <c r="BU92"/>
  <c r="BT97"/>
  <c r="AI104"/>
  <c r="BU66"/>
  <c r="BT87"/>
  <c r="BT90"/>
  <c r="BU79"/>
  <c r="O103"/>
  <c r="BT82"/>
  <c r="AH103"/>
  <c r="BJ104"/>
  <c r="BT66"/>
  <c r="U104"/>
  <c r="BT61"/>
  <c r="K104"/>
  <c r="BU38"/>
  <c r="BA104"/>
  <c r="AQ104"/>
  <c r="BT42"/>
  <c r="BT95"/>
  <c r="BU65"/>
  <c r="BF104"/>
  <c r="BB103"/>
  <c r="BU88"/>
  <c r="H104"/>
  <c r="AD103"/>
  <c r="BU53"/>
  <c r="AM103"/>
  <c r="AK104"/>
  <c r="BD103"/>
  <c r="R103"/>
  <c r="BM104"/>
  <c r="BT47"/>
  <c r="BU51"/>
  <c r="BU80"/>
  <c r="BT93"/>
  <c r="BU61"/>
  <c r="S103"/>
  <c r="BU95"/>
  <c r="AS104"/>
  <c r="BG103"/>
  <c r="BM103"/>
  <c r="BU45"/>
  <c r="AN103"/>
  <c r="T104"/>
  <c r="BU97"/>
  <c r="J103"/>
  <c r="BE104"/>
  <c r="BT56"/>
  <c r="BT45"/>
  <c r="AJ104"/>
  <c r="BT91"/>
  <c r="AR103"/>
  <c r="AE103"/>
  <c r="BO104"/>
  <c r="Y103"/>
  <c r="AK103"/>
  <c r="BI104"/>
  <c r="BT75"/>
  <c r="BK104"/>
  <c r="BT84"/>
  <c r="BT46"/>
  <c r="BT89"/>
  <c r="AU103"/>
  <c r="AF104"/>
  <c r="X104"/>
  <c r="P104"/>
  <c r="BU63"/>
  <c r="N103"/>
  <c r="BT77"/>
  <c r="BT49"/>
  <c r="BU83"/>
  <c r="BU94"/>
  <c r="BC104"/>
  <c r="BU60"/>
  <c r="BU75"/>
  <c r="AG103"/>
  <c r="N104"/>
  <c r="AG104"/>
  <c r="BU49"/>
  <c r="G104"/>
  <c r="AX103"/>
  <c r="AJ103"/>
  <c r="BT55"/>
  <c r="BT44"/>
  <c r="BU78"/>
  <c r="BT54"/>
  <c r="BT51"/>
  <c r="BU100"/>
  <c r="AQ103"/>
  <c r="BO103"/>
  <c r="BT72"/>
  <c r="BU98"/>
  <c r="BT81"/>
  <c r="BN104"/>
  <c r="AA103"/>
  <c r="AW104"/>
  <c r="BT80"/>
  <c r="BU81"/>
  <c r="BU42"/>
  <c r="AT103"/>
  <c r="BU84"/>
  <c r="BT40"/>
  <c r="AB103"/>
  <c r="O104"/>
  <c r="T103"/>
  <c r="BT57"/>
  <c r="BT88"/>
  <c r="X103"/>
  <c r="BU58"/>
  <c r="BU62"/>
  <c r="BU73"/>
  <c r="AL104"/>
  <c r="BJ103"/>
  <c r="BU90"/>
  <c r="BU39"/>
  <c r="BT67"/>
  <c r="BL104"/>
  <c r="BU71"/>
  <c r="BT76"/>
  <c r="W103"/>
  <c r="BI103"/>
  <c r="BP104"/>
  <c r="BT74"/>
  <c r="BU77"/>
  <c r="BQ104"/>
  <c r="AE104"/>
  <c r="BU101"/>
  <c r="BH103"/>
  <c r="BT78"/>
  <c r="AU104"/>
  <c r="I103"/>
  <c r="BU91"/>
  <c r="BA103"/>
  <c r="BT62"/>
  <c r="BT101"/>
  <c r="BT73"/>
  <c r="BU72"/>
  <c r="AP104"/>
  <c r="BT96"/>
  <c r="BU67"/>
  <c r="BU46"/>
  <c r="R104"/>
  <c r="AC104"/>
  <c r="BT79"/>
  <c r="BT99"/>
  <c r="BT86"/>
  <c r="AD104"/>
  <c r="BU87"/>
  <c r="BD104"/>
  <c r="M103"/>
  <c r="BT85"/>
  <c r="AP103"/>
  <c r="AV103"/>
  <c r="BT52"/>
  <c r="BU56"/>
  <c r="BT100"/>
  <c r="J104"/>
  <c r="Z104"/>
  <c r="BF103"/>
  <c r="BT94"/>
  <c r="BT58"/>
  <c r="BU57"/>
  <c r="BT43"/>
  <c r="BU89"/>
  <c r="AI103"/>
  <c r="BU86"/>
  <c r="BK103"/>
  <c r="V104"/>
  <c r="BN103"/>
  <c r="G103"/>
  <c r="BP103"/>
  <c r="U103"/>
  <c r="AB104"/>
  <c r="AZ103"/>
  <c r="AT104"/>
  <c r="BT83"/>
  <c r="L104"/>
  <c r="BU68"/>
  <c r="BT39"/>
  <c r="BU43"/>
  <c r="BT60"/>
  <c r="M104"/>
  <c r="BQ103"/>
  <c r="BT64"/>
  <c r="P103"/>
  <c r="BT65"/>
  <c r="BT53"/>
  <c r="AL103"/>
  <c r="K103"/>
  <c r="BT41"/>
  <c r="BG104"/>
  <c r="AO104"/>
  <c r="BU70"/>
  <c r="H103"/>
  <c r="BU41"/>
  <c r="BT50"/>
  <c r="BT48"/>
  <c r="S104"/>
  <c r="V103"/>
  <c r="BT68"/>
  <c r="BU48"/>
  <c r="AC103"/>
  <c r="Y104"/>
  <c r="BU47"/>
  <c r="BU40"/>
  <c r="BT69"/>
  <c r="AR104"/>
  <c r="AH104"/>
  <c r="BU59"/>
  <c r="BT92"/>
  <c r="AA104"/>
  <c r="BU74"/>
  <c r="BT70"/>
  <c r="BL103"/>
  <c r="I104"/>
  <c r="AY104"/>
  <c r="BU64"/>
  <c r="BR103"/>
  <c r="BU54"/>
  <c r="Q103"/>
  <c r="BH104"/>
  <c r="AW103"/>
  <c r="L103"/>
  <c r="BU76"/>
  <c r="AF103"/>
  <c r="BT71"/>
  <c r="AY103"/>
  <c r="AX104"/>
  <c r="BU85"/>
  <c r="BU52"/>
  <c r="BE103"/>
  <c r="AS103"/>
  <c r="BU44"/>
  <c r="Z103"/>
  <c r="BU50"/>
  <c r="BU55"/>
  <c r="AM104"/>
  <c r="BC103"/>
  <c r="BU69"/>
  <c r="BU93"/>
  <c r="BB104"/>
  <c r="AN104"/>
  <c r="BT98"/>
  <c r="BT38"/>
  <c r="M102"/>
  <c r="AO102"/>
  <c r="BS95"/>
  <c r="AZ102"/>
  <c r="BS94"/>
  <c r="BL102"/>
  <c r="AW102"/>
  <c r="BS91"/>
  <c r="I102"/>
  <c r="V102"/>
  <c r="AA102"/>
  <c r="BK102"/>
  <c r="BI102"/>
  <c r="BS43"/>
  <c r="N102"/>
  <c r="BS40"/>
  <c r="L102"/>
  <c r="AK102"/>
  <c r="BD102"/>
  <c r="BR102"/>
  <c r="AB102"/>
  <c r="BS55"/>
  <c r="BS58"/>
  <c r="AJ102"/>
  <c r="AN102"/>
  <c r="BS97"/>
  <c r="T102"/>
  <c r="BE102"/>
  <c r="AD102"/>
  <c r="BM102"/>
  <c r="BS82"/>
  <c r="BS101"/>
  <c r="G102"/>
  <c r="BS63"/>
  <c r="BS38"/>
  <c r="BA102"/>
  <c r="BS89"/>
  <c r="BS48"/>
  <c r="BS45"/>
  <c r="BS54"/>
  <c r="O102"/>
  <c r="BS50"/>
  <c r="BS52"/>
  <c r="AM102"/>
  <c r="BS66"/>
  <c r="BH102"/>
  <c r="AP102"/>
  <c r="AV102"/>
  <c r="BS67"/>
  <c r="AX102"/>
  <c r="BS80"/>
  <c r="AL102"/>
  <c r="BS84"/>
  <c r="BS87"/>
  <c r="BS60"/>
  <c r="BS76"/>
  <c r="BC102"/>
  <c r="BS85"/>
  <c r="BS88"/>
  <c r="BS61"/>
  <c r="BO102"/>
  <c r="BN102"/>
  <c r="BS49"/>
  <c r="BF102"/>
  <c r="BP102"/>
  <c r="J102"/>
  <c r="BS79"/>
  <c r="X102"/>
  <c r="BB102"/>
  <c r="AF102"/>
  <c r="BS51"/>
  <c r="BS69"/>
  <c r="AS102"/>
  <c r="BS71"/>
  <c r="W102"/>
  <c r="BS81"/>
  <c r="AR102"/>
  <c r="BS83"/>
  <c r="BS99"/>
  <c r="BS59"/>
  <c r="BS93"/>
  <c r="BS64"/>
  <c r="BS42"/>
  <c r="BS90"/>
  <c r="P102"/>
  <c r="BS78"/>
  <c r="BG102"/>
  <c r="BS65"/>
  <c r="BS68"/>
  <c r="BS62"/>
  <c r="AT102"/>
  <c r="AQ102"/>
  <c r="Y102"/>
  <c r="AU102"/>
  <c r="BS86"/>
  <c r="S102"/>
  <c r="BS100"/>
  <c r="BS72"/>
  <c r="AY102"/>
  <c r="BS75"/>
  <c r="H102"/>
  <c r="BQ102"/>
  <c r="BS98"/>
  <c r="BS44"/>
  <c r="Z102"/>
  <c r="R102"/>
  <c r="AI102"/>
  <c r="BS57"/>
  <c r="BS56"/>
  <c r="BS70"/>
  <c r="AH102"/>
  <c r="K102"/>
  <c r="BS74"/>
  <c r="BS53"/>
  <c r="BS77"/>
  <c r="BS96"/>
  <c r="AG102"/>
  <c r="AE102"/>
  <c r="U102"/>
  <c r="BS47"/>
  <c r="AC102"/>
  <c r="BS92"/>
  <c r="Q102"/>
  <c r="BS46"/>
  <c r="BS73"/>
  <c r="BS41"/>
  <c r="BJ102"/>
  <c r="BS39"/>
  <c r="BT105" l="1"/>
  <c r="BS105"/>
  <c r="BU105"/>
  <c r="BV103"/>
  <c r="BV105"/>
  <c r="BV104"/>
  <c r="BV102"/>
  <c r="BU103"/>
  <c r="BU104"/>
  <c r="BT104"/>
  <c r="BS104"/>
  <c r="BU102"/>
  <c r="A13" i="14" l="1"/>
  <c r="H13" s="1"/>
  <c r="E80" i="223"/>
  <c r="I188" i="237"/>
  <c r="P4" i="14"/>
  <c r="F189" i="237"/>
  <c r="N80" i="223"/>
  <c r="J79" i="237"/>
  <c r="B189"/>
  <c r="B187" i="223"/>
  <c r="BU8" i="18"/>
  <c r="Q5" i="14"/>
  <c r="I80" i="237"/>
  <c r="I63"/>
  <c r="M5" i="14"/>
  <c r="C79" i="237"/>
  <c r="E54" i="223"/>
  <c r="Q7" i="14"/>
  <c r="BV10" i="18"/>
  <c r="M189" i="223"/>
  <c r="C80" i="237"/>
  <c r="J189"/>
  <c r="G188"/>
  <c r="BU12" i="18"/>
  <c r="BT20"/>
  <c r="V28" i="1"/>
  <c r="D54" i="223"/>
  <c r="N7" i="14"/>
  <c r="J63" i="237"/>
  <c r="F79"/>
  <c r="O28" i="1"/>
  <c r="N187" i="223"/>
  <c r="C188" i="237"/>
  <c r="BS11" i="18"/>
  <c r="BT14"/>
  <c r="BU22"/>
  <c r="BT6"/>
  <c r="K54" i="223"/>
  <c r="D188"/>
  <c r="BU11" i="18"/>
  <c r="E187" i="237"/>
  <c r="BS19" i="18"/>
  <c r="C187" i="237"/>
  <c r="BU13" i="18"/>
  <c r="X28" i="1"/>
  <c r="BT15" i="18"/>
  <c r="BV12"/>
  <c r="Z28" i="1"/>
  <c r="N4" i="14"/>
  <c r="I189" i="237"/>
  <c r="H189"/>
  <c r="H79"/>
  <c r="B80"/>
  <c r="H80"/>
  <c r="F79" i="223"/>
  <c r="BV19" i="18"/>
  <c r="BV11"/>
  <c r="F54" i="223"/>
  <c r="I187"/>
  <c r="D189"/>
  <c r="F189"/>
  <c r="N80" i="237"/>
  <c r="L63"/>
  <c r="BV17" i="18"/>
  <c r="L4" i="14"/>
  <c r="J54" i="223"/>
  <c r="BS21" i="18"/>
  <c r="G80" i="223"/>
  <c r="D63" i="237"/>
  <c r="BU7" i="18"/>
  <c r="J189" i="223"/>
  <c r="BT2" i="18"/>
  <c r="C63" i="237"/>
  <c r="C188" i="223"/>
  <c r="L188" i="237"/>
  <c r="F63"/>
  <c r="E189"/>
  <c r="C187" i="223"/>
  <c r="BS4" i="18"/>
  <c r="E188" i="223"/>
  <c r="BU5" i="18"/>
  <c r="D188" i="237"/>
  <c r="K80" i="223"/>
  <c r="H187"/>
  <c r="K79"/>
  <c r="G187" i="237"/>
  <c r="E79"/>
  <c r="M28" i="1"/>
  <c r="H54" i="223"/>
  <c r="BT3" i="18"/>
  <c r="B187" i="237"/>
  <c r="BV2" i="18"/>
  <c r="M79" i="223"/>
  <c r="E188" i="237"/>
  <c r="L54" i="223"/>
  <c r="BU17" i="18"/>
  <c r="L189" i="237"/>
  <c r="BS14" i="18"/>
  <c r="G79" i="237"/>
  <c r="BT12" i="18"/>
  <c r="M4" i="14"/>
  <c r="BS17" i="18"/>
  <c r="BV18"/>
  <c r="BT10"/>
  <c r="D80" i="237"/>
  <c r="M187"/>
  <c r="H189" i="223"/>
  <c r="B63" i="237"/>
  <c r="BV6" i="18"/>
  <c r="K7" i="14"/>
  <c r="C80" i="223"/>
  <c r="J80"/>
  <c r="BV9" i="18"/>
  <c r="W28" i="1"/>
  <c r="M80" i="223"/>
  <c r="BS8" i="18"/>
  <c r="BS7"/>
  <c r="I80" i="223"/>
  <c r="T28" i="1"/>
  <c r="L187" i="237"/>
  <c r="M189"/>
  <c r="E189" i="223"/>
  <c r="K188"/>
  <c r="I79" i="237"/>
  <c r="G63"/>
  <c r="L28" i="1"/>
  <c r="BS22" i="18"/>
  <c r="K189" i="237"/>
  <c r="BU16" i="18"/>
  <c r="G80" i="237"/>
  <c r="B188" i="223"/>
  <c r="B188" i="237"/>
  <c r="BU9" i="18"/>
  <c r="N188" i="223"/>
  <c r="BU19" i="18"/>
  <c r="R5" i="14"/>
  <c r="G187" i="223"/>
  <c r="L80"/>
  <c r="M187"/>
  <c r="BT21" i="18"/>
  <c r="B54" i="223"/>
  <c r="BS9" i="18"/>
  <c r="R7" i="14"/>
  <c r="O5"/>
  <c r="J79" i="223"/>
  <c r="BT8" i="18"/>
  <c r="K188" i="237"/>
  <c r="L187" i="223"/>
  <c r="BS3" i="18"/>
  <c r="C189" i="237"/>
  <c r="U28" i="1"/>
  <c r="D79" i="223"/>
  <c r="BT13" i="18"/>
  <c r="BU4"/>
  <c r="BU14"/>
  <c r="M63" i="237"/>
  <c r="BV8" i="18"/>
  <c r="F80" i="237"/>
  <c r="F188" i="223"/>
  <c r="M188"/>
  <c r="I54"/>
  <c r="BS18" i="18"/>
  <c r="BS13"/>
  <c r="D187" i="237"/>
  <c r="H79" i="223"/>
  <c r="BU10" i="18"/>
  <c r="BV20"/>
  <c r="M7" i="14"/>
  <c r="F187" i="237"/>
  <c r="BU18" i="18"/>
  <c r="K28" i="1"/>
  <c r="N79" i="237"/>
  <c r="O4" i="14"/>
  <c r="BV4" i="18"/>
  <c r="N63" i="237"/>
  <c r="N187"/>
  <c r="J188"/>
  <c r="N79" i="223"/>
  <c r="N28" i="1"/>
  <c r="BT16" i="18"/>
  <c r="BV7"/>
  <c r="I188" i="223"/>
  <c r="BU2" i="18"/>
  <c r="BV16"/>
  <c r="H187" i="237"/>
  <c r="G79" i="223"/>
  <c r="BS10" i="18"/>
  <c r="K187" i="223"/>
  <c r="L79"/>
  <c r="C20" i="14"/>
  <c r="AA28" i="1"/>
  <c r="G188" i="223"/>
  <c r="I189"/>
  <c r="P28" i="1"/>
  <c r="B79" i="223"/>
  <c r="C79"/>
  <c r="F188" i="237"/>
  <c r="BT17" i="18"/>
  <c r="H63" i="237"/>
  <c r="N189" i="223"/>
  <c r="F187"/>
  <c r="C54"/>
  <c r="BV5" i="18"/>
  <c r="D187" i="223"/>
  <c r="BV21" i="18"/>
  <c r="Y28" i="1"/>
  <c r="L79" i="237"/>
  <c r="BU15" i="18"/>
  <c r="M54" i="223"/>
  <c r="N54"/>
  <c r="E80" i="237"/>
  <c r="D80" i="223"/>
  <c r="BU20" i="18"/>
  <c r="I187" i="237"/>
  <c r="R4" i="14"/>
  <c r="N189" i="237"/>
  <c r="Q4" i="14"/>
  <c r="B79" i="237"/>
  <c r="BV13" i="18"/>
  <c r="E63" i="237"/>
  <c r="H188"/>
  <c r="BT5" i="18"/>
  <c r="BU6"/>
  <c r="K63" i="237"/>
  <c r="H80" i="223"/>
  <c r="Q28" i="1"/>
  <c r="S28"/>
  <c r="N5" i="14"/>
  <c r="BT9" i="18"/>
  <c r="E79" i="223"/>
  <c r="BT7" i="18"/>
  <c r="G189" i="223"/>
  <c r="L5" i="14"/>
  <c r="L189" i="223"/>
  <c r="J188"/>
  <c r="L188"/>
  <c r="BU21" i="18"/>
  <c r="BV15"/>
  <c r="K189" i="223"/>
  <c r="BV14" i="18"/>
  <c r="BS15"/>
  <c r="N188" i="237"/>
  <c r="BU3" i="18"/>
  <c r="D189" i="237"/>
  <c r="P7" i="14"/>
  <c r="L7"/>
  <c r="BV22" i="18"/>
  <c r="K5" i="14"/>
  <c r="G189" i="237"/>
  <c r="K187"/>
  <c r="B80" i="223"/>
  <c r="C19" i="14"/>
  <c r="C11"/>
  <c r="C12"/>
  <c r="C8"/>
  <c r="C23"/>
  <c r="C13"/>
  <c r="BT11" i="18"/>
  <c r="BS16"/>
  <c r="C14" i="14"/>
  <c r="C10"/>
  <c r="C17"/>
  <c r="M80" i="237"/>
  <c r="K79"/>
  <c r="J187"/>
  <c r="J187" i="223"/>
  <c r="L80" i="237"/>
  <c r="C29" i="1"/>
  <c r="C16" i="14"/>
  <c r="BT19" i="18"/>
  <c r="M188" i="237"/>
  <c r="BS12" i="18"/>
  <c r="BV3"/>
  <c r="K80" i="237"/>
  <c r="BS2" i="18"/>
  <c r="C189" i="223"/>
  <c r="R28" i="1"/>
  <c r="C18" i="14" s="1"/>
  <c r="BS20" i="18"/>
  <c r="P5" i="14"/>
  <c r="J80" i="237"/>
  <c r="BS5" i="18"/>
  <c r="B189" i="223"/>
  <c r="E187"/>
  <c r="BT22" i="18"/>
  <c r="F80" i="223"/>
  <c r="BT4" i="18"/>
  <c r="G54" i="223"/>
  <c r="BM34" i="18"/>
  <c r="C21" i="14"/>
  <c r="K4"/>
  <c r="H188" i="223"/>
  <c r="M79" i="237"/>
  <c r="O7" i="14"/>
  <c r="C22"/>
  <c r="AB28" i="1"/>
  <c r="C25" i="14" s="1"/>
  <c r="BS6" i="18"/>
  <c r="D79" i="237"/>
  <c r="I79" i="223"/>
  <c r="BT18" i="18"/>
  <c r="C24" i="14"/>
  <c r="C15"/>
  <c r="C9"/>
  <c r="J4" l="1"/>
  <c r="I4"/>
  <c r="O189" i="223"/>
  <c r="BV25" i="18"/>
  <c r="O80" i="223"/>
  <c r="I5" i="14"/>
  <c r="J5"/>
  <c r="BU25" i="18"/>
  <c r="O79" i="237"/>
  <c r="O79" i="223"/>
  <c r="BS25" i="18"/>
  <c r="O54" i="223"/>
  <c r="O188" i="237"/>
  <c r="O188" i="223"/>
  <c r="I7" i="14"/>
  <c r="J7"/>
  <c r="O63" i="237"/>
  <c r="O187"/>
  <c r="BT25" i="18"/>
  <c r="O80" i="237"/>
  <c r="O187" i="223"/>
  <c r="O189" i="237"/>
  <c r="A22" i="14"/>
  <c r="M6"/>
  <c r="T6"/>
  <c r="R6"/>
  <c r="U6"/>
  <c r="W6"/>
  <c r="N6"/>
  <c r="P6"/>
  <c r="O6"/>
  <c r="Q6"/>
  <c r="S6"/>
  <c r="V6"/>
  <c r="L6"/>
  <c r="H22" l="1"/>
  <c r="C62" i="223"/>
  <c r="I150" i="237"/>
  <c r="E74" i="223"/>
  <c r="D168" i="237"/>
  <c r="I171" i="223"/>
  <c r="P11" i="18"/>
  <c r="D130" i="237"/>
  <c r="K62" i="223"/>
  <c r="B53" i="237"/>
  <c r="B149"/>
  <c r="H182"/>
  <c r="L154" i="223"/>
  <c r="N61"/>
  <c r="BL34" i="18"/>
  <c r="B121" i="237"/>
  <c r="M160"/>
  <c r="J123" i="223"/>
  <c r="J117"/>
  <c r="AI19" i="18"/>
  <c r="B46" i="223"/>
  <c r="H101"/>
  <c r="I20" i="15"/>
  <c r="G33" i="223"/>
  <c r="E161"/>
  <c r="AR8" i="18"/>
  <c r="H75" i="237"/>
  <c r="N92"/>
  <c r="I146"/>
  <c r="F83" i="223"/>
  <c r="M94" i="237"/>
  <c r="AM19" i="18"/>
  <c r="B147" i="237"/>
  <c r="D84"/>
  <c r="K27"/>
  <c r="K45"/>
  <c r="H61"/>
  <c r="M26" i="15"/>
  <c r="AU6" i="18"/>
  <c r="G119" i="237"/>
  <c r="C166" i="223"/>
  <c r="H5" i="18"/>
  <c r="L15"/>
  <c r="E29" i="223"/>
  <c r="F60" i="237"/>
  <c r="E166" i="223"/>
  <c r="H53" i="237"/>
  <c r="H167" i="223"/>
  <c r="D153"/>
  <c r="AM11" i="18"/>
  <c r="W5"/>
  <c r="H67" i="223"/>
  <c r="AH16" i="18"/>
  <c r="J140" i="237"/>
  <c r="M164" i="223"/>
  <c r="L182"/>
  <c r="I21" i="237"/>
  <c r="N182" i="223"/>
  <c r="B46" i="237"/>
  <c r="H43" i="223"/>
  <c r="L160" i="237"/>
  <c r="C136" i="223"/>
  <c r="AU11" i="18"/>
  <c r="H116" i="237"/>
  <c r="M32"/>
  <c r="C134" i="223"/>
  <c r="C30" i="237"/>
  <c r="B94"/>
  <c r="K89" i="223"/>
  <c r="B185" i="237"/>
  <c r="P22" i="18"/>
  <c r="K103" i="223"/>
  <c r="J179"/>
  <c r="H147" i="237"/>
  <c r="H87" i="223"/>
  <c r="K180"/>
  <c r="I122"/>
  <c r="F22" i="1"/>
  <c r="V16" i="18"/>
  <c r="AN14"/>
  <c r="K33" i="223"/>
  <c r="H92" i="237"/>
  <c r="J115" i="223"/>
  <c r="T8" i="18"/>
  <c r="D24" i="237"/>
  <c r="J161"/>
  <c r="E179" i="223"/>
  <c r="AA12" i="18"/>
  <c r="BF19"/>
  <c r="K8"/>
  <c r="S9"/>
  <c r="I86" i="237"/>
  <c r="R31" i="15"/>
  <c r="B24" i="14"/>
  <c r="G180" i="237"/>
  <c r="J7" i="18"/>
  <c r="E137" i="223"/>
  <c r="AV20" i="18"/>
  <c r="K130" i="223"/>
  <c r="L120"/>
  <c r="H132"/>
  <c r="AG12" i="18"/>
  <c r="K94" i="223"/>
  <c r="AK8" i="18"/>
  <c r="M56" i="223"/>
  <c r="AU4" i="18"/>
  <c r="D94" i="237"/>
  <c r="E123" i="223"/>
  <c r="U17" i="18"/>
  <c r="E145" i="237"/>
  <c r="K152"/>
  <c r="J24"/>
  <c r="BG9" i="18"/>
  <c r="I138" i="223"/>
  <c r="H155" i="237"/>
  <c r="H12" i="18"/>
  <c r="H29" i="237"/>
  <c r="L150" i="223"/>
  <c r="C46"/>
  <c r="J181" i="237"/>
  <c r="AT22" i="18"/>
  <c r="L20" i="15"/>
  <c r="E56" i="223"/>
  <c r="I85" i="237"/>
  <c r="G44" i="223"/>
  <c r="E43" i="237"/>
  <c r="G90" i="223"/>
  <c r="L25" i="237"/>
  <c r="J126"/>
  <c r="J163"/>
  <c r="BL8" i="18"/>
  <c r="AX10"/>
  <c r="C135" i="237"/>
  <c r="I23"/>
  <c r="E169"/>
  <c r="F173" i="223"/>
  <c r="B77"/>
  <c r="C73"/>
  <c r="E183" i="237"/>
  <c r="G131"/>
  <c r="J171"/>
  <c r="C22"/>
  <c r="U12" i="18"/>
  <c r="N115" i="223"/>
  <c r="C39"/>
  <c r="J125"/>
  <c r="K19" i="15"/>
  <c r="BG16" i="18"/>
  <c r="AW17"/>
  <c r="F62" i="237"/>
  <c r="H41" i="223"/>
  <c r="L145"/>
  <c r="B163" i="237"/>
  <c r="B75"/>
  <c r="D135" i="223"/>
  <c r="F160"/>
  <c r="U20" i="18"/>
  <c r="BC20"/>
  <c r="K141" i="237"/>
  <c r="AM10" i="18"/>
  <c r="F127" i="223"/>
  <c r="AP18" i="18"/>
  <c r="BR12"/>
  <c r="AB21" i="15"/>
  <c r="H61" i="223"/>
  <c r="G74" i="237"/>
  <c r="L91" i="223"/>
  <c r="AU18" i="18"/>
  <c r="M145" i="237"/>
  <c r="G13" i="18"/>
  <c r="G100" i="223"/>
  <c r="AT21" i="18"/>
  <c r="BI12"/>
  <c r="G125" i="237"/>
  <c r="H58"/>
  <c r="R16" i="18"/>
  <c r="M20" i="237"/>
  <c r="B108" i="18"/>
  <c r="L32" i="237"/>
  <c r="M59"/>
  <c r="C182" i="223"/>
  <c r="D121" i="237"/>
  <c r="G37" i="223"/>
  <c r="H21" i="15"/>
  <c r="K172" i="223"/>
  <c r="B72"/>
  <c r="M126" i="237"/>
  <c r="J70" i="223"/>
  <c r="AC14" i="18"/>
  <c r="E38" i="223"/>
  <c r="C130"/>
  <c r="M43" i="237"/>
  <c r="G93" i="223"/>
  <c r="AZ9" i="18"/>
  <c r="I184" i="223"/>
  <c r="G93" i="237"/>
  <c r="N120" i="223"/>
  <c r="Z23" i="15"/>
  <c r="BN22" i="18"/>
  <c r="D75" i="237"/>
  <c r="AO3" i="18"/>
  <c r="BR5"/>
  <c r="L73" i="237"/>
  <c r="AQ19" i="18"/>
  <c r="N125" i="223"/>
  <c r="M78" i="237"/>
  <c r="AR15" i="18"/>
  <c r="J21" i="15"/>
  <c r="D40" i="237"/>
  <c r="G185"/>
  <c r="H134" i="223"/>
  <c r="AJ17" i="18"/>
  <c r="AW14"/>
  <c r="I26" i="223"/>
  <c r="N20" i="15"/>
  <c r="N22" i="223"/>
  <c r="K86" i="237"/>
  <c r="L45" i="223"/>
  <c r="AS15" i="18"/>
  <c r="X28" i="15"/>
  <c r="D154" i="237"/>
  <c r="D166" i="223"/>
  <c r="Z5" i="18"/>
  <c r="AD6"/>
  <c r="B17" i="14"/>
  <c r="B181" i="223"/>
  <c r="BB4" i="18"/>
  <c r="BD11"/>
  <c r="H93" i="223"/>
  <c r="S23" i="15"/>
  <c r="C161" i="223"/>
  <c r="R26" i="15"/>
  <c r="J120" i="237"/>
  <c r="R21" i="15"/>
  <c r="E156" i="223"/>
  <c r="L22" i="18"/>
  <c r="C56" i="237"/>
  <c r="D21"/>
  <c r="J5" i="18"/>
  <c r="K25" i="15"/>
  <c r="N185" i="223"/>
  <c r="AP13" i="18"/>
  <c r="I86" i="223"/>
  <c r="F18" i="1"/>
  <c r="K25" i="237"/>
  <c r="F121"/>
  <c r="BO14" i="18"/>
  <c r="B132" i="237"/>
  <c r="F72" i="223"/>
  <c r="AZ5" i="18"/>
  <c r="N154" i="223"/>
  <c r="K69" i="237"/>
  <c r="D102"/>
  <c r="S13" i="18"/>
  <c r="L170" i="223"/>
  <c r="D154"/>
  <c r="BQ3" i="18"/>
  <c r="H30" i="237"/>
  <c r="F20" i="1"/>
  <c r="B135" i="223"/>
  <c r="H46" i="237"/>
  <c r="G103" i="223"/>
  <c r="N115" i="237"/>
  <c r="M131"/>
  <c r="BD16" i="18"/>
  <c r="C86" i="223"/>
  <c r="G71"/>
  <c r="K25"/>
  <c r="G32"/>
  <c r="K137" i="237"/>
  <c r="P12" i="18"/>
  <c r="N25" i="237"/>
  <c r="I185" i="223"/>
  <c r="G42" i="237"/>
  <c r="B98" i="18"/>
  <c r="M171" i="237"/>
  <c r="AW6" i="18"/>
  <c r="D26" i="223"/>
  <c r="F75"/>
  <c r="BC4" i="18"/>
  <c r="BF15"/>
  <c r="J4"/>
  <c r="B151" i="237"/>
  <c r="BH13" i="18"/>
  <c r="W12"/>
  <c r="L22" i="15"/>
  <c r="R20"/>
  <c r="D69" i="223"/>
  <c r="M92"/>
  <c r="AD8" i="18"/>
  <c r="C121" i="223"/>
  <c r="L172" i="237"/>
  <c r="G121"/>
  <c r="G71"/>
  <c r="T23" i="15"/>
  <c r="J102" i="237"/>
  <c r="M122"/>
  <c r="C61" i="223"/>
  <c r="C55"/>
  <c r="E27" i="237"/>
  <c r="J150"/>
  <c r="F84"/>
  <c r="E27" i="223"/>
  <c r="K145"/>
  <c r="G10" i="18"/>
  <c r="AP6"/>
  <c r="AA14"/>
  <c r="BN14"/>
  <c r="L21" i="15"/>
  <c r="J180" i="223"/>
  <c r="X9" i="18"/>
  <c r="BQ2"/>
  <c r="E140" i="237"/>
  <c r="AA6" i="18"/>
  <c r="G170" i="237"/>
  <c r="N126"/>
  <c r="I28"/>
  <c r="M133"/>
  <c r="D20" i="223"/>
  <c r="D167" i="237"/>
  <c r="M62" i="223"/>
  <c r="K170" i="237"/>
  <c r="AE21" i="18"/>
  <c r="Z14"/>
  <c r="I60" i="237"/>
  <c r="J135"/>
  <c r="AY15" i="18"/>
  <c r="G58" i="223"/>
  <c r="AP34" i="18"/>
  <c r="I100" i="223"/>
  <c r="J161"/>
  <c r="R29" i="15"/>
  <c r="AF16" i="18"/>
  <c r="H91" i="223"/>
  <c r="AO17" i="18"/>
  <c r="E69" i="237"/>
  <c r="C85"/>
  <c r="K124" i="223"/>
  <c r="M173"/>
  <c r="C186" i="237"/>
  <c r="F124" i="223"/>
  <c r="N84"/>
  <c r="M72" i="237"/>
  <c r="B70"/>
  <c r="L59"/>
  <c r="I121"/>
  <c r="B22"/>
  <c r="I29"/>
  <c r="N70" i="223"/>
  <c r="BE4" i="18"/>
  <c r="I182" i="223"/>
  <c r="G147" i="237"/>
  <c r="M26"/>
  <c r="G88"/>
  <c r="K84"/>
  <c r="I116" i="223"/>
  <c r="AW22" i="18"/>
  <c r="R28" i="15"/>
  <c r="B163" i="223"/>
  <c r="C183" i="237"/>
  <c r="G57"/>
  <c r="K145"/>
  <c r="AC12" i="18"/>
  <c r="E138" i="237"/>
  <c r="AV15" i="18"/>
  <c r="Q12"/>
  <c r="M94" i="223"/>
  <c r="N27"/>
  <c r="BL6" i="18"/>
  <c r="BC13"/>
  <c r="B154" i="223"/>
  <c r="AE11" i="18"/>
  <c r="B61" i="223"/>
  <c r="P5" i="18"/>
  <c r="D156" i="223"/>
  <c r="L92"/>
  <c r="N83"/>
  <c r="AL4" i="18"/>
  <c r="M88" i="237"/>
  <c r="Z17" i="18"/>
  <c r="AZ3"/>
  <c r="H23" i="223"/>
  <c r="H32" i="237"/>
  <c r="J17" i="18"/>
  <c r="BL22"/>
  <c r="W17"/>
  <c r="W18"/>
  <c r="E156" i="237"/>
  <c r="G21" i="18"/>
  <c r="M118" i="237"/>
  <c r="B24"/>
  <c r="Z24" i="15"/>
  <c r="M125" i="223"/>
  <c r="N163"/>
  <c r="C95"/>
  <c r="E180"/>
  <c r="N117"/>
  <c r="Y13" i="18"/>
  <c r="Y11"/>
  <c r="BO4"/>
  <c r="D179" i="237"/>
  <c r="N41"/>
  <c r="BQ15" i="18"/>
  <c r="N19"/>
  <c r="D115" i="223"/>
  <c r="AE2" i="18"/>
  <c r="L115" i="223"/>
  <c r="W19" i="18"/>
  <c r="C118" i="237"/>
  <c r="B33" i="223"/>
  <c r="Z31" i="15"/>
  <c r="E179" i="237"/>
  <c r="E149"/>
  <c r="I73"/>
  <c r="AF10" i="18"/>
  <c r="E172" i="237"/>
  <c r="BC16" i="18"/>
  <c r="BK17"/>
  <c r="K72" i="237"/>
  <c r="Q20" i="15"/>
  <c r="I124" i="237"/>
  <c r="H26" i="15"/>
  <c r="G127" i="237"/>
  <c r="C165"/>
  <c r="K73" i="223"/>
  <c r="J9" i="18"/>
  <c r="B170" i="237"/>
  <c r="H163"/>
  <c r="F94"/>
  <c r="G91" i="223"/>
  <c r="B95"/>
  <c r="P17" i="18"/>
  <c r="C126" i="223"/>
  <c r="F185"/>
  <c r="J165"/>
  <c r="K32"/>
  <c r="AK9" i="18"/>
  <c r="N162" i="223"/>
  <c r="C55" i="237"/>
  <c r="O18" i="18"/>
  <c r="BM20"/>
  <c r="J28" i="223"/>
  <c r="I21" i="1"/>
  <c r="N124" i="223"/>
  <c r="Q19" i="15"/>
  <c r="K131" i="237"/>
  <c r="I21" i="223"/>
  <c r="E173"/>
  <c r="AY19" i="18"/>
  <c r="Q25" i="15"/>
  <c r="L125" i="223"/>
  <c r="B29" i="185"/>
  <c r="M63" i="223"/>
  <c r="I16" i="1"/>
  <c r="E55" i="237"/>
  <c r="AV13" i="18"/>
  <c r="AY18"/>
  <c r="J138" i="223"/>
  <c r="D170"/>
  <c r="D73" i="237"/>
  <c r="F169" i="223"/>
  <c r="C116" i="237"/>
  <c r="V15" i="18"/>
  <c r="N154" i="237"/>
  <c r="AK22" i="18"/>
  <c r="C68" i="223"/>
  <c r="F57" i="237"/>
  <c r="M53"/>
  <c r="B28"/>
  <c r="O5" i="18"/>
  <c r="AJ10"/>
  <c r="G152" i="223"/>
  <c r="I20" i="1"/>
  <c r="BF10" i="18"/>
  <c r="AG7"/>
  <c r="I117" i="237"/>
  <c r="K38"/>
  <c r="C124"/>
  <c r="N90"/>
  <c r="BN11" i="18"/>
  <c r="BB21"/>
  <c r="F115" i="223"/>
  <c r="C88" i="237"/>
  <c r="E68"/>
  <c r="E59"/>
  <c r="K43"/>
  <c r="B154"/>
  <c r="Q10" i="18"/>
  <c r="BB22"/>
  <c r="L57" i="223"/>
  <c r="W25" i="15"/>
  <c r="D30" i="237"/>
  <c r="D180"/>
  <c r="G117" i="223"/>
  <c r="AT12" i="18"/>
  <c r="M53" i="223"/>
  <c r="BB8" i="18"/>
  <c r="R9"/>
  <c r="L38" i="223"/>
  <c r="AL7" i="18"/>
  <c r="AK13"/>
  <c r="BA9"/>
  <c r="H117" i="237"/>
  <c r="E103"/>
  <c r="B87" i="223"/>
  <c r="H150" i="237"/>
  <c r="F41"/>
  <c r="H89"/>
  <c r="F102"/>
  <c r="I151"/>
  <c r="B57"/>
  <c r="AZ13" i="18"/>
  <c r="N68" i="223"/>
  <c r="J37"/>
  <c r="BD22" i="18"/>
  <c r="N45" i="223"/>
  <c r="L43" i="237"/>
  <c r="B92" i="223"/>
  <c r="D180"/>
  <c r="J71" i="237"/>
  <c r="BI7" i="18"/>
  <c r="D61" i="237"/>
  <c r="K20" i="15"/>
  <c r="M39" i="223"/>
  <c r="L45" i="237"/>
  <c r="AQ16" i="18"/>
  <c r="M20" i="223"/>
  <c r="B172"/>
  <c r="Y26" i="15"/>
  <c r="U6" i="18"/>
  <c r="X15"/>
  <c r="AJ12"/>
  <c r="E150" i="237"/>
  <c r="AT6" i="18"/>
  <c r="H127" i="223"/>
  <c r="D37" i="237"/>
  <c r="J42" i="223"/>
  <c r="P9" i="18"/>
  <c r="Q11"/>
  <c r="I168" i="223"/>
  <c r="AD13" i="18"/>
  <c r="N135" i="223"/>
  <c r="L69"/>
  <c r="C139"/>
  <c r="J58"/>
  <c r="K181" i="237"/>
  <c r="G55"/>
  <c r="D167" i="223"/>
  <c r="J119"/>
  <c r="BG5" i="18"/>
  <c r="G20"/>
  <c r="G89" i="223"/>
  <c r="B171"/>
  <c r="H179" i="237"/>
  <c r="AP9" i="18"/>
  <c r="BL4"/>
  <c r="V5"/>
  <c r="AS34"/>
  <c r="V20" i="15"/>
  <c r="C131" i="237"/>
  <c r="J136" i="223"/>
  <c r="H168"/>
  <c r="K20"/>
  <c r="H62" i="237"/>
  <c r="S19" i="15"/>
  <c r="N33" i="223"/>
  <c r="E171"/>
  <c r="S22" i="18"/>
  <c r="V25" i="15"/>
  <c r="V11" i="18"/>
  <c r="H182" i="223"/>
  <c r="R3" i="18"/>
  <c r="G119" i="223"/>
  <c r="BR19" i="18"/>
  <c r="E53" i="223"/>
  <c r="F179"/>
  <c r="BH17" i="18"/>
  <c r="F63" i="223"/>
  <c r="J134" i="237"/>
  <c r="BG7" i="18"/>
  <c r="D171" i="237"/>
  <c r="E93"/>
  <c r="F26" i="223"/>
  <c r="N62" i="237"/>
  <c r="U10" i="18"/>
  <c r="I31" i="15"/>
  <c r="M38" i="237"/>
  <c r="AU20" i="18"/>
  <c r="F83" i="237"/>
  <c r="K184" i="223"/>
  <c r="BP15" i="18"/>
  <c r="C140" i="223"/>
  <c r="K24"/>
  <c r="N25" i="15"/>
  <c r="C76" i="223"/>
  <c r="V6" i="18"/>
  <c r="F127" i="237"/>
  <c r="C138"/>
  <c r="M179" i="223"/>
  <c r="AR12" i="18"/>
  <c r="B120" i="223"/>
  <c r="C102" i="18"/>
  <c r="M154" i="237"/>
  <c r="Z21" i="18"/>
  <c r="M46" i="237"/>
  <c r="C145"/>
  <c r="I131" i="223"/>
  <c r="S6" i="18"/>
  <c r="I43" i="237"/>
  <c r="M41"/>
  <c r="BC8" i="18"/>
  <c r="I40" i="223"/>
  <c r="J151"/>
  <c r="C104" i="18"/>
  <c r="AQ3"/>
  <c r="M150" i="223"/>
  <c r="AA22" i="15"/>
  <c r="Q8" i="18"/>
  <c r="G23" i="237"/>
  <c r="L29" i="223"/>
  <c r="AJ6" i="18"/>
  <c r="I25" i="15"/>
  <c r="U25"/>
  <c r="D145" i="223"/>
  <c r="E141" i="237"/>
  <c r="B136"/>
  <c r="N24"/>
  <c r="D127" i="223"/>
  <c r="E167"/>
  <c r="C170"/>
  <c r="AW18" i="18"/>
  <c r="C60" i="237"/>
  <c r="V3" i="18"/>
  <c r="Z10"/>
  <c r="F149" i="237"/>
  <c r="J152"/>
  <c r="AO13" i="18"/>
  <c r="E78" i="237"/>
  <c r="AG5" i="18"/>
  <c r="K123" i="237"/>
  <c r="J146" i="223"/>
  <c r="C58"/>
  <c r="H145"/>
  <c r="G171"/>
  <c r="K21"/>
  <c r="N8" i="18"/>
  <c r="E145" i="223"/>
  <c r="AC22" i="18"/>
  <c r="F141" i="237"/>
  <c r="AY34" i="18"/>
  <c r="G38" i="223"/>
  <c r="I30"/>
  <c r="B41" i="237"/>
  <c r="F61"/>
  <c r="H42" i="223"/>
  <c r="N21" i="15"/>
  <c r="H153" i="223"/>
  <c r="K135" i="237"/>
  <c r="J91"/>
  <c r="M122" i="223"/>
  <c r="G22" i="18"/>
  <c r="D146" i="223"/>
  <c r="D71" i="237"/>
  <c r="B118" i="223"/>
  <c r="N146" i="237"/>
  <c r="C171"/>
  <c r="I39"/>
  <c r="BH34" i="18"/>
  <c r="B166" i="223"/>
  <c r="E41"/>
  <c r="AA23" i="15"/>
  <c r="T2" i="1"/>
  <c r="L85" i="237"/>
  <c r="N166"/>
  <c r="G3" i="18"/>
  <c r="AF3"/>
  <c r="J26" i="237"/>
  <c r="M137" i="223"/>
  <c r="C95" i="237"/>
  <c r="D67"/>
  <c r="L164"/>
  <c r="B134" i="223"/>
  <c r="H84"/>
  <c r="BJ11" i="18"/>
  <c r="F149" i="223"/>
  <c r="E170" i="237"/>
  <c r="AZ21" i="18"/>
  <c r="N137" i="223"/>
  <c r="B42" i="237"/>
  <c r="B84"/>
  <c r="K67" i="223"/>
  <c r="C46" i="237"/>
  <c r="N116" i="223"/>
  <c r="N133"/>
  <c r="BJ9" i="18"/>
  <c r="N72" i="237"/>
  <c r="BR22" i="18"/>
  <c r="C106"/>
  <c r="AS18"/>
  <c r="D185" i="237"/>
  <c r="C101"/>
  <c r="B23" i="223"/>
  <c r="J101"/>
  <c r="AJ4" i="18"/>
  <c r="BL14"/>
  <c r="M61" i="223"/>
  <c r="C186"/>
  <c r="H141" i="237"/>
  <c r="H90" i="223"/>
  <c r="M6" i="18"/>
  <c r="J140" i="223"/>
  <c r="G86" i="237"/>
  <c r="AO20" i="18"/>
  <c r="J141" i="223"/>
  <c r="D137" i="237"/>
  <c r="C23" i="223"/>
  <c r="D101" i="237"/>
  <c r="G62" i="223"/>
  <c r="AU22" i="18"/>
  <c r="Y10"/>
  <c r="AM13"/>
  <c r="Z19" i="15"/>
  <c r="H164" i="237"/>
  <c r="E58"/>
  <c r="M25"/>
  <c r="U27" i="15"/>
  <c r="L186" i="237"/>
  <c r="J46" i="223"/>
  <c r="M60"/>
  <c r="N91" i="237"/>
  <c r="N3" i="18"/>
  <c r="H13"/>
  <c r="B67" i="223"/>
  <c r="N21"/>
  <c r="AL11" i="18"/>
  <c r="M40" i="223"/>
  <c r="L133" i="237"/>
  <c r="I148"/>
  <c r="AI10" i="18"/>
  <c r="E87" i="237"/>
  <c r="I28" i="15"/>
  <c r="I21"/>
  <c r="N122" i="223"/>
  <c r="AN34" i="18"/>
  <c r="T12"/>
  <c r="E168" i="237"/>
  <c r="AX22" i="18"/>
  <c r="AD22"/>
  <c r="AI7"/>
  <c r="V2" i="1"/>
  <c r="S21" i="18"/>
  <c r="F133" i="223"/>
  <c r="AO11" i="18"/>
  <c r="AA20" i="15"/>
  <c r="J30"/>
  <c r="AZ22" i="18"/>
  <c r="G146" i="237"/>
  <c r="G117"/>
  <c r="AP12" i="18"/>
  <c r="L86" i="237"/>
  <c r="BG18" i="18"/>
  <c r="L168" i="223"/>
  <c r="D70" i="237"/>
  <c r="H86" i="223"/>
  <c r="N183"/>
  <c r="AG13" i="18"/>
  <c r="N27" i="237"/>
  <c r="AW20" i="18"/>
  <c r="K118" i="223"/>
  <c r="K26"/>
  <c r="F165"/>
  <c r="H24" i="237"/>
  <c r="B137"/>
  <c r="C101" i="18"/>
  <c r="AZ20"/>
  <c r="B184" i="237"/>
  <c r="L44"/>
  <c r="AH4" i="18"/>
  <c r="H26" i="237"/>
  <c r="H169" i="223"/>
  <c r="BR14" i="18"/>
  <c r="C38" i="223"/>
  <c r="AB20" i="15"/>
  <c r="B118" i="237"/>
  <c r="M57"/>
  <c r="H160" i="223"/>
  <c r="AS7" i="18"/>
  <c r="C156" i="223"/>
  <c r="AX12" i="18"/>
  <c r="AV12"/>
  <c r="AI21"/>
  <c r="U8"/>
  <c r="J86" i="223"/>
  <c r="H148"/>
  <c r="B55" i="237"/>
  <c r="V9" i="18"/>
  <c r="T4"/>
  <c r="G92" i="237"/>
  <c r="B151" i="223"/>
  <c r="K22"/>
  <c r="C32" i="237"/>
  <c r="D122"/>
  <c r="H124"/>
  <c r="I20"/>
  <c r="AH15" i="18"/>
  <c r="F135" i="223"/>
  <c r="M54" i="237"/>
  <c r="E117"/>
  <c r="BL16" i="18"/>
  <c r="M29" i="15"/>
  <c r="L135" i="223"/>
  <c r="N59"/>
  <c r="H2" i="1"/>
  <c r="H2" i="18" s="1"/>
  <c r="K156" i="237"/>
  <c r="C76"/>
  <c r="L33" i="223"/>
  <c r="S30" i="15"/>
  <c r="D38" i="237"/>
  <c r="N16" i="18"/>
  <c r="BP7"/>
  <c r="J61" i="223"/>
  <c r="N77"/>
  <c r="I19" i="1"/>
  <c r="E89" i="237"/>
  <c r="BR11" i="18"/>
  <c r="L182" i="237"/>
  <c r="E185" i="223"/>
  <c r="AU15" i="18"/>
  <c r="N91" i="223"/>
  <c r="AO6" i="18"/>
  <c r="C145" i="223"/>
  <c r="BH6" i="18"/>
  <c r="BE17"/>
  <c r="K30" i="15"/>
  <c r="B93" i="237"/>
  <c r="M22" i="15"/>
  <c r="B102" i="237"/>
  <c r="M55" i="223"/>
  <c r="H72"/>
  <c r="F123"/>
  <c r="V22" i="15"/>
  <c r="F15" i="1"/>
  <c r="M168" i="237"/>
  <c r="K91"/>
  <c r="T22" i="18"/>
  <c r="K58" i="237"/>
  <c r="J118"/>
  <c r="U13" i="18"/>
  <c r="AB24" i="15"/>
  <c r="X21"/>
  <c r="I4" i="1"/>
  <c r="I4" i="18" s="1"/>
  <c r="N156" i="223"/>
  <c r="D126" i="237"/>
  <c r="N23"/>
  <c r="D56" i="223"/>
  <c r="AO21" i="18"/>
  <c r="D141" i="237"/>
  <c r="G165"/>
  <c r="BJ15" i="18"/>
  <c r="H3"/>
  <c r="J57" i="223"/>
  <c r="D41" i="237"/>
  <c r="AW5" i="18"/>
  <c r="J28" i="237"/>
  <c r="AQ18" i="18"/>
  <c r="D28" i="223"/>
  <c r="J56"/>
  <c r="F87"/>
  <c r="O17" i="18"/>
  <c r="D137" i="223"/>
  <c r="H166" i="237"/>
  <c r="H76"/>
  <c r="I88"/>
  <c r="BC5" i="18"/>
  <c r="X16"/>
  <c r="AP5"/>
  <c r="F150" i="223"/>
  <c r="M8" i="18"/>
  <c r="AZ15"/>
  <c r="J44" i="237"/>
  <c r="M5" i="18"/>
  <c r="E186" i="223"/>
  <c r="K69"/>
  <c r="K27" i="15"/>
  <c r="BN20" i="18"/>
  <c r="F57" i="223"/>
  <c r="I149"/>
  <c r="L118"/>
  <c r="AQ21" i="18"/>
  <c r="BR17"/>
  <c r="X20" i="15"/>
  <c r="L62" i="223"/>
  <c r="D139" i="237"/>
  <c r="L77"/>
  <c r="H163" i="223"/>
  <c r="J44"/>
  <c r="D184" i="237"/>
  <c r="F58" i="223"/>
  <c r="L5" i="18"/>
  <c r="H16"/>
  <c r="N160" i="223"/>
  <c r="K18" i="18"/>
  <c r="M183" i="223"/>
  <c r="AE15" i="18"/>
  <c r="V19"/>
  <c r="N151" i="237"/>
  <c r="G62"/>
  <c r="F38" i="223"/>
  <c r="BH15" i="18"/>
  <c r="N29" i="237"/>
  <c r="N67" i="223"/>
  <c r="J182" i="237"/>
  <c r="M72" i="223"/>
  <c r="P29" i="15"/>
  <c r="K62" i="237"/>
  <c r="AW3" i="18"/>
  <c r="AM15"/>
  <c r="J71" i="223"/>
  <c r="W29" i="15"/>
  <c r="H72" i="237"/>
  <c r="AR18" i="18"/>
  <c r="N120" i="237"/>
  <c r="G76" i="223"/>
  <c r="N156" i="237"/>
  <c r="AZ12" i="18"/>
  <c r="C45" i="237"/>
  <c r="C109" i="18"/>
  <c r="G186" i="223"/>
  <c r="N139" i="237"/>
  <c r="BP20" i="18"/>
  <c r="K83" i="237"/>
  <c r="AJ11" i="18"/>
  <c r="C163" i="223"/>
  <c r="D186"/>
  <c r="F37" i="237"/>
  <c r="AI14" i="18"/>
  <c r="J13"/>
  <c r="L30" i="237"/>
  <c r="B72"/>
  <c r="L4" i="18"/>
  <c r="N180" i="237"/>
  <c r="H25" i="15"/>
  <c r="AH10" i="18"/>
  <c r="AW34"/>
  <c r="BR7"/>
  <c r="AK20"/>
  <c r="N173" i="223"/>
  <c r="M115"/>
  <c r="X21" i="18"/>
  <c r="F2" i="14"/>
  <c r="BQ18" i="18"/>
  <c r="F4" i="1"/>
  <c r="N179" i="237"/>
  <c r="L26" i="223"/>
  <c r="H76"/>
  <c r="L30"/>
  <c r="F88" i="237"/>
  <c r="K162" i="223"/>
  <c r="AR13" i="18"/>
  <c r="E57" i="223"/>
  <c r="T19" i="15"/>
  <c r="M77" i="237"/>
  <c r="C72" i="223"/>
  <c r="B150" i="237"/>
  <c r="L90" i="223"/>
  <c r="B59"/>
  <c r="I27" i="237"/>
  <c r="N76"/>
  <c r="BI21" i="18"/>
  <c r="AT3"/>
  <c r="J149" i="223"/>
  <c r="N28" i="237"/>
  <c r="I116"/>
  <c r="M75"/>
  <c r="I95"/>
  <c r="F23" i="1"/>
  <c r="N118" i="223"/>
  <c r="D171"/>
  <c r="BK21" i="18"/>
  <c r="L115" i="237"/>
  <c r="BF16" i="18"/>
  <c r="AF6"/>
  <c r="L28" i="223"/>
  <c r="E39"/>
  <c r="N69" i="237"/>
  <c r="AA22" i="18"/>
  <c r="AE9"/>
  <c r="AQ17"/>
  <c r="M92" i="237"/>
  <c r="H131"/>
  <c r="U22" i="18"/>
  <c r="N45" i="237"/>
  <c r="W4" i="18"/>
  <c r="N163" i="237"/>
  <c r="K125"/>
  <c r="D83"/>
  <c r="BF20" i="18"/>
  <c r="AB27" i="15"/>
  <c r="G139" i="223"/>
  <c r="M149"/>
  <c r="AM16" i="18"/>
  <c r="BL5"/>
  <c r="K166" i="223"/>
  <c r="H166"/>
  <c r="H23" i="237"/>
  <c r="G150"/>
  <c r="P20" i="15"/>
  <c r="J19"/>
  <c r="J22" i="18"/>
  <c r="F140" i="237"/>
  <c r="I130" i="223"/>
  <c r="C73" i="237"/>
  <c r="D57" i="223"/>
  <c r="M145"/>
  <c r="N58" i="237"/>
  <c r="AL34" i="18"/>
  <c r="BL17"/>
  <c r="M166" i="223"/>
  <c r="AB14" i="18"/>
  <c r="E136" i="237"/>
  <c r="G21"/>
  <c r="F27" i="223"/>
  <c r="C151" i="237"/>
  <c r="V17" i="18"/>
  <c r="I22" i="223"/>
  <c r="C161" i="237"/>
  <c r="I115" i="223"/>
  <c r="C160" i="237"/>
  <c r="G46" i="223"/>
  <c r="AB7" i="18"/>
  <c r="H31" i="237"/>
  <c r="J76" i="223"/>
  <c r="L7" i="18"/>
  <c r="L11"/>
  <c r="N183" i="237"/>
  <c r="J122"/>
  <c r="N44"/>
  <c r="D30" i="223"/>
  <c r="G27"/>
  <c r="S7" i="18"/>
  <c r="F137" i="237"/>
  <c r="AE34" i="18"/>
  <c r="I166" i="223"/>
  <c r="E100" i="237"/>
  <c r="Q15" i="18"/>
  <c r="R17"/>
  <c r="N166" i="223"/>
  <c r="M30"/>
  <c r="AX21" i="18"/>
  <c r="L117" i="237"/>
  <c r="M68" i="223"/>
  <c r="E146" i="237"/>
  <c r="I160" i="223"/>
  <c r="B74" i="237"/>
  <c r="C156"/>
  <c r="I93" i="223"/>
  <c r="K56"/>
  <c r="O15" i="18"/>
  <c r="G167" i="237"/>
  <c r="D181"/>
  <c r="AL20" i="18"/>
  <c r="AI3"/>
  <c r="Q2" i="1"/>
  <c r="G163" i="237"/>
  <c r="F167" i="223"/>
  <c r="E155" i="237"/>
  <c r="B127" i="223"/>
  <c r="O3" i="18"/>
  <c r="Q16"/>
  <c r="AR21"/>
  <c r="H27" i="15"/>
  <c r="E123" i="237"/>
  <c r="W14" i="18"/>
  <c r="AH19"/>
  <c r="D134" i="237"/>
  <c r="F126"/>
  <c r="H85"/>
  <c r="N71"/>
  <c r="F69"/>
  <c r="L14" i="18"/>
  <c r="H18"/>
  <c r="Q22" i="15"/>
  <c r="W24"/>
  <c r="D46" i="237"/>
  <c r="BJ4" i="18"/>
  <c r="D181" i="223"/>
  <c r="F69"/>
  <c r="K140" i="237"/>
  <c r="D183"/>
  <c r="T11" i="18"/>
  <c r="H60" i="223"/>
  <c r="B168"/>
  <c r="AZ7" i="18"/>
  <c r="K28" i="223"/>
  <c r="AA5" i="18"/>
  <c r="I24" i="15"/>
  <c r="BD10" i="18"/>
  <c r="Z13"/>
  <c r="D117" i="223"/>
  <c r="H185"/>
  <c r="H46"/>
  <c r="AJ13" i="18"/>
  <c r="C29" i="223"/>
  <c r="V7" i="18"/>
  <c r="AK12"/>
  <c r="I87" i="223"/>
  <c r="I139"/>
  <c r="I12" i="1"/>
  <c r="B16" i="14"/>
  <c r="AT18" i="18"/>
  <c r="AT15"/>
  <c r="D74" i="237"/>
  <c r="AM12" i="18"/>
  <c r="B167" i="223"/>
  <c r="BL3" i="18"/>
  <c r="BE14"/>
  <c r="I139" i="237"/>
  <c r="P8" i="18"/>
  <c r="AC20"/>
  <c r="AH8"/>
  <c r="AM3"/>
  <c r="G23" i="15"/>
  <c r="G22"/>
  <c r="K147" i="237"/>
  <c r="L100" i="223"/>
  <c r="M86"/>
  <c r="B117" i="237"/>
  <c r="Y22" i="18"/>
  <c r="Q19"/>
  <c r="G15"/>
  <c r="I163" i="237"/>
  <c r="AM18" i="18"/>
  <c r="J38" i="223"/>
  <c r="D56" i="237"/>
  <c r="S25" i="15"/>
  <c r="J115" i="237"/>
  <c r="L93" i="223"/>
  <c r="BM14" i="18"/>
  <c r="F89" i="223"/>
  <c r="BA12" i="18"/>
  <c r="BO15"/>
  <c r="H167" i="237"/>
  <c r="E122" i="223"/>
  <c r="H173"/>
  <c r="G25" i="15"/>
  <c r="H152" i="237"/>
  <c r="K173"/>
  <c r="AX5" i="18"/>
  <c r="AH13"/>
  <c r="N186" i="223"/>
  <c r="D24"/>
  <c r="AX9" i="18"/>
  <c r="E84" i="237"/>
  <c r="K90"/>
  <c r="H173"/>
  <c r="AZ11" i="18"/>
  <c r="BD4"/>
  <c r="M102" i="223"/>
  <c r="B11" i="14"/>
  <c r="H95" i="223"/>
  <c r="L31" i="15"/>
  <c r="H170" i="237"/>
  <c r="I87"/>
  <c r="X5" i="18"/>
  <c r="D148" i="237"/>
  <c r="Y6" i="18"/>
  <c r="B6" i="185"/>
  <c r="J160" i="237"/>
  <c r="C169" i="223"/>
  <c r="BJ16" i="18"/>
  <c r="AM14"/>
  <c r="H140" i="237"/>
  <c r="G181" i="223"/>
  <c r="AY11" i="18"/>
  <c r="E60" i="223"/>
  <c r="B165" i="237"/>
  <c r="D168" i="223"/>
  <c r="P20" i="18"/>
  <c r="N145" i="223"/>
  <c r="N94" i="237"/>
  <c r="BO5" i="18"/>
  <c r="D42" i="223"/>
  <c r="K12" i="18"/>
  <c r="BI5"/>
  <c r="N148" i="223"/>
  <c r="L56" i="237"/>
  <c r="C83" i="223"/>
  <c r="M147"/>
  <c r="BO3" i="18"/>
  <c r="G100" i="237"/>
  <c r="M27" i="223"/>
  <c r="BG17" i="18"/>
  <c r="F130" i="223"/>
  <c r="J19" i="18"/>
  <c r="L168" i="237"/>
  <c r="I101"/>
  <c r="F165"/>
  <c r="BE20" i="18"/>
  <c r="L90" i="237"/>
  <c r="M59" i="223"/>
  <c r="AL18" i="18"/>
  <c r="K137" i="223"/>
  <c r="G41"/>
  <c r="D22" i="237"/>
  <c r="AH11" i="18"/>
  <c r="N132" i="223"/>
  <c r="B31" i="237"/>
  <c r="W27" i="15"/>
  <c r="AU19" i="18"/>
  <c r="C61" i="237"/>
  <c r="BM8" i="18"/>
  <c r="I31" i="237"/>
  <c r="K185" i="223"/>
  <c r="L72" i="237"/>
  <c r="C99" i="18"/>
  <c r="BC7"/>
  <c r="I32" i="223"/>
  <c r="M45" i="237"/>
  <c r="H30" i="15"/>
  <c r="E125" i="237"/>
  <c r="M28" i="223"/>
  <c r="F145" i="237"/>
  <c r="D31" i="223"/>
  <c r="J78"/>
  <c r="BA7" i="18"/>
  <c r="L19"/>
  <c r="M45" i="223"/>
  <c r="G138"/>
  <c r="K116" i="237"/>
  <c r="M131" i="223"/>
  <c r="BB17" i="18"/>
  <c r="N122" i="237"/>
  <c r="B104" i="18"/>
  <c r="AP8"/>
  <c r="J164" i="237"/>
  <c r="B55" i="223"/>
  <c r="T20" i="18"/>
  <c r="N78" i="223"/>
  <c r="I24" i="237"/>
  <c r="F164"/>
  <c r="Z18" i="18"/>
  <c r="I37" i="237"/>
  <c r="BB12" i="18"/>
  <c r="AS19"/>
  <c r="F33" i="237"/>
  <c r="E135"/>
  <c r="L31" i="223"/>
  <c r="AY2" i="18"/>
  <c r="E61" i="223"/>
  <c r="AG18" i="18"/>
  <c r="K54" i="237"/>
  <c r="K74"/>
  <c r="N148"/>
  <c r="BH19" i="18"/>
  <c r="C138" i="223"/>
  <c r="AE5" i="18"/>
  <c r="R12"/>
  <c r="M173" i="237"/>
  <c r="J39"/>
  <c r="K11" i="18"/>
  <c r="C131" i="223"/>
  <c r="AT19" i="18"/>
  <c r="D116" i="237"/>
  <c r="E140" i="223"/>
  <c r="H93" i="237"/>
  <c r="G8" i="18"/>
  <c r="BO17"/>
  <c r="BQ7"/>
  <c r="I153" i="237"/>
  <c r="AW8" i="18"/>
  <c r="M89" i="223"/>
  <c r="AB19" i="18"/>
  <c r="AQ13"/>
  <c r="C127" i="237"/>
  <c r="B43"/>
  <c r="N152"/>
  <c r="L103" i="223"/>
  <c r="Z11" i="18"/>
  <c r="AA27" i="15"/>
  <c r="M166" i="237"/>
  <c r="H184"/>
  <c r="BE16" i="18"/>
  <c r="AP21"/>
  <c r="D173" i="223"/>
  <c r="K150"/>
  <c r="F166" i="237"/>
  <c r="C173" i="223"/>
  <c r="V12" i="18"/>
  <c r="K151" i="223"/>
  <c r="BE11" i="18"/>
  <c r="G185" i="223"/>
  <c r="B27" i="237"/>
  <c r="L141" i="223"/>
  <c r="H119" i="237"/>
  <c r="F84" i="223"/>
  <c r="AI18" i="18"/>
  <c r="G84" i="237"/>
  <c r="R11" i="18"/>
  <c r="D136" i="223"/>
  <c r="I102" i="237"/>
  <c r="C39"/>
  <c r="J163" i="223"/>
  <c r="B165"/>
  <c r="H58"/>
  <c r="L94"/>
  <c r="N39" i="237"/>
  <c r="BQ5" i="18"/>
  <c r="BN4"/>
  <c r="C29" i="237"/>
  <c r="O13" i="18"/>
  <c r="K164" i="223"/>
  <c r="L131" i="237"/>
  <c r="G28" i="15"/>
  <c r="N90" i="223"/>
  <c r="AR6" i="18"/>
  <c r="E41" i="237"/>
  <c r="S12" i="18"/>
  <c r="G130" i="237"/>
  <c r="K119" i="223"/>
  <c r="D135" i="237"/>
  <c r="M119" i="223"/>
  <c r="M155" i="237"/>
  <c r="D78" i="223"/>
  <c r="G182"/>
  <c r="M75"/>
  <c r="J102"/>
  <c r="K138"/>
  <c r="AN22" i="18"/>
  <c r="J73" i="223"/>
  <c r="P4" i="18"/>
  <c r="AO22"/>
  <c r="AR3"/>
  <c r="AY14"/>
  <c r="E28" i="237"/>
  <c r="C110" i="18"/>
  <c r="AQ22"/>
  <c r="M14"/>
  <c r="J152" i="223"/>
  <c r="BF12" i="18"/>
  <c r="D85" i="237"/>
  <c r="I154" i="223"/>
  <c r="AC6" i="18"/>
  <c r="N85" i="237"/>
  <c r="N41" i="223"/>
  <c r="J170" i="237"/>
  <c r="L78" i="223"/>
  <c r="L89"/>
  <c r="E95"/>
  <c r="BP17" i="18"/>
  <c r="B30" i="237"/>
  <c r="H118" i="223"/>
  <c r="AA31" i="15"/>
  <c r="E33" i="237"/>
  <c r="J78"/>
  <c r="M83" i="223"/>
  <c r="J166"/>
  <c r="H10" i="18"/>
  <c r="K141" i="223"/>
  <c r="J145" i="237"/>
  <c r="F118"/>
  <c r="L71" i="223"/>
  <c r="F70" i="237"/>
  <c r="AE7" i="18"/>
  <c r="D153" i="237"/>
  <c r="K78"/>
  <c r="B56"/>
  <c r="AD14" i="18"/>
  <c r="BP6"/>
  <c r="M90" i="237"/>
  <c r="F42" i="223"/>
  <c r="B103"/>
  <c r="N6" i="18"/>
  <c r="G124" i="223"/>
  <c r="G183" i="237"/>
  <c r="E69" i="223"/>
  <c r="K148"/>
  <c r="M4" i="18"/>
  <c r="B182" i="223"/>
  <c r="T29" i="15"/>
  <c r="E57" i="237"/>
  <c r="B124"/>
  <c r="N170"/>
  <c r="P25" i="15"/>
  <c r="C91" i="237"/>
  <c r="N172" i="223"/>
  <c r="K127" i="237"/>
  <c r="N93"/>
  <c r="E180"/>
  <c r="AC9" i="18"/>
  <c r="Z28" i="15"/>
  <c r="L184" i="237"/>
  <c r="M167" i="223"/>
  <c r="L148" i="237"/>
  <c r="AC13" i="18"/>
  <c r="S28" i="15"/>
  <c r="BN16" i="18"/>
  <c r="D101" i="223"/>
  <c r="G169"/>
  <c r="E46"/>
  <c r="H37"/>
  <c r="L161" i="237"/>
  <c r="L25" i="223"/>
  <c r="D117" i="237"/>
  <c r="J149"/>
  <c r="B18" i="14"/>
  <c r="U9" i="18"/>
  <c r="H100" i="237"/>
  <c r="BJ8" i="18"/>
  <c r="Y25" i="15"/>
  <c r="AD3" i="18"/>
  <c r="D55" i="223"/>
  <c r="F12" i="1"/>
  <c r="AD15" i="18"/>
  <c r="AB26" i="15"/>
  <c r="J32" i="237"/>
  <c r="G125" i="223"/>
  <c r="H146" i="237"/>
  <c r="N57"/>
  <c r="N139" i="223"/>
  <c r="I103"/>
  <c r="F24"/>
  <c r="AG9" i="18"/>
  <c r="BA8"/>
  <c r="D133" i="223"/>
  <c r="L116" i="237"/>
  <c r="G54"/>
  <c r="G19" i="18"/>
  <c r="E102" i="223"/>
  <c r="AD7" i="18"/>
  <c r="E150" i="223"/>
  <c r="G20" i="237"/>
  <c r="BC14" i="18"/>
  <c r="L154" i="237"/>
  <c r="G73"/>
  <c r="N140" i="223"/>
  <c r="G68"/>
  <c r="H70"/>
  <c r="M141" i="237"/>
  <c r="J69"/>
  <c r="H151" i="223"/>
  <c r="AA21" i="15"/>
  <c r="C141" i="223"/>
  <c r="X4" i="18"/>
  <c r="L147" i="223"/>
  <c r="BI22" i="18"/>
  <c r="L116" i="223"/>
  <c r="BM12" i="18"/>
  <c r="B133" i="223"/>
  <c r="K55" i="237"/>
  <c r="K160" i="223"/>
  <c r="C120"/>
  <c r="M74"/>
  <c r="C147"/>
  <c r="M70"/>
  <c r="F134" i="237"/>
  <c r="L132"/>
  <c r="J116" i="223"/>
  <c r="M100" i="237"/>
  <c r="D72" i="223"/>
  <c r="N89"/>
  <c r="G68" i="237"/>
  <c r="L179"/>
  <c r="K182" i="223"/>
  <c r="I173" i="237"/>
  <c r="I117" i="223"/>
  <c r="H41" i="237"/>
  <c r="BC15" i="18"/>
  <c r="I85" i="223"/>
  <c r="G140"/>
  <c r="L167" i="237"/>
  <c r="H22" i="223"/>
  <c r="J101" i="237"/>
  <c r="N168" i="223"/>
  <c r="K134"/>
  <c r="N26"/>
  <c r="F139"/>
  <c r="L173"/>
  <c r="BN17" i="18"/>
  <c r="J130" i="237"/>
  <c r="AO4" i="18"/>
  <c r="L67" i="223"/>
  <c r="F8" i="1"/>
  <c r="L53" i="237"/>
  <c r="BQ11" i="18"/>
  <c r="C21" i="237"/>
  <c r="D25" i="223"/>
  <c r="F56" i="237"/>
  <c r="AF17" i="18"/>
  <c r="D164" i="237"/>
  <c r="K3" i="18"/>
  <c r="BQ19"/>
  <c r="H22" i="15"/>
  <c r="V13" i="18"/>
  <c r="C77" i="223"/>
  <c r="I25" i="237"/>
  <c r="L41"/>
  <c r="AZ10" i="18"/>
  <c r="O24" i="15"/>
  <c r="AU7" i="18"/>
  <c r="AO18"/>
  <c r="E127" i="223"/>
  <c r="M25"/>
  <c r="K73" i="237"/>
  <c r="BQ14" i="18"/>
  <c r="H84" i="237"/>
  <c r="AW13" i="18"/>
  <c r="G145" i="237"/>
  <c r="N141"/>
  <c r="H132"/>
  <c r="C32" i="223"/>
  <c r="J138" i="237"/>
  <c r="L163"/>
  <c r="Z8" i="18"/>
  <c r="Y23" i="15"/>
  <c r="G61" i="223"/>
  <c r="G121"/>
  <c r="M57"/>
  <c r="I33" i="237"/>
  <c r="D149" i="223"/>
  <c r="O26" i="15"/>
  <c r="AA18" i="18"/>
  <c r="M19"/>
  <c r="N46" i="223"/>
  <c r="N134" i="237"/>
  <c r="M161" i="223"/>
  <c r="D92" i="237"/>
  <c r="M28" i="15"/>
  <c r="AV21" i="18"/>
  <c r="F125" i="223"/>
  <c r="AN3" i="18"/>
  <c r="L68" i="223"/>
  <c r="C41" i="237"/>
  <c r="AR5" i="18"/>
  <c r="I24" i="223"/>
  <c r="F9" i="1"/>
  <c r="O6" i="18"/>
  <c r="H180" i="223"/>
  <c r="F156" i="237"/>
  <c r="B95"/>
  <c r="K183"/>
  <c r="L138"/>
  <c r="H77"/>
  <c r="E117" i="223"/>
  <c r="D131"/>
  <c r="J168"/>
  <c r="B173" i="237"/>
  <c r="M124" i="223"/>
  <c r="AG6" i="18"/>
  <c r="I127" i="223"/>
  <c r="AN8" i="18"/>
  <c r="E132" i="237"/>
  <c r="E121" i="223"/>
  <c r="L30" i="15"/>
  <c r="J11" i="18"/>
  <c r="S15"/>
  <c r="I171" i="237"/>
  <c r="M115"/>
  <c r="I166"/>
  <c r="I31" i="223"/>
  <c r="K30"/>
  <c r="N29" i="15"/>
  <c r="BL11" i="18"/>
  <c r="M38" i="223"/>
  <c r="E94" i="237"/>
  <c r="N78"/>
  <c r="B85"/>
  <c r="H69" i="223"/>
  <c r="I39"/>
  <c r="K117" i="237"/>
  <c r="J93" i="223"/>
  <c r="BR15" i="18"/>
  <c r="Z22"/>
  <c r="D86" i="237"/>
  <c r="E182" i="223"/>
  <c r="K151" i="237"/>
  <c r="D182" i="223"/>
  <c r="K155" i="237"/>
  <c r="L148" i="223"/>
  <c r="J29"/>
  <c r="J63"/>
  <c r="D141"/>
  <c r="G89" i="237"/>
  <c r="AK16" i="18"/>
  <c r="O31" i="15"/>
  <c r="D160" i="223"/>
  <c r="L58"/>
  <c r="AA17" i="18"/>
  <c r="X3"/>
  <c r="F60" i="223"/>
  <c r="H19" i="18"/>
  <c r="Z7"/>
  <c r="K115" i="223"/>
  <c r="BA21" i="18"/>
  <c r="R23" i="15"/>
  <c r="W30"/>
  <c r="AN12" i="18"/>
  <c r="K180" i="237"/>
  <c r="H37"/>
  <c r="AA21" i="18"/>
  <c r="G33" i="237"/>
  <c r="I3" i="1"/>
  <c r="I3" i="18" s="1"/>
  <c r="AP19"/>
  <c r="E55" i="223"/>
  <c r="L69" i="237"/>
  <c r="V23" i="15"/>
  <c r="N136" i="237"/>
  <c r="T17" i="18"/>
  <c r="B76" i="237"/>
  <c r="F122"/>
  <c r="BR21" i="18"/>
  <c r="G154" i="223"/>
  <c r="B90"/>
  <c r="M155"/>
  <c r="J137" i="237"/>
  <c r="BE15" i="18"/>
  <c r="N71" i="223"/>
  <c r="H130" i="237"/>
  <c r="M22" i="18"/>
  <c r="F86" i="237"/>
  <c r="K40" i="223"/>
  <c r="N119" i="237"/>
  <c r="H29" i="223"/>
  <c r="AO7" i="18"/>
  <c r="D102" i="223"/>
  <c r="M95"/>
  <c r="B182" i="237"/>
  <c r="J169"/>
  <c r="H137"/>
  <c r="N161"/>
  <c r="I42" i="223"/>
  <c r="H183"/>
  <c r="O22" i="18"/>
  <c r="AA8"/>
  <c r="T13"/>
  <c r="J27" i="237"/>
  <c r="F148"/>
  <c r="BP10" i="18"/>
  <c r="D27" i="223"/>
  <c r="AS6" i="18"/>
  <c r="E24" i="237"/>
  <c r="P21" i="18"/>
  <c r="O11"/>
  <c r="G156" i="237"/>
  <c r="C171" i="223"/>
  <c r="D148"/>
  <c r="C91" i="18"/>
  <c r="V31" i="15"/>
  <c r="D67" i="223"/>
  <c r="BB6" i="18"/>
  <c r="AE22"/>
  <c r="C152" i="237"/>
  <c r="N126" i="223"/>
  <c r="N25"/>
  <c r="C122" i="237"/>
  <c r="E154" i="223"/>
  <c r="U30" i="15"/>
  <c r="G179" i="237"/>
  <c r="J92"/>
  <c r="H156" i="223"/>
  <c r="D166" i="237"/>
  <c r="BM18" i="18"/>
  <c r="BG15"/>
  <c r="AG21"/>
  <c r="N151" i="223"/>
  <c r="L22"/>
  <c r="H160" i="237"/>
  <c r="B134"/>
  <c r="G138"/>
  <c r="H54"/>
  <c r="E185"/>
  <c r="D55"/>
  <c r="B26" i="223"/>
  <c r="N149" i="237"/>
  <c r="AU10" i="18"/>
  <c r="L19" i="15"/>
  <c r="F27" i="237"/>
  <c r="BC10" i="18"/>
  <c r="D165" i="237"/>
  <c r="BE13" i="18"/>
  <c r="BA15"/>
  <c r="E86" i="237"/>
  <c r="I41" i="223"/>
  <c r="K134" i="237"/>
  <c r="G38"/>
  <c r="D32"/>
  <c r="N27" i="15"/>
  <c r="I145" i="223"/>
  <c r="AM21" i="18"/>
  <c r="W8"/>
  <c r="G131" i="223"/>
  <c r="B181" i="237"/>
  <c r="W11" i="18"/>
  <c r="K172" i="237"/>
  <c r="AN18" i="18"/>
  <c r="Y14"/>
  <c r="I46" i="223"/>
  <c r="G168" i="237"/>
  <c r="AE10" i="18"/>
  <c r="F138" i="237"/>
  <c r="K70"/>
  <c r="AD17" i="18"/>
  <c r="K186" i="237"/>
  <c r="K132" i="223"/>
  <c r="F163"/>
  <c r="M78"/>
  <c r="F23"/>
  <c r="I61" i="237"/>
  <c r="O21" i="18"/>
  <c r="Y7"/>
  <c r="M162" i="223"/>
  <c r="B130"/>
  <c r="D32"/>
  <c r="BE18" i="18"/>
  <c r="BF34"/>
  <c r="AK34"/>
  <c r="E91" i="223"/>
  <c r="D90" i="237"/>
  <c r="D103"/>
  <c r="AA9" i="18"/>
  <c r="I38" i="237"/>
  <c r="N67"/>
  <c r="E101"/>
  <c r="E119"/>
  <c r="T25" i="15"/>
  <c r="F95" i="237"/>
  <c r="N121"/>
  <c r="M153"/>
  <c r="Y28" i="15"/>
  <c r="Y19"/>
  <c r="E183" i="223"/>
  <c r="BI18" i="18"/>
  <c r="G21" i="223"/>
  <c r="I182" i="237"/>
  <c r="H74" i="223"/>
  <c r="AX14" i="18"/>
  <c r="G22" i="223"/>
  <c r="C28"/>
  <c r="AO10" i="18"/>
  <c r="B162" i="237"/>
  <c r="C74" i="223"/>
  <c r="I23" i="15"/>
  <c r="G18" i="18"/>
  <c r="D118" i="237"/>
  <c r="O27" i="15"/>
  <c r="I147" i="237"/>
  <c r="G166" i="223"/>
  <c r="B166" i="237"/>
  <c r="C153"/>
  <c r="B23"/>
  <c r="G149"/>
  <c r="J68" i="223"/>
  <c r="W15" i="18"/>
  <c r="P24" i="15"/>
  <c r="J29"/>
  <c r="BH20" i="18"/>
  <c r="H171" i="223"/>
  <c r="D26" i="237"/>
  <c r="AV10" i="18"/>
  <c r="H29" i="15"/>
  <c r="B33" i="237"/>
  <c r="L119" i="223"/>
  <c r="T22" i="15"/>
  <c r="BN12" i="18"/>
  <c r="I149" i="237"/>
  <c r="M185"/>
  <c r="D86" i="223"/>
  <c r="B100" i="237"/>
  <c r="T16" i="18"/>
  <c r="C92" i="237"/>
  <c r="C89" i="223"/>
  <c r="G118"/>
  <c r="BO6" i="18"/>
  <c r="F75" i="237"/>
  <c r="J100" i="223"/>
  <c r="H123" i="237"/>
  <c r="B101"/>
  <c r="K153"/>
  <c r="G70" i="223"/>
  <c r="AU17" i="18"/>
  <c r="I26" i="15"/>
  <c r="I169" i="237"/>
  <c r="AS3" i="18"/>
  <c r="AU16"/>
  <c r="L152" i="237"/>
  <c r="C94" i="223"/>
  <c r="N172" i="237"/>
  <c r="M180"/>
  <c r="S4" i="18"/>
  <c r="B12" i="14"/>
  <c r="J41" i="223"/>
  <c r="AY16" i="18"/>
  <c r="J148" i="223"/>
  <c r="D140" i="237"/>
  <c r="M127" i="223"/>
  <c r="AI9" i="18"/>
  <c r="C71" i="223"/>
  <c r="F131"/>
  <c r="E164" i="237"/>
  <c r="N28" i="223"/>
  <c r="H139" i="237"/>
  <c r="B161" i="223"/>
  <c r="AI20" i="18"/>
  <c r="I30" i="237"/>
  <c r="L146" i="223"/>
  <c r="M7" i="18"/>
  <c r="D123" i="237"/>
  <c r="H20" i="18"/>
  <c r="G141" i="223"/>
  <c r="X30" i="15"/>
  <c r="F150" i="237"/>
  <c r="M77" i="223"/>
  <c r="E74" i="237"/>
  <c r="N141" i="223"/>
  <c r="AN10" i="18"/>
  <c r="P14"/>
  <c r="G153" i="223"/>
  <c r="Z19" i="18"/>
  <c r="N150" i="237"/>
  <c r="H121" i="223"/>
  <c r="D62"/>
  <c r="J173" i="237"/>
  <c r="D62"/>
  <c r="M43" i="223"/>
  <c r="R8" i="18"/>
  <c r="BJ10"/>
  <c r="B53" i="223"/>
  <c r="I2" i="14"/>
  <c r="K184" i="237"/>
  <c r="M136"/>
  <c r="J45" i="223"/>
  <c r="B110" i="18"/>
  <c r="B148" i="237"/>
  <c r="K26" i="15"/>
  <c r="M19"/>
  <c r="K133" i="237"/>
  <c r="C181"/>
  <c r="G102"/>
  <c r="F170" i="223"/>
  <c r="S27" i="15"/>
  <c r="Q22" i="18"/>
  <c r="F151" i="223"/>
  <c r="O21" i="15"/>
  <c r="M170" i="223"/>
  <c r="AU13" i="18"/>
  <c r="D33" i="223"/>
  <c r="AX19" i="18"/>
  <c r="AV11"/>
  <c r="K75" i="237"/>
  <c r="B38"/>
  <c r="L140"/>
  <c r="N26" i="15"/>
  <c r="C96" i="18"/>
  <c r="I100" i="237"/>
  <c r="K126"/>
  <c r="M9" i="18"/>
  <c r="BK14"/>
  <c r="G134" i="237"/>
  <c r="B155" i="223"/>
  <c r="E44" i="237"/>
  <c r="L85" i="223"/>
  <c r="F72" i="237"/>
  <c r="K92"/>
  <c r="J186" i="223"/>
  <c r="C116"/>
  <c r="D164"/>
  <c r="C181"/>
  <c r="D53" i="237"/>
  <c r="AH20" i="18"/>
  <c r="I120" i="223"/>
  <c r="L76" i="237"/>
  <c r="F59"/>
  <c r="C90"/>
  <c r="I123" i="223"/>
  <c r="E59"/>
  <c r="E32" i="237"/>
  <c r="M21" i="15"/>
  <c r="H57" i="237"/>
  <c r="BO22" i="18"/>
  <c r="AA19"/>
  <c r="F16" i="1"/>
  <c r="B32" i="223"/>
  <c r="S17" i="18"/>
  <c r="J22" i="223"/>
  <c r="BH8" i="18"/>
  <c r="L165" i="223"/>
  <c r="L86"/>
  <c r="F26" i="237"/>
  <c r="M168" i="223"/>
  <c r="G31" i="15"/>
  <c r="BH22" i="18"/>
  <c r="G32" i="237"/>
  <c r="M140" i="223"/>
  <c r="AA15" i="18"/>
  <c r="G123" i="223"/>
  <c r="M28" i="237"/>
  <c r="G2" i="1"/>
  <c r="N2"/>
  <c r="D156" i="237"/>
  <c r="E26"/>
  <c r="F73"/>
  <c r="C134"/>
  <c r="G39" i="223"/>
  <c r="G78" i="237"/>
  <c r="B145"/>
  <c r="C91" i="223"/>
  <c r="AZ2" i="18"/>
  <c r="E152" i="223"/>
  <c r="C43"/>
  <c r="J167"/>
  <c r="AZ18" i="18"/>
  <c r="AH22"/>
  <c r="AJ21"/>
  <c r="G16"/>
  <c r="AA24" i="15"/>
  <c r="G26" i="237"/>
  <c r="E26" i="223"/>
  <c r="C173" i="237"/>
  <c r="K60"/>
  <c r="K33"/>
  <c r="BR4" i="18"/>
  <c r="AS17"/>
  <c r="J8"/>
  <c r="Y5"/>
  <c r="C30" i="223"/>
  <c r="N57"/>
  <c r="H133" i="237"/>
  <c r="H22" i="18"/>
  <c r="L162" i="237"/>
  <c r="AL8" i="18"/>
  <c r="M156" i="237"/>
  <c r="N32" i="223"/>
  <c r="BH2" i="18"/>
  <c r="G152" i="237"/>
  <c r="F24"/>
  <c r="K78" i="223"/>
  <c r="K136" i="237"/>
  <c r="AA20" i="18"/>
  <c r="I156" i="223"/>
  <c r="BK4" i="18"/>
  <c r="I170" i="237"/>
  <c r="M103"/>
  <c r="BR6" i="18"/>
  <c r="E45" i="223"/>
  <c r="AA3" i="18"/>
  <c r="B73" i="237"/>
  <c r="F116" i="223"/>
  <c r="T14" i="18"/>
  <c r="H162" i="237"/>
  <c r="E155" i="223"/>
  <c r="I95"/>
  <c r="B22"/>
  <c r="G171" i="237"/>
  <c r="V8" i="18"/>
  <c r="I69" i="223"/>
  <c r="BQ6" i="18"/>
  <c r="K4"/>
  <c r="BJ3"/>
  <c r="E182" i="237"/>
  <c r="J28" i="15"/>
  <c r="M151" i="237"/>
  <c r="G77" i="223"/>
  <c r="C78"/>
  <c r="D54" i="237"/>
  <c r="G7" i="18"/>
  <c r="M30" i="15"/>
  <c r="AY10" i="18"/>
  <c r="I18" i="1"/>
  <c r="W23" i="15"/>
  <c r="J131" i="223"/>
  <c r="G132" i="237"/>
  <c r="C42"/>
  <c r="K72" i="223"/>
  <c r="BR3" i="18"/>
  <c r="F87" i="237"/>
  <c r="BD18" i="18"/>
  <c r="B179" i="237"/>
  <c r="J75" i="223"/>
  <c r="N147"/>
  <c r="K31" i="237"/>
  <c r="BJ14" i="18"/>
  <c r="J70" i="237"/>
  <c r="Z20" i="15"/>
  <c r="BM22" i="18"/>
  <c r="B102"/>
  <c r="K164" i="237"/>
  <c r="N184" i="223"/>
  <c r="H15" i="18"/>
  <c r="AG20"/>
  <c r="AX11"/>
  <c r="I22" i="15"/>
  <c r="N92" i="223"/>
  <c r="C117" i="237"/>
  <c r="AC8" i="18"/>
  <c r="K103" i="237"/>
  <c r="AK11" i="18"/>
  <c r="D151" i="237"/>
  <c r="I102" i="223"/>
  <c r="T31" i="15"/>
  <c r="L117" i="223"/>
  <c r="G145"/>
  <c r="I115" i="237"/>
  <c r="L167" i="223"/>
  <c r="L23"/>
  <c r="AB3" i="18"/>
  <c r="B117" i="223"/>
  <c r="I180"/>
  <c r="H28" i="237"/>
  <c r="B61"/>
  <c r="F95" i="223"/>
  <c r="M23" i="15"/>
  <c r="V28"/>
  <c r="B185" i="223"/>
  <c r="AN2" i="18"/>
  <c r="J84" i="237"/>
  <c r="Q29" i="15"/>
  <c r="BQ10" i="18"/>
  <c r="D95" i="223"/>
  <c r="X8" i="18"/>
  <c r="R22" i="15"/>
  <c r="C120" i="237"/>
  <c r="F70" i="223"/>
  <c r="F122"/>
  <c r="AP7" i="18"/>
  <c r="O23" i="15"/>
  <c r="C100" i="223"/>
  <c r="F40" i="237"/>
  <c r="BN5" i="18"/>
  <c r="BL21"/>
  <c r="BH11"/>
  <c r="H125" i="237"/>
  <c r="N5" i="18"/>
  <c r="H69" i="237"/>
  <c r="BN21" i="18"/>
  <c r="H71" i="237"/>
  <c r="W19" i="15"/>
  <c r="B100" i="18"/>
  <c r="M16"/>
  <c r="BK16"/>
  <c r="H130" i="223"/>
  <c r="C93" i="237"/>
  <c r="N60" i="223"/>
  <c r="B122" i="237"/>
  <c r="N155" i="223"/>
  <c r="C59"/>
  <c r="H140"/>
  <c r="B25"/>
  <c r="M135"/>
  <c r="K140"/>
  <c r="BF5" i="18"/>
  <c r="Z4"/>
  <c r="J22" i="237"/>
  <c r="I55" i="223"/>
  <c r="H71"/>
  <c r="N37"/>
  <c r="D100" i="237"/>
  <c r="BB15" i="18"/>
  <c r="AU8"/>
  <c r="I134" i="237"/>
  <c r="B146" i="223"/>
  <c r="E30" i="237"/>
  <c r="N72" i="223"/>
  <c r="I68" i="237"/>
  <c r="H77" i="223"/>
  <c r="K173"/>
  <c r="N40" i="237"/>
  <c r="K77"/>
  <c r="F78"/>
  <c r="R25" i="15"/>
  <c r="C123" i="223"/>
  <c r="F28"/>
  <c r="F181" i="237"/>
  <c r="AH12" i="18"/>
  <c r="B27" i="223"/>
  <c r="R6" i="18"/>
  <c r="AI2"/>
  <c r="C151" i="223"/>
  <c r="K20" i="18"/>
  <c r="E116" i="237"/>
  <c r="B140"/>
  <c r="N179" i="223"/>
  <c r="F180"/>
  <c r="M56" i="237"/>
  <c r="E83"/>
  <c r="N55" i="223"/>
  <c r="M60" i="237"/>
  <c r="F41" i="223"/>
  <c r="H44" i="237"/>
  <c r="H56"/>
  <c r="L61"/>
  <c r="K139"/>
  <c r="N38" i="223"/>
  <c r="L151" i="237"/>
  <c r="L139" i="223"/>
  <c r="L87"/>
  <c r="J119" i="237"/>
  <c r="L135"/>
  <c r="W13" i="18"/>
  <c r="F39" i="223"/>
  <c r="BE10" i="18"/>
  <c r="K41" i="223"/>
  <c r="G9" i="18"/>
  <c r="E134" i="237"/>
  <c r="L100"/>
  <c r="N160"/>
  <c r="E103" i="223"/>
  <c r="K117"/>
  <c r="AO2" i="18"/>
  <c r="B106"/>
  <c r="BB20"/>
  <c r="D150" i="237"/>
  <c r="N53"/>
  <c r="J77" i="223"/>
  <c r="AX18" i="18"/>
  <c r="L13"/>
  <c r="C150" i="223"/>
  <c r="E95" i="237"/>
  <c r="BG8" i="18"/>
  <c r="D84" i="223"/>
  <c r="D134"/>
  <c r="AJ8" i="18"/>
  <c r="D95" i="237"/>
  <c r="D89" i="223"/>
  <c r="I120" i="237"/>
  <c r="BI14" i="18"/>
  <c r="BM19"/>
  <c r="B32" i="237"/>
  <c r="J21"/>
  <c r="J185"/>
  <c r="AB10" i="18"/>
  <c r="BK10"/>
  <c r="F101" i="237"/>
  <c r="F68" i="223"/>
  <c r="H88"/>
  <c r="N75"/>
  <c r="M156"/>
  <c r="B155" i="237"/>
  <c r="Y22" i="15"/>
  <c r="AU21" i="18"/>
  <c r="J85" i="223"/>
  <c r="F153" i="237"/>
  <c r="C100"/>
  <c r="AJ5" i="18"/>
  <c r="N85" i="223"/>
  <c r="AH9" i="18"/>
  <c r="H100" i="223"/>
  <c r="AD19" i="18"/>
  <c r="M163" i="223"/>
  <c r="K124" i="237"/>
  <c r="AK15" i="18"/>
  <c r="AC5"/>
  <c r="O9"/>
  <c r="L171" i="223"/>
  <c r="M183" i="237"/>
  <c r="G148"/>
  <c r="G83"/>
  <c r="BD34" i="18"/>
  <c r="J153" i="237"/>
  <c r="I72"/>
  <c r="F25" i="223"/>
  <c r="K85" i="237"/>
  <c r="AT20" i="18"/>
  <c r="O4"/>
  <c r="K42" i="223"/>
  <c r="T7" i="18"/>
  <c r="H24" i="15"/>
  <c r="G91" i="237"/>
  <c r="I92"/>
  <c r="I45"/>
  <c r="AK14" i="18"/>
  <c r="B180" i="223"/>
  <c r="BB3" i="18"/>
  <c r="I88" i="223"/>
  <c r="L127"/>
  <c r="N83" i="237"/>
  <c r="Y16" i="18"/>
  <c r="B85" i="223"/>
  <c r="J33"/>
  <c r="B116"/>
  <c r="AT34" i="18"/>
  <c r="E92" i="223"/>
  <c r="AB16" i="18"/>
  <c r="AE17"/>
  <c r="F71" i="223"/>
  <c r="N153" i="237"/>
  <c r="R2" i="14"/>
  <c r="D20" i="237"/>
  <c r="M125"/>
  <c r="H186"/>
  <c r="BH18" i="18"/>
  <c r="N9"/>
  <c r="F160" i="237"/>
  <c r="E154"/>
  <c r="N95"/>
  <c r="M165" i="223"/>
  <c r="L77"/>
  <c r="H90" i="237"/>
  <c r="E92"/>
  <c r="B38" i="223"/>
  <c r="L59"/>
  <c r="C27" i="237"/>
  <c r="L56" i="223"/>
  <c r="D161" i="237"/>
  <c r="L124" i="223"/>
  <c r="U11" i="18"/>
  <c r="AP10"/>
  <c r="E162" i="237"/>
  <c r="I74"/>
  <c r="BG4" i="18"/>
  <c r="D88" i="223"/>
  <c r="J118"/>
  <c r="E20"/>
  <c r="BJ2" i="18"/>
  <c r="M70" i="237"/>
  <c r="F100"/>
  <c r="L150"/>
  <c r="M169"/>
  <c r="B63" i="223"/>
  <c r="G167"/>
  <c r="D77"/>
  <c r="BB18" i="18"/>
  <c r="N14"/>
  <c r="E25" i="237"/>
  <c r="E152"/>
  <c r="H83"/>
  <c r="E40"/>
  <c r="V30" i="15"/>
  <c r="BD21" i="18"/>
  <c r="F31" i="223"/>
  <c r="B125" i="237"/>
  <c r="AA4" i="18"/>
  <c r="AH17"/>
  <c r="BL12"/>
  <c r="E181" i="223"/>
  <c r="J141" i="237"/>
  <c r="AL22" i="18"/>
  <c r="J76" i="237"/>
  <c r="F74" i="223"/>
  <c r="N21" i="18"/>
  <c r="BP5"/>
  <c r="B57" i="223"/>
  <c r="T20" i="15"/>
  <c r="I42" i="237"/>
  <c r="L166" i="223"/>
  <c r="B21"/>
  <c r="C20"/>
  <c r="J24"/>
  <c r="M17" i="18"/>
  <c r="N44" i="223"/>
  <c r="BG11" i="18"/>
  <c r="E93" i="223"/>
  <c r="X22" i="15"/>
  <c r="I185" i="237"/>
  <c r="O8" i="18"/>
  <c r="I43" i="223"/>
  <c r="E170"/>
  <c r="AN21" i="18"/>
  <c r="I60" i="223"/>
  <c r="F17" i="1"/>
  <c r="L139" i="237"/>
  <c r="G155" i="223"/>
  <c r="K53" i="237"/>
  <c r="BK18" i="18"/>
  <c r="F85" i="237"/>
  <c r="F32" i="223"/>
  <c r="BL2" i="18"/>
  <c r="J84" i="223"/>
  <c r="J32"/>
  <c r="M10" i="18"/>
  <c r="L70" i="223"/>
  <c r="BO10" i="18"/>
  <c r="L18"/>
  <c r="M167" i="237"/>
  <c r="BD14" i="18"/>
  <c r="E67" i="237"/>
  <c r="F101" i="223"/>
  <c r="E119"/>
  <c r="BH12" i="18"/>
  <c r="BH16"/>
  <c r="J23" i="223"/>
  <c r="BB7" i="18"/>
  <c r="G88" i="223"/>
  <c r="F85"/>
  <c r="E101"/>
  <c r="W20" i="18"/>
  <c r="K170" i="223"/>
  <c r="U29" i="15"/>
  <c r="N93" i="223"/>
  <c r="BL18" i="18"/>
  <c r="J172" i="237"/>
  <c r="AX4" i="18"/>
  <c r="F172" i="223"/>
  <c r="L103" i="237"/>
  <c r="N28" i="15"/>
  <c r="AP3" i="18"/>
  <c r="J184" i="237"/>
  <c r="C102"/>
  <c r="D33"/>
  <c r="J40" i="223"/>
  <c r="E141"/>
  <c r="H68" i="237"/>
  <c r="V4" i="18"/>
  <c r="I94" i="237"/>
  <c r="J74" i="223"/>
  <c r="I54" i="237"/>
  <c r="D179" i="223"/>
  <c r="AZ6" i="18"/>
  <c r="D138" i="237"/>
  <c r="AE13" i="18"/>
  <c r="E40" i="223"/>
  <c r="Q3" i="18"/>
  <c r="AA7"/>
  <c r="N102" i="223"/>
  <c r="B100"/>
  <c r="Y21" i="18"/>
  <c r="I155" i="237"/>
  <c r="I126"/>
  <c r="C71"/>
  <c r="E163" i="223"/>
  <c r="BF6" i="18"/>
  <c r="E70" i="237"/>
  <c r="D139" i="223"/>
  <c r="N167" i="237"/>
  <c r="I10" i="1"/>
  <c r="I10" i="18" s="1"/>
  <c r="K101" i="223"/>
  <c r="H120"/>
  <c r="C168" i="237"/>
  <c r="E169" i="223"/>
  <c r="AJ18" i="18"/>
  <c r="I58" i="223"/>
  <c r="G63"/>
  <c r="G133" i="237"/>
  <c r="F152"/>
  <c r="L132" i="223"/>
  <c r="J179" i="237"/>
  <c r="I67"/>
  <c r="Q21" i="18"/>
  <c r="H154" i="223"/>
  <c r="BO19" i="18"/>
  <c r="H4"/>
  <c r="N140" i="237"/>
  <c r="D183" i="223"/>
  <c r="H122" i="237"/>
  <c r="B183"/>
  <c r="Y19" i="18"/>
  <c r="J89" i="223"/>
  <c r="R19" i="18"/>
  <c r="H123" i="223"/>
  <c r="K169"/>
  <c r="F168"/>
  <c r="BA10" i="18"/>
  <c r="I12"/>
  <c r="J166" i="237"/>
  <c r="BJ6" i="18"/>
  <c r="F171" i="223"/>
  <c r="D92"/>
  <c r="L185" i="237"/>
  <c r="AB21" i="18"/>
  <c r="BE3"/>
  <c r="C125" i="223"/>
  <c r="H156" i="237"/>
  <c r="Q9" i="18"/>
  <c r="H172" i="237"/>
  <c r="F46"/>
  <c r="I161" i="223"/>
  <c r="N31" i="237"/>
  <c r="G27"/>
  <c r="B75" i="223"/>
  <c r="AS11" i="18"/>
  <c r="M119" i="237"/>
  <c r="D120" i="223"/>
  <c r="G83"/>
  <c r="K16" i="18"/>
  <c r="BD5"/>
  <c r="AM9"/>
  <c r="AX7"/>
  <c r="AC34"/>
  <c r="N32" i="237"/>
  <c r="F153" i="223"/>
  <c r="L73"/>
  <c r="C101"/>
  <c r="H33" i="237"/>
  <c r="M55"/>
  <c r="N30"/>
  <c r="D57"/>
  <c r="D29"/>
  <c r="D132"/>
  <c r="D70" i="223"/>
  <c r="E73" i="237"/>
  <c r="N173"/>
  <c r="BG19" i="18"/>
  <c r="B28" i="223"/>
  <c r="K120" i="237"/>
  <c r="L156" i="223"/>
  <c r="J127" i="237"/>
  <c r="N101" i="223"/>
  <c r="B184"/>
  <c r="AZ34" i="18"/>
  <c r="I91" i="237"/>
  <c r="C70"/>
  <c r="E73" i="223"/>
  <c r="F40"/>
  <c r="H171" i="237"/>
  <c r="AF19" i="18"/>
  <c r="K149" i="223"/>
  <c r="BB19" i="18"/>
  <c r="J151" i="237"/>
  <c r="C85" i="223"/>
  <c r="J61" i="237"/>
  <c r="N86" i="223"/>
  <c r="B41"/>
  <c r="H134" i="237"/>
  <c r="E42" i="223"/>
  <c r="AY22" i="18"/>
  <c r="D172" i="223"/>
  <c r="M13" i="18"/>
  <c r="G23" i="223"/>
  <c r="D78" i="237"/>
  <c r="D133"/>
  <c r="H145"/>
  <c r="E78" i="223"/>
  <c r="I41" i="237"/>
  <c r="G147" i="223"/>
  <c r="S31" i="15"/>
  <c r="L126" i="237"/>
  <c r="D25"/>
  <c r="L38"/>
  <c r="I20" i="223"/>
  <c r="N127"/>
  <c r="G137" i="237"/>
  <c r="BF11" i="18"/>
  <c r="D89" i="237"/>
  <c r="B137" i="223"/>
  <c r="AO14" i="18"/>
  <c r="H14"/>
  <c r="H17"/>
  <c r="F137" i="223"/>
  <c r="G139" i="237"/>
  <c r="G59"/>
  <c r="J15" i="18"/>
  <c r="O30" i="15"/>
  <c r="AB15" i="18"/>
  <c r="H135" i="237"/>
  <c r="L75"/>
  <c r="M87" i="223"/>
  <c r="N124" i="237"/>
  <c r="K2" i="1"/>
  <c r="I15"/>
  <c r="D21" i="223"/>
  <c r="K6" i="18"/>
  <c r="H181" i="237"/>
  <c r="K161"/>
  <c r="L3" i="18"/>
  <c r="I103" i="237"/>
  <c r="C179" i="223"/>
  <c r="Q21" i="15"/>
  <c r="M95" i="237"/>
  <c r="L179" i="223"/>
  <c r="AM7" i="18"/>
  <c r="J170" i="223"/>
  <c r="F151" i="237"/>
  <c r="AR4" i="18"/>
  <c r="E120" i="223"/>
  <c r="L136" i="237"/>
  <c r="S24" i="15"/>
  <c r="K88" i="237"/>
  <c r="M172"/>
  <c r="H86"/>
  <c r="G56" i="223"/>
  <c r="BL20" i="18"/>
  <c r="Y24" i="15"/>
  <c r="BI17" i="18"/>
  <c r="G69" i="223"/>
  <c r="AK18" i="18"/>
  <c r="B149" i="223"/>
  <c r="N181"/>
  <c r="I56"/>
  <c r="B160"/>
  <c r="B68" i="237"/>
  <c r="D121" i="223"/>
  <c r="G25" i="237"/>
  <c r="L27" i="15"/>
  <c r="BO7" i="18"/>
  <c r="J1" i="15"/>
  <c r="C119" i="237"/>
  <c r="BO11" i="18"/>
  <c r="J153" i="223"/>
  <c r="N186" i="237"/>
  <c r="BM15" i="18"/>
  <c r="I181" i="237"/>
  <c r="G26" i="223"/>
  <c r="AO5" i="18"/>
  <c r="F30" i="223"/>
  <c r="BK15" i="18"/>
  <c r="F39" i="237"/>
  <c r="AE12" i="18"/>
  <c r="J182" i="223"/>
  <c r="H40"/>
  <c r="K88"/>
  <c r="E25"/>
  <c r="B37"/>
  <c r="AV17" i="18"/>
  <c r="AS9"/>
  <c r="H62" i="223"/>
  <c r="B69" i="237"/>
  <c r="D44" i="223"/>
  <c r="K91"/>
  <c r="R5" i="18"/>
  <c r="J41" i="237"/>
  <c r="AN19" i="18"/>
  <c r="M120" i="237"/>
  <c r="C125"/>
  <c r="Z15" i="18"/>
  <c r="I44" i="237"/>
  <c r="M180" i="223"/>
  <c r="AB30" i="15"/>
  <c r="AY17" i="18"/>
  <c r="J43" i="237"/>
  <c r="BG34" i="18"/>
  <c r="AD11"/>
  <c r="D68" i="237"/>
  <c r="G150" i="223"/>
  <c r="G25"/>
  <c r="B173"/>
  <c r="AD4" i="18"/>
  <c r="G43" i="223"/>
  <c r="G137"/>
  <c r="E126"/>
  <c r="H151" i="237"/>
  <c r="C26"/>
  <c r="I165"/>
  <c r="AX6" i="18"/>
  <c r="V24" i="15"/>
  <c r="J130" i="223"/>
  <c r="AJ15" i="18"/>
  <c r="AY4"/>
  <c r="AM8"/>
  <c r="I93" i="237"/>
  <c r="E83" i="223"/>
  <c r="K76" i="237"/>
  <c r="I118" i="223"/>
  <c r="L136"/>
  <c r="M89" i="237"/>
  <c r="S3" i="18"/>
  <c r="M67" i="237"/>
  <c r="X13" i="18"/>
  <c r="L74" i="223"/>
  <c r="B148"/>
  <c r="E60" i="237"/>
  <c r="M141" i="223"/>
  <c r="H73"/>
  <c r="I167" i="237"/>
  <c r="E20"/>
  <c r="M67" i="223"/>
  <c r="K26" i="237"/>
  <c r="AD10" i="18"/>
  <c r="M69" i="223"/>
  <c r="B37" i="18"/>
  <c r="AW21"/>
  <c r="J57" i="237"/>
  <c r="F23"/>
  <c r="AX3" i="18"/>
  <c r="B161" i="237"/>
  <c r="BA18" i="18"/>
  <c r="D165" i="223"/>
  <c r="AA29" i="15"/>
  <c r="G12" i="18"/>
  <c r="J88" i="223"/>
  <c r="K102" i="237"/>
  <c r="BI20" i="18"/>
  <c r="J147" i="237"/>
  <c r="G94"/>
  <c r="G183" i="223"/>
  <c r="J26" i="15"/>
  <c r="V19"/>
  <c r="M161" i="237"/>
  <c r="AY6" i="18"/>
  <c r="C150" i="237"/>
  <c r="BK3" i="18"/>
  <c r="N102" i="237"/>
  <c r="B169" i="223"/>
  <c r="B141"/>
  <c r="K179" i="237"/>
  <c r="BI8" i="18"/>
  <c r="L42" i="237"/>
  <c r="M133" i="223"/>
  <c r="BM13" i="18"/>
  <c r="K23" i="15"/>
  <c r="D31" i="237"/>
  <c r="Z20" i="18"/>
  <c r="K169" i="237"/>
  <c r="AY21" i="18"/>
  <c r="H55" i="237"/>
  <c r="Q23" i="15"/>
  <c r="E89" i="223"/>
  <c r="F115" i="237"/>
  <c r="L57"/>
  <c r="G78" i="223"/>
  <c r="M31" i="15"/>
  <c r="U3" i="18"/>
  <c r="L155" i="237"/>
  <c r="H78"/>
  <c r="D173"/>
  <c r="H137" i="223"/>
  <c r="O16" i="18"/>
  <c r="AC2"/>
  <c r="M21"/>
  <c r="D162" i="223"/>
  <c r="K171"/>
  <c r="J91"/>
  <c r="M58"/>
  <c r="N123"/>
  <c r="V21" i="15"/>
  <c r="L84" i="223"/>
  <c r="M85"/>
  <c r="AQ6" i="18"/>
  <c r="K45" i="223"/>
  <c r="H34" i="18"/>
  <c r="C23" i="237"/>
  <c r="G148" i="223"/>
  <c r="G24"/>
  <c r="G40"/>
  <c r="E153" i="237"/>
  <c r="D147" i="223"/>
  <c r="E67"/>
  <c r="BB2" i="18"/>
  <c r="J12"/>
  <c r="C53" i="237"/>
  <c r="F130"/>
  <c r="S14" i="18"/>
  <c r="N19" i="15"/>
  <c r="B24" i="223"/>
  <c r="L2" i="1"/>
  <c r="I183" i="223"/>
  <c r="B127" i="237"/>
  <c r="M44"/>
  <c r="B186"/>
  <c r="C132" i="223"/>
  <c r="B44" i="237"/>
  <c r="J124"/>
  <c r="B179" i="223"/>
  <c r="L61"/>
  <c r="C75"/>
  <c r="BP21" i="18"/>
  <c r="F186" i="223"/>
  <c r="G120"/>
  <c r="AB9" i="18"/>
  <c r="I75" i="223"/>
  <c r="C25" i="237"/>
  <c r="E75" i="223"/>
  <c r="K27"/>
  <c r="I118" i="237"/>
  <c r="I23" i="223"/>
  <c r="K59" i="237"/>
  <c r="F117" i="223"/>
  <c r="AC4" i="18"/>
  <c r="L67" i="237"/>
  <c r="H138"/>
  <c r="D162"/>
  <c r="V14" i="18"/>
  <c r="AB28" i="15"/>
  <c r="O7" i="18"/>
  <c r="N87" i="223"/>
  <c r="AB31" i="15"/>
  <c r="M139" i="237"/>
  <c r="K53" i="223"/>
  <c r="J184"/>
  <c r="C92"/>
  <c r="BH14" i="18"/>
  <c r="C137" i="237"/>
  <c r="B14" i="185"/>
  <c r="K70" i="223"/>
  <c r="K153"/>
  <c r="D43"/>
  <c r="AO16" i="18"/>
  <c r="G120" i="237"/>
  <c r="J42"/>
  <c r="E118"/>
  <c r="J125"/>
  <c r="H45"/>
  <c r="F171"/>
  <c r="K34" i="18"/>
  <c r="N100" i="223"/>
  <c r="AB23" i="15"/>
  <c r="BP4" i="18"/>
  <c r="B11" i="185"/>
  <c r="BF22" i="18"/>
  <c r="AA13"/>
  <c r="C31" i="223"/>
  <c r="I84"/>
  <c r="AB25" i="15"/>
  <c r="I70" i="237"/>
  <c r="BO9" i="18"/>
  <c r="L164" i="223"/>
  <c r="N20" i="18"/>
  <c r="D76" i="237"/>
  <c r="AG3" i="18"/>
  <c r="I123" i="237"/>
  <c r="AB20" i="18"/>
  <c r="H136" i="237"/>
  <c r="F59" i="223"/>
  <c r="N167"/>
  <c r="BB9" i="18"/>
  <c r="G73" i="223"/>
  <c r="D77" i="237"/>
  <c r="G102" i="223"/>
  <c r="N131" i="237"/>
  <c r="D73" i="223"/>
  <c r="H40" i="237"/>
  <c r="AM17" i="18"/>
  <c r="B15" i="185"/>
  <c r="K136" i="223"/>
  <c r="B73"/>
  <c r="H45"/>
  <c r="L181" i="237"/>
  <c r="AH3" i="18"/>
  <c r="J46" i="237"/>
  <c r="BH10" i="18"/>
  <c r="BG6"/>
  <c r="J167" i="237"/>
  <c r="N56" i="223"/>
  <c r="R22" i="18"/>
  <c r="H94" i="223"/>
  <c r="B130" i="237"/>
  <c r="I90" i="223"/>
  <c r="F120" i="237"/>
  <c r="U4" i="18"/>
  <c r="V10"/>
  <c r="B86" i="223"/>
  <c r="AV2" i="18"/>
  <c r="BC9"/>
  <c r="U19" i="15"/>
  <c r="L46" i="223"/>
  <c r="F154"/>
  <c r="G34" i="18"/>
  <c r="B105"/>
  <c r="W2" i="14"/>
  <c r="R19" i="15"/>
  <c r="D39" i="237"/>
  <c r="K23" i="223"/>
  <c r="BP2" i="18"/>
  <c r="J85" i="237"/>
  <c r="R15" i="18"/>
  <c r="M24" i="237"/>
  <c r="AU9" i="18"/>
  <c r="L102" i="237"/>
  <c r="H168"/>
  <c r="D87"/>
  <c r="K43" i="223"/>
  <c r="J148" i="237"/>
  <c r="I140"/>
  <c r="B83"/>
  <c r="AQ20" i="18"/>
  <c r="BI19"/>
  <c r="F184" i="237"/>
  <c r="AE8" i="18"/>
  <c r="E100" i="223"/>
  <c r="J123" i="237"/>
  <c r="AS13" i="18"/>
  <c r="L74" i="237"/>
  <c r="E90" i="223"/>
  <c r="J54" i="237"/>
  <c r="M23" i="223"/>
  <c r="AY20" i="18"/>
  <c r="C124" i="223"/>
  <c r="AE6" i="18"/>
  <c r="B153" i="237"/>
  <c r="M21"/>
  <c r="AL17" i="18"/>
  <c r="N31" i="15"/>
  <c r="C163" i="237"/>
  <c r="BG20" i="18"/>
  <c r="C57" i="223"/>
  <c r="S22" i="15"/>
  <c r="G184" i="223"/>
  <c r="AL16" i="18"/>
  <c r="V22"/>
  <c r="T26" i="15"/>
  <c r="V21" i="18"/>
  <c r="H7"/>
  <c r="BC21"/>
  <c r="C130" i="237"/>
  <c r="D28"/>
  <c r="M184"/>
  <c r="U15" i="18"/>
  <c r="I163" i="223"/>
  <c r="J124"/>
  <c r="D185"/>
  <c r="AE4" i="18"/>
  <c r="B54" i="237"/>
  <c r="BC18" i="18"/>
  <c r="G86" i="223"/>
  <c r="L93" i="237"/>
  <c r="N34" i="18"/>
  <c r="K71" i="237"/>
  <c r="B156" i="223"/>
  <c r="J55"/>
  <c r="BD8" i="18"/>
  <c r="G61" i="237"/>
  <c r="C54"/>
  <c r="BN3" i="18"/>
  <c r="O20" i="15"/>
  <c r="X7" i="18"/>
  <c r="N185" i="237"/>
  <c r="AM20" i="18"/>
  <c r="N24" i="223"/>
  <c r="AL10" i="18"/>
  <c r="D23" i="223"/>
  <c r="J31"/>
  <c r="F156"/>
  <c r="K44" i="237"/>
  <c r="K76" i="223"/>
  <c r="AV19" i="18"/>
  <c r="AH34"/>
  <c r="AL9"/>
  <c r="AW12"/>
  <c r="AR9"/>
  <c r="B5" i="185"/>
  <c r="C119" i="223"/>
  <c r="B45" i="237"/>
  <c r="O19" i="15"/>
  <c r="I29"/>
  <c r="L37" i="237"/>
  <c r="D76" i="223"/>
  <c r="N149"/>
  <c r="AQ9" i="18"/>
  <c r="J127" i="223"/>
  <c r="K68" i="237"/>
  <c r="L149" i="223"/>
  <c r="E184"/>
  <c r="L89" i="237"/>
  <c r="J95"/>
  <c r="I137" i="223"/>
  <c r="E58"/>
  <c r="BF7" i="18"/>
  <c r="F170" i="237"/>
  <c r="M32" i="223"/>
  <c r="C83" i="18"/>
  <c r="J83" i="237"/>
  <c r="F77"/>
  <c r="AU2" i="18"/>
  <c r="BL15"/>
  <c r="N13"/>
  <c r="B89" i="237"/>
  <c r="N87"/>
  <c r="K122"/>
  <c r="J132"/>
  <c r="BJ39" i="18"/>
  <c r="AO19"/>
  <c r="BA5"/>
  <c r="F25" i="237"/>
  <c r="AG17" i="18"/>
  <c r="I67" i="223"/>
  <c r="H169" i="237"/>
  <c r="I152"/>
  <c r="F44" i="223"/>
  <c r="N170"/>
  <c r="AG8" i="18"/>
  <c r="F91" i="223"/>
  <c r="K61"/>
  <c r="J171"/>
  <c r="AZ4" i="18"/>
  <c r="F135" i="237"/>
  <c r="AI12" i="18"/>
  <c r="BF9"/>
  <c r="BF4"/>
  <c r="J40" i="237"/>
  <c r="N121" i="223"/>
  <c r="BM10" i="18"/>
  <c r="BG2"/>
  <c r="BC19"/>
  <c r="F161" i="237"/>
  <c r="AN7" i="18"/>
  <c r="H11"/>
  <c r="AG15"/>
  <c r="F45" i="237"/>
  <c r="E90"/>
  <c r="AX17" i="18"/>
  <c r="M127" i="237"/>
  <c r="G135"/>
  <c r="I131"/>
  <c r="H155" i="223"/>
  <c r="N184" i="237"/>
  <c r="L24"/>
  <c r="I181" i="223"/>
  <c r="I119"/>
  <c r="E56" i="237"/>
  <c r="D87" i="223"/>
  <c r="AF4" i="18"/>
  <c r="T5"/>
  <c r="B60" i="223"/>
  <c r="AT7" i="18"/>
  <c r="W31" i="15"/>
  <c r="I165" i="223"/>
  <c r="M136"/>
  <c r="BR20" i="18"/>
  <c r="O2" i="1"/>
  <c r="BI34" i="18"/>
  <c r="AZ17"/>
  <c r="AY8"/>
  <c r="AE40"/>
  <c r="K130" i="237"/>
  <c r="J120" i="223"/>
  <c r="K121"/>
  <c r="AV16" i="18"/>
  <c r="BN7"/>
  <c r="Y29" i="15"/>
  <c r="D147" i="237"/>
  <c r="N145"/>
  <c r="K31" i="15"/>
  <c r="C56" i="223"/>
  <c r="K74"/>
  <c r="D59"/>
  <c r="C154" i="237"/>
  <c r="X24" i="15"/>
  <c r="AZ8" i="18"/>
  <c r="H161" i="237"/>
  <c r="E38"/>
  <c r="BR18" i="18"/>
  <c r="L12"/>
  <c r="AA26" i="15"/>
  <c r="L118" i="237"/>
  <c r="C180" i="223"/>
  <c r="AJ39" i="18"/>
  <c r="G124" i="237"/>
  <c r="G46"/>
  <c r="I63" i="223"/>
  <c r="N133" i="237"/>
  <c r="AQ10" i="18"/>
  <c r="N4"/>
  <c r="F100" i="223"/>
  <c r="C33" i="237"/>
  <c r="F180"/>
  <c r="C26" i="223"/>
  <c r="L60" i="237"/>
  <c r="D69"/>
  <c r="N22"/>
  <c r="F119"/>
  <c r="E131" i="223"/>
  <c r="I168" i="237"/>
  <c r="BM3" i="18"/>
  <c r="BA3"/>
  <c r="BH40"/>
  <c r="AG39"/>
  <c r="Y27" i="15"/>
  <c r="M179" i="237"/>
  <c r="B23" i="14"/>
  <c r="B19"/>
  <c r="K183" i="223"/>
  <c r="K133"/>
  <c r="P19" i="15"/>
  <c r="K22" i="18"/>
  <c r="L44" i="223"/>
  <c r="G24" i="15"/>
  <c r="N43" i="237"/>
  <c r="Y3" i="18"/>
  <c r="C24" i="237"/>
  <c r="M121" i="223"/>
  <c r="BK19" i="18"/>
  <c r="E37" i="223"/>
  <c r="N12" i="18"/>
  <c r="B88" i="223"/>
  <c r="D93"/>
  <c r="B92" i="237"/>
  <c r="N58" i="223"/>
  <c r="H53"/>
  <c r="AL13" i="18"/>
  <c r="C84" i="223"/>
  <c r="D100"/>
  <c r="D118"/>
  <c r="BD39" i="18"/>
  <c r="AM5"/>
  <c r="M18"/>
  <c r="BN2"/>
  <c r="L156" i="237"/>
  <c r="I135"/>
  <c r="B58" i="223"/>
  <c r="E88" i="237"/>
  <c r="J73"/>
  <c r="N169"/>
  <c r="L41" i="223"/>
  <c r="F161"/>
  <c r="G85" i="237"/>
  <c r="AK39" i="18"/>
  <c r="E76" i="237"/>
  <c r="P18" i="18"/>
  <c r="E61" i="237"/>
  <c r="BL19" i="18"/>
  <c r="BM4"/>
  <c r="L95" i="223"/>
  <c r="F166"/>
  <c r="BQ16" i="18"/>
  <c r="K30" i="237"/>
  <c r="K38" i="223"/>
  <c r="V18" i="18"/>
  <c r="B115" i="223"/>
  <c r="AV7" i="18"/>
  <c r="B59" i="237"/>
  <c r="L163" i="223"/>
  <c r="L101"/>
  <c r="C24"/>
  <c r="X12" i="18"/>
  <c r="S26" i="15"/>
  <c r="O22"/>
  <c r="H115" i="223"/>
  <c r="K20" i="237"/>
  <c r="I20" i="18"/>
  <c r="K37" i="223"/>
  <c r="K122"/>
  <c r="K61" i="237"/>
  <c r="AV14" i="18"/>
  <c r="AV39"/>
  <c r="G76" i="237"/>
  <c r="B31" i="223"/>
  <c r="AC10" i="18"/>
  <c r="BF21"/>
  <c r="B167" i="237"/>
  <c r="BE8" i="18"/>
  <c r="M42" i="223"/>
  <c r="N20" i="237"/>
  <c r="AV8" i="18"/>
  <c r="E124" i="223"/>
  <c r="J154" i="237"/>
  <c r="AD40" i="18"/>
  <c r="E29" i="237"/>
  <c r="C95" i="18"/>
  <c r="N119" i="223"/>
  <c r="AJ7" i="18"/>
  <c r="B160" i="237"/>
  <c r="C118" i="223"/>
  <c r="K85"/>
  <c r="F147"/>
  <c r="C183"/>
  <c r="B87" i="237"/>
  <c r="O2" i="18"/>
  <c r="N125" i="237"/>
  <c r="L169" i="223"/>
  <c r="D127" i="237"/>
  <c r="B83" i="223"/>
  <c r="B183"/>
  <c r="C94" i="237"/>
  <c r="B162" i="223"/>
  <c r="AX34" i="18"/>
  <c r="H148" i="237"/>
  <c r="BE40" i="18"/>
  <c r="AZ39"/>
  <c r="B43" i="223"/>
  <c r="F123" i="237"/>
  <c r="C155"/>
  <c r="M87"/>
  <c r="K83" i="223"/>
  <c r="I8" i="1"/>
  <c r="I8" i="18" s="1"/>
  <c r="BJ5"/>
  <c r="N23" i="223"/>
  <c r="N95"/>
  <c r="E167" i="237"/>
  <c r="BO20" i="18"/>
  <c r="G169" i="237"/>
  <c r="AD2" i="18"/>
  <c r="C98"/>
  <c r="K75" i="223"/>
  <c r="K58"/>
  <c r="J60" i="237"/>
  <c r="AT14" i="18"/>
  <c r="W2" i="1"/>
  <c r="AD18" i="18"/>
  <c r="K55" i="223"/>
  <c r="P13" i="18"/>
  <c r="J69" i="223"/>
  <c r="N136"/>
  <c r="R30" i="15"/>
  <c r="C44" i="237"/>
  <c r="AR20" i="18"/>
  <c r="AE39"/>
  <c r="V20"/>
  <c r="AT2"/>
  <c r="F37" i="223"/>
  <c r="N24" i="15"/>
  <c r="M184" i="223"/>
  <c r="N94"/>
  <c r="L23" i="15"/>
  <c r="I162" i="237"/>
  <c r="BK34" i="18"/>
  <c r="C149" i="237"/>
  <c r="BP8" i="18"/>
  <c r="AT13"/>
  <c r="G136" i="237"/>
  <c r="K77" i="223"/>
  <c r="K147"/>
  <c r="K23" i="237"/>
  <c r="AK3" i="18"/>
  <c r="K115" i="237"/>
  <c r="BL9" i="18"/>
  <c r="J155" i="223"/>
  <c r="AK19" i="18"/>
  <c r="D149" i="237"/>
  <c r="F136"/>
  <c r="AO12" i="18"/>
  <c r="BR9"/>
  <c r="BO16"/>
  <c r="E70" i="223"/>
  <c r="J135"/>
  <c r="N17" i="18"/>
  <c r="I160" i="237"/>
  <c r="C165" i="223"/>
  <c r="Q28" i="15"/>
  <c r="AQ12" i="18"/>
  <c r="I62" i="223"/>
  <c r="AR34" i="18"/>
  <c r="L21" i="223"/>
  <c r="L20" i="237"/>
  <c r="B132" i="223"/>
  <c r="G28"/>
  <c r="Y8" i="18"/>
  <c r="L181" i="223"/>
  <c r="N15" i="18"/>
  <c r="C76"/>
  <c r="I9" i="1"/>
  <c r="I9" i="18" s="1"/>
  <c r="V29" i="15"/>
  <c r="B76" i="223"/>
  <c r="AJ20" i="18"/>
  <c r="J162" i="223"/>
  <c r="BC22" i="18"/>
  <c r="BP12"/>
  <c r="BK6"/>
  <c r="K185" i="237"/>
  <c r="D115"/>
  <c r="B78" i="223"/>
  <c r="AF8" i="18"/>
  <c r="H161" i="223"/>
  <c r="D125" i="237"/>
  <c r="I161"/>
  <c r="C123"/>
  <c r="J25" i="15"/>
  <c r="C38" i="237"/>
  <c r="L75" i="223"/>
  <c r="G40" i="237"/>
  <c r="L153" i="223"/>
  <c r="D93" i="237"/>
  <c r="D45"/>
  <c r="AR2" i="18"/>
  <c r="D91" i="237"/>
  <c r="X19" i="18"/>
  <c r="I45" i="223"/>
  <c r="D170" i="237"/>
  <c r="C44" i="223"/>
  <c r="J168" i="237"/>
  <c r="M165"/>
  <c r="E121"/>
  <c r="J27" i="223"/>
  <c r="F67"/>
  <c r="P22" i="15"/>
  <c r="AI16" i="18"/>
  <c r="D124" i="237"/>
  <c r="I141"/>
  <c r="F21" i="223"/>
  <c r="J21" i="18"/>
  <c r="D45" i="223"/>
  <c r="G163"/>
  <c r="M130" i="237"/>
  <c r="J156"/>
  <c r="L31"/>
  <c r="H186" i="223"/>
  <c r="L9" i="18"/>
  <c r="K118" i="237"/>
  <c r="AQ34" i="18"/>
  <c r="F21" i="1"/>
  <c r="C89" i="237"/>
  <c r="F77" i="223"/>
  <c r="AD16" i="18"/>
  <c r="M20"/>
  <c r="W16"/>
  <c r="J60" i="223"/>
  <c r="K146"/>
  <c r="F131" i="237"/>
  <c r="D184" i="223"/>
  <c r="Q13" i="18"/>
  <c r="AT39"/>
  <c r="M71" i="223"/>
  <c r="F167" i="237"/>
  <c r="BH21" i="18"/>
  <c r="F94" i="223"/>
  <c r="I164" i="237"/>
  <c r="AN9" i="18"/>
  <c r="G85" i="223"/>
  <c r="AT9" i="18"/>
  <c r="BA13"/>
  <c r="BF18"/>
  <c r="BR2"/>
  <c r="I145" i="237"/>
  <c r="B97" i="18"/>
  <c r="AN11"/>
  <c r="BN10"/>
  <c r="N89" i="237"/>
  <c r="Z21" i="15"/>
  <c r="F74" i="237"/>
  <c r="L165"/>
  <c r="G29"/>
  <c r="B120"/>
  <c r="BL7" i="18"/>
  <c r="AF20"/>
  <c r="I27" i="223"/>
  <c r="C77" i="237"/>
  <c r="L24" i="223"/>
  <c r="BB14" i="18"/>
  <c r="W34"/>
  <c r="G170" i="223"/>
  <c r="H28" i="15"/>
  <c r="D38" i="223"/>
  <c r="X20" i="18"/>
  <c r="J90" i="223"/>
  <c r="L27"/>
  <c r="AP2" i="18"/>
  <c r="D61" i="223"/>
  <c r="X26" i="15"/>
  <c r="C22" i="223"/>
  <c r="L71" i="237"/>
  <c r="S10" i="18"/>
  <c r="M154" i="223"/>
  <c r="M116"/>
  <c r="H56"/>
  <c r="L160"/>
  <c r="Q6" i="18"/>
  <c r="AN6"/>
  <c r="BA17"/>
  <c r="BG14"/>
  <c r="L60" i="223"/>
  <c r="C88"/>
  <c r="I155"/>
  <c r="I16" i="18"/>
  <c r="Z16"/>
  <c r="I138" i="237"/>
  <c r="E85"/>
  <c r="C62"/>
  <c r="I94" i="223"/>
  <c r="M90"/>
  <c r="G184" i="237"/>
  <c r="D140" i="223"/>
  <c r="BJ20" i="18"/>
  <c r="BD13"/>
  <c r="F186" i="237"/>
  <c r="L55"/>
  <c r="B169"/>
  <c r="C168" i="223"/>
  <c r="M118"/>
  <c r="AD21" i="18"/>
  <c r="J39" i="223"/>
  <c r="H149" i="237"/>
  <c r="J93"/>
  <c r="L25" i="15"/>
  <c r="R27"/>
  <c r="H147" i="223"/>
  <c r="H42" i="237"/>
  <c r="E115" i="223"/>
  <c r="D163"/>
  <c r="BI16" i="18"/>
  <c r="K155" i="223"/>
  <c r="Y18" i="18"/>
  <c r="B58" i="237"/>
  <c r="D60"/>
  <c r="B170" i="223"/>
  <c r="AF11" i="18"/>
  <c r="F138" i="223"/>
  <c r="M61" i="237"/>
  <c r="J3" i="18"/>
  <c r="J90" i="237"/>
  <c r="BP3" i="18"/>
  <c r="AH14"/>
  <c r="K14"/>
  <c r="BF14"/>
  <c r="K87" i="237"/>
  <c r="I13" i="1"/>
  <c r="K46" i="223"/>
  <c r="AB29" i="15"/>
  <c r="Q5" i="18"/>
  <c r="AP4"/>
  <c r="AK6"/>
  <c r="H55" i="223"/>
  <c r="K148" i="237"/>
  <c r="BK13" i="18"/>
  <c r="BA19"/>
  <c r="E39" i="237"/>
  <c r="K42"/>
  <c r="F169"/>
  <c r="AY39" i="18"/>
  <c r="F183" i="223"/>
  <c r="E76"/>
  <c r="F43"/>
  <c r="L130" i="237"/>
  <c r="G95"/>
  <c r="M2" i="1"/>
  <c r="N31" i="223"/>
  <c r="AD12" i="18"/>
  <c r="E37" i="237"/>
  <c r="D58"/>
  <c r="I26"/>
  <c r="N165" i="223"/>
  <c r="M22" i="237"/>
  <c r="AR10" i="18"/>
  <c r="AF2"/>
  <c r="D172" i="237"/>
  <c r="E43" i="223"/>
  <c r="J45" i="237"/>
  <c r="M27" i="15"/>
  <c r="C82" i="18"/>
  <c r="E33" i="223"/>
  <c r="B7" i="185"/>
  <c r="F21" i="237"/>
  <c r="AM40" i="18"/>
  <c r="G59" i="223"/>
  <c r="W28" i="15"/>
  <c r="B131" i="237"/>
  <c r="J181" i="223"/>
  <c r="E120" i="237"/>
  <c r="F164" i="223"/>
  <c r="Y9" i="18"/>
  <c r="BF17"/>
  <c r="AT10"/>
  <c r="J26" i="223"/>
  <c r="F43" i="237"/>
  <c r="C67" i="223"/>
  <c r="AG19" i="18"/>
  <c r="T15"/>
  <c r="AW4"/>
  <c r="E102" i="237"/>
  <c r="I17" i="1"/>
  <c r="G26" i="15"/>
  <c r="BO8" i="18"/>
  <c r="X14"/>
  <c r="C57" i="237"/>
  <c r="J10" i="18"/>
  <c r="N131" i="223"/>
  <c r="AY40" i="18"/>
  <c r="BK40"/>
  <c r="F42" i="237"/>
  <c r="R18" i="18"/>
  <c r="N150" i="223"/>
  <c r="C162"/>
  <c r="BH5" i="18"/>
  <c r="K59" i="223"/>
  <c r="X22" i="18"/>
  <c r="B133" i="237"/>
  <c r="H162" i="223"/>
  <c r="D161"/>
  <c r="C37" i="237"/>
  <c r="M163"/>
  <c r="D71" i="223"/>
  <c r="M24"/>
  <c r="C160"/>
  <c r="D85"/>
  <c r="I25"/>
  <c r="H21" i="237"/>
  <c r="L88" i="223"/>
  <c r="G92"/>
  <c r="B21" i="237"/>
  <c r="L125"/>
  <c r="E139"/>
  <c r="BQ4" i="18"/>
  <c r="BF39"/>
  <c r="P3"/>
  <c r="D88" i="237"/>
  <c r="D146"/>
  <c r="I179" i="223"/>
  <c r="C169" i="237"/>
  <c r="G29" i="15"/>
  <c r="G133" i="223"/>
  <c r="B136"/>
  <c r="V34" i="18"/>
  <c r="J20"/>
  <c r="G118" i="237"/>
  <c r="D39" i="223"/>
  <c r="AS40" i="18"/>
  <c r="Y12"/>
  <c r="G154" i="237"/>
  <c r="I146" i="223"/>
  <c r="L185"/>
  <c r="D40"/>
  <c r="E31" i="237"/>
  <c r="BQ21" i="18"/>
  <c r="S29" i="15"/>
  <c r="AW9" i="18"/>
  <c r="H57" i="223"/>
  <c r="U31" i="15"/>
  <c r="K120" i="223"/>
  <c r="AQ15" i="18"/>
  <c r="I90" i="237"/>
  <c r="BN18" i="18"/>
  <c r="AY3"/>
  <c r="H6"/>
  <c r="H38" i="237"/>
  <c r="J59"/>
  <c r="K138"/>
  <c r="W22" i="18"/>
  <c r="BO2"/>
  <c r="W22" i="15"/>
  <c r="M162" i="237"/>
  <c r="M123"/>
  <c r="E153" i="223"/>
  <c r="F53" i="237"/>
  <c r="J169" i="223"/>
  <c r="BN6" i="18"/>
  <c r="L133" i="223"/>
  <c r="D160" i="237"/>
  <c r="I2" i="1"/>
  <c r="K21" i="18"/>
  <c r="F6" i="1"/>
  <c r="C180" i="237"/>
  <c r="AW2" i="18"/>
  <c r="U26" i="15"/>
  <c r="U18" i="18"/>
  <c r="K102" i="223"/>
  <c r="K146" i="237"/>
  <c r="M126" i="223"/>
  <c r="C172"/>
  <c r="F147" i="237"/>
  <c r="I83"/>
  <c r="BE22" i="18"/>
  <c r="M83" i="237"/>
  <c r="E71"/>
  <c r="T19" i="18"/>
  <c r="BM6"/>
  <c r="G55" i="223"/>
  <c r="J33" i="237"/>
  <c r="F55" i="223"/>
  <c r="BB10" i="18"/>
  <c r="B71" i="237"/>
  <c r="M93"/>
  <c r="M150"/>
  <c r="N68"/>
  <c r="BL39" i="18"/>
  <c r="F119" i="223"/>
  <c r="AF12" i="18"/>
  <c r="L138" i="223"/>
  <c r="J43"/>
  <c r="B88" i="237"/>
  <c r="AK2" i="18"/>
  <c r="H25" i="223"/>
  <c r="N30" i="15"/>
  <c r="F116" i="237"/>
  <c r="D74" i="223"/>
  <c r="BK20" i="18"/>
  <c r="F91" i="237"/>
  <c r="C102" i="223"/>
  <c r="B126"/>
  <c r="G20"/>
  <c r="N33" i="237"/>
  <c r="H92" i="223"/>
  <c r="C87"/>
  <c r="AU12" i="18"/>
  <c r="C45" i="223"/>
  <c r="L23" i="237"/>
  <c r="N56"/>
  <c r="K71" i="223"/>
  <c r="BE7" i="18"/>
  <c r="BM7"/>
  <c r="K67" i="237"/>
  <c r="K131" i="223"/>
  <c r="N103"/>
  <c r="R20" i="18"/>
  <c r="B35"/>
  <c r="K56" i="237"/>
  <c r="E31" i="223"/>
  <c r="M85" i="237"/>
  <c r="B180"/>
  <c r="BE6" i="18"/>
  <c r="G70" i="237"/>
  <c r="H91"/>
  <c r="I78" i="223"/>
  <c r="H149"/>
  <c r="M169"/>
  <c r="F7" i="1"/>
  <c r="M186" i="237"/>
  <c r="N63" i="223"/>
  <c r="I6" i="1"/>
  <c r="I6" i="18" s="1"/>
  <c r="AB22" i="15"/>
  <c r="D23" i="237"/>
  <c r="L149"/>
  <c r="AL3" i="18"/>
  <c r="K150" i="237"/>
  <c r="I147" i="223"/>
  <c r="P19" i="18"/>
  <c r="F126" i="223"/>
  <c r="K95" i="237"/>
  <c r="H59" i="223"/>
  <c r="B125"/>
  <c r="U16" i="18"/>
  <c r="X11"/>
  <c r="U21" i="15"/>
  <c r="F58" i="237"/>
  <c r="E146" i="223"/>
  <c r="L155"/>
  <c r="AL19" i="18"/>
  <c r="E53" i="237"/>
  <c r="E46"/>
  <c r="BG3" i="18"/>
  <c r="N138" i="223"/>
  <c r="I151"/>
  <c r="L121"/>
  <c r="C149"/>
  <c r="AI4" i="18"/>
  <c r="F19" i="1"/>
  <c r="BC40" i="18"/>
  <c r="AL39"/>
  <c r="N117" i="237"/>
  <c r="F92"/>
  <c r="B168"/>
  <c r="L8" i="18"/>
  <c r="W6"/>
  <c r="H21" i="223"/>
  <c r="M30" i="237"/>
  <c r="D136"/>
  <c r="I56"/>
  <c r="Y20" i="18"/>
  <c r="K119" i="237"/>
  <c r="I140" i="223"/>
  <c r="I22" i="1"/>
  <c r="I22" i="18" s="1"/>
  <c r="K93" i="223"/>
  <c r="J156"/>
  <c r="H83"/>
  <c r="J136" i="237"/>
  <c r="B146"/>
  <c r="D68" i="223"/>
  <c r="BQ13" i="18"/>
  <c r="L101" i="237"/>
  <c r="F45" i="223"/>
  <c r="L26" i="237"/>
  <c r="K63" i="223"/>
  <c r="N165" i="237"/>
  <c r="J94"/>
  <c r="L87"/>
  <c r="M25" i="15"/>
  <c r="B171" i="237"/>
  <c r="E132" i="223"/>
  <c r="AB11" i="18"/>
  <c r="AJ34"/>
  <c r="N60" i="237"/>
  <c r="G95" i="223"/>
  <c r="S20" i="18"/>
  <c r="AJ16"/>
  <c r="D27" i="237"/>
  <c r="M58"/>
  <c r="K165" i="223"/>
  <c r="L170" i="237"/>
  <c r="AF22" i="18"/>
  <c r="E164" i="223"/>
  <c r="C154"/>
  <c r="F183" i="237"/>
  <c r="AG14" i="18"/>
  <c r="BD6"/>
  <c r="F140" i="223"/>
  <c r="G30" i="15"/>
  <c r="M41" i="223"/>
  <c r="AW11" i="18"/>
  <c r="I169" i="223"/>
  <c r="C182" i="237"/>
  <c r="J58"/>
  <c r="BP11" i="18"/>
  <c r="I61" i="223"/>
  <c r="C69" i="18"/>
  <c r="I119" i="237"/>
  <c r="E165" i="223"/>
  <c r="G28" i="237"/>
  <c r="W10" i="18"/>
  <c r="AE18"/>
  <c r="L134" i="223"/>
  <c r="C103"/>
  <c r="F53"/>
  <c r="B107" i="18"/>
  <c r="L92" i="237"/>
  <c r="C40"/>
  <c r="B26"/>
  <c r="C146" i="223"/>
  <c r="AY9" i="18"/>
  <c r="Y17"/>
  <c r="AT5"/>
  <c r="K163" i="237"/>
  <c r="BC6" i="18"/>
  <c r="N11"/>
  <c r="I83" i="223"/>
  <c r="L121" i="237"/>
  <c r="G39"/>
  <c r="C140"/>
  <c r="M124"/>
  <c r="W20" i="15"/>
  <c r="N39" i="223"/>
  <c r="I71"/>
  <c r="H125"/>
  <c r="K10" i="18"/>
  <c r="J72" i="223"/>
  <c r="K44"/>
  <c r="E22" i="237"/>
  <c r="AB4" i="18"/>
  <c r="G29" i="223"/>
  <c r="AB6" i="18"/>
  <c r="AJ19"/>
  <c r="G60" i="237"/>
  <c r="V27" i="15"/>
  <c r="AP20" i="18"/>
  <c r="K29" i="223"/>
  <c r="AB22" i="18"/>
  <c r="H68" i="223"/>
  <c r="F125" i="237"/>
  <c r="D53" i="223"/>
  <c r="Q31" i="15"/>
  <c r="H164" i="223"/>
  <c r="H28"/>
  <c r="K5" i="18"/>
  <c r="M76" i="237"/>
  <c r="B9" i="185"/>
  <c r="L26" i="15"/>
  <c r="BD3" i="18"/>
  <c r="D42" i="237"/>
  <c r="E62" i="223"/>
  <c r="R2" i="1"/>
  <c r="L28" i="237"/>
  <c r="D119"/>
  <c r="BH3" i="18"/>
  <c r="E135" i="223"/>
  <c r="G101" i="237"/>
  <c r="BQ9" i="18"/>
  <c r="L32" i="223"/>
  <c r="C153"/>
  <c r="E23"/>
  <c r="K100"/>
  <c r="N116" i="237"/>
  <c r="K89"/>
  <c r="H26" i="223"/>
  <c r="H136"/>
  <c r="H126" i="237"/>
  <c r="K160"/>
  <c r="I73" i="223"/>
  <c r="G87" i="237"/>
  <c r="H20" i="223"/>
  <c r="C184"/>
  <c r="G72"/>
  <c r="I32" i="237"/>
  <c r="J53" i="223"/>
  <c r="G182" i="237"/>
  <c r="L183"/>
  <c r="AA19" i="15"/>
  <c r="F78" i="223"/>
  <c r="K126"/>
  <c r="T10" i="18"/>
  <c r="H30" i="223"/>
  <c r="B62"/>
  <c r="BM21" i="18"/>
  <c r="D60" i="223"/>
  <c r="R13" i="18"/>
  <c r="L2" i="14"/>
  <c r="BN8" i="18"/>
  <c r="H19" i="15"/>
  <c r="F76" i="237"/>
  <c r="H117" i="223"/>
  <c r="C68" i="18"/>
  <c r="F28" i="237"/>
  <c r="B62"/>
  <c r="E162" i="223"/>
  <c r="K168" i="237"/>
  <c r="I153" i="223"/>
  <c r="J62"/>
  <c r="J139" i="237"/>
  <c r="N169" i="223"/>
  <c r="C69"/>
  <c r="N134"/>
  <c r="K162" i="237"/>
  <c r="J103" i="223"/>
  <c r="B147"/>
  <c r="H88" i="237"/>
  <c r="Y21" i="15"/>
  <c r="AG16" i="18"/>
  <c r="F184" i="223"/>
  <c r="AH5" i="18"/>
  <c r="J20" i="15"/>
  <c r="L134" i="237"/>
  <c r="Q18" i="18"/>
  <c r="N137" i="237"/>
  <c r="BA34" i="18"/>
  <c r="BQ12"/>
  <c r="M29" i="223"/>
  <c r="BG22" i="18"/>
  <c r="I77" i="223"/>
  <c r="E116"/>
  <c r="J55" i="237"/>
  <c r="S21" i="15"/>
  <c r="M134" i="237"/>
  <c r="B138"/>
  <c r="C115"/>
  <c r="L183" i="223"/>
  <c r="L141" i="237"/>
  <c r="B99" i="18"/>
  <c r="I172" i="223"/>
  <c r="F120"/>
  <c r="BI15" i="18"/>
  <c r="N42" i="237"/>
  <c r="H89" i="223"/>
  <c r="AE19" i="18"/>
  <c r="C68" i="237"/>
  <c r="I59"/>
  <c r="L123" i="223"/>
  <c r="BQ8" i="18"/>
  <c r="O20"/>
  <c r="I121" i="223"/>
  <c r="AN16" i="18"/>
  <c r="BP13"/>
  <c r="N152" i="223"/>
  <c r="D132"/>
  <c r="H78"/>
  <c r="BE5" i="18"/>
  <c r="BK22"/>
  <c r="G84" i="223"/>
  <c r="I11" i="1"/>
  <c r="T18" i="18"/>
  <c r="C77"/>
  <c r="D116" i="223"/>
  <c r="B36" i="18"/>
  <c r="B103" i="237"/>
  <c r="G156" i="223"/>
  <c r="E87"/>
  <c r="M182" i="237"/>
  <c r="BI10" i="18"/>
  <c r="K29" i="15"/>
  <c r="M2" i="18"/>
  <c r="L10"/>
  <c r="AV6"/>
  <c r="BE2"/>
  <c r="I17"/>
  <c r="BG12"/>
  <c r="I173" i="223"/>
  <c r="AV22" i="18"/>
  <c r="C136" i="237"/>
  <c r="D83" i="223"/>
  <c r="G75" i="237"/>
  <c r="I137"/>
  <c r="J155"/>
  <c r="AW10" i="18"/>
  <c r="H170" i="223"/>
  <c r="AK40" i="18"/>
  <c r="N23" i="15"/>
  <c r="B8" i="185"/>
  <c r="I53" i="223"/>
  <c r="E131" i="237"/>
  <c r="J20" i="223"/>
  <c r="G21" i="15"/>
  <c r="C69" i="237"/>
  <c r="N40" i="223"/>
  <c r="L72"/>
  <c r="B71"/>
  <c r="C84" i="18"/>
  <c r="N135" i="237"/>
  <c r="E173"/>
  <c r="H118"/>
  <c r="BR16" i="18"/>
  <c r="BM17"/>
  <c r="N153" i="223"/>
  <c r="I29"/>
  <c r="L55"/>
  <c r="AO9" i="18"/>
  <c r="O25" i="15"/>
  <c r="Q14" i="18"/>
  <c r="U24" i="15"/>
  <c r="H38" i="223"/>
  <c r="AT40" i="18"/>
  <c r="AZ40"/>
  <c r="I19"/>
  <c r="G155" i="237"/>
  <c r="E139" i="223"/>
  <c r="M101" i="237"/>
  <c r="C90" i="223"/>
  <c r="F44" i="237"/>
  <c r="P2" i="1"/>
  <c r="F132" i="223"/>
  <c r="J83"/>
  <c r="AP15" i="18"/>
  <c r="B109"/>
  <c r="J173" i="223"/>
  <c r="Q30" i="15"/>
  <c r="G2" i="18"/>
  <c r="AU39"/>
  <c r="AS16"/>
  <c r="C133" i="223"/>
  <c r="K161"/>
  <c r="G43" i="237"/>
  <c r="I71"/>
  <c r="X10" i="18"/>
  <c r="B156" i="237"/>
  <c r="BF13" i="18"/>
  <c r="N182" i="237"/>
  <c r="B56" i="223"/>
  <c r="L171" i="237"/>
  <c r="F141" i="223"/>
  <c r="H27" i="237"/>
  <c r="AW40" i="18"/>
  <c r="I84" i="237"/>
  <c r="H103"/>
  <c r="F56" i="223"/>
  <c r="J87"/>
  <c r="H20" i="15"/>
  <c r="D169" i="223"/>
  <c r="M21"/>
  <c r="C73" i="18"/>
  <c r="AC17"/>
  <c r="N62" i="223"/>
  <c r="S5" i="18"/>
  <c r="C30" i="1"/>
  <c r="I78" i="237"/>
  <c r="C167" i="223"/>
  <c r="N61" i="237"/>
  <c r="F61" i="223"/>
  <c r="B172" i="237"/>
  <c r="L130" i="223"/>
  <c r="N181" i="237"/>
  <c r="J139" i="223"/>
  <c r="C162" i="237"/>
  <c r="G90"/>
  <c r="N26"/>
  <c r="J37"/>
  <c r="AG2" i="18"/>
  <c r="E168" i="223"/>
  <c r="G126" i="237"/>
  <c r="B141"/>
  <c r="AR22" i="18"/>
  <c r="AN17"/>
  <c r="AL15"/>
  <c r="J30" i="237"/>
  <c r="B14" i="14"/>
  <c r="G60" i="223"/>
  <c r="N130"/>
  <c r="G14" i="18"/>
  <c r="D151" i="223"/>
  <c r="H22" i="237"/>
  <c r="F148" i="223"/>
  <c r="G103" i="237"/>
  <c r="C126"/>
  <c r="K41"/>
  <c r="AH39" i="18"/>
  <c r="N103" i="237"/>
  <c r="L152" i="223"/>
  <c r="M138" i="237"/>
  <c r="G181"/>
  <c r="M33" i="223"/>
  <c r="H39"/>
  <c r="J22" i="15"/>
  <c r="Q20" i="18"/>
  <c r="AF13"/>
  <c r="B116" i="237"/>
  <c r="AQ14" i="18"/>
  <c r="C122" i="223"/>
  <c r="H139"/>
  <c r="I38"/>
  <c r="G141" i="237"/>
  <c r="F33" i="223"/>
  <c r="D130"/>
  <c r="AV9" i="18"/>
  <c r="BC11"/>
  <c r="BD17"/>
  <c r="M37" i="237"/>
  <c r="B15" i="14"/>
  <c r="O29" i="15"/>
  <c r="I68" i="223"/>
  <c r="V26" i="15"/>
  <c r="AJ9" i="18"/>
  <c r="K9"/>
  <c r="E136" i="223"/>
  <c r="C135"/>
  <c r="E138"/>
  <c r="F62"/>
  <c r="AF21" i="18"/>
  <c r="AB5"/>
  <c r="G37" i="237"/>
  <c r="K87" i="223"/>
  <c r="C103" i="237"/>
  <c r="J146"/>
  <c r="BA14" i="18"/>
  <c r="AI40"/>
  <c r="L29" i="237"/>
  <c r="B131" i="223"/>
  <c r="M181"/>
  <c r="BK11" i="18"/>
  <c r="C164" i="223"/>
  <c r="BI2" i="18"/>
  <c r="L21"/>
  <c r="D91" i="223"/>
  <c r="K28" i="15"/>
  <c r="J147" i="223"/>
  <c r="AN4" i="18"/>
  <c r="M151" i="223"/>
  <c r="E63"/>
  <c r="I53" i="237"/>
  <c r="BF3" i="18"/>
  <c r="B139" i="237"/>
  <c r="N164"/>
  <c r="F93"/>
  <c r="AC7" i="18"/>
  <c r="L21" i="237"/>
  <c r="B39"/>
  <c r="AW19" i="18"/>
  <c r="G42" i="223"/>
  <c r="AQ40" i="18"/>
  <c r="G57" i="223"/>
  <c r="J18" i="18"/>
  <c r="Z29" i="15"/>
  <c r="BA6" i="18"/>
  <c r="C41" i="223"/>
  <c r="F102"/>
  <c r="BO21" i="18"/>
  <c r="N101" i="237"/>
  <c r="G75" i="223"/>
  <c r="G151"/>
  <c r="E130"/>
  <c r="E28"/>
  <c r="F24" i="1"/>
  <c r="AX2" i="18"/>
  <c r="B70" i="223"/>
  <c r="Z27" i="15"/>
  <c r="L27" i="237"/>
  <c r="M100" i="223"/>
  <c r="AL12" i="18"/>
  <c r="I152" i="223"/>
  <c r="BC2" i="18"/>
  <c r="J20" i="237"/>
  <c r="G56"/>
  <c r="E94" i="223"/>
  <c r="J121"/>
  <c r="B86" i="237"/>
  <c r="B8" i="14"/>
  <c r="M11" i="18"/>
  <c r="K182" i="237"/>
  <c r="AX15" i="18"/>
  <c r="D41" i="223"/>
  <c r="C59" i="237"/>
  <c r="AD39" i="18"/>
  <c r="AY5"/>
  <c r="U22" i="15"/>
  <c r="T21" i="18"/>
  <c r="C115" i="223"/>
  <c r="AI5" i="18"/>
  <c r="J92" i="223"/>
  <c r="G101"/>
  <c r="M91"/>
  <c r="F5" i="1"/>
  <c r="BI6" i="18"/>
  <c r="J185" i="223"/>
  <c r="J53" i="237"/>
  <c r="M117" i="223"/>
  <c r="X2" i="1"/>
  <c r="U23" i="15"/>
  <c r="H124" i="223"/>
  <c r="BM5" i="18"/>
  <c r="J6"/>
  <c r="F3" i="1"/>
  <c r="J72" i="237"/>
  <c r="K139" i="223"/>
  <c r="BA22" i="18"/>
  <c r="BP18"/>
  <c r="K125" i="223"/>
  <c r="J186" i="237"/>
  <c r="D163"/>
  <c r="G31" i="223"/>
  <c r="L53"/>
  <c r="G11" i="18"/>
  <c r="BD20"/>
  <c r="BE34"/>
  <c r="C88" s="1"/>
  <c r="Z25" i="15"/>
  <c r="Z30"/>
  <c r="G94" i="223"/>
  <c r="G44" i="237"/>
  <c r="S20" i="15"/>
  <c r="BH4" i="18"/>
  <c r="C74" i="237"/>
  <c r="J77"/>
  <c r="L70"/>
  <c r="AV4" i="18"/>
  <c r="M172" i="223"/>
  <c r="E32"/>
  <c r="M147" i="237"/>
  <c r="C78"/>
  <c r="AQ4" i="18"/>
  <c r="I55" i="237"/>
  <c r="K68" i="223"/>
  <c r="L180"/>
  <c r="I74"/>
  <c r="N168" i="237"/>
  <c r="K84" i="223"/>
  <c r="K181"/>
  <c r="L120" i="237"/>
  <c r="BP22" i="18"/>
  <c r="X31" i="15"/>
  <c r="E45" i="237"/>
  <c r="AZ19" i="18"/>
  <c r="AI6"/>
  <c r="K95" i="223"/>
  <c r="C164" i="237"/>
  <c r="T21" i="15"/>
  <c r="M91" i="237"/>
  <c r="C53" i="223"/>
  <c r="K39" i="237"/>
  <c r="G126" i="223"/>
  <c r="AL5" i="18"/>
  <c r="J160" i="223"/>
  <c r="B101"/>
  <c r="BJ21" i="18"/>
  <c r="H121" i="237"/>
  <c r="J94" i="223"/>
  <c r="H165"/>
  <c r="I127" i="237"/>
  <c r="E86" i="223"/>
  <c r="H59" i="237"/>
  <c r="M22" i="223"/>
  <c r="H95" i="237"/>
  <c r="B139" i="223"/>
  <c r="C27"/>
  <c r="L17" i="18"/>
  <c r="J150" i="223"/>
  <c r="E115" i="237"/>
  <c r="D58" i="223"/>
  <c r="N38" i="237"/>
  <c r="L28" i="15"/>
  <c r="AF15" i="18"/>
  <c r="R4"/>
  <c r="H8"/>
  <c r="L169" i="237"/>
  <c r="BA11" i="18"/>
  <c r="G122" i="237"/>
  <c r="C94" i="18"/>
  <c r="M186" i="223"/>
  <c r="B123" i="237"/>
  <c r="N164" i="223"/>
  <c r="S16" i="18"/>
  <c r="BE12"/>
  <c r="BI3"/>
  <c r="C75" i="237"/>
  <c r="B119"/>
  <c r="BC12" i="18"/>
  <c r="K94" i="237"/>
  <c r="AT11" i="18"/>
  <c r="E77" i="237"/>
  <c r="AN20" i="18"/>
  <c r="G161" i="237"/>
  <c r="G172"/>
  <c r="M170"/>
  <c r="I134" i="223"/>
  <c r="K21" i="15"/>
  <c r="F86" i="223"/>
  <c r="BI11" i="18"/>
  <c r="C185" i="237"/>
  <c r="AY12" i="18"/>
  <c r="AO34"/>
  <c r="G164" i="237"/>
  <c r="B121" i="223"/>
  <c r="I101"/>
  <c r="G134"/>
  <c r="I11" i="18"/>
  <c r="AR19"/>
  <c r="N138" i="237"/>
  <c r="G24"/>
  <c r="AA30" i="15"/>
  <c r="AT4" i="18"/>
  <c r="N146" i="223"/>
  <c r="AH2" i="18"/>
  <c r="P15"/>
  <c r="I184" i="237"/>
  <c r="F14" i="1"/>
  <c r="AF7" i="18"/>
  <c r="N130" i="237"/>
  <c r="B37"/>
  <c r="E147" i="223"/>
  <c r="J56" i="237"/>
  <c r="I27" i="15"/>
  <c r="H43" i="237"/>
  <c r="AK21" i="18"/>
  <c r="H85" i="223"/>
  <c r="J24" i="15"/>
  <c r="AW7" i="18"/>
  <c r="C107"/>
  <c r="AD34"/>
  <c r="E85" i="223"/>
  <c r="M62" i="237"/>
  <c r="M39"/>
  <c r="H146" i="223"/>
  <c r="BK8" i="18"/>
  <c r="B60" i="237"/>
  <c r="N18" i="18"/>
  <c r="C93" i="223"/>
  <c r="J116" i="237"/>
  <c r="J122" i="223"/>
  <c r="H179"/>
  <c r="Z12" i="18"/>
  <c r="M164" i="237"/>
  <c r="L166"/>
  <c r="M26" i="223"/>
  <c r="R10" i="18"/>
  <c r="AZ16"/>
  <c r="L172" i="223"/>
  <c r="AD9" i="18"/>
  <c r="K152" i="223"/>
  <c r="L22" i="237"/>
  <c r="H67"/>
  <c r="L34" i="18"/>
  <c r="BK9"/>
  <c r="L68" i="237"/>
  <c r="BR8" i="18"/>
  <c r="I92" i="223"/>
  <c r="F76"/>
  <c r="D37"/>
  <c r="I5" i="1"/>
  <c r="I5" i="18" s="1"/>
  <c r="I15"/>
  <c r="B152" i="237"/>
  <c r="I14" i="1"/>
  <c r="I14" i="18" s="1"/>
  <c r="I130" i="237"/>
  <c r="F71"/>
  <c r="N22" i="15"/>
  <c r="H24" i="223"/>
  <c r="B12" i="185"/>
  <c r="G115" i="237"/>
  <c r="Z2" i="1"/>
  <c r="J89" i="237"/>
  <c r="C37" i="223"/>
  <c r="L94" i="237"/>
  <c r="M73" i="223"/>
  <c r="Q24" i="15"/>
  <c r="AN13" i="18"/>
  <c r="I75" i="237"/>
  <c r="J137" i="223"/>
  <c r="C148" i="237"/>
  <c r="N127"/>
  <c r="J134" i="223"/>
  <c r="I164"/>
  <c r="BQ22" i="18"/>
  <c r="Y30" i="15"/>
  <c r="AB13" i="18"/>
  <c r="N100" i="237"/>
  <c r="I156"/>
  <c r="Q2" i="18"/>
  <c r="BP19"/>
  <c r="AP11"/>
  <c r="BG13"/>
  <c r="H21"/>
  <c r="Z26" i="15"/>
  <c r="I13" i="18"/>
  <c r="I135" i="223"/>
  <c r="AU3" i="18"/>
  <c r="AF9"/>
  <c r="BM16"/>
  <c r="M117" i="237"/>
  <c r="F20"/>
  <c r="P23" i="15"/>
  <c r="M139" i="223"/>
  <c r="I30" i="15"/>
  <c r="F146" i="237"/>
  <c r="L88"/>
  <c r="AQ2" i="18"/>
  <c r="J31" i="237"/>
  <c r="M121"/>
  <c r="C90" i="18"/>
  <c r="P30" i="15"/>
  <c r="AG22" i="18"/>
  <c r="AY13"/>
  <c r="F90" i="237"/>
  <c r="AS20" i="18"/>
  <c r="L161" i="223"/>
  <c r="G77" i="237"/>
  <c r="C108" i="18"/>
  <c r="L127" i="237"/>
  <c r="B186" i="223"/>
  <c r="K132" i="237"/>
  <c r="K163" i="223"/>
  <c r="L122" i="237"/>
  <c r="D155" i="223"/>
  <c r="H23" i="15"/>
  <c r="E171" i="237"/>
  <c r="BP9" i="18"/>
  <c r="K167" i="223"/>
  <c r="E134"/>
  <c r="N69"/>
  <c r="E133"/>
  <c r="N76"/>
  <c r="F89" i="237"/>
  <c r="E148"/>
  <c r="BK2" i="18"/>
  <c r="BF2"/>
  <c r="N84" i="237"/>
  <c r="E137"/>
  <c r="M84"/>
  <c r="B101" i="18"/>
  <c r="E30" i="223"/>
  <c r="M12" i="18"/>
  <c r="C137" i="223"/>
  <c r="BE21" i="18"/>
  <c r="AB19" i="15"/>
  <c r="BJ19" i="18"/>
  <c r="X25" i="15"/>
  <c r="S19" i="18"/>
  <c r="F172" i="237"/>
  <c r="E72" i="223"/>
  <c r="B45"/>
  <c r="G136"/>
  <c r="X29" i="15"/>
  <c r="B40" i="223"/>
  <c r="AX39" i="18"/>
  <c r="AW39"/>
  <c r="L39" i="223"/>
  <c r="I186" i="237"/>
  <c r="K15" i="18"/>
  <c r="K24" i="15"/>
  <c r="L83" i="223"/>
  <c r="E149"/>
  <c r="N86" i="237"/>
  <c r="O19" i="18"/>
  <c r="M103" i="223"/>
  <c r="AR16" i="18"/>
  <c r="I125" i="223"/>
  <c r="F46"/>
  <c r="L84" i="237"/>
  <c r="BR10" i="18"/>
  <c r="N118" i="237"/>
  <c r="B20" i="223"/>
  <c r="K57" i="237"/>
  <c r="I133" i="223"/>
  <c r="C62" i="18"/>
  <c r="D29" i="223"/>
  <c r="D72" i="237"/>
  <c r="AM2" i="18"/>
  <c r="L123" i="237"/>
  <c r="L83"/>
  <c r="L6" i="18"/>
  <c r="L54" i="237"/>
  <c r="G166"/>
  <c r="L24" i="15"/>
  <c r="L137" i="237"/>
  <c r="N30" i="223"/>
  <c r="G161"/>
  <c r="BI4" i="18"/>
  <c r="I7" i="1"/>
  <c r="I7" i="18" s="1"/>
  <c r="J162" i="237"/>
  <c r="B115"/>
  <c r="G31"/>
  <c r="K179" i="223"/>
  <c r="I126"/>
  <c r="C167" i="237"/>
  <c r="H119" i="223"/>
  <c r="K156"/>
  <c r="M153"/>
  <c r="BB5" i="18"/>
  <c r="C100"/>
  <c r="N88" i="223"/>
  <c r="G132"/>
  <c r="H20" i="237"/>
  <c r="U19" i="18"/>
  <c r="C28" i="237"/>
  <c r="M15" i="18"/>
  <c r="Z22" i="15"/>
  <c r="G180" i="223"/>
  <c r="F152"/>
  <c r="N7" i="18"/>
  <c r="AJ14"/>
  <c r="AB18"/>
  <c r="M74" i="237"/>
  <c r="C185" i="223"/>
  <c r="E163" i="237"/>
  <c r="G173" i="223"/>
  <c r="F88"/>
  <c r="M120"/>
  <c r="E127" i="237"/>
  <c r="C166"/>
  <c r="M31"/>
  <c r="I124" i="223"/>
  <c r="M160"/>
  <c r="N59" i="237"/>
  <c r="AL21" i="18"/>
  <c r="Q7"/>
  <c r="AK10"/>
  <c r="G67" i="223"/>
  <c r="R7" i="18"/>
  <c r="M71" i="237"/>
  <c r="E125" i="223"/>
  <c r="AG40" i="18"/>
  <c r="BB40"/>
  <c r="BK12"/>
  <c r="F154" i="237"/>
  <c r="BM9" i="18"/>
  <c r="F132" i="237"/>
  <c r="L37" i="223"/>
  <c r="AF34" i="18"/>
  <c r="N70" i="237"/>
  <c r="J172" i="223"/>
  <c r="D131" i="237"/>
  <c r="K154" i="223"/>
  <c r="B102"/>
  <c r="BJ34" i="18"/>
  <c r="N2"/>
  <c r="L40" i="223"/>
  <c r="AL6" i="18"/>
  <c r="M132" i="237"/>
  <c r="C121"/>
  <c r="N132"/>
  <c r="BG10" i="18"/>
  <c r="X6"/>
  <c r="G165" i="223"/>
  <c r="U7" i="18"/>
  <c r="AH18"/>
  <c r="H154" i="237"/>
  <c r="E172" i="223"/>
  <c r="AO40" i="18"/>
  <c r="J21" i="223"/>
  <c r="B69"/>
  <c r="B10" i="14"/>
  <c r="J121" i="237"/>
  <c r="AR14" i="18"/>
  <c r="S8"/>
  <c r="AS5"/>
  <c r="BQ20"/>
  <c r="I57" i="237"/>
  <c r="G164" i="223"/>
  <c r="E68"/>
  <c r="C42"/>
  <c r="K39"/>
  <c r="BA40" i="18"/>
  <c r="B93" i="223"/>
  <c r="N155" i="237"/>
  <c r="BI13" i="18"/>
  <c r="AH21"/>
  <c r="Z9"/>
  <c r="I186" i="223"/>
  <c r="BP14" i="18"/>
  <c r="H115" i="237"/>
  <c r="P26" i="15"/>
  <c r="K93" i="237"/>
  <c r="K168" i="223"/>
  <c r="BA20" i="18"/>
  <c r="AR7"/>
  <c r="AI39"/>
  <c r="G53" i="223"/>
  <c r="K116"/>
  <c r="G162"/>
  <c r="M68" i="237"/>
  <c r="B103" i="18"/>
  <c r="B74" i="223"/>
  <c r="T30" i="15"/>
  <c r="F168" i="237"/>
  <c r="M44" i="223"/>
  <c r="L145" i="237"/>
  <c r="AH7" i="18"/>
  <c r="B84" i="223"/>
  <c r="I72"/>
  <c r="AP40" i="18"/>
  <c r="B124" i="223"/>
  <c r="G149"/>
  <c r="L95" i="237"/>
  <c r="G30"/>
  <c r="BO12" i="18"/>
  <c r="I170" i="223"/>
  <c r="K149" i="237"/>
  <c r="I21" i="18"/>
  <c r="AB2" i="1"/>
  <c r="M148" i="237"/>
  <c r="G5" i="18"/>
  <c r="D119" i="223"/>
  <c r="N171" i="237"/>
  <c r="F29" i="223"/>
  <c r="C148"/>
  <c r="N20"/>
  <c r="K60"/>
  <c r="L16" i="18"/>
  <c r="M140" i="237"/>
  <c r="L137" i="223"/>
  <c r="E44"/>
  <c r="M146" i="237"/>
  <c r="F11" i="1"/>
  <c r="F32" i="237"/>
  <c r="BD40" i="18"/>
  <c r="L153" i="237"/>
  <c r="N46"/>
  <c r="J31" i="15"/>
  <c r="AC15" i="18"/>
  <c r="I57" i="223"/>
  <c r="F146"/>
  <c r="B123"/>
  <c r="N74" i="237"/>
  <c r="G6" i="18"/>
  <c r="G116" i="223"/>
  <c r="K165" i="237"/>
  <c r="H44" i="223"/>
  <c r="M42" i="237"/>
  <c r="G151"/>
  <c r="K22"/>
  <c r="K17" i="18"/>
  <c r="BE9"/>
  <c r="BJ12"/>
  <c r="AU5"/>
  <c r="B44" i="223"/>
  <c r="Y20" i="15"/>
  <c r="BL13" i="18"/>
  <c r="T34"/>
  <c r="L102" i="223"/>
  <c r="J14" i="18"/>
  <c r="BD12"/>
  <c r="F68" i="237"/>
  <c r="B40"/>
  <c r="AO39" i="18"/>
  <c r="K167" i="237"/>
  <c r="H127"/>
  <c r="AD5" i="18"/>
  <c r="M93" i="223"/>
  <c r="F124" i="237"/>
  <c r="K127" i="223"/>
  <c r="AK4" i="18"/>
  <c r="K13"/>
  <c r="BH7"/>
  <c r="I91" i="223"/>
  <c r="H126"/>
  <c r="AJ3" i="18"/>
  <c r="L184" i="223"/>
  <c r="K22" i="15"/>
  <c r="I76" i="237"/>
  <c r="BN9" i="18"/>
  <c r="BJ7"/>
  <c r="BC17"/>
  <c r="L20" i="223"/>
  <c r="AS2" i="18"/>
  <c r="M31" i="223"/>
  <c r="H183" i="237"/>
  <c r="J180"/>
  <c r="I141" i="223"/>
  <c r="B29"/>
  <c r="G135"/>
  <c r="AG34" i="18"/>
  <c r="H75" i="223"/>
  <c r="BM39" i="18"/>
  <c r="C147" i="237"/>
  <c r="BB13" i="18"/>
  <c r="F13" i="1"/>
  <c r="G127" i="223"/>
  <c r="B91" i="237"/>
  <c r="I136" i="223"/>
  <c r="W21" i="15"/>
  <c r="M132" i="223"/>
  <c r="H116"/>
  <c r="F67" i="237"/>
  <c r="AP17" i="18"/>
  <c r="AS14"/>
  <c r="L122" i="223"/>
  <c r="BL10" i="18"/>
  <c r="I179" i="237"/>
  <c r="AV18" i="18"/>
  <c r="X17"/>
  <c r="M152" i="237"/>
  <c r="F162"/>
  <c r="C170"/>
  <c r="B39" i="223"/>
  <c r="J75" i="237"/>
  <c r="J86"/>
  <c r="E24" i="223"/>
  <c r="B140"/>
  <c r="H153" i="237"/>
  <c r="G17" i="18"/>
  <c r="B150" i="223"/>
  <c r="J165" i="237"/>
  <c r="D46" i="223"/>
  <c r="G74"/>
  <c r="C63"/>
  <c r="AC19" i="18"/>
  <c r="B119" i="223"/>
  <c r="BC3" i="18"/>
  <c r="I37" i="223"/>
  <c r="D152"/>
  <c r="AQ5" i="18"/>
  <c r="AF5"/>
  <c r="L43" i="223"/>
  <c r="O10" i="18"/>
  <c r="D44" i="237"/>
  <c r="H152" i="223"/>
  <c r="M146"/>
  <c r="H31" i="15"/>
  <c r="K135" i="223"/>
  <c r="AO8" i="18"/>
  <c r="F90" i="223"/>
  <c r="G160"/>
  <c r="E88"/>
  <c r="E118"/>
  <c r="AT17" i="18"/>
  <c r="BB16"/>
  <c r="H135" i="223"/>
  <c r="I150"/>
  <c r="B90" i="237"/>
  <c r="I89"/>
  <c r="BB34" i="18"/>
  <c r="E21" i="223"/>
  <c r="G172"/>
  <c r="AR40" i="18"/>
  <c r="J117" i="237"/>
  <c r="AU14" i="18"/>
  <c r="AW15"/>
  <c r="J74" i="237"/>
  <c r="D138" i="223"/>
  <c r="C132" i="237"/>
  <c r="E21"/>
  <c r="G45"/>
  <c r="M137"/>
  <c r="I89" i="223"/>
  <c r="J29" i="237"/>
  <c r="M3" i="18"/>
  <c r="BH39"/>
  <c r="W7"/>
  <c r="G122" i="223"/>
  <c r="B30" i="185"/>
  <c r="D126" i="223"/>
  <c r="I22" i="237"/>
  <c r="J183" i="223"/>
  <c r="I154" i="237"/>
  <c r="H185"/>
  <c r="I132"/>
  <c r="G4" i="18"/>
  <c r="L180" i="237"/>
  <c r="L131" i="223"/>
  <c r="AX40" i="18"/>
  <c r="BJ17"/>
  <c r="D155" i="237"/>
  <c r="D169"/>
  <c r="H39"/>
  <c r="AM22" i="18"/>
  <c r="D123" i="223"/>
  <c r="L126"/>
  <c r="P21" i="15"/>
  <c r="N147" i="237"/>
  <c r="C45" i="18"/>
  <c r="E126" i="237"/>
  <c r="AK5" i="18"/>
  <c r="AN5"/>
  <c r="I40" i="237"/>
  <c r="G179" i="223"/>
  <c r="R24" i="15"/>
  <c r="J67" i="223"/>
  <c r="F136"/>
  <c r="X23" i="15"/>
  <c r="B91" i="223"/>
  <c r="BO13" i="18"/>
  <c r="I132" i="223"/>
  <c r="BD15" i="18"/>
  <c r="AV34"/>
  <c r="BC39"/>
  <c r="V78"/>
  <c r="V53"/>
  <c r="BC44"/>
  <c r="AN40"/>
  <c r="B20" i="14"/>
  <c r="E91" i="237"/>
  <c r="G130" i="223"/>
  <c r="BG40" i="18"/>
  <c r="M116" i="237"/>
  <c r="W26" i="15"/>
  <c r="AI13" i="18"/>
  <c r="AW16"/>
  <c r="AI34"/>
  <c r="N88" i="237"/>
  <c r="G160"/>
  <c r="AT8" i="18"/>
  <c r="I28" i="223"/>
  <c r="AC16" i="18"/>
  <c r="AA11"/>
  <c r="C67"/>
  <c r="G153" i="237"/>
  <c r="C155" i="223"/>
  <c r="AS4" i="18"/>
  <c r="B13" i="14"/>
  <c r="C40" i="223"/>
  <c r="H131"/>
  <c r="J87" i="237"/>
  <c r="AL14" i="18"/>
  <c r="AL53" s="1"/>
  <c r="AK17"/>
  <c r="N43" i="223"/>
  <c r="AE20" i="18"/>
  <c r="H102" i="237"/>
  <c r="F155"/>
  <c r="K100"/>
  <c r="BF40" i="18"/>
  <c r="G20" i="15"/>
  <c r="M27" i="237"/>
  <c r="I58"/>
  <c r="S2" i="1"/>
  <c r="D122" i="223"/>
  <c r="BD7" i="18"/>
  <c r="N42" i="223"/>
  <c r="B164"/>
  <c r="J154"/>
  <c r="Z6" i="18"/>
  <c r="J131" i="237"/>
  <c r="E130"/>
  <c r="T24" i="15"/>
  <c r="BL40" i="18"/>
  <c r="U28" i="15"/>
  <c r="F163" i="237"/>
  <c r="L119"/>
  <c r="F103" i="223"/>
  <c r="F38" i="237"/>
  <c r="C25" i="223"/>
  <c r="K166" i="237"/>
  <c r="E147"/>
  <c r="BN13" i="18"/>
  <c r="D75" i="223"/>
  <c r="AK7" i="18"/>
  <c r="C60"/>
  <c r="J164" i="223"/>
  <c r="BE39" i="18"/>
  <c r="H181" i="223"/>
  <c r="H101" i="237"/>
  <c r="C67"/>
  <c r="C127" i="223"/>
  <c r="K46" i="237"/>
  <c r="J23"/>
  <c r="J38"/>
  <c r="BB11" i="18"/>
  <c r="I125" i="237"/>
  <c r="BJ22" i="18"/>
  <c r="H103" i="223"/>
  <c r="M171"/>
  <c r="G58" i="237"/>
  <c r="C58"/>
  <c r="F92" i="223"/>
  <c r="H122"/>
  <c r="W21" i="18"/>
  <c r="M102" i="237"/>
  <c r="O14" i="18"/>
  <c r="J68" i="237"/>
  <c r="AP16" i="18"/>
  <c r="H25" i="237"/>
  <c r="L46"/>
  <c r="AE16" i="18"/>
  <c r="J59" i="223"/>
  <c r="E54" i="237"/>
  <c r="AP14" i="18"/>
  <c r="P27" i="15"/>
  <c r="G67" i="237"/>
  <c r="E71" i="223"/>
  <c r="D150"/>
  <c r="V2" i="18"/>
  <c r="M69" i="237"/>
  <c r="BN15" i="18"/>
  <c r="AA25" i="15"/>
  <c r="AU40" i="18"/>
  <c r="H32" i="223"/>
  <c r="H63"/>
  <c r="G186" i="237"/>
  <c r="L146"/>
  <c r="I18" i="18"/>
  <c r="N73" i="223"/>
  <c r="F134"/>
  <c r="C184" i="237"/>
  <c r="T27" i="15"/>
  <c r="N73" i="237"/>
  <c r="H138" i="223"/>
  <c r="AX20" i="18"/>
  <c r="E122" i="237"/>
  <c r="G140"/>
  <c r="Q34" i="18"/>
  <c r="N10"/>
  <c r="P10"/>
  <c r="AM34"/>
  <c r="K123" i="223"/>
  <c r="M101"/>
  <c r="BH9" i="18"/>
  <c r="G116" i="237"/>
  <c r="F54"/>
  <c r="G173"/>
  <c r="BM40" i="18"/>
  <c r="AL40"/>
  <c r="F73" i="223"/>
  <c r="BC34" i="18"/>
  <c r="F179" i="237"/>
  <c r="AE14" i="18"/>
  <c r="J100" i="237"/>
  <c r="M182" i="223"/>
  <c r="P28" i="15"/>
  <c r="D22" i="223"/>
  <c r="E133" i="237"/>
  <c r="AM4" i="18"/>
  <c r="N37" i="237"/>
  <c r="AV3" i="18"/>
  <c r="C83" i="237"/>
  <c r="M185" i="223"/>
  <c r="AG10" i="18"/>
  <c r="AO15"/>
  <c r="BQ17"/>
  <c r="K57" i="223"/>
  <c r="P7" i="18"/>
  <c r="F10" i="1"/>
  <c r="S11" i="18"/>
  <c r="D182" i="237"/>
  <c r="C70" i="223"/>
  <c r="BK39" i="18"/>
  <c r="K171" i="237"/>
  <c r="AU34" i="18"/>
  <c r="L76" i="223"/>
  <c r="I162"/>
  <c r="AG11" i="18"/>
  <c r="L91" i="237"/>
  <c r="M40"/>
  <c r="BE19" i="18"/>
  <c r="C33" i="223"/>
  <c r="K29" i="237"/>
  <c r="T3" i="18"/>
  <c r="J133" i="237"/>
  <c r="J145" i="223"/>
  <c r="I53" i="18"/>
  <c r="BG21"/>
  <c r="B13" i="185"/>
  <c r="N29" i="223"/>
  <c r="B122"/>
  <c r="AX8" i="18"/>
  <c r="E151" i="237"/>
  <c r="M135"/>
  <c r="I122"/>
  <c r="BP16" i="18"/>
  <c r="F173" i="237"/>
  <c r="BB80" i="18"/>
  <c r="G90"/>
  <c r="M86"/>
  <c r="M95"/>
  <c r="C87"/>
  <c r="AL88"/>
  <c r="BB78"/>
  <c r="BC53"/>
  <c r="BL86"/>
  <c r="AL95"/>
  <c r="AW78"/>
  <c r="AW91"/>
  <c r="I44"/>
  <c r="AW95"/>
  <c r="AK38"/>
  <c r="BI40"/>
  <c r="C74"/>
  <c r="BH72"/>
  <c r="BG72"/>
  <c r="H90"/>
  <c r="E42" i="237"/>
  <c r="M181"/>
  <c r="K24"/>
  <c r="M86"/>
  <c r="B77"/>
  <c r="M149"/>
  <c r="H165"/>
  <c r="I70" i="223"/>
  <c r="F133" i="237"/>
  <c r="L39"/>
  <c r="M88" i="223"/>
  <c r="M123"/>
  <c r="L173" i="237"/>
  <c r="E62"/>
  <c r="C20"/>
  <c r="T2" i="18"/>
  <c r="G146" i="223"/>
  <c r="M29" i="237"/>
  <c r="F29"/>
  <c r="AF40" i="18"/>
  <c r="B21" i="14"/>
  <c r="AC18" i="18"/>
  <c r="C133" i="237"/>
  <c r="I77"/>
  <c r="B89" i="223"/>
  <c r="H172"/>
  <c r="C87" i="237"/>
  <c r="R14" i="18"/>
  <c r="K86" i="223"/>
  <c r="M134"/>
  <c r="AX13" i="18"/>
  <c r="AM39"/>
  <c r="AF14"/>
  <c r="F117" i="237"/>
  <c r="H31" i="223"/>
  <c r="C72" i="237"/>
  <c r="L186" i="223"/>
  <c r="AI22" i="18"/>
  <c r="X18"/>
  <c r="H73" i="237"/>
  <c r="C84"/>
  <c r="H9" i="18"/>
  <c r="N55" i="237"/>
  <c r="J133" i="223"/>
  <c r="H141"/>
  <c r="BI9" i="18"/>
  <c r="M76" i="223"/>
  <c r="AH6" i="18"/>
  <c r="AC21"/>
  <c r="I148" i="223"/>
  <c r="E161" i="237"/>
  <c r="Z34" i="18"/>
  <c r="C60" i="223"/>
  <c r="I69" i="237"/>
  <c r="AI15" i="18"/>
  <c r="V40"/>
  <c r="F103" i="237"/>
  <c r="BJ18" i="18"/>
  <c r="K154" i="237"/>
  <c r="E160"/>
  <c r="J27" i="15"/>
  <c r="I167" i="223"/>
  <c r="Q4" i="18"/>
  <c r="BM11"/>
  <c r="C43" i="237"/>
  <c r="BD2" i="18"/>
  <c r="AB17"/>
  <c r="G53" i="237"/>
  <c r="AC40" i="18"/>
  <c r="J103" i="237"/>
  <c r="N180" i="223"/>
  <c r="AT16" i="18"/>
  <c r="AJ22"/>
  <c r="H133" i="223"/>
  <c r="I180" i="237"/>
  <c r="M24" i="15"/>
  <c r="H102" i="223"/>
  <c r="G123" i="237"/>
  <c r="H33" i="223"/>
  <c r="BR13" i="18"/>
  <c r="D59" i="237"/>
  <c r="E160" i="223"/>
  <c r="G168"/>
  <c r="G69" i="237"/>
  <c r="BN19" i="18"/>
  <c r="F31" i="237"/>
  <c r="AN39" i="18"/>
  <c r="AC39"/>
  <c r="C105"/>
  <c r="I76" i="223"/>
  <c r="E181" i="237"/>
  <c r="F118" i="223"/>
  <c r="B135" i="237"/>
  <c r="K31" i="223"/>
  <c r="AL2" i="18"/>
  <c r="L63" i="223"/>
  <c r="B10" i="185"/>
  <c r="O28" i="15"/>
  <c r="F30" i="237"/>
  <c r="J25"/>
  <c r="C139"/>
  <c r="I183"/>
  <c r="BA16" i="18"/>
  <c r="E75" i="237"/>
  <c r="Z3" i="18"/>
  <c r="C146" i="237"/>
  <c r="B138" i="223"/>
  <c r="N53"/>
  <c r="E148"/>
  <c r="BK5" i="18"/>
  <c r="BG39"/>
  <c r="AQ39"/>
  <c r="F182" i="237"/>
  <c r="L78"/>
  <c r="T9" i="18"/>
  <c r="I172" i="237"/>
  <c r="C97" i="18"/>
  <c r="S18"/>
  <c r="M130" i="223"/>
  <c r="AN15" i="18"/>
  <c r="J30" i="223"/>
  <c r="C103" i="18"/>
  <c r="L40" i="237"/>
  <c r="AB8" i="18"/>
  <c r="U5"/>
  <c r="AS10"/>
  <c r="AF39"/>
  <c r="B9" i="14"/>
  <c r="G19" i="15"/>
  <c r="AS22" i="18"/>
  <c r="J88" i="237"/>
  <c r="L162" i="223"/>
  <c r="BA2" i="18"/>
  <c r="C21" i="223"/>
  <c r="D145" i="237"/>
  <c r="E151" i="223"/>
  <c r="AC11" i="18"/>
  <c r="M20" i="15"/>
  <c r="H150" i="223"/>
  <c r="AJ77" i="18"/>
  <c r="L62" i="237"/>
  <c r="D43"/>
  <c r="C179"/>
  <c r="B164"/>
  <c r="AA2" i="1"/>
  <c r="B29" i="237"/>
  <c r="N162"/>
  <c r="AD20" i="18"/>
  <c r="K7"/>
  <c r="B78" i="237"/>
  <c r="Q26" i="15"/>
  <c r="N75" i="237"/>
  <c r="BH68" i="18"/>
  <c r="L124" i="237"/>
  <c r="N74" i="223"/>
  <c r="F181"/>
  <c r="Y4" i="18"/>
  <c r="I46" i="237"/>
  <c r="D94" i="223"/>
  <c r="P16" i="18"/>
  <c r="G72" i="237"/>
  <c r="G41"/>
  <c r="B68" i="223"/>
  <c r="AG4" i="18"/>
  <c r="K121" i="237"/>
  <c r="BD9" i="18"/>
  <c r="AT67"/>
  <c r="AN55"/>
  <c r="BM78"/>
  <c r="AL86"/>
  <c r="AO38"/>
  <c r="AW86"/>
  <c r="H57"/>
  <c r="BH55"/>
  <c r="AL78"/>
  <c r="BM44"/>
  <c r="AD44"/>
  <c r="BI61"/>
  <c r="BC61"/>
  <c r="BG95"/>
  <c r="AL77"/>
  <c r="AH77"/>
  <c r="S72"/>
  <c r="BH38"/>
  <c r="BG38"/>
  <c r="G38"/>
  <c r="Z53"/>
  <c r="BL53"/>
  <c r="BM92"/>
  <c r="BG65"/>
  <c r="AG65"/>
  <c r="BE53"/>
  <c r="BG90"/>
  <c r="BI50"/>
  <c r="AJ40"/>
  <c r="AD86"/>
  <c r="M71"/>
  <c r="S78"/>
  <c r="G57"/>
  <c r="I90"/>
  <c r="AU55"/>
  <c r="BG78"/>
  <c r="AL91"/>
  <c r="AG95"/>
  <c r="S44"/>
  <c r="V61"/>
  <c r="AG61"/>
  <c r="H95"/>
  <c r="X77"/>
  <c r="AO77"/>
  <c r="V96"/>
  <c r="AT55"/>
  <c r="AW68"/>
  <c r="X68"/>
  <c r="S38"/>
  <c r="BB38"/>
  <c r="AU53"/>
  <c r="X67"/>
  <c r="H86"/>
  <c r="BH92"/>
  <c r="AK92"/>
  <c r="Z65"/>
  <c r="AH85"/>
  <c r="BH53"/>
  <c r="BH61"/>
  <c r="BI88"/>
  <c r="Z57"/>
  <c r="BC67"/>
  <c r="AJ71"/>
  <c r="C48"/>
  <c r="BL72"/>
  <c r="AU78"/>
  <c r="AN91"/>
  <c r="AJ91"/>
  <c r="C117" i="223"/>
  <c r="Y15" i="18"/>
  <c r="K90" i="223"/>
  <c r="D120" i="237"/>
  <c r="P6" i="18"/>
  <c r="F182" i="223"/>
  <c r="B25" i="237"/>
  <c r="M152" i="223"/>
  <c r="K19" i="18"/>
  <c r="H120" i="237"/>
  <c r="W3" i="18"/>
  <c r="K32" i="237"/>
  <c r="AA28" i="15"/>
  <c r="N54" i="237"/>
  <c r="M23"/>
  <c r="G162"/>
  <c r="C172"/>
  <c r="F162" i="223"/>
  <c r="BM2" i="18"/>
  <c r="C31" i="237"/>
  <c r="X27" i="15"/>
  <c r="BA39" i="18"/>
  <c r="I136" i="237"/>
  <c r="BJ13" i="18"/>
  <c r="F185" i="237"/>
  <c r="AB12" i="18"/>
  <c r="AB40" s="1"/>
  <c r="U2" i="1"/>
  <c r="AI17" i="18"/>
  <c r="H27" i="223"/>
  <c r="X19" i="15"/>
  <c r="C152" i="223"/>
  <c r="Y2" i="1"/>
  <c r="N161" i="223"/>
  <c r="AQ11" i="18"/>
  <c r="G22" i="237"/>
  <c r="G87" i="223"/>
  <c r="H180" i="237"/>
  <c r="H94"/>
  <c r="I44" i="223"/>
  <c r="U21" i="18"/>
  <c r="I62" i="237"/>
  <c r="B152" i="223"/>
  <c r="M73" i="237"/>
  <c r="L42" i="223"/>
  <c r="BK7" i="18"/>
  <c r="AY7"/>
  <c r="I59" i="223"/>
  <c r="J2" i="1"/>
  <c r="F55" i="237"/>
  <c r="AS21" i="18"/>
  <c r="J16"/>
  <c r="J40" s="1"/>
  <c r="M33" i="237"/>
  <c r="Y31" i="15"/>
  <c r="AP22" i="18"/>
  <c r="O12"/>
  <c r="O40" s="1"/>
  <c r="J132" i="223"/>
  <c r="T6" i="18"/>
  <c r="L58" i="237"/>
  <c r="BI39" i="18"/>
  <c r="D63" i="223"/>
  <c r="B42"/>
  <c r="BD19" i="18"/>
  <c r="W9"/>
  <c r="P31" i="15"/>
  <c r="F139" i="237"/>
  <c r="F121" i="223"/>
  <c r="AQ8" i="18"/>
  <c r="AA16"/>
  <c r="N171" i="223"/>
  <c r="H70" i="237"/>
  <c r="E23"/>
  <c r="AR11" i="18"/>
  <c r="AH82"/>
  <c r="D124" i="223"/>
  <c r="I33"/>
  <c r="J62" i="237"/>
  <c r="K21"/>
  <c r="K92" i="223"/>
  <c r="D152" i="237"/>
  <c r="F22"/>
  <c r="E184"/>
  <c r="N77"/>
  <c r="G115" i="223"/>
  <c r="F145"/>
  <c r="AC3" i="18"/>
  <c r="BA4"/>
  <c r="N123" i="237"/>
  <c r="AF18" i="18"/>
  <c r="AV5"/>
  <c r="F20" i="223"/>
  <c r="N22" i="18"/>
  <c r="W39"/>
  <c r="P39"/>
  <c r="E124" i="237"/>
  <c r="Q17" i="18"/>
  <c r="L140" i="223"/>
  <c r="I133" i="237"/>
  <c r="AZ14" i="18"/>
  <c r="G45" i="223"/>
  <c r="AR17" i="18"/>
  <c r="U14"/>
  <c r="E72" i="237"/>
  <c r="C86"/>
  <c r="J126" i="223"/>
  <c r="M138"/>
  <c r="D125"/>
  <c r="AX16" i="18"/>
  <c r="J95" i="223"/>
  <c r="E84"/>
  <c r="B126" i="237"/>
  <c r="T28" i="15"/>
  <c r="J183" i="237"/>
  <c r="M84" i="223"/>
  <c r="R21" i="18"/>
  <c r="D103" i="223"/>
  <c r="M46"/>
  <c r="L33" i="237"/>
  <c r="AR39" i="18"/>
  <c r="B94" i="223"/>
  <c r="J67" i="237"/>
  <c r="Q27" i="15"/>
  <c r="U20"/>
  <c r="B22" i="14"/>
  <c r="AS12" i="18"/>
  <c r="AQ7"/>
  <c r="E77" i="223"/>
  <c r="AI11" i="18"/>
  <c r="B25" i="14"/>
  <c r="BF8" i="18"/>
  <c r="B67" i="237"/>
  <c r="AM6" i="18"/>
  <c r="C141" i="237"/>
  <c r="AV40" i="18"/>
  <c r="G30" i="223"/>
  <c r="H87" i="237"/>
  <c r="AI8" i="18"/>
  <c r="M37" i="223"/>
  <c r="L29" i="15"/>
  <c r="K40" i="237"/>
  <c r="G27" i="15"/>
  <c r="AS8" i="18"/>
  <c r="K101" i="237"/>
  <c r="B30" i="223"/>
  <c r="H184"/>
  <c r="N21" i="237"/>
  <c r="BJ40" i="18"/>
  <c r="AF94"/>
  <c r="B145" i="223"/>
  <c r="F155"/>
  <c r="E166" i="237"/>
  <c r="L151" i="223"/>
  <c r="K28" i="237"/>
  <c r="D90" i="223"/>
  <c r="L20" i="18"/>
  <c r="L40" s="1"/>
  <c r="L147" i="237"/>
  <c r="B153" i="223"/>
  <c r="BO18" i="18"/>
  <c r="E186" i="237"/>
  <c r="H74"/>
  <c r="M148" i="223"/>
  <c r="AY57" i="18"/>
  <c r="BK78"/>
  <c r="AJ46"/>
  <c r="T65"/>
  <c r="AF86"/>
  <c r="AM72"/>
  <c r="R94"/>
  <c r="AA10"/>
  <c r="K37" i="237"/>
  <c r="F22" i="223"/>
  <c r="E22"/>
  <c r="H60" i="237"/>
  <c r="E165"/>
  <c r="F93" i="223"/>
  <c r="D186" i="237"/>
  <c r="AE3" i="18"/>
  <c r="K186" i="223"/>
  <c r="B20" i="237"/>
  <c r="AJ2" i="18"/>
  <c r="J25" i="223"/>
  <c r="J23" i="15"/>
  <c r="AR51" i="18"/>
  <c r="BM56"/>
  <c r="BE74"/>
  <c r="BL90"/>
  <c r="AG81"/>
  <c r="AP82"/>
  <c r="AT89"/>
  <c r="AR87"/>
  <c r="AN78"/>
  <c r="AX45"/>
  <c r="AM53"/>
  <c r="AL73"/>
  <c r="BH79"/>
  <c r="AC88"/>
  <c r="BD52"/>
  <c r="AE69"/>
  <c r="Z61"/>
  <c r="Z66"/>
  <c r="AM56"/>
  <c r="BK75"/>
  <c r="AL87"/>
  <c r="AC86"/>
  <c r="G42"/>
  <c r="Y76"/>
  <c r="AG71"/>
  <c r="I49"/>
  <c r="K45"/>
  <c r="AH64"/>
  <c r="O94"/>
  <c r="AW63"/>
  <c r="O84"/>
  <c r="N81"/>
  <c r="AZ60"/>
  <c r="C80"/>
  <c r="AQ77"/>
  <c r="AO64"/>
  <c r="AZ78"/>
  <c r="AD87"/>
  <c r="AT45"/>
  <c r="AH96"/>
  <c r="AH74"/>
  <c r="AC84"/>
  <c r="BG46"/>
  <c r="AL66"/>
  <c r="AS93"/>
  <c r="J56"/>
  <c r="AI54"/>
  <c r="J83"/>
  <c r="R80"/>
  <c r="Z45"/>
  <c r="AH57"/>
  <c r="BK90"/>
  <c r="Z55"/>
  <c r="AG41"/>
  <c r="BH76"/>
  <c r="AT78"/>
  <c r="AD91"/>
  <c r="BF91"/>
  <c r="Y74"/>
  <c r="BM95"/>
  <c r="AG59"/>
  <c r="BI59"/>
  <c r="AP73"/>
  <c r="BL41"/>
  <c r="V52"/>
  <c r="BI52"/>
  <c r="AN70"/>
  <c r="AI70"/>
  <c r="AX44"/>
  <c r="BB44"/>
  <c r="AZ54"/>
  <c r="AM54"/>
  <c r="AN63"/>
  <c r="AH79"/>
  <c r="AC79"/>
  <c r="BA61"/>
  <c r="L61"/>
  <c r="BG61"/>
  <c r="AB66"/>
  <c r="BJ95"/>
  <c r="T77"/>
  <c r="BH77"/>
  <c r="AB78"/>
  <c r="L96"/>
  <c r="S55"/>
  <c r="AI72"/>
  <c r="L87"/>
  <c r="AU87"/>
  <c r="AK68"/>
  <c r="K68"/>
  <c r="T91"/>
  <c r="S57"/>
  <c r="J57"/>
  <c r="AY38"/>
  <c r="O38"/>
  <c r="P53"/>
  <c r="H53"/>
  <c r="P67"/>
  <c r="BE67"/>
  <c r="BF43"/>
  <c r="AY43"/>
  <c r="BG75"/>
  <c r="AV75"/>
  <c r="N71"/>
  <c r="AA94"/>
  <c r="T82"/>
  <c r="BL82"/>
  <c r="P45"/>
  <c r="AE47"/>
  <c r="AU47"/>
  <c r="R91"/>
  <c r="BD93"/>
  <c r="S93"/>
  <c r="BA89"/>
  <c r="AJ89"/>
  <c r="AM89"/>
  <c r="AI86"/>
  <c r="BG86"/>
  <c r="AR92"/>
  <c r="BI92"/>
  <c r="AM45"/>
  <c r="AX65"/>
  <c r="AM65"/>
  <c r="AV65"/>
  <c r="AJ55"/>
  <c r="BC41"/>
  <c r="BI60"/>
  <c r="BD60"/>
  <c r="AN46"/>
  <c r="AQ46"/>
  <c r="W61"/>
  <c r="AS42"/>
  <c r="AA42"/>
  <c r="S51"/>
  <c r="AA51"/>
  <c r="AJ88"/>
  <c r="BG67"/>
  <c r="AS53"/>
  <c r="AS73"/>
  <c r="L79"/>
  <c r="S88"/>
  <c r="BH83"/>
  <c r="BM89"/>
  <c r="AK57"/>
  <c r="L66"/>
  <c r="X56"/>
  <c r="AJ75"/>
  <c r="AF87"/>
  <c r="Y86"/>
  <c r="K58"/>
  <c r="AV76"/>
  <c r="AK71"/>
  <c r="AT49"/>
  <c r="BK45"/>
  <c r="AG93"/>
  <c r="AY94"/>
  <c r="Z63"/>
  <c r="BH84"/>
  <c r="AR81"/>
  <c r="BE43"/>
  <c r="C86"/>
  <c r="AS77"/>
  <c r="AT64"/>
  <c r="M78"/>
  <c r="J65"/>
  <c r="J45"/>
  <c r="AK66"/>
  <c r="I74"/>
  <c r="G74"/>
  <c r="AY46"/>
  <c r="AV66"/>
  <c r="AQ93"/>
  <c r="V56"/>
  <c r="V72"/>
  <c r="AQ83"/>
  <c r="AA80"/>
  <c r="BI45"/>
  <c r="AX57"/>
  <c r="K90"/>
  <c r="Q55"/>
  <c r="BE41"/>
  <c r="S76"/>
  <c r="X78"/>
  <c r="AQ78"/>
  <c r="BH91"/>
  <c r="U91"/>
  <c r="P95"/>
  <c r="BM59"/>
  <c r="AO59"/>
  <c r="L73"/>
  <c r="AX41"/>
  <c r="S52"/>
  <c r="BK52"/>
  <c r="AF70"/>
  <c r="AM70"/>
  <c r="L44"/>
  <c r="AI44"/>
  <c r="N44"/>
  <c r="U54"/>
  <c r="AY63"/>
  <c r="N79"/>
  <c r="Q79"/>
  <c r="AA79"/>
  <c r="AD45"/>
  <c r="S61"/>
  <c r="T66"/>
  <c r="BI95"/>
  <c r="BD77"/>
  <c r="AY77"/>
  <c r="J78"/>
  <c r="AD96"/>
  <c r="M55"/>
  <c r="U72"/>
  <c r="BD45"/>
  <c r="BF87"/>
  <c r="Y68"/>
  <c r="AI68"/>
  <c r="P91"/>
  <c r="BB57"/>
  <c r="V57"/>
  <c r="AL38"/>
  <c r="N38"/>
  <c r="AP53"/>
  <c r="Q53"/>
  <c r="Q67"/>
  <c r="N67"/>
  <c r="Y43"/>
  <c r="AU43"/>
  <c r="Z75"/>
  <c r="AI75"/>
  <c r="BD71"/>
  <c r="J94"/>
  <c r="AU82"/>
  <c r="AQ82"/>
  <c r="W47"/>
  <c r="L47"/>
  <c r="AK47"/>
  <c r="R67"/>
  <c r="AD49"/>
  <c r="BA93"/>
  <c r="BC89"/>
  <c r="Y89"/>
  <c r="AS89"/>
  <c r="BA86"/>
  <c r="BF86"/>
  <c r="R92"/>
  <c r="AM92"/>
  <c r="V92"/>
  <c r="AH78"/>
  <c r="BE65"/>
  <c r="Y65"/>
  <c r="U55"/>
  <c r="AS41"/>
  <c r="X60"/>
  <c r="K60"/>
  <c r="AU60"/>
  <c r="W46"/>
  <c r="L65"/>
  <c r="AU38"/>
  <c r="AB69"/>
  <c r="AD60"/>
  <c r="AW46"/>
  <c r="AE41"/>
  <c r="S68"/>
  <c r="BB39"/>
  <c r="W65"/>
  <c r="BL44"/>
  <c r="AN96"/>
  <c r="AH80"/>
  <c r="BG58"/>
  <c r="T78"/>
  <c r="Y42"/>
  <c r="AN54"/>
  <c r="G49"/>
  <c r="AO45"/>
  <c r="BH82"/>
  <c r="BK62"/>
  <c r="BM63"/>
  <c r="AH95"/>
  <c r="AZ84"/>
  <c r="K48"/>
  <c r="BE78"/>
  <c r="I61"/>
  <c r="AH43"/>
  <c r="AV94"/>
  <c r="O73"/>
  <c r="M82"/>
  <c r="BH60"/>
  <c r="AV86"/>
  <c r="BB74"/>
  <c r="BK46"/>
  <c r="U66"/>
  <c r="BL93"/>
  <c r="AD56"/>
  <c r="BB56"/>
  <c r="AE54"/>
  <c r="AU83"/>
  <c r="BE80"/>
  <c r="BL45"/>
  <c r="BH57"/>
  <c r="AM55"/>
  <c r="AX55"/>
  <c r="T41"/>
  <c r="AX78"/>
  <c r="AU91"/>
  <c r="R74"/>
  <c r="N59"/>
  <c r="AD73"/>
  <c r="BE52"/>
  <c r="V70"/>
  <c r="AJ70"/>
  <c r="AK44"/>
  <c r="AE44"/>
  <c r="O44"/>
  <c r="M54"/>
  <c r="S63"/>
  <c r="O79"/>
  <c r="AM79"/>
  <c r="W79"/>
  <c r="AI61"/>
  <c r="H61"/>
  <c r="AD66"/>
  <c r="AO95"/>
  <c r="BE77"/>
  <c r="AA77"/>
  <c r="G78"/>
  <c r="R96"/>
  <c r="X55"/>
  <c r="AO72"/>
  <c r="AC72"/>
  <c r="H87"/>
  <c r="N68"/>
  <c r="AF68"/>
  <c r="V91"/>
  <c r="AO57"/>
  <c r="U57"/>
  <c r="W38"/>
  <c r="M38"/>
  <c r="AJ53"/>
  <c r="K53"/>
  <c r="J67"/>
  <c r="AJ67"/>
  <c r="O43"/>
  <c r="AK43"/>
  <c r="G75"/>
  <c r="T75"/>
  <c r="AR71"/>
  <c r="BG94"/>
  <c r="BC82"/>
  <c r="AO82"/>
  <c r="AP47"/>
  <c r="G47"/>
  <c r="AQ47"/>
  <c r="L49"/>
  <c r="AQ49"/>
  <c r="Z93"/>
  <c r="S89"/>
  <c r="BJ89"/>
  <c r="AO89"/>
  <c r="I86"/>
  <c r="U86"/>
  <c r="AE92"/>
  <c r="BF92"/>
  <c r="BJ92"/>
  <c r="BA65"/>
  <c r="N65"/>
  <c r="AA65"/>
  <c r="AO55"/>
  <c r="AH41"/>
  <c r="AO60"/>
  <c r="AR60"/>
  <c r="L60"/>
  <c r="AD46"/>
  <c r="AD67"/>
  <c r="AN42"/>
  <c r="AF42"/>
  <c r="BD51"/>
  <c r="I51"/>
  <c r="AE88"/>
  <c r="AC78"/>
  <c r="V85"/>
  <c r="AZ61"/>
  <c r="AD58"/>
  <c r="J88"/>
  <c r="AU41"/>
  <c r="BC68"/>
  <c r="AS39"/>
  <c r="AN66"/>
  <c r="AR56"/>
  <c r="U75"/>
  <c r="U87"/>
  <c r="BI68"/>
  <c r="BJ51"/>
  <c r="M76"/>
  <c r="AN92"/>
  <c r="BA49"/>
  <c r="S45"/>
  <c r="AG43"/>
  <c r="BB94"/>
  <c r="AH63"/>
  <c r="T95"/>
  <c r="AY81"/>
  <c r="AW88"/>
  <c r="C53"/>
  <c r="C57"/>
  <c r="BB58"/>
  <c r="AH40"/>
  <c r="H78"/>
  <c r="AP87"/>
  <c r="AC45"/>
  <c r="BB96"/>
  <c r="BF74"/>
  <c r="Z84"/>
  <c r="J46"/>
  <c r="AV93"/>
  <c r="BC93"/>
  <c r="AK56"/>
  <c r="AG54"/>
  <c r="AT83"/>
  <c r="T80"/>
  <c r="O45"/>
  <c r="BM57"/>
  <c r="M90"/>
  <c r="BL55"/>
  <c r="J41"/>
  <c r="BD94"/>
  <c r="BI78"/>
  <c r="BK91"/>
  <c r="H91"/>
  <c r="Z74"/>
  <c r="AE95"/>
  <c r="AD59"/>
  <c r="AI73"/>
  <c r="AJ73"/>
  <c r="G41"/>
  <c r="BJ52"/>
  <c r="AZ52"/>
  <c r="G70"/>
  <c r="AS70"/>
  <c r="G44"/>
  <c r="AU44"/>
  <c r="AX54"/>
  <c r="W45"/>
  <c r="O63"/>
  <c r="AR79"/>
  <c r="AN79"/>
  <c r="AH61"/>
  <c r="P61"/>
  <c r="AB61"/>
  <c r="AQ66"/>
  <c r="O95"/>
  <c r="P77"/>
  <c r="O77"/>
  <c r="AV78"/>
  <c r="AE96"/>
  <c r="BF55"/>
  <c r="BA72"/>
  <c r="AH87"/>
  <c r="X87"/>
  <c r="AB68"/>
  <c r="AU68"/>
  <c r="AE91"/>
  <c r="AJ57"/>
  <c r="AX38"/>
  <c r="BA38"/>
  <c r="AC38"/>
  <c r="AY53"/>
  <c r="U53"/>
  <c r="AM67"/>
  <c r="AZ67"/>
  <c r="U43"/>
  <c r="BI43"/>
  <c r="BC75"/>
  <c r="J75"/>
  <c r="V71"/>
  <c r="H94"/>
  <c r="AC82"/>
  <c r="BK82"/>
  <c r="AO47"/>
  <c r="V47"/>
  <c r="P47"/>
  <c r="M49"/>
  <c r="M93"/>
  <c r="X93"/>
  <c r="H89"/>
  <c r="AB89"/>
  <c r="K89"/>
  <c r="P86"/>
  <c r="AU86"/>
  <c r="S92"/>
  <c r="AV92"/>
  <c r="BC70"/>
  <c r="BI65"/>
  <c r="AF65"/>
  <c r="R65"/>
  <c r="X45"/>
  <c r="AJ41"/>
  <c r="R60"/>
  <c r="V60"/>
  <c r="Y46"/>
  <c r="BJ46"/>
  <c r="AX42"/>
  <c r="AO51"/>
  <c r="BE45"/>
  <c r="AF88"/>
  <c r="X88"/>
  <c r="AK53"/>
  <c r="U50"/>
  <c r="BA50"/>
  <c r="AM50"/>
  <c r="AP58"/>
  <c r="BF58"/>
  <c r="AW58"/>
  <c r="BB90"/>
  <c r="AV90"/>
  <c r="AZ90"/>
  <c r="AN86"/>
  <c r="AN53"/>
  <c r="AK41"/>
  <c r="AW56"/>
  <c r="AA56"/>
  <c r="AC46"/>
  <c r="AX85"/>
  <c r="BG85"/>
  <c r="J85"/>
  <c r="W63"/>
  <c r="P54"/>
  <c r="AP84"/>
  <c r="H84"/>
  <c r="S83"/>
  <c r="BG83"/>
  <c r="R83"/>
  <c r="AC81"/>
  <c r="AD81"/>
  <c r="I81"/>
  <c r="L89"/>
  <c r="BE95"/>
  <c r="AQ48"/>
  <c r="AO48"/>
  <c r="BI48"/>
  <c r="R62"/>
  <c r="BF62"/>
  <c r="K62"/>
  <c r="AJ62"/>
  <c r="BJ74"/>
  <c r="X74"/>
  <c r="AJ96"/>
  <c r="Z43"/>
  <c r="L78"/>
  <c r="AH52"/>
  <c r="Y80"/>
  <c r="BJ80"/>
  <c r="BI80"/>
  <c r="P64"/>
  <c r="AD64"/>
  <c r="AF64"/>
  <c r="BI79"/>
  <c r="AF44"/>
  <c r="AM44"/>
  <c r="AP92"/>
  <c r="S73"/>
  <c r="AT38"/>
  <c r="Z59"/>
  <c r="BK59"/>
  <c r="AT69"/>
  <c r="AV69"/>
  <c r="BC69"/>
  <c r="BL76"/>
  <c r="Q76"/>
  <c r="BD66"/>
  <c r="I87"/>
  <c r="AR95"/>
  <c r="BL87"/>
  <c r="AY75"/>
  <c r="BC42"/>
  <c r="AT51"/>
  <c r="M88"/>
  <c r="U88"/>
  <c r="BE88"/>
  <c r="AK77"/>
  <c r="AS50"/>
  <c r="BM50"/>
  <c r="BB50"/>
  <c r="BI58"/>
  <c r="Y58"/>
  <c r="AK58"/>
  <c r="BC90"/>
  <c r="W90"/>
  <c r="V90"/>
  <c r="AW71"/>
  <c r="AD71"/>
  <c r="J86"/>
  <c r="BI56"/>
  <c r="AL56"/>
  <c r="M60"/>
  <c r="BB72"/>
  <c r="BB45"/>
  <c r="AR85"/>
  <c r="AB85"/>
  <c r="V54"/>
  <c r="BA45"/>
  <c r="BA67"/>
  <c r="AA84"/>
  <c r="W83"/>
  <c r="BE83"/>
  <c r="J81"/>
  <c r="BF81"/>
  <c r="AO81"/>
  <c r="I89"/>
  <c r="T88"/>
  <c r="BJ48"/>
  <c r="BA48"/>
  <c r="AY48"/>
  <c r="AE46"/>
  <c r="BC62"/>
  <c r="BI62"/>
  <c r="BH62"/>
  <c r="U74"/>
  <c r="S74"/>
  <c r="AC96"/>
  <c r="L70"/>
  <c r="L53"/>
  <c r="Q52"/>
  <c r="S80"/>
  <c r="P80"/>
  <c r="M80"/>
  <c r="BE64"/>
  <c r="V64"/>
  <c r="AG64"/>
  <c r="AD79"/>
  <c r="BI44"/>
  <c r="W44"/>
  <c r="AP91"/>
  <c r="BK73"/>
  <c r="AJ38"/>
  <c r="X59"/>
  <c r="Y59"/>
  <c r="AD69"/>
  <c r="V69"/>
  <c r="AS69"/>
  <c r="AF76"/>
  <c r="BD76"/>
  <c r="AV87"/>
  <c r="S75"/>
  <c r="AU42"/>
  <c r="AY51"/>
  <c r="AK88"/>
  <c r="H88"/>
  <c r="AM88"/>
  <c r="AS68"/>
  <c r="X50"/>
  <c r="AY50"/>
  <c r="AU50"/>
  <c r="BD58"/>
  <c r="AN58"/>
  <c r="AO58"/>
  <c r="BF90"/>
  <c r="AT90"/>
  <c r="Y90"/>
  <c r="AN68"/>
  <c r="R93"/>
  <c r="BJ41"/>
  <c r="Y55"/>
  <c r="AG56"/>
  <c r="AC51"/>
  <c r="BA85"/>
  <c r="O85"/>
  <c r="BJ85"/>
  <c r="K54"/>
  <c r="X84"/>
  <c r="BE84"/>
  <c r="N84"/>
  <c r="AZ82"/>
  <c r="AX83"/>
  <c r="AN83"/>
  <c r="AS81"/>
  <c r="AU81"/>
  <c r="S81"/>
  <c r="BL89"/>
  <c r="BE94"/>
  <c r="AU48"/>
  <c r="T48"/>
  <c r="BL48"/>
  <c r="S62"/>
  <c r="AL62"/>
  <c r="Q62"/>
  <c r="AQ95"/>
  <c r="AQ94"/>
  <c r="AV74"/>
  <c r="AL96"/>
  <c r="AM43"/>
  <c r="U42"/>
  <c r="T52"/>
  <c r="BC80"/>
  <c r="AU80"/>
  <c r="AD80"/>
  <c r="BC64"/>
  <c r="X64"/>
  <c r="BH64"/>
  <c r="BD79"/>
  <c r="BJ44"/>
  <c r="AB44"/>
  <c r="G73"/>
  <c r="AM73"/>
  <c r="AS38"/>
  <c r="Q59"/>
  <c r="AK59"/>
  <c r="W69"/>
  <c r="M69"/>
  <c r="AU69"/>
  <c r="AQ76"/>
  <c r="P76"/>
  <c r="BD91"/>
  <c r="AR42"/>
  <c r="AO75"/>
  <c r="AJ87"/>
  <c r="R75"/>
  <c r="L42"/>
  <c r="BE51"/>
  <c r="AT88"/>
  <c r="R88"/>
  <c r="AV88"/>
  <c r="AK78"/>
  <c r="W50"/>
  <c r="BE50"/>
  <c r="AB50"/>
  <c r="AL58"/>
  <c r="G58"/>
  <c r="AE58"/>
  <c r="P90"/>
  <c r="AM90"/>
  <c r="AI90"/>
  <c r="AN57"/>
  <c r="Q93"/>
  <c r="N41"/>
  <c r="Y57"/>
  <c r="AY56"/>
  <c r="AP60"/>
  <c r="AA85"/>
  <c r="BE85"/>
  <c r="AC85"/>
  <c r="W82"/>
  <c r="BE54"/>
  <c r="AM84"/>
  <c r="AL84"/>
  <c r="AZ94"/>
  <c r="AM83"/>
  <c r="AE83"/>
  <c r="R81"/>
  <c r="BB81"/>
  <c r="BM81"/>
  <c r="T89"/>
  <c r="BE63"/>
  <c r="H48"/>
  <c r="AA48"/>
  <c r="BG48"/>
  <c r="T62"/>
  <c r="AB62"/>
  <c r="U62"/>
  <c r="AZ74"/>
  <c r="AQ63"/>
  <c r="AA74"/>
  <c r="BM45"/>
  <c r="L43"/>
  <c r="AS52"/>
  <c r="BL52"/>
  <c r="AM80"/>
  <c r="BD80"/>
  <c r="N80"/>
  <c r="AG82"/>
  <c r="AR64"/>
  <c r="BK64"/>
  <c r="AU79"/>
  <c r="AP44"/>
  <c r="AY44"/>
  <c r="AU73"/>
  <c r="R73"/>
  <c r="R38"/>
  <c r="AB55"/>
  <c r="AI59"/>
  <c r="BH69"/>
  <c r="BM69"/>
  <c r="S69"/>
  <c r="T76"/>
  <c r="AS76"/>
  <c r="AQ87"/>
  <c r="AF75"/>
  <c r="C92"/>
  <c r="C43"/>
  <c r="BI82"/>
  <c r="V45"/>
  <c r="T55"/>
  <c r="BB59"/>
  <c r="O89"/>
  <c r="AJ66"/>
  <c r="AM93"/>
  <c r="BB54"/>
  <c r="AT53"/>
  <c r="AN49"/>
  <c r="AY61"/>
  <c r="N91"/>
  <c r="AU67"/>
  <c r="Z67"/>
  <c r="H65"/>
  <c r="AU95"/>
  <c r="AJ95"/>
  <c r="BI67"/>
  <c r="S86"/>
  <c r="AY86"/>
  <c r="AN74"/>
  <c r="N48"/>
  <c r="AD63"/>
  <c r="Z83"/>
  <c r="BA46"/>
  <c r="AR53"/>
  <c r="AR72"/>
  <c r="I72"/>
  <c r="I45"/>
  <c r="I57"/>
  <c r="AR49"/>
  <c r="R82"/>
  <c r="AJ94"/>
  <c r="V94"/>
  <c r="Z80"/>
  <c r="AM69"/>
  <c r="AH44"/>
  <c r="R66"/>
  <c r="I38"/>
  <c r="S41"/>
  <c r="AD61"/>
  <c r="AH42"/>
  <c r="BI51"/>
  <c r="BL68"/>
  <c r="AC62"/>
  <c r="O66"/>
  <c r="AI49"/>
  <c r="AZ65"/>
  <c r="AH67"/>
  <c r="X86"/>
  <c r="AM63"/>
  <c r="AL75"/>
  <c r="H45"/>
  <c r="AE85"/>
  <c r="BK94"/>
  <c r="BM70"/>
  <c r="BG47"/>
  <c r="I50"/>
  <c r="AH51"/>
  <c r="S94"/>
  <c r="AS79"/>
  <c r="K50"/>
  <c r="AA43"/>
  <c r="AO78"/>
  <c r="BB91"/>
  <c r="V59"/>
  <c r="BF73"/>
  <c r="O52"/>
  <c r="BG52"/>
  <c r="BE70"/>
  <c r="AB70"/>
  <c r="J44"/>
  <c r="M44"/>
  <c r="AB54"/>
  <c r="H63"/>
  <c r="BB63"/>
  <c r="G79"/>
  <c r="AI79"/>
  <c r="BM61"/>
  <c r="AX61"/>
  <c r="P66"/>
  <c r="BB66"/>
  <c r="N77"/>
  <c r="I77"/>
  <c r="V77"/>
  <c r="AM96"/>
  <c r="AB96"/>
  <c r="AI55"/>
  <c r="AK72"/>
  <c r="BG87"/>
  <c r="U68"/>
  <c r="AO68"/>
  <c r="BH45"/>
  <c r="BM76"/>
  <c r="K57"/>
  <c r="Z38"/>
  <c r="BI38"/>
  <c r="AC53"/>
  <c r="S53"/>
  <c r="BL67"/>
  <c r="AL67"/>
  <c r="BA43"/>
  <c r="BC43"/>
  <c r="T43"/>
  <c r="AP75"/>
  <c r="AE71"/>
  <c r="K71"/>
  <c r="AN94"/>
  <c r="BM82"/>
  <c r="AS47"/>
  <c r="S47"/>
  <c r="AC47"/>
  <c r="BF49"/>
  <c r="BC49"/>
  <c r="Y93"/>
  <c r="AY89"/>
  <c r="AA89"/>
  <c r="AX89"/>
  <c r="AG86"/>
  <c r="G86"/>
  <c r="BI72"/>
  <c r="BC92"/>
  <c r="AT92"/>
  <c r="BI70"/>
  <c r="G65"/>
  <c r="AY65"/>
  <c r="X95"/>
  <c r="BD41"/>
  <c r="AS60"/>
  <c r="W60"/>
  <c r="AI60"/>
  <c r="AB46"/>
  <c r="AD95"/>
  <c r="BJ42"/>
  <c r="AL42"/>
  <c r="J51"/>
  <c r="AG51"/>
  <c r="N51"/>
  <c r="AZ72"/>
  <c r="BH78"/>
  <c r="H69"/>
  <c r="AS51"/>
  <c r="BC46"/>
  <c r="AC54"/>
  <c r="O68"/>
  <c r="AP39"/>
  <c r="BB65"/>
  <c r="AV44"/>
  <c r="BI96"/>
  <c r="AW67"/>
  <c r="AC90"/>
  <c r="BC86"/>
  <c r="W42"/>
  <c r="R76"/>
  <c r="P49"/>
  <c r="AN45"/>
  <c r="AX82"/>
  <c r="Y94"/>
  <c r="BJ63"/>
  <c r="Z95"/>
  <c r="AB84"/>
  <c r="AC48"/>
  <c r="K88"/>
  <c r="AH81"/>
  <c r="Q75"/>
  <c r="AX92"/>
  <c r="BB95"/>
  <c r="O72"/>
  <c r="BK49"/>
  <c r="J82"/>
  <c r="O74"/>
  <c r="P46"/>
  <c r="AT66"/>
  <c r="U93"/>
  <c r="BD56"/>
  <c r="Q72"/>
  <c r="Y83"/>
  <c r="AW83"/>
  <c r="AK80"/>
  <c r="M57"/>
  <c r="AH90"/>
  <c r="AP55"/>
  <c r="R41"/>
  <c r="G76"/>
  <c r="P78"/>
  <c r="AJ78"/>
  <c r="Y91"/>
  <c r="AX91"/>
  <c r="L95"/>
  <c r="T59"/>
  <c r="AR59"/>
  <c r="BL73"/>
  <c r="AM41"/>
  <c r="Z52"/>
  <c r="BH52"/>
  <c r="AX70"/>
  <c r="BB70"/>
  <c r="I70"/>
  <c r="H44"/>
  <c r="Z44"/>
  <c r="BJ54"/>
  <c r="V63"/>
  <c r="H79"/>
  <c r="K79"/>
  <c r="AP79"/>
  <c r="AR61"/>
  <c r="K61"/>
  <c r="G66"/>
  <c r="AE66"/>
  <c r="Z77"/>
  <c r="H77"/>
  <c r="AU77"/>
  <c r="Q96"/>
  <c r="BI55"/>
  <c r="BD55"/>
  <c r="H72"/>
  <c r="AM87"/>
  <c r="I68"/>
  <c r="G68"/>
  <c r="BL91"/>
  <c r="L76"/>
  <c r="AL57"/>
  <c r="AQ38"/>
  <c r="AF38"/>
  <c r="X53"/>
  <c r="M53"/>
  <c r="Y67"/>
  <c r="AG67"/>
  <c r="M43"/>
  <c r="BK43"/>
  <c r="AU75"/>
  <c r="BL75"/>
  <c r="AO71"/>
  <c r="BC94"/>
  <c r="AT82"/>
  <c r="AB82"/>
  <c r="BK47"/>
  <c r="AG47"/>
  <c r="J47"/>
  <c r="AP49"/>
  <c r="BD49"/>
  <c r="BB93"/>
  <c r="AC89"/>
  <c r="AQ89"/>
  <c r="AL89"/>
  <c r="AO86"/>
  <c r="BK86"/>
  <c r="T92"/>
  <c r="BA92"/>
  <c r="Z92"/>
  <c r="AE70"/>
  <c r="O65"/>
  <c r="S65"/>
  <c r="AA55"/>
  <c r="BH41"/>
  <c r="AG60"/>
  <c r="AF60"/>
  <c r="AN60"/>
  <c r="I46"/>
  <c r="BH42"/>
  <c r="BM51"/>
  <c r="L51"/>
  <c r="O88"/>
  <c r="AQ88"/>
  <c r="J68"/>
  <c r="AI78"/>
  <c r="BJ50"/>
  <c r="L50"/>
  <c r="U58"/>
  <c r="X58"/>
  <c r="AG58"/>
  <c r="BI90"/>
  <c r="AJ90"/>
  <c r="AD90"/>
  <c r="BI71"/>
  <c r="AU71"/>
  <c r="J95"/>
  <c r="AP56"/>
  <c r="BH56"/>
  <c r="BE56"/>
  <c r="BB86"/>
  <c r="U85"/>
  <c r="BL85"/>
  <c r="AT85"/>
  <c r="AH54"/>
  <c r="BK84"/>
  <c r="BA94"/>
  <c r="G84"/>
  <c r="AD83"/>
  <c r="Q83"/>
  <c r="BH81"/>
  <c r="AX95"/>
  <c r="H81"/>
  <c r="BF77"/>
  <c r="BE46"/>
  <c r="AJ48"/>
  <c r="BK48"/>
  <c r="Z48"/>
  <c r="J62"/>
  <c r="AZ62"/>
  <c r="O62"/>
  <c r="P62"/>
  <c r="AP74"/>
  <c r="BG74"/>
  <c r="BE96"/>
  <c r="AT96"/>
  <c r="I43"/>
  <c r="AB52"/>
  <c r="O80"/>
  <c r="AW94"/>
  <c r="AN80"/>
  <c r="Y64"/>
  <c r="AB64"/>
  <c r="U64"/>
  <c r="J79"/>
  <c r="AV79"/>
  <c r="AQ44"/>
  <c r="BJ73"/>
  <c r="BG73"/>
  <c r="G55"/>
  <c r="V38"/>
  <c r="G59"/>
  <c r="AL61"/>
  <c r="BE69"/>
  <c r="AX69"/>
  <c r="J69"/>
  <c r="AS92"/>
  <c r="G87"/>
  <c r="BA87"/>
  <c r="AW75"/>
  <c r="AN87"/>
  <c r="AR68"/>
  <c r="AM42"/>
  <c r="R51"/>
  <c r="AU51"/>
  <c r="Q88"/>
  <c r="AS88"/>
  <c r="AD68"/>
  <c r="AI53"/>
  <c r="BL50"/>
  <c r="AF50"/>
  <c r="BH58"/>
  <c r="AB58"/>
  <c r="AH58"/>
  <c r="AS90"/>
  <c r="BG77"/>
  <c r="AF90"/>
  <c r="S71"/>
  <c r="AV71"/>
  <c r="BJ67"/>
  <c r="S56"/>
  <c r="AX56"/>
  <c r="BK56"/>
  <c r="K85"/>
  <c r="T85"/>
  <c r="L85"/>
  <c r="AQ85"/>
  <c r="BF54"/>
  <c r="AJ84"/>
  <c r="AT84"/>
  <c r="AV84"/>
  <c r="M83"/>
  <c r="X83"/>
  <c r="BG81"/>
  <c r="BL81"/>
  <c r="AJ81"/>
  <c r="BF61"/>
  <c r="BB47"/>
  <c r="BC48"/>
  <c r="M48"/>
  <c r="I48"/>
  <c r="AE42"/>
  <c r="N62"/>
  <c r="BB62"/>
  <c r="AA62"/>
  <c r="BM74"/>
  <c r="AE74"/>
  <c r="X96"/>
  <c r="AQ96"/>
  <c r="AV43"/>
  <c r="K52"/>
  <c r="AW49"/>
  <c r="AY80"/>
  <c r="G80"/>
  <c r="AQ64"/>
  <c r="M64"/>
  <c r="AI64"/>
  <c r="BL64"/>
  <c r="V79"/>
  <c r="M94"/>
  <c r="M73"/>
  <c r="AB73"/>
  <c r="BM38"/>
  <c r="X38"/>
  <c r="AH59"/>
  <c r="X69"/>
  <c r="I69"/>
  <c r="AL45"/>
  <c r="R69"/>
  <c r="AS91"/>
  <c r="BE87"/>
  <c r="AS75"/>
  <c r="BK42"/>
  <c r="Z51"/>
  <c r="AM51"/>
  <c r="AA88"/>
  <c r="AU88"/>
  <c r="AT68"/>
  <c r="S95"/>
  <c r="AN50"/>
  <c r="O50"/>
  <c r="AZ58"/>
  <c r="AA45"/>
  <c r="AJ58"/>
  <c r="AU90"/>
  <c r="Q90"/>
  <c r="AQ90"/>
  <c r="H71"/>
  <c r="BC71"/>
  <c r="J49"/>
  <c r="H56"/>
  <c r="K56"/>
  <c r="AC95"/>
  <c r="AI85"/>
  <c r="AK85"/>
  <c r="AV85"/>
  <c r="BD85"/>
  <c r="AT54"/>
  <c r="AF84"/>
  <c r="BA77"/>
  <c r="L84"/>
  <c r="AS83"/>
  <c r="AF83"/>
  <c r="AF81"/>
  <c r="O81"/>
  <c r="AW81"/>
  <c r="AR89"/>
  <c r="AG88"/>
  <c r="AE48"/>
  <c r="AK48"/>
  <c r="AF48"/>
  <c r="Y62"/>
  <c r="AT62"/>
  <c r="AI62"/>
  <c r="Z62"/>
  <c r="AQ57"/>
  <c r="AG74"/>
  <c r="BM55"/>
  <c r="L86"/>
  <c r="AX43"/>
  <c r="AN52"/>
  <c r="AQ80"/>
  <c r="H80"/>
  <c r="BH80"/>
  <c r="AN64"/>
  <c r="AG57"/>
  <c r="AZ64"/>
  <c r="R79"/>
  <c r="M63"/>
  <c r="V44"/>
  <c r="AQ73"/>
  <c r="AT73"/>
  <c r="G45"/>
  <c r="AB65"/>
  <c r="P59"/>
  <c r="AL94"/>
  <c r="AH69"/>
  <c r="BB69"/>
  <c r="AS49"/>
  <c r="H76"/>
  <c r="N87"/>
  <c r="AE87"/>
  <c r="BD75"/>
  <c r="BD50"/>
  <c r="AR45"/>
  <c r="BF42"/>
  <c r="AK51"/>
  <c r="BF51"/>
  <c r="G88"/>
  <c r="AD88"/>
  <c r="AP68"/>
  <c r="AI91"/>
  <c r="AH50"/>
  <c r="AO50"/>
  <c r="W58"/>
  <c r="AS58"/>
  <c r="AI58"/>
  <c r="BG50"/>
  <c r="BD90"/>
  <c r="BH90"/>
  <c r="AC71"/>
  <c r="AY71"/>
  <c r="J63"/>
  <c r="AU56"/>
  <c r="Z56"/>
  <c r="BC56"/>
  <c r="W85"/>
  <c r="BM85"/>
  <c r="Z85"/>
  <c r="Q85"/>
  <c r="AR54"/>
  <c r="AD84"/>
  <c r="BA57"/>
  <c r="AQ84"/>
  <c r="AO83"/>
  <c r="BM83"/>
  <c r="AM81"/>
  <c r="AX67"/>
  <c r="BK81"/>
  <c r="BF78"/>
  <c r="Y88"/>
  <c r="Q66"/>
  <c r="AH48"/>
  <c r="AB48"/>
  <c r="BD62"/>
  <c r="AN62"/>
  <c r="AY62"/>
  <c r="X62"/>
  <c r="AQ92"/>
  <c r="BD74"/>
  <c r="H96"/>
  <c r="N96"/>
  <c r="Q43"/>
  <c r="AG52"/>
  <c r="BG80"/>
  <c r="AL80"/>
  <c r="AT80"/>
  <c r="BG64"/>
  <c r="BD64"/>
  <c r="AJ64"/>
  <c r="BF79"/>
  <c r="BL79"/>
  <c r="AO44"/>
  <c r="BH73"/>
  <c r="N73"/>
  <c r="G77"/>
  <c r="AY59"/>
  <c r="BE59"/>
  <c r="AL63"/>
  <c r="AC69"/>
  <c r="BI69"/>
  <c r="AS63"/>
  <c r="AS45"/>
  <c r="AB87"/>
  <c r="BJ75"/>
  <c r="C81"/>
  <c r="C65"/>
  <c r="C61"/>
  <c r="C79"/>
  <c r="C89"/>
  <c r="K82"/>
  <c r="AJ49"/>
  <c r="AC59"/>
  <c r="Z89"/>
  <c r="AW90"/>
  <c r="N53"/>
  <c r="N78"/>
  <c r="K67"/>
  <c r="AF95"/>
  <c r="O86"/>
  <c r="AZ83"/>
  <c r="AF72"/>
  <c r="Q57"/>
  <c r="BL78"/>
  <c r="BG79"/>
  <c r="S42"/>
  <c r="T64"/>
  <c r="AW80"/>
  <c r="AZ38"/>
  <c r="BL51"/>
  <c r="AG78"/>
  <c r="AK91"/>
  <c r="AU59"/>
  <c r="X73"/>
  <c r="R45"/>
  <c r="AA52"/>
  <c r="AC70"/>
  <c r="BL70"/>
  <c r="AW44"/>
  <c r="BE44"/>
  <c r="AJ54"/>
  <c r="BC54"/>
  <c r="I63"/>
  <c r="AE79"/>
  <c r="P79"/>
  <c r="Y61"/>
  <c r="BD61"/>
  <c r="AS61"/>
  <c r="AO66"/>
  <c r="AM95"/>
  <c r="AB77"/>
  <c r="AX77"/>
  <c r="AI96"/>
  <c r="BG96"/>
  <c r="BB55"/>
  <c r="P72"/>
  <c r="AY87"/>
  <c r="AX87"/>
  <c r="V68"/>
  <c r="L68"/>
  <c r="BE76"/>
  <c r="X57"/>
  <c r="AB38"/>
  <c r="AR38"/>
  <c r="J38"/>
  <c r="Y53"/>
  <c r="AF53"/>
  <c r="AY67"/>
  <c r="V67"/>
  <c r="AJ43"/>
  <c r="W43"/>
  <c r="BH75"/>
  <c r="AT71"/>
  <c r="O71"/>
  <c r="AK94"/>
  <c r="AY91"/>
  <c r="AD82"/>
  <c r="X47"/>
  <c r="N47"/>
  <c r="R95"/>
  <c r="AK49"/>
  <c r="K93"/>
  <c r="AO93"/>
  <c r="N89"/>
  <c r="BG89"/>
  <c r="BK89"/>
  <c r="AE86"/>
  <c r="N92"/>
  <c r="AH92"/>
  <c r="H92"/>
  <c r="R70"/>
  <c r="AN65"/>
  <c r="BM65"/>
  <c r="AD65"/>
  <c r="AP41"/>
  <c r="AC94"/>
  <c r="I60"/>
  <c r="BK60"/>
  <c r="BB46"/>
  <c r="AA46"/>
  <c r="AB42"/>
  <c r="J42"/>
  <c r="BA51"/>
  <c r="AZ51"/>
  <c r="BH51"/>
  <c r="BI87"/>
  <c r="X91"/>
  <c r="Q77"/>
  <c r="BG43"/>
  <c r="V62"/>
  <c r="AJ50"/>
  <c r="AV55"/>
  <c r="P70"/>
  <c r="AK79"/>
  <c r="BF44"/>
  <c r="BH96"/>
  <c r="BA80"/>
  <c r="BM41"/>
  <c r="BE86"/>
  <c r="AG42"/>
  <c r="J76"/>
  <c r="X71"/>
  <c r="AQ72"/>
  <c r="AJ82"/>
  <c r="S50"/>
  <c r="BG63"/>
  <c r="BL74"/>
  <c r="Q84"/>
  <c r="U81"/>
  <c r="AI81"/>
  <c r="BM53"/>
  <c r="AB43"/>
  <c r="AS59"/>
  <c r="AM68"/>
  <c r="K72"/>
  <c r="AE60"/>
  <c r="AG84"/>
  <c r="BC74"/>
  <c r="AH46"/>
  <c r="W66"/>
  <c r="H93"/>
  <c r="Y56"/>
  <c r="AX72"/>
  <c r="BL54"/>
  <c r="AK83"/>
  <c r="AO80"/>
  <c r="AC57"/>
  <c r="N57"/>
  <c r="V55"/>
  <c r="BC55"/>
  <c r="N76"/>
  <c r="BD78"/>
  <c r="AP78"/>
  <c r="I91"/>
  <c r="L91"/>
  <c r="AL76"/>
  <c r="BF59"/>
  <c r="L59"/>
  <c r="H73"/>
  <c r="Q41"/>
  <c r="X49"/>
  <c r="I52"/>
  <c r="AL52"/>
  <c r="AO70"/>
  <c r="S70"/>
  <c r="P44"/>
  <c r="AS44"/>
  <c r="G54"/>
  <c r="AC63"/>
  <c r="U63"/>
  <c r="AZ79"/>
  <c r="M79"/>
  <c r="AQ61"/>
  <c r="AN61"/>
  <c r="AG66"/>
  <c r="BC66"/>
  <c r="BL77"/>
  <c r="BB77"/>
  <c r="BI77"/>
  <c r="BM96"/>
  <c r="O96"/>
  <c r="K55"/>
  <c r="AH72"/>
  <c r="V87"/>
  <c r="BB68"/>
  <c r="AZ68"/>
  <c r="W68"/>
  <c r="AE76"/>
  <c r="BC57"/>
  <c r="Q38"/>
  <c r="Y38"/>
  <c r="O53"/>
  <c r="AB53"/>
  <c r="BI53"/>
  <c r="AF67"/>
  <c r="BB67"/>
  <c r="V43"/>
  <c r="J43"/>
  <c r="W75"/>
  <c r="AQ71"/>
  <c r="P71"/>
  <c r="AB94"/>
  <c r="BJ82"/>
  <c r="AM82"/>
  <c r="AM47"/>
  <c r="AB47"/>
  <c r="Z49"/>
  <c r="N49"/>
  <c r="AH93"/>
  <c r="BF94"/>
  <c r="R89"/>
  <c r="AG89"/>
  <c r="BC95"/>
  <c r="V86"/>
  <c r="AW92"/>
  <c r="W92"/>
  <c r="K92"/>
  <c r="AL70"/>
  <c r="AJ65"/>
  <c r="AC65"/>
  <c r="AT65"/>
  <c r="AT41"/>
  <c r="BA60"/>
  <c r="T60"/>
  <c r="Z60"/>
  <c r="BD46"/>
  <c r="AD72"/>
  <c r="BL42"/>
  <c r="G51"/>
  <c r="AN88"/>
  <c r="BF88"/>
  <c r="BA68"/>
  <c r="BJ66"/>
  <c r="S91"/>
  <c r="AA50"/>
  <c r="N50"/>
  <c r="BE58"/>
  <c r="AA58"/>
  <c r="BG42"/>
  <c r="J90"/>
  <c r="X90"/>
  <c r="AM71"/>
  <c r="AS71"/>
  <c r="AR93"/>
  <c r="Y50"/>
  <c r="U56"/>
  <c r="AC56"/>
  <c r="BK85"/>
  <c r="AU85"/>
  <c r="AD85"/>
  <c r="M85"/>
  <c r="W95"/>
  <c r="T84"/>
  <c r="BD84"/>
  <c r="W84"/>
  <c r="BK83"/>
  <c r="G83"/>
  <c r="AK81"/>
  <c r="W81"/>
  <c r="Q81"/>
  <c r="AV89"/>
  <c r="AY47"/>
  <c r="BE92"/>
  <c r="BD48"/>
  <c r="Q48"/>
  <c r="AW48"/>
  <c r="AO62"/>
  <c r="AG62"/>
  <c r="AD62"/>
  <c r="AC74"/>
  <c r="AQ67"/>
  <c r="BL96"/>
  <c r="BJ96"/>
  <c r="R43"/>
  <c r="U46"/>
  <c r="U45"/>
  <c r="AW57"/>
  <c r="AG80"/>
  <c r="AC64"/>
  <c r="R64"/>
  <c r="L64"/>
  <c r="BF64"/>
  <c r="T79"/>
  <c r="AL44"/>
  <c r="AP45"/>
  <c r="AP72"/>
  <c r="G63"/>
  <c r="G67"/>
  <c r="BJ59"/>
  <c r="AF69"/>
  <c r="BG69"/>
  <c r="Q69"/>
  <c r="T69"/>
  <c r="BJ76"/>
  <c r="AO76"/>
  <c r="BD63"/>
  <c r="H75"/>
  <c r="M75"/>
  <c r="X75"/>
  <c r="AF61"/>
  <c r="AD42"/>
  <c r="K51"/>
  <c r="AP88"/>
  <c r="BC88"/>
  <c r="BG68"/>
  <c r="V66"/>
  <c r="BC50"/>
  <c r="H50"/>
  <c r="M50"/>
  <c r="N58"/>
  <c r="P58"/>
  <c r="BG45"/>
  <c r="AX90"/>
  <c r="AR90"/>
  <c r="Y71"/>
  <c r="BH71"/>
  <c r="AF93"/>
  <c r="Y95"/>
  <c r="Y63"/>
  <c r="T56"/>
  <c r="AZ85"/>
  <c r="AJ85"/>
  <c r="X85"/>
  <c r="R85"/>
  <c r="AQ54"/>
  <c r="BJ84"/>
  <c r="U84"/>
  <c r="Y84"/>
  <c r="AH83"/>
  <c r="BC83"/>
  <c r="AB83"/>
  <c r="AZ81"/>
  <c r="BE81"/>
  <c r="J89"/>
  <c r="AF47"/>
  <c r="BB88"/>
  <c r="Q63"/>
  <c r="AR48"/>
  <c r="AV48"/>
  <c r="AE63"/>
  <c r="AP62"/>
  <c r="AH62"/>
  <c r="AQ70"/>
  <c r="AQ74"/>
  <c r="AX96"/>
  <c r="AV96"/>
  <c r="AQ43"/>
  <c r="AX52"/>
  <c r="W52"/>
  <c r="BM80"/>
  <c r="J80"/>
  <c r="AG63"/>
  <c r="BM64"/>
  <c r="BA64"/>
  <c r="W64"/>
  <c r="AB79"/>
  <c r="BG44"/>
  <c r="BA73"/>
  <c r="AP77"/>
  <c r="BL38"/>
  <c r="G53"/>
  <c r="M59"/>
  <c r="BJ69"/>
  <c r="Y69"/>
  <c r="Z69"/>
  <c r="AJ69"/>
  <c r="AH76"/>
  <c r="X76"/>
  <c r="V75"/>
  <c r="I42"/>
  <c r="AW51"/>
  <c r="AI51"/>
  <c r="AY88"/>
  <c r="V88"/>
  <c r="BE68"/>
  <c r="Y66"/>
  <c r="AQ50"/>
  <c r="AP50"/>
  <c r="AA95"/>
  <c r="T58"/>
  <c r="BJ58"/>
  <c r="BA90"/>
  <c r="S90"/>
  <c r="AB90"/>
  <c r="AL71"/>
  <c r="Z71"/>
  <c r="BJ91"/>
  <c r="Y49"/>
  <c r="AQ56"/>
  <c r="AB56"/>
  <c r="N85"/>
  <c r="BI85"/>
  <c r="AG85"/>
  <c r="AM85"/>
  <c r="Z54"/>
  <c r="AI84"/>
  <c r="AR84"/>
  <c r="AE84"/>
  <c r="AZ86"/>
  <c r="AA83"/>
  <c r="X81"/>
  <c r="V81"/>
  <c r="AV81"/>
  <c r="BF50"/>
  <c r="T47"/>
  <c r="R48"/>
  <c r="AG48"/>
  <c r="P48"/>
  <c r="AE45"/>
  <c r="AM62"/>
  <c r="AX62"/>
  <c r="BJ62"/>
  <c r="Q74"/>
  <c r="AX74"/>
  <c r="AA96"/>
  <c r="BM91"/>
  <c r="BL43"/>
  <c r="N52"/>
  <c r="AW72"/>
  <c r="L80"/>
  <c r="AZ80"/>
  <c r="AV64"/>
  <c r="AU64"/>
  <c r="AG45"/>
  <c r="BB64"/>
  <c r="Z79"/>
  <c r="AR44"/>
  <c r="AA73"/>
  <c r="BD73"/>
  <c r="G72"/>
  <c r="BE38"/>
  <c r="AM59"/>
  <c r="BL69"/>
  <c r="P69"/>
  <c r="AG69"/>
  <c r="AN69"/>
  <c r="AN76"/>
  <c r="AO87"/>
  <c r="T87"/>
  <c r="P75"/>
  <c r="O75"/>
  <c r="L75"/>
  <c r="BE42"/>
  <c r="T63"/>
  <c r="T51"/>
  <c r="BG88"/>
  <c r="AX88"/>
  <c r="R68"/>
  <c r="AI77"/>
  <c r="J50"/>
  <c r="AV50"/>
  <c r="BH50"/>
  <c r="AY58"/>
  <c r="BC58"/>
  <c r="AE90"/>
  <c r="R90"/>
  <c r="Z90"/>
  <c r="AX71"/>
  <c r="BB71"/>
  <c r="AZ93"/>
  <c r="Y82"/>
  <c r="N56"/>
  <c r="AO56"/>
  <c r="S85"/>
  <c r="AN85"/>
  <c r="AL85"/>
  <c r="P85"/>
  <c r="W94"/>
  <c r="AS84"/>
  <c r="V84"/>
  <c r="AN84"/>
  <c r="AI83"/>
  <c r="V83"/>
  <c r="L81"/>
  <c r="BD81"/>
  <c r="AT81"/>
  <c r="BF68"/>
  <c r="BF47"/>
  <c r="BM48"/>
  <c r="AP48"/>
  <c r="AN48"/>
  <c r="V48"/>
  <c r="G62"/>
  <c r="L62"/>
  <c r="BL62"/>
  <c r="V74"/>
  <c r="BI74"/>
  <c r="M96"/>
  <c r="I96"/>
  <c r="L63"/>
  <c r="U95"/>
  <c r="AO52"/>
  <c r="AW82"/>
  <c r="AE80"/>
  <c r="AG92"/>
  <c r="AW64"/>
  <c r="H64"/>
  <c r="AM64"/>
  <c r="AV72"/>
  <c r="AN44"/>
  <c r="AP51"/>
  <c r="AH73"/>
  <c r="G82"/>
  <c r="BF38"/>
  <c r="J59"/>
  <c r="AK69"/>
  <c r="AQ69"/>
  <c r="AI69"/>
  <c r="AP69"/>
  <c r="BA76"/>
  <c r="BD42"/>
  <c r="AD75"/>
  <c r="C51"/>
  <c r="C39"/>
  <c r="C93"/>
  <c r="B91"/>
  <c r="H82"/>
  <c r="AY49"/>
  <c r="AD55"/>
  <c r="AK75"/>
  <c r="L90"/>
  <c r="AM66"/>
  <c r="AD93"/>
  <c r="AT77"/>
  <c r="AA78"/>
  <c r="BI49"/>
  <c r="AT87"/>
  <c r="AF91"/>
  <c r="AO67"/>
  <c r="AU92"/>
  <c r="X65"/>
  <c r="AY95"/>
  <c r="V95"/>
  <c r="G60"/>
  <c r="AJ86"/>
  <c r="AT86"/>
  <c r="AK74"/>
  <c r="AK63"/>
  <c r="BK63"/>
  <c r="V46"/>
  <c r="O46"/>
  <c r="BK72"/>
  <c r="T72"/>
  <c r="T45"/>
  <c r="AY85"/>
  <c r="BL57"/>
  <c r="T49"/>
  <c r="AE78"/>
  <c r="AI47"/>
  <c r="O42"/>
  <c r="Z78"/>
  <c r="AV91"/>
  <c r="AS95"/>
  <c r="AN59"/>
  <c r="W41"/>
  <c r="R52"/>
  <c r="K70"/>
  <c r="AW70"/>
  <c r="AZ44"/>
  <c r="U44"/>
  <c r="AW54"/>
  <c r="O54"/>
  <c r="AJ63"/>
  <c r="BK79"/>
  <c r="BM79"/>
  <c r="AO61"/>
  <c r="AE61"/>
  <c r="BE61"/>
  <c r="I66"/>
  <c r="BK95"/>
  <c r="AM77"/>
  <c r="AR77"/>
  <c r="BC78"/>
  <c r="AO96"/>
  <c r="AE55"/>
  <c r="N72"/>
  <c r="BD87"/>
  <c r="J87"/>
  <c r="BM68"/>
  <c r="T68"/>
  <c r="O76"/>
  <c r="AM57"/>
  <c r="BC38"/>
  <c r="AE38"/>
  <c r="U38"/>
  <c r="AX53"/>
  <c r="AO53"/>
  <c r="BM67"/>
  <c r="AR67"/>
  <c r="AW43"/>
  <c r="AD43"/>
  <c r="I75"/>
  <c r="AE75"/>
  <c r="T71"/>
  <c r="AP94"/>
  <c r="S82"/>
  <c r="V82"/>
  <c r="R47"/>
  <c r="BA47"/>
  <c r="BI47"/>
  <c r="AL49"/>
  <c r="BJ57"/>
  <c r="BJ93"/>
  <c r="AH89"/>
  <c r="G89"/>
  <c r="BB89"/>
  <c r="Z86"/>
  <c r="BM86"/>
  <c r="AF92"/>
  <c r="I92"/>
  <c r="BA70"/>
  <c r="I65"/>
  <c r="K65"/>
  <c r="AL65"/>
  <c r="N55"/>
  <c r="P41"/>
  <c r="BL60"/>
  <c r="U60"/>
  <c r="AP46"/>
  <c r="AV46"/>
  <c r="BI42"/>
  <c r="BM42"/>
  <c r="T67"/>
  <c r="X51"/>
  <c r="AN51"/>
  <c r="BM88"/>
  <c r="W48"/>
  <c r="AA53"/>
  <c r="AZ73"/>
  <c r="AL79"/>
  <c r="BL88"/>
  <c r="M52"/>
  <c r="AL92"/>
  <c r="AT57"/>
  <c r="I78"/>
  <c r="AE56"/>
  <c r="AR74"/>
  <c r="O87"/>
  <c r="N86"/>
  <c r="AK42"/>
  <c r="AG76"/>
  <c r="AZ71"/>
  <c r="AM49"/>
  <c r="AA82"/>
  <c r="S59"/>
  <c r="K94"/>
  <c r="K63"/>
  <c r="BA62"/>
  <c r="AX81"/>
  <c r="AZ53"/>
  <c r="C70"/>
  <c r="O58"/>
  <c r="X94"/>
  <c r="AN73"/>
  <c r="AK87"/>
  <c r="P60"/>
  <c r="W86"/>
  <c r="K74"/>
  <c r="BH46"/>
  <c r="BF66"/>
  <c r="G93"/>
  <c r="P93"/>
  <c r="BF56"/>
  <c r="BA54"/>
  <c r="BB83"/>
  <c r="BL80"/>
  <c r="AQ45"/>
  <c r="AZ57"/>
  <c r="AY90"/>
  <c r="AY55"/>
  <c r="BF41"/>
  <c r="AF78"/>
  <c r="AM78"/>
  <c r="AG91"/>
  <c r="BE91"/>
  <c r="BA74"/>
  <c r="AP59"/>
  <c r="AB59"/>
  <c r="BM73"/>
  <c r="BI73"/>
  <c r="AL41"/>
  <c r="L52"/>
  <c r="Y52"/>
  <c r="BH70"/>
  <c r="J70"/>
  <c r="AA44"/>
  <c r="K44"/>
  <c r="BG54"/>
  <c r="AP54"/>
  <c r="AF45"/>
  <c r="AG79"/>
  <c r="X79"/>
  <c r="BJ61"/>
  <c r="AA61"/>
  <c r="U61"/>
  <c r="BK66"/>
  <c r="I95"/>
  <c r="AZ77"/>
  <c r="M77"/>
  <c r="P96"/>
  <c r="AY96"/>
  <c r="BG55"/>
  <c r="AN72"/>
  <c r="AI87"/>
  <c r="BM87"/>
  <c r="AX68"/>
  <c r="BK68"/>
  <c r="AI76"/>
  <c r="T57"/>
  <c r="L38"/>
  <c r="AD38"/>
  <c r="P38"/>
  <c r="BB53"/>
  <c r="BF53"/>
  <c r="M67"/>
  <c r="AA67"/>
  <c r="AN43"/>
  <c r="AI43"/>
  <c r="AR75"/>
  <c r="BK71"/>
  <c r="AN71"/>
  <c r="U94"/>
  <c r="I82"/>
  <c r="AS82"/>
  <c r="AL47"/>
  <c r="BM47"/>
  <c r="BJ47"/>
  <c r="AA49"/>
  <c r="V93"/>
  <c r="AE93"/>
  <c r="AD89"/>
  <c r="Q89"/>
  <c r="M89"/>
  <c r="T86"/>
  <c r="Q92"/>
  <c r="AI92"/>
  <c r="AJ92"/>
  <c r="O70"/>
  <c r="AE65"/>
  <c r="AO65"/>
  <c r="AH65"/>
  <c r="BA41"/>
  <c r="BE60"/>
  <c r="AC60"/>
  <c r="AX60"/>
  <c r="AM46"/>
  <c r="AG46"/>
  <c r="P42"/>
  <c r="BG51"/>
  <c r="P88"/>
  <c r="L88"/>
  <c r="AO88"/>
  <c r="BI66"/>
  <c r="BK50"/>
  <c r="AG50"/>
  <c r="AD50"/>
  <c r="BK58"/>
  <c r="AC58"/>
  <c r="H58"/>
  <c r="AA90"/>
  <c r="AL90"/>
  <c r="BE71"/>
  <c r="BL71"/>
  <c r="BJ68"/>
  <c r="K41"/>
  <c r="BJ56"/>
  <c r="G56"/>
  <c r="BB60"/>
  <c r="AO85"/>
  <c r="BF85"/>
  <c r="BC85"/>
  <c r="AA54"/>
  <c r="AK84"/>
  <c r="BI84"/>
  <c r="AO84"/>
  <c r="K83"/>
  <c r="BD83"/>
  <c r="BJ83"/>
  <c r="AX63"/>
  <c r="P81"/>
  <c r="AL81"/>
  <c r="Z47"/>
  <c r="W88"/>
  <c r="S48"/>
  <c r="Y48"/>
  <c r="BH48"/>
  <c r="AU62"/>
  <c r="H62"/>
  <c r="AV62"/>
  <c r="AQ42"/>
  <c r="W74"/>
  <c r="BM72"/>
  <c r="T96"/>
  <c r="L72"/>
  <c r="AI52"/>
  <c r="X52"/>
  <c r="AW77"/>
  <c r="AF80"/>
  <c r="AB80"/>
  <c r="N64"/>
  <c r="AS64"/>
  <c r="AE64"/>
  <c r="S79"/>
  <c r="AT44"/>
  <c r="T73"/>
  <c r="AP63"/>
  <c r="K73"/>
  <c r="AN38"/>
  <c r="AV59"/>
  <c r="AL68"/>
  <c r="U69"/>
  <c r="BA69"/>
  <c r="AL69"/>
  <c r="AD76"/>
  <c r="AA76"/>
  <c r="Q87"/>
  <c r="BE75"/>
  <c r="AB75"/>
  <c r="BC87"/>
  <c r="AT75"/>
  <c r="AO42"/>
  <c r="V51"/>
  <c r="BE57"/>
  <c r="BJ88"/>
  <c r="AH88"/>
  <c r="AI63"/>
  <c r="R50"/>
  <c r="AC50"/>
  <c r="G50"/>
  <c r="S58"/>
  <c r="Z58"/>
  <c r="I58"/>
  <c r="BG53"/>
  <c r="U90"/>
  <c r="W71"/>
  <c r="U71"/>
  <c r="BJ86"/>
  <c r="Z41"/>
  <c r="R56"/>
  <c r="AV56"/>
  <c r="AQ60"/>
  <c r="AF85"/>
  <c r="AP85"/>
  <c r="G85"/>
  <c r="T54"/>
  <c r="BL84"/>
  <c r="BA84"/>
  <c r="J84"/>
  <c r="AZ49"/>
  <c r="AZ91"/>
  <c r="BI83"/>
  <c r="AX50"/>
  <c r="AN81"/>
  <c r="Z81"/>
  <c r="BE47"/>
  <c r="BE82"/>
  <c r="AM48"/>
  <c r="BF48"/>
  <c r="BB48"/>
  <c r="AE77"/>
  <c r="AK62"/>
  <c r="BM62"/>
  <c r="N74"/>
  <c r="BK74"/>
  <c r="AU74"/>
  <c r="U96"/>
  <c r="G43"/>
  <c r="U51"/>
  <c r="AM52"/>
  <c r="AW66"/>
  <c r="I80"/>
  <c r="AR80"/>
  <c r="AG49"/>
  <c r="AL64"/>
  <c r="I64"/>
  <c r="AV63"/>
  <c r="M91"/>
  <c r="AP95"/>
  <c r="BC73"/>
  <c r="AW73"/>
  <c r="G95"/>
  <c r="AL59"/>
  <c r="AT59"/>
  <c r="BD69"/>
  <c r="L69"/>
  <c r="N69"/>
  <c r="AY76"/>
  <c r="Z76"/>
  <c r="K87"/>
  <c r="AM61"/>
  <c r="AI42"/>
  <c r="W51"/>
  <c r="BA88"/>
  <c r="AB88"/>
  <c r="I88"/>
  <c r="S66"/>
  <c r="AT50"/>
  <c r="P50"/>
  <c r="AE50"/>
  <c r="AV58"/>
  <c r="J58"/>
  <c r="AU58"/>
  <c r="BJ90"/>
  <c r="AK90"/>
  <c r="I71"/>
  <c r="AI71"/>
  <c r="BH93"/>
  <c r="AW41"/>
  <c r="Y51"/>
  <c r="P56"/>
  <c r="AC66"/>
  <c r="H85"/>
  <c r="I85"/>
  <c r="BB85"/>
  <c r="AY54"/>
  <c r="AY84"/>
  <c r="AW84"/>
  <c r="BB84"/>
  <c r="AZ50"/>
  <c r="AV83"/>
  <c r="AY83"/>
  <c r="M81"/>
  <c r="BJ81"/>
  <c r="AK89"/>
  <c r="AH47"/>
  <c r="AI88"/>
  <c r="AZ48"/>
  <c r="AX48"/>
  <c r="AL48"/>
  <c r="AE62"/>
  <c r="W62"/>
  <c r="AS62"/>
  <c r="M74"/>
  <c r="L74"/>
  <c r="J96"/>
  <c r="K96"/>
  <c r="BB43"/>
  <c r="AK52"/>
  <c r="P52"/>
  <c r="Q80"/>
  <c r="AV80"/>
  <c r="W80"/>
  <c r="K64"/>
  <c r="AK64"/>
  <c r="Z64"/>
  <c r="AJ79"/>
  <c r="Q44"/>
  <c r="AP61"/>
  <c r="AX73"/>
  <c r="Y73"/>
  <c r="BD38"/>
  <c r="AB63"/>
  <c r="AR69"/>
  <c r="AW69"/>
  <c r="G69"/>
  <c r="K69"/>
  <c r="U76"/>
  <c r="AM76"/>
  <c r="BD68"/>
  <c r="BI75"/>
  <c r="BA75"/>
  <c r="AR82"/>
  <c r="AU46"/>
  <c r="Q42"/>
  <c r="AL51"/>
  <c r="BK88"/>
  <c r="AR88"/>
  <c r="AZ88"/>
  <c r="AR66"/>
  <c r="V50"/>
  <c r="Q50"/>
  <c r="T50"/>
  <c r="AM58"/>
  <c r="L58"/>
  <c r="R58"/>
  <c r="BE90"/>
  <c r="AN90"/>
  <c r="R71"/>
  <c r="AH71"/>
  <c r="AU93"/>
  <c r="X41"/>
  <c r="AZ56"/>
  <c r="Q56"/>
  <c r="AC77"/>
  <c r="AS85"/>
  <c r="Y85"/>
  <c r="AW85"/>
  <c r="Q54"/>
  <c r="BF84"/>
  <c r="BG84"/>
  <c r="P84"/>
  <c r="AJ83"/>
  <c r="T83"/>
  <c r="I83"/>
  <c r="AE81"/>
  <c r="AB81"/>
  <c r="BF57"/>
  <c r="P65"/>
  <c r="Z88"/>
  <c r="O48"/>
  <c r="AS48"/>
  <c r="AD48"/>
  <c r="AF62"/>
  <c r="AW62"/>
  <c r="I62"/>
  <c r="AQ86"/>
  <c r="AO74"/>
  <c r="BA96"/>
  <c r="S96"/>
  <c r="P43"/>
  <c r="AT52"/>
  <c r="AE52"/>
  <c r="AW53"/>
  <c r="V80"/>
  <c r="U80"/>
  <c r="BI64"/>
  <c r="Q64"/>
  <c r="AA64"/>
  <c r="AV53"/>
  <c r="M72"/>
  <c r="U73"/>
  <c r="Z73"/>
  <c r="AO73"/>
  <c r="K38"/>
  <c r="O59"/>
  <c r="BF69"/>
  <c r="O69"/>
  <c r="AY69"/>
  <c r="AO69"/>
  <c r="BB76"/>
  <c r="AC76"/>
  <c r="P87"/>
  <c r="B67"/>
  <c r="C64"/>
  <c r="C71"/>
  <c r="C85"/>
  <c r="N82"/>
  <c r="Q45"/>
  <c r="R55"/>
  <c r="AN75"/>
  <c r="BK69"/>
  <c r="H66"/>
  <c r="BE93"/>
  <c r="S77"/>
  <c r="BA78"/>
  <c r="BB49"/>
  <c r="N61"/>
  <c r="AT91"/>
  <c r="S67"/>
  <c r="BB92"/>
  <c r="BF65"/>
  <c r="AK95"/>
  <c r="BL95"/>
  <c r="H67"/>
  <c r="BI86"/>
  <c r="AH86"/>
  <c r="BH74"/>
  <c r="BC63"/>
  <c r="N63"/>
  <c r="AX46"/>
  <c r="Z46"/>
  <c r="AO92"/>
  <c r="BC72"/>
  <c r="AJ72"/>
  <c r="BH85"/>
  <c r="BD57"/>
  <c r="BM49"/>
  <c r="AI94"/>
  <c r="AU94"/>
  <c r="AM94"/>
  <c r="K80"/>
  <c r="AY70"/>
  <c r="X44"/>
  <c r="AI65"/>
  <c r="AW38"/>
  <c r="Z50"/>
  <c r="O61"/>
  <c r="H42"/>
  <c r="BC51"/>
  <c r="H68"/>
  <c r="O64"/>
  <c r="AV54"/>
  <c r="M87"/>
  <c r="AI67"/>
  <c r="N95"/>
  <c r="AT60"/>
  <c r="X48"/>
  <c r="L46"/>
  <c r="AU72"/>
  <c r="R53"/>
  <c r="N94"/>
  <c r="X70"/>
  <c r="AK50"/>
  <c r="Q51"/>
  <c r="M58"/>
  <c r="AT94"/>
  <c r="Z70"/>
  <c r="K42"/>
  <c r="AP64"/>
  <c r="B62"/>
  <c r="B68"/>
  <c r="B65"/>
  <c r="B70"/>
  <c r="B78"/>
  <c r="B84"/>
  <c r="B87"/>
  <c r="B96"/>
  <c r="B93"/>
  <c r="B69"/>
  <c r="C72"/>
  <c r="B88"/>
  <c r="B72"/>
  <c r="B79"/>
  <c r="B64"/>
  <c r="C78"/>
  <c r="B85"/>
  <c r="C42"/>
  <c r="B74"/>
  <c r="B73"/>
  <c r="B75"/>
  <c r="B76"/>
  <c r="B71"/>
  <c r="B92"/>
  <c r="B60"/>
  <c r="X80"/>
  <c r="BF80"/>
  <c r="AS80"/>
  <c r="L77"/>
  <c r="J77"/>
  <c r="R77"/>
  <c r="BK77"/>
  <c r="BM77"/>
  <c r="AG77"/>
  <c r="AD77"/>
  <c r="AN77"/>
  <c r="AT95"/>
  <c r="BC77"/>
  <c r="AW76"/>
  <c r="AS86"/>
  <c r="AZ76"/>
  <c r="BC76"/>
  <c r="K76"/>
  <c r="AJ76"/>
  <c r="Y87"/>
  <c r="AG87"/>
  <c r="AC87"/>
  <c r="BD95"/>
  <c r="AA87"/>
  <c r="BH87"/>
  <c r="AV68"/>
  <c r="AQ68"/>
  <c r="AK86"/>
  <c r="AJ68"/>
  <c r="M68"/>
  <c r="AH68"/>
  <c r="Q68"/>
  <c r="P68"/>
  <c r="BE73"/>
  <c r="Q73"/>
  <c r="AY73"/>
  <c r="AG73"/>
  <c r="AP38"/>
  <c r="BB73"/>
  <c r="AI45"/>
  <c r="M45"/>
  <c r="AV45"/>
  <c r="AU45"/>
  <c r="BF45"/>
  <c r="L45"/>
  <c r="AB45"/>
  <c r="N45"/>
  <c r="AH91"/>
  <c r="BC91"/>
  <c r="BG91"/>
  <c r="AA91"/>
  <c r="K91"/>
  <c r="BI91"/>
  <c r="Z91"/>
  <c r="BH86"/>
  <c r="AR91"/>
  <c r="BH44"/>
  <c r="G91"/>
  <c r="AB91"/>
  <c r="BH95"/>
  <c r="AD70"/>
  <c r="BJ70"/>
  <c r="BF70"/>
  <c r="AU70"/>
  <c r="AK70"/>
  <c r="BK70"/>
  <c r="BD70"/>
  <c r="AO79"/>
  <c r="AT79"/>
  <c r="AV95"/>
  <c r="U79"/>
  <c r="AF79"/>
  <c r="BC79"/>
  <c r="W72"/>
  <c r="BD72"/>
  <c r="R72"/>
  <c r="AA72"/>
  <c r="AE72"/>
  <c r="AL72"/>
  <c r="BE72"/>
  <c r="N88"/>
  <c r="BH88"/>
  <c r="T53"/>
  <c r="BB51"/>
  <c r="AB51"/>
  <c r="AD51"/>
  <c r="AX51"/>
  <c r="M51"/>
  <c r="O51"/>
  <c r="AF51"/>
  <c r="AG90"/>
  <c r="AP90"/>
  <c r="BM90"/>
  <c r="BC81"/>
  <c r="T81"/>
  <c r="AQ81"/>
  <c r="R49"/>
  <c r="AE49"/>
  <c r="AF49"/>
  <c r="V49"/>
  <c r="O49"/>
  <c r="AV49"/>
  <c r="S49"/>
  <c r="W49"/>
  <c r="BJ49"/>
  <c r="AX49"/>
  <c r="U49"/>
  <c r="R44"/>
  <c r="BE49"/>
  <c r="AC49"/>
  <c r="AO49"/>
  <c r="R86"/>
  <c r="K49"/>
  <c r="BG49"/>
  <c r="BH49"/>
  <c r="BL49"/>
  <c r="AU49"/>
  <c r="K81"/>
  <c r="BI81"/>
  <c r="AU63"/>
  <c r="BA63"/>
  <c r="BI63"/>
  <c r="AF63"/>
  <c r="B63" s="1"/>
  <c r="BH63"/>
  <c r="R63"/>
  <c r="BL63"/>
  <c r="AR63"/>
  <c r="P63"/>
  <c r="AA63"/>
  <c r="AC55"/>
  <c r="H55"/>
  <c r="I55"/>
  <c r="AG55"/>
  <c r="AF55"/>
  <c r="AQ55"/>
  <c r="W55"/>
  <c r="AW55"/>
  <c r="J55"/>
  <c r="X72"/>
  <c r="AR55"/>
  <c r="AK55"/>
  <c r="AZ55"/>
  <c r="BE55"/>
  <c r="AH55"/>
  <c r="L55"/>
  <c r="BJ55"/>
  <c r="BA55"/>
  <c r="BK55"/>
  <c r="AL55"/>
  <c r="G92"/>
  <c r="AZ92"/>
  <c r="U92"/>
  <c r="BG92"/>
  <c r="X92"/>
  <c r="Y92"/>
  <c r="AC92"/>
  <c r="J92"/>
  <c r="M92"/>
  <c r="O92"/>
  <c r="AD92"/>
  <c r="BK92"/>
  <c r="BD92"/>
  <c r="AA92"/>
  <c r="P92"/>
  <c r="AY92"/>
  <c r="BL92"/>
  <c r="AR65"/>
  <c r="AP65"/>
  <c r="M65"/>
  <c r="AK65"/>
  <c r="AU65"/>
  <c r="V65"/>
  <c r="AH53"/>
  <c r="BK65"/>
  <c r="AW65"/>
  <c r="AH38"/>
  <c r="BD65"/>
  <c r="Q65"/>
  <c r="BH65"/>
  <c r="AQ65"/>
  <c r="BL65"/>
  <c r="BC65"/>
  <c r="U48"/>
  <c r="Q86"/>
  <c r="AT48"/>
  <c r="BE48"/>
  <c r="AI48"/>
  <c r="Q91"/>
  <c r="J48"/>
  <c r="Q95"/>
  <c r="Q78"/>
  <c r="AS96"/>
  <c r="Z96"/>
  <c r="BC96"/>
  <c r="BK96"/>
  <c r="AK96"/>
  <c r="G96"/>
  <c r="AU96"/>
  <c r="Y96"/>
  <c r="AW96"/>
  <c r="AG96"/>
  <c r="AP96"/>
  <c r="BF96"/>
  <c r="BJ77"/>
  <c r="W77"/>
  <c r="AT72"/>
  <c r="AF77"/>
  <c r="AV77"/>
  <c r="AV67"/>
  <c r="L67"/>
  <c r="AJ80"/>
  <c r="AE67"/>
  <c r="BD67"/>
  <c r="AJ44"/>
  <c r="O67"/>
  <c r="U67"/>
  <c r="I67"/>
  <c r="BH67"/>
  <c r="BK67"/>
  <c r="AN67"/>
  <c r="AP67"/>
  <c r="AS67"/>
  <c r="AK67"/>
  <c r="AP57"/>
  <c r="AB57"/>
  <c r="AA57"/>
  <c r="BG57"/>
  <c r="W57"/>
  <c r="R57"/>
  <c r="Z68"/>
  <c r="AR57"/>
  <c r="P57"/>
  <c r="Z72"/>
  <c r="AF57"/>
  <c r="BI57"/>
  <c r="AU57"/>
  <c r="BK57"/>
  <c r="AD57"/>
  <c r="BH94"/>
  <c r="AX94"/>
  <c r="BK53"/>
  <c r="AE94"/>
  <c r="AS94"/>
  <c r="BK80"/>
  <c r="AG94"/>
  <c r="BI94"/>
  <c r="AD94"/>
  <c r="Q94"/>
  <c r="BJ94"/>
  <c r="BK44"/>
  <c r="G94"/>
  <c r="Z94"/>
  <c r="BK38"/>
  <c r="AO94"/>
  <c r="I94"/>
  <c r="AL50"/>
  <c r="AW50"/>
  <c r="AP71"/>
  <c r="BF71"/>
  <c r="G71"/>
  <c r="BM71"/>
  <c r="BG71"/>
  <c r="AN95"/>
  <c r="L71"/>
  <c r="BJ71"/>
  <c r="AB71"/>
  <c r="J71"/>
  <c r="AE59"/>
  <c r="BG59"/>
  <c r="AB86"/>
  <c r="AF59"/>
  <c r="AX59"/>
  <c r="R59"/>
  <c r="AB72"/>
  <c r="K59"/>
  <c r="W59"/>
  <c r="AB95"/>
  <c r="AQ59"/>
  <c r="AA59"/>
  <c r="BC59"/>
  <c r="AJ59"/>
  <c r="I59"/>
  <c r="BD59"/>
  <c r="AW52"/>
  <c r="AR52"/>
  <c r="AJ52"/>
  <c r="BC52"/>
  <c r="AQ52"/>
  <c r="BF52"/>
  <c r="AU52"/>
  <c r="AF52"/>
  <c r="J52"/>
  <c r="H52"/>
  <c r="U52"/>
  <c r="G52"/>
  <c r="BM52"/>
  <c r="AJ61"/>
  <c r="AW61"/>
  <c r="AK61"/>
  <c r="AU61"/>
  <c r="BB61"/>
  <c r="J61"/>
  <c r="AD78"/>
  <c r="X61"/>
  <c r="M61"/>
  <c r="Q61"/>
  <c r="AV61"/>
  <c r="AD53"/>
  <c r="G61"/>
  <c r="AT61"/>
  <c r="BL61"/>
  <c r="R61"/>
  <c r="N42"/>
  <c r="BB42"/>
  <c r="AV42"/>
  <c r="T42"/>
  <c r="AZ42"/>
  <c r="Z42"/>
  <c r="X42"/>
  <c r="K86"/>
  <c r="AC42"/>
  <c r="R42"/>
  <c r="AY42"/>
  <c r="AT42"/>
  <c r="V42"/>
  <c r="AT56"/>
  <c r="W56"/>
  <c r="Y72"/>
  <c r="BG56"/>
  <c r="AI56"/>
  <c r="Y44"/>
  <c r="AH56"/>
  <c r="AS56"/>
  <c r="AJ56"/>
  <c r="I56"/>
  <c r="O56"/>
  <c r="BL56"/>
  <c r="J64"/>
  <c r="AG38"/>
  <c r="AG68"/>
  <c r="AG44"/>
  <c r="AG72"/>
  <c r="AX64"/>
  <c r="S64"/>
  <c r="AG53"/>
  <c r="G64"/>
  <c r="BJ64"/>
  <c r="AW87"/>
  <c r="BJ87"/>
  <c r="BD88"/>
  <c r="BD44"/>
  <c r="S87"/>
  <c r="AF56"/>
  <c r="M56"/>
  <c r="Y78"/>
  <c r="AN56"/>
  <c r="Y77"/>
  <c r="BA56"/>
  <c r="L56"/>
  <c r="O47"/>
  <c r="AZ47"/>
  <c r="Y47"/>
  <c r="AA47"/>
  <c r="AR47"/>
  <c r="I47"/>
  <c r="P55"/>
  <c r="BL47"/>
  <c r="AV47"/>
  <c r="BD47"/>
  <c r="AN47"/>
  <c r="U47"/>
  <c r="AT47"/>
  <c r="AX47"/>
  <c r="M47"/>
  <c r="AW47"/>
  <c r="Q47"/>
  <c r="K47"/>
  <c r="BC47"/>
  <c r="AD47"/>
  <c r="AJ47"/>
  <c r="BH47"/>
  <c r="H47"/>
  <c r="AW42"/>
  <c r="K95"/>
  <c r="K77"/>
  <c r="AJ42"/>
  <c r="M42"/>
  <c r="AP42"/>
  <c r="BA42"/>
  <c r="K78"/>
  <c r="Y54"/>
  <c r="W67"/>
  <c r="AD54"/>
  <c r="S54"/>
  <c r="AK54"/>
  <c r="W96"/>
  <c r="X54"/>
  <c r="BD54"/>
  <c r="J54"/>
  <c r="W54"/>
  <c r="W91"/>
  <c r="BM54"/>
  <c r="AS54"/>
  <c r="W53"/>
  <c r="BI54"/>
  <c r="AU54"/>
  <c r="I54"/>
  <c r="L54"/>
  <c r="AF54"/>
  <c r="BK54"/>
  <c r="W78"/>
  <c r="BH54"/>
  <c r="N54"/>
  <c r="R54"/>
  <c r="AL54"/>
  <c r="H54"/>
  <c r="AO54"/>
  <c r="AX93"/>
  <c r="BM93"/>
  <c r="BJ78"/>
  <c r="BJ72"/>
  <c r="AI93"/>
  <c r="AB93"/>
  <c r="BJ65"/>
  <c r="AY93"/>
  <c r="AW93"/>
  <c r="AJ93"/>
  <c r="BI93"/>
  <c r="BG93"/>
  <c r="BJ53"/>
  <c r="AN93"/>
  <c r="J93"/>
  <c r="L93"/>
  <c r="T93"/>
  <c r="AC93"/>
  <c r="I93"/>
  <c r="W93"/>
  <c r="AP93"/>
  <c r="AA93"/>
  <c r="AL93"/>
  <c r="BF93"/>
  <c r="BJ38"/>
  <c r="AK93"/>
  <c r="O93"/>
  <c r="BK93"/>
  <c r="N93"/>
  <c r="H59"/>
  <c r="BA59"/>
  <c r="AW59"/>
  <c r="U59"/>
  <c r="BL59"/>
  <c r="AB92"/>
  <c r="AB67"/>
  <c r="AZ59"/>
  <c r="BH59"/>
  <c r="BL94"/>
  <c r="P94"/>
  <c r="AR94"/>
  <c r="T94"/>
  <c r="BM94"/>
  <c r="AH94"/>
  <c r="L94"/>
  <c r="BK61"/>
  <c r="AY72"/>
  <c r="AY64"/>
  <c r="AE82"/>
  <c r="BB82"/>
  <c r="AY78"/>
  <c r="U82"/>
  <c r="BG82"/>
  <c r="AY68"/>
  <c r="AL82"/>
  <c r="AF82"/>
  <c r="BF82"/>
  <c r="L82"/>
  <c r="Q82"/>
  <c r="AN82"/>
  <c r="P82"/>
  <c r="Z82"/>
  <c r="AK82"/>
  <c r="X82"/>
  <c r="AI82"/>
  <c r="BD82"/>
  <c r="O82"/>
  <c r="AV82"/>
  <c r="AY82"/>
  <c r="B82" s="1"/>
  <c r="BA82"/>
  <c r="AY41"/>
  <c r="AN41"/>
  <c r="AC41"/>
  <c r="J91"/>
  <c r="O41"/>
  <c r="AA41"/>
  <c r="AI41"/>
  <c r="J72"/>
  <c r="I41"/>
  <c r="H41"/>
  <c r="L41"/>
  <c r="U41"/>
  <c r="Y41"/>
  <c r="AQ41"/>
  <c r="J53"/>
  <c r="AR41"/>
  <c r="AF41"/>
  <c r="AB41"/>
  <c r="AZ41"/>
  <c r="AO41"/>
  <c r="BG41"/>
  <c r="BI41"/>
  <c r="AD41"/>
  <c r="M41"/>
  <c r="V41"/>
  <c r="BK41"/>
  <c r="AV41"/>
  <c r="BB41"/>
  <c r="J73"/>
  <c r="AP86"/>
  <c r="AC73"/>
  <c r="V73"/>
  <c r="AP80"/>
  <c r="AR73"/>
  <c r="AF73"/>
  <c r="AV73"/>
  <c r="P73"/>
  <c r="AE73"/>
  <c r="I73"/>
  <c r="W73"/>
  <c r="AK73"/>
  <c r="O55"/>
  <c r="BM46"/>
  <c r="AT46"/>
  <c r="BL46"/>
  <c r="AS46"/>
  <c r="R46"/>
  <c r="AK46"/>
  <c r="O91"/>
  <c r="BF46"/>
  <c r="O57"/>
  <c r="N46"/>
  <c r="AO46"/>
  <c r="S46"/>
  <c r="AF46"/>
  <c r="M46"/>
  <c r="O90"/>
  <c r="K46"/>
  <c r="Q46"/>
  <c r="AZ46"/>
  <c r="O78"/>
  <c r="AL46"/>
  <c r="AR46"/>
  <c r="T46"/>
  <c r="BI46"/>
  <c r="AI46"/>
  <c r="X46"/>
  <c r="G46"/>
  <c r="H46"/>
  <c r="T90"/>
  <c r="H51"/>
  <c r="BK51"/>
  <c r="AV51"/>
  <c r="T61"/>
  <c r="P51"/>
  <c r="AE51"/>
  <c r="AJ51"/>
  <c r="T38"/>
  <c r="T44"/>
  <c r="AQ51"/>
  <c r="BB87"/>
  <c r="BD53"/>
  <c r="W87"/>
  <c r="BK87"/>
  <c r="Z87"/>
  <c r="BD86"/>
  <c r="R87"/>
  <c r="AS87"/>
  <c r="BD96"/>
  <c r="AZ87"/>
  <c r="AX75"/>
  <c r="BF75"/>
  <c r="AZ75"/>
  <c r="AR96"/>
  <c r="AA75"/>
  <c r="Y75"/>
  <c r="AC75"/>
  <c r="AR50"/>
  <c r="BB75"/>
  <c r="K75"/>
  <c r="N75"/>
  <c r="AG75"/>
  <c r="AM75"/>
  <c r="AR78"/>
  <c r="AR86"/>
  <c r="AH75"/>
  <c r="AQ75"/>
  <c r="BM75"/>
  <c r="AM60"/>
  <c r="AK60"/>
  <c r="AC61"/>
  <c r="AC44"/>
  <c r="H60"/>
  <c r="BF60"/>
  <c r="AC67"/>
  <c r="AC91"/>
  <c r="BG60"/>
  <c r="O60"/>
  <c r="AW60"/>
  <c r="J60"/>
  <c r="S60"/>
  <c r="AC80"/>
  <c r="AV60"/>
  <c r="AB60"/>
  <c r="AH60"/>
  <c r="AY60"/>
  <c r="AC68"/>
  <c r="AL60"/>
  <c r="BJ60"/>
  <c r="BM60"/>
  <c r="N60"/>
  <c r="Y60"/>
  <c r="AJ60"/>
  <c r="BC60"/>
  <c r="AA60"/>
  <c r="Q60"/>
  <c r="BC84"/>
  <c r="BA53"/>
  <c r="M84"/>
  <c r="AH84"/>
  <c r="BA71"/>
  <c r="R84"/>
  <c r="S84"/>
  <c r="BA91"/>
  <c r="AU84"/>
  <c r="I84"/>
  <c r="BM84"/>
  <c r="AX84"/>
  <c r="K84"/>
  <c r="BA44"/>
  <c r="BA95"/>
  <c r="AZ63"/>
  <c r="AF71"/>
  <c r="AF96"/>
  <c r="X63"/>
  <c r="BF63"/>
  <c r="AT63"/>
  <c r="AO63"/>
  <c r="AV38"/>
  <c r="BB79"/>
  <c r="BJ79"/>
  <c r="AV57"/>
  <c r="Y79"/>
  <c r="BA79"/>
  <c r="AW79"/>
  <c r="AQ79"/>
  <c r="AY79"/>
  <c r="I79"/>
  <c r="AX79"/>
  <c r="BE79"/>
  <c r="BJ45"/>
  <c r="Y45"/>
  <c r="AH45"/>
  <c r="N90"/>
  <c r="AZ45"/>
  <c r="AJ45"/>
  <c r="AW45"/>
  <c r="BC45"/>
  <c r="AY45"/>
  <c r="AK45"/>
  <c r="G48"/>
  <c r="Q71"/>
  <c r="L48"/>
  <c r="L83"/>
  <c r="BL83"/>
  <c r="BA83"/>
  <c r="AZ96"/>
  <c r="AC83"/>
  <c r="O83"/>
  <c r="AL83"/>
  <c r="AZ95"/>
  <c r="P83"/>
  <c r="H83"/>
  <c r="AZ69"/>
  <c r="BF83"/>
  <c r="AG83"/>
  <c r="U83"/>
  <c r="AP83"/>
  <c r="N83"/>
  <c r="AR83"/>
  <c r="AC52"/>
  <c r="U65"/>
  <c r="AP52"/>
  <c r="AD52"/>
  <c r="AV52"/>
  <c r="BB52"/>
  <c r="BA52"/>
  <c r="U78"/>
  <c r="U77"/>
  <c r="Y81"/>
  <c r="AA81"/>
  <c r="AX86"/>
  <c r="AX80"/>
  <c r="AP81"/>
  <c r="G81"/>
  <c r="AH49"/>
  <c r="R78"/>
  <c r="H49"/>
  <c r="Q49"/>
  <c r="AB49"/>
  <c r="AS74"/>
  <c r="AB74"/>
  <c r="H74"/>
  <c r="AD74"/>
  <c r="AW74"/>
  <c r="AL74"/>
  <c r="AJ74"/>
  <c r="AQ53"/>
  <c r="AI74"/>
  <c r="AT74"/>
  <c r="AQ91"/>
  <c r="J74"/>
  <c r="T74"/>
  <c r="AM74"/>
  <c r="AF74"/>
  <c r="P74"/>
  <c r="AY74"/>
  <c r="BF67"/>
  <c r="X89"/>
  <c r="AE89"/>
  <c r="AF89"/>
  <c r="BF72"/>
  <c r="AU89"/>
  <c r="BH89"/>
  <c r="AI89"/>
  <c r="BF95"/>
  <c r="P89"/>
  <c r="U89"/>
  <c r="AZ89"/>
  <c r="BE89"/>
  <c r="AP89"/>
  <c r="BD89"/>
  <c r="BF89"/>
  <c r="B89" s="1"/>
  <c r="W89"/>
  <c r="V89"/>
  <c r="AN89"/>
  <c r="AW89"/>
  <c r="Q70"/>
  <c r="AM86"/>
  <c r="M70"/>
  <c r="AP70"/>
  <c r="H70"/>
  <c r="AT70"/>
  <c r="W70"/>
  <c r="AG70"/>
  <c r="AV70"/>
  <c r="AR70"/>
  <c r="AA70"/>
  <c r="N70"/>
  <c r="U70"/>
  <c r="AH70"/>
  <c r="AZ70"/>
  <c r="AM38"/>
  <c r="BG70"/>
  <c r="Y70"/>
  <c r="AM91"/>
  <c r="T70"/>
  <c r="AI57"/>
  <c r="AI80"/>
  <c r="BE66"/>
  <c r="J66"/>
  <c r="X66"/>
  <c r="AP66"/>
  <c r="AU66"/>
  <c r="AS66"/>
  <c r="AI50"/>
  <c r="AI66"/>
  <c r="B66" s="1"/>
  <c r="AX66"/>
  <c r="BL66"/>
  <c r="BG66"/>
  <c r="N66"/>
  <c r="AH66"/>
  <c r="BA66"/>
  <c r="AI38"/>
  <c r="AF66"/>
  <c r="AY66"/>
  <c r="AZ66"/>
  <c r="BM66"/>
  <c r="M66"/>
  <c r="K66"/>
  <c r="BH66"/>
  <c r="AA66"/>
  <c r="AI95"/>
  <c r="W76"/>
  <c r="AP76"/>
  <c r="AS57"/>
  <c r="BK76"/>
  <c r="AS55"/>
  <c r="AS65"/>
  <c r="AX76"/>
  <c r="AB76"/>
  <c r="I76"/>
  <c r="BG76"/>
  <c r="AT76"/>
  <c r="AR76"/>
  <c r="AK76"/>
  <c r="AS78"/>
  <c r="BI76"/>
  <c r="BF76"/>
  <c r="AS72"/>
  <c r="V76"/>
  <c r="BM43"/>
  <c r="AS43"/>
  <c r="L57"/>
  <c r="AF43"/>
  <c r="AR43"/>
  <c r="K43"/>
  <c r="L92"/>
  <c r="AZ43"/>
  <c r="BD43"/>
  <c r="AC43"/>
  <c r="H43"/>
  <c r="X43"/>
  <c r="S43"/>
  <c r="BJ43"/>
  <c r="AT43"/>
  <c r="AL43"/>
  <c r="BH43"/>
  <c r="AO43"/>
  <c r="AP43"/>
  <c r="AE43"/>
  <c r="N43"/>
  <c r="AX58"/>
  <c r="BM58"/>
  <c r="AT58"/>
  <c r="AA71"/>
  <c r="V58"/>
  <c r="BA58"/>
  <c r="AA86"/>
  <c r="AA68"/>
  <c r="Q58"/>
  <c r="AA69"/>
  <c r="AF58"/>
  <c r="BL58"/>
  <c r="AR58"/>
  <c r="AA38"/>
  <c r="AQ58"/>
  <c r="BE62"/>
  <c r="AE57"/>
  <c r="AE68"/>
  <c r="M62"/>
  <c r="AR62"/>
  <c r="AQ62"/>
  <c r="BG62"/>
  <c r="AE53"/>
  <c r="K39"/>
  <c r="X39"/>
  <c r="N39"/>
  <c r="Y39"/>
  <c r="I34"/>
  <c r="C40" s="1"/>
  <c r="I2"/>
  <c r="R34"/>
  <c r="C49" s="1"/>
  <c r="R2"/>
  <c r="P2"/>
  <c r="P34"/>
  <c r="C47" s="1"/>
  <c r="X34"/>
  <c r="C55" s="1"/>
  <c r="X2"/>
  <c r="G39"/>
  <c r="J39"/>
  <c r="S39"/>
  <c r="Q39"/>
  <c r="AB39"/>
  <c r="Z40"/>
  <c r="H40"/>
  <c r="AA40"/>
  <c r="U40"/>
  <c r="I40"/>
  <c r="T40"/>
  <c r="K40"/>
  <c r="P40"/>
  <c r="R40"/>
  <c r="W40"/>
  <c r="AB34"/>
  <c r="C59" s="1"/>
  <c r="AB2"/>
  <c r="S2"/>
  <c r="S34"/>
  <c r="C50" s="1"/>
  <c r="X40"/>
  <c r="M40"/>
  <c r="Q40"/>
  <c r="G40"/>
  <c r="S40"/>
  <c r="N40"/>
  <c r="Y40"/>
  <c r="L39"/>
  <c r="AA39"/>
  <c r="V39"/>
  <c r="H38"/>
  <c r="Z39"/>
  <c r="O39"/>
  <c r="M39"/>
  <c r="H39"/>
  <c r="I39"/>
  <c r="T39"/>
  <c r="R39"/>
  <c r="U39"/>
  <c r="AA34"/>
  <c r="C58" s="1"/>
  <c r="AA2"/>
  <c r="U2"/>
  <c r="U34"/>
  <c r="C52" s="1"/>
  <c r="Y34"/>
  <c r="C56" s="1"/>
  <c r="Y2"/>
  <c r="J34"/>
  <c r="C41" s="1"/>
  <c r="J2"/>
  <c r="K2"/>
  <c r="L2"/>
  <c r="O34"/>
  <c r="C46" s="1"/>
  <c r="W2"/>
  <c r="M34"/>
  <c r="C44" s="1"/>
  <c r="Z2"/>
  <c r="Y39" i="1" l="1"/>
  <c r="U39"/>
  <c r="AA39"/>
  <c r="S39"/>
  <c r="AB39"/>
  <c r="Z39"/>
  <c r="X39"/>
  <c r="P39"/>
  <c r="R39"/>
  <c r="M39"/>
  <c r="W39"/>
  <c r="O39"/>
  <c r="L39"/>
  <c r="K39"/>
  <c r="N39"/>
  <c r="Q39"/>
  <c r="V39"/>
  <c r="T39"/>
  <c r="O20" i="237"/>
  <c r="B19"/>
  <c r="B3" s="1"/>
  <c r="AE25" i="18"/>
  <c r="K36" i="237"/>
  <c r="K6" s="1"/>
  <c r="O153" i="223"/>
  <c r="O145"/>
  <c r="B144"/>
  <c r="B8" s="1"/>
  <c r="O30"/>
  <c r="M36"/>
  <c r="M9" s="1"/>
  <c r="O67" i="237"/>
  <c r="B66"/>
  <c r="B7" s="1"/>
  <c r="J66"/>
  <c r="J7" s="1"/>
  <c r="O94" i="223"/>
  <c r="O126" i="237"/>
  <c r="F19" i="223"/>
  <c r="F4" s="1"/>
  <c r="AC25" i="18"/>
  <c r="F144" i="223"/>
  <c r="F8" s="1"/>
  <c r="G114"/>
  <c r="G13" s="1"/>
  <c r="O42"/>
  <c r="O152"/>
  <c r="Y40" i="1"/>
  <c r="X4" i="15"/>
  <c r="X5" s="1"/>
  <c r="X6" s="1"/>
  <c r="X7" s="1"/>
  <c r="X8" s="1"/>
  <c r="X9" s="1"/>
  <c r="X10" s="1"/>
  <c r="X11" s="1"/>
  <c r="X12" s="1"/>
  <c r="X13" s="1"/>
  <c r="X14" s="1"/>
  <c r="X15" s="1"/>
  <c r="X16" s="1"/>
  <c r="U40" i="1"/>
  <c r="W25" i="18"/>
  <c r="O25" i="237"/>
  <c r="O68" i="223"/>
  <c r="O78" i="237"/>
  <c r="O29"/>
  <c r="AA40" i="1"/>
  <c r="O164" i="237"/>
  <c r="C178"/>
  <c r="C13" s="1"/>
  <c r="D144"/>
  <c r="D12" s="1"/>
  <c r="G4" i="15"/>
  <c r="G5" s="1"/>
  <c r="G6" s="1"/>
  <c r="G7" s="1"/>
  <c r="G8" s="1"/>
  <c r="G9" s="1"/>
  <c r="G10" s="1"/>
  <c r="G11" s="1"/>
  <c r="G12" s="1"/>
  <c r="G13" s="1"/>
  <c r="G14" s="1"/>
  <c r="G15" s="1"/>
  <c r="G16" s="1"/>
  <c r="M129" i="223"/>
  <c r="M6" s="1"/>
  <c r="N52"/>
  <c r="N11" s="1"/>
  <c r="O138"/>
  <c r="Z25" i="18"/>
  <c r="O135" i="237"/>
  <c r="E159" i="223"/>
  <c r="E5" s="1"/>
  <c r="G52" i="237"/>
  <c r="G5" s="1"/>
  <c r="E159"/>
  <c r="E4" s="1"/>
  <c r="O89" i="223"/>
  <c r="C19" i="237"/>
  <c r="C3" s="1"/>
  <c r="O77"/>
  <c r="O122" i="223"/>
  <c r="J144"/>
  <c r="J8" s="1"/>
  <c r="T25" i="18"/>
  <c r="C82" i="237"/>
  <c r="C8" s="1"/>
  <c r="AV25" i="18"/>
  <c r="N36" i="237"/>
  <c r="N6" s="1"/>
  <c r="J99"/>
  <c r="J9" s="1"/>
  <c r="F178"/>
  <c r="F13" s="1"/>
  <c r="G66"/>
  <c r="G7" s="1"/>
  <c r="C66"/>
  <c r="C7" s="1"/>
  <c r="E129"/>
  <c r="E11" s="1"/>
  <c r="O164" i="223"/>
  <c r="S40" i="1"/>
  <c r="K99" i="237"/>
  <c r="K9" s="1"/>
  <c r="G159"/>
  <c r="G4" s="1"/>
  <c r="G129" i="223"/>
  <c r="G6" s="1"/>
  <c r="O91"/>
  <c r="J66"/>
  <c r="J7" s="1"/>
  <c r="G178"/>
  <c r="G14" s="1"/>
  <c r="B31" i="185"/>
  <c r="M25" i="18"/>
  <c r="O90" i="237"/>
  <c r="G159" i="223"/>
  <c r="G5" s="1"/>
  <c r="I36"/>
  <c r="I9" s="1"/>
  <c r="BC25" i="18"/>
  <c r="O119" i="223"/>
  <c r="O150"/>
  <c r="O140"/>
  <c r="O39"/>
  <c r="I178" i="237"/>
  <c r="I13" s="1"/>
  <c r="F66"/>
  <c r="F7" s="1"/>
  <c r="O91"/>
  <c r="O29" i="223"/>
  <c r="L19"/>
  <c r="L4" s="1"/>
  <c r="AJ25" i="18"/>
  <c r="O40" i="237"/>
  <c r="O44" i="223"/>
  <c r="O123"/>
  <c r="N19"/>
  <c r="N4" s="1"/>
  <c r="AB40" i="1"/>
  <c r="O124" i="223"/>
  <c r="O84"/>
  <c r="L144" i="237"/>
  <c r="L12" s="1"/>
  <c r="O74" i="223"/>
  <c r="G52"/>
  <c r="G11" s="1"/>
  <c r="H114" i="237"/>
  <c r="H10" s="1"/>
  <c r="O93" i="223"/>
  <c r="O69"/>
  <c r="O102"/>
  <c r="L36"/>
  <c r="L9" s="1"/>
  <c r="G66"/>
  <c r="G7" s="1"/>
  <c r="M159"/>
  <c r="M5" s="1"/>
  <c r="H19" i="237"/>
  <c r="H3" s="1"/>
  <c r="K178" i="223"/>
  <c r="K14" s="1"/>
  <c r="O115" i="237"/>
  <c r="B114"/>
  <c r="B10" s="1"/>
  <c r="L82"/>
  <c r="L8" s="1"/>
  <c r="O20" i="223"/>
  <c r="B19"/>
  <c r="B4" s="1"/>
  <c r="L82"/>
  <c r="L12" s="1"/>
  <c r="O40"/>
  <c r="O45"/>
  <c r="AB4" i="15"/>
  <c r="AB5" s="1"/>
  <c r="AB6" s="1"/>
  <c r="AB7" s="1"/>
  <c r="AB8" s="1"/>
  <c r="AB9" s="1"/>
  <c r="AB10" s="1"/>
  <c r="AB11" s="1"/>
  <c r="AB12" s="1"/>
  <c r="AB13" s="1"/>
  <c r="AB14" s="1"/>
  <c r="AB15" s="1"/>
  <c r="AB16" s="1"/>
  <c r="O186" i="223"/>
  <c r="F19" i="237"/>
  <c r="F3" s="1"/>
  <c r="AU25" i="18"/>
  <c r="N99" i="237"/>
  <c r="N9" s="1"/>
  <c r="C36" i="223"/>
  <c r="C9" s="1"/>
  <c r="Z40" i="1"/>
  <c r="G114" i="237"/>
  <c r="G10" s="1"/>
  <c r="I129"/>
  <c r="I11" s="1"/>
  <c r="O152"/>
  <c r="D36" i="223"/>
  <c r="D9" s="1"/>
  <c r="H66" i="237"/>
  <c r="H7" s="1"/>
  <c r="H178" i="223"/>
  <c r="H14" s="1"/>
  <c r="O60" i="237"/>
  <c r="B36"/>
  <c r="B6" s="1"/>
  <c r="O37"/>
  <c r="N129"/>
  <c r="N11" s="1"/>
  <c r="O121" i="223"/>
  <c r="O119" i="237"/>
  <c r="BI25" i="18"/>
  <c r="O123" i="237"/>
  <c r="E114"/>
  <c r="E10" s="1"/>
  <c r="O139" i="223"/>
  <c r="O101"/>
  <c r="J159"/>
  <c r="J5" s="1"/>
  <c r="C52"/>
  <c r="C11" s="1"/>
  <c r="L52"/>
  <c r="L11" s="1"/>
  <c r="X40" i="1"/>
  <c r="J52" i="237"/>
  <c r="J5" s="1"/>
  <c r="C114" i="223"/>
  <c r="C13" s="1"/>
  <c r="O86" i="237"/>
  <c r="J19"/>
  <c r="J3" s="1"/>
  <c r="M99" i="223"/>
  <c r="M10" s="1"/>
  <c r="O70"/>
  <c r="E129"/>
  <c r="E6" s="1"/>
  <c r="O39" i="237"/>
  <c r="O139"/>
  <c r="BF25" i="18"/>
  <c r="I52" i="237"/>
  <c r="I5" s="1"/>
  <c r="O131" i="223"/>
  <c r="G36" i="237"/>
  <c r="G6" s="1"/>
  <c r="M36"/>
  <c r="M6" s="1"/>
  <c r="D129" i="223"/>
  <c r="D6" s="1"/>
  <c r="O116" i="237"/>
  <c r="N129" i="223"/>
  <c r="N6" s="1"/>
  <c r="O141" i="237"/>
  <c r="J36"/>
  <c r="J6" s="1"/>
  <c r="L129" i="223"/>
  <c r="L6" s="1"/>
  <c r="O172" i="237"/>
  <c r="O56" i="223"/>
  <c r="O156" i="237"/>
  <c r="J82" i="223"/>
  <c r="J12" s="1"/>
  <c r="P40" i="1"/>
  <c r="O71" i="223"/>
  <c r="J19"/>
  <c r="J4" s="1"/>
  <c r="I52"/>
  <c r="I11" s="1"/>
  <c r="D82"/>
  <c r="D12" s="1"/>
  <c r="O103" i="237"/>
  <c r="C114"/>
  <c r="C10" s="1"/>
  <c r="O138"/>
  <c r="O147" i="223"/>
  <c r="O62" i="237"/>
  <c r="H4" i="15"/>
  <c r="H5" s="1"/>
  <c r="H6" s="1"/>
  <c r="H7" s="1"/>
  <c r="H8" s="1"/>
  <c r="H9" s="1"/>
  <c r="H10" s="1"/>
  <c r="H11" s="1"/>
  <c r="H12" s="1"/>
  <c r="H13" s="1"/>
  <c r="H14" s="1"/>
  <c r="H15" s="1"/>
  <c r="H16" s="1"/>
  <c r="O62" i="223"/>
  <c r="AA4" i="15"/>
  <c r="AA5" s="1"/>
  <c r="AA6" s="1"/>
  <c r="AA7" s="1"/>
  <c r="AA8" s="1"/>
  <c r="AA9" s="1"/>
  <c r="AA10" s="1"/>
  <c r="AA11" s="1"/>
  <c r="AA12" s="1"/>
  <c r="AA13" s="1"/>
  <c r="AA14" s="1"/>
  <c r="AA15" s="1"/>
  <c r="AA16" s="1"/>
  <c r="J52" i="223"/>
  <c r="J11" s="1"/>
  <c r="H19"/>
  <c r="H4" s="1"/>
  <c r="K159" i="237"/>
  <c r="K4" s="1"/>
  <c r="K99" i="223"/>
  <c r="K10" s="1"/>
  <c r="BH25" i="18"/>
  <c r="R40" i="1"/>
  <c r="BD25" i="18"/>
  <c r="D52" i="223"/>
  <c r="D11" s="1"/>
  <c r="I82"/>
  <c r="I12" s="1"/>
  <c r="O26" i="237"/>
  <c r="F52" i="223"/>
  <c r="F11" s="1"/>
  <c r="O171" i="237"/>
  <c r="O146"/>
  <c r="H82" i="223"/>
  <c r="H12" s="1"/>
  <c r="O168" i="237"/>
  <c r="BG25" i="18"/>
  <c r="E52" i="237"/>
  <c r="E5" s="1"/>
  <c r="O125" i="223"/>
  <c r="AL25" i="18"/>
  <c r="O180" i="237"/>
  <c r="K66"/>
  <c r="K7" s="1"/>
  <c r="G19" i="223"/>
  <c r="G4" s="1"/>
  <c r="O126"/>
  <c r="O88" i="237"/>
  <c r="O71"/>
  <c r="M82"/>
  <c r="M8" s="1"/>
  <c r="I82"/>
  <c r="I8" s="1"/>
  <c r="D159"/>
  <c r="D4" s="1"/>
  <c r="F52"/>
  <c r="F5" s="1"/>
  <c r="AY25" i="18"/>
  <c r="O136" i="223"/>
  <c r="I178"/>
  <c r="I14" s="1"/>
  <c r="P25" i="18"/>
  <c r="O21" i="237"/>
  <c r="C159" i="223"/>
  <c r="C5" s="1"/>
  <c r="C36" i="237"/>
  <c r="C6" s="1"/>
  <c r="O133"/>
  <c r="C66" i="223"/>
  <c r="C7" s="1"/>
  <c r="O131" i="237"/>
  <c r="E36"/>
  <c r="E6" s="1"/>
  <c r="M40" i="1"/>
  <c r="L129" i="237"/>
  <c r="L11" s="1"/>
  <c r="BP25" i="18"/>
  <c r="O170" i="223"/>
  <c r="O58" i="237"/>
  <c r="E114" i="223"/>
  <c r="E13" s="1"/>
  <c r="O169" i="237"/>
  <c r="L159" i="223"/>
  <c r="L5" s="1"/>
  <c r="O120" i="237"/>
  <c r="I144"/>
  <c r="I12" s="1"/>
  <c r="M129"/>
  <c r="M11" s="1"/>
  <c r="F66" i="223"/>
  <c r="F7" s="1"/>
  <c r="O78"/>
  <c r="D114" i="237"/>
  <c r="D10" s="1"/>
  <c r="O76" i="223"/>
  <c r="O132"/>
  <c r="L19" i="237"/>
  <c r="L3" s="1"/>
  <c r="I159"/>
  <c r="I4" s="1"/>
  <c r="K114"/>
  <c r="K10" s="1"/>
  <c r="AK25" i="18"/>
  <c r="F36" i="223"/>
  <c r="F9" s="1"/>
  <c r="W40" i="1"/>
  <c r="K82" i="223"/>
  <c r="K12" s="1"/>
  <c r="O43"/>
  <c r="O162"/>
  <c r="O183"/>
  <c r="B82"/>
  <c r="B12" s="1"/>
  <c r="O83"/>
  <c r="O87" i="237"/>
  <c r="B159"/>
  <c r="B4" s="1"/>
  <c r="O160"/>
  <c r="N19"/>
  <c r="N3" s="1"/>
  <c r="O167"/>
  <c r="O31" i="223"/>
  <c r="K36"/>
  <c r="K9" s="1"/>
  <c r="K19" i="237"/>
  <c r="K3" s="1"/>
  <c r="H114" i="223"/>
  <c r="H13" s="1"/>
  <c r="O59" i="237"/>
  <c r="B114" i="223"/>
  <c r="B13" s="1"/>
  <c r="O115"/>
  <c r="O58"/>
  <c r="D99"/>
  <c r="D10" s="1"/>
  <c r="H52"/>
  <c r="H11" s="1"/>
  <c r="O92" i="237"/>
  <c r="O88" i="223"/>
  <c r="E36"/>
  <c r="E9" s="1"/>
  <c r="Y25" i="18"/>
  <c r="P4" i="15"/>
  <c r="P5" s="1"/>
  <c r="P6" s="1"/>
  <c r="P7" s="1"/>
  <c r="P8" s="1"/>
  <c r="P9" s="1"/>
  <c r="P10" s="1"/>
  <c r="P11" s="1"/>
  <c r="P12" s="1"/>
  <c r="P13" s="1"/>
  <c r="P14" s="1"/>
  <c r="P15" s="1"/>
  <c r="P16" s="1"/>
  <c r="M178" i="237"/>
  <c r="M13" s="1"/>
  <c r="BA25" i="18"/>
  <c r="BM25"/>
  <c r="F99" i="223"/>
  <c r="F10" s="1"/>
  <c r="N144" i="237"/>
  <c r="N12" s="1"/>
  <c r="K129"/>
  <c r="K11" s="1"/>
  <c r="O40" i="1"/>
  <c r="O60" i="223"/>
  <c r="I66"/>
  <c r="I7" s="1"/>
  <c r="O89" i="237"/>
  <c r="J82"/>
  <c r="J8" s="1"/>
  <c r="L36"/>
  <c r="L6" s="1"/>
  <c r="O4" i="15"/>
  <c r="O5" s="1"/>
  <c r="O6" s="1"/>
  <c r="O7" s="1"/>
  <c r="O8" s="1"/>
  <c r="O9" s="1"/>
  <c r="O10" s="1"/>
  <c r="O11" s="1"/>
  <c r="O12" s="1"/>
  <c r="O13" s="1"/>
  <c r="O14" s="1"/>
  <c r="O15" s="1"/>
  <c r="O16" s="1"/>
  <c r="O45" i="237"/>
  <c r="BN25" i="18"/>
  <c r="O156" i="223"/>
  <c r="O54" i="237"/>
  <c r="C129"/>
  <c r="C11" s="1"/>
  <c r="O153"/>
  <c r="E99" i="223"/>
  <c r="E10" s="1"/>
  <c r="O83" i="237"/>
  <c r="B82"/>
  <c r="B8" s="1"/>
  <c r="R4" i="15"/>
  <c r="R5" s="1"/>
  <c r="R6" s="1"/>
  <c r="R7" s="1"/>
  <c r="R8" s="1"/>
  <c r="R9" s="1"/>
  <c r="R10" s="1"/>
  <c r="R11" s="1"/>
  <c r="R12" s="1"/>
  <c r="R13" s="1"/>
  <c r="R14" s="1"/>
  <c r="R15" s="1"/>
  <c r="R16" s="1"/>
  <c r="U4"/>
  <c r="U5" s="1"/>
  <c r="U6" s="1"/>
  <c r="U7" s="1"/>
  <c r="U8" s="1"/>
  <c r="U9" s="1"/>
  <c r="U10" s="1"/>
  <c r="U11" s="1"/>
  <c r="U12" s="1"/>
  <c r="U13" s="1"/>
  <c r="U14" s="1"/>
  <c r="U15" s="1"/>
  <c r="U16" s="1"/>
  <c r="O86" i="223"/>
  <c r="O130" i="237"/>
  <c r="B129"/>
  <c r="B11" s="1"/>
  <c r="AH25" i="18"/>
  <c r="O73" i="223"/>
  <c r="AG25" i="18"/>
  <c r="N99" i="223"/>
  <c r="N10" s="1"/>
  <c r="K52"/>
  <c r="K11" s="1"/>
  <c r="L66" i="237"/>
  <c r="L7" s="1"/>
  <c r="B178" i="223"/>
  <c r="B14" s="1"/>
  <c r="O179"/>
  <c r="O44" i="237"/>
  <c r="O186"/>
  <c r="O127"/>
  <c r="L40" i="1"/>
  <c r="O24" i="223"/>
  <c r="N4" i="15"/>
  <c r="N5" s="1"/>
  <c r="N6" s="1"/>
  <c r="N7" s="1"/>
  <c r="N8" s="1"/>
  <c r="N9" s="1"/>
  <c r="N10" s="1"/>
  <c r="N11" s="1"/>
  <c r="N12" s="1"/>
  <c r="N13" s="1"/>
  <c r="N14" s="1"/>
  <c r="N15" s="1"/>
  <c r="N16" s="1"/>
  <c r="F129" i="237"/>
  <c r="F11" s="1"/>
  <c r="C52"/>
  <c r="C5" s="1"/>
  <c r="E66" i="223"/>
  <c r="E7" s="1"/>
  <c r="U25" i="18"/>
  <c r="F114" i="237"/>
  <c r="F10" s="1"/>
  <c r="K178"/>
  <c r="K13" s="1"/>
  <c r="O141" i="223"/>
  <c r="O169"/>
  <c r="BK25" i="18"/>
  <c r="V4" i="15"/>
  <c r="V5" s="1"/>
  <c r="V6" s="1"/>
  <c r="V7" s="1"/>
  <c r="V8" s="1"/>
  <c r="V9" s="1"/>
  <c r="V10" s="1"/>
  <c r="V11" s="1"/>
  <c r="V12" s="1"/>
  <c r="V13" s="1"/>
  <c r="V14" s="1"/>
  <c r="V15" s="1"/>
  <c r="V16" s="1"/>
  <c r="O161" i="237"/>
  <c r="AX25" i="18"/>
  <c r="M66" i="223"/>
  <c r="M7" s="1"/>
  <c r="E19" i="237"/>
  <c r="E3" s="1"/>
  <c r="O148" i="223"/>
  <c r="M66" i="237"/>
  <c r="M7" s="1"/>
  <c r="S25" i="18"/>
  <c r="E82" i="223"/>
  <c r="E12" s="1"/>
  <c r="J129"/>
  <c r="J6" s="1"/>
  <c r="O173"/>
  <c r="O69" i="237"/>
  <c r="O37" i="223"/>
  <c r="B36"/>
  <c r="B9" s="1"/>
  <c r="O68" i="237"/>
  <c r="O160" i="223"/>
  <c r="B159"/>
  <c r="B5" s="1"/>
  <c r="O149"/>
  <c r="L178"/>
  <c r="L14" s="1"/>
  <c r="C178"/>
  <c r="C14" s="1"/>
  <c r="L25" i="18"/>
  <c r="K40" i="1"/>
  <c r="O137" i="223"/>
  <c r="I19"/>
  <c r="I4" s="1"/>
  <c r="H144" i="237"/>
  <c r="H12" s="1"/>
  <c r="O41" i="223"/>
  <c r="O184"/>
  <c r="O28"/>
  <c r="G82"/>
  <c r="G12" s="1"/>
  <c r="O75"/>
  <c r="BE25" i="18"/>
  <c r="O183" i="237"/>
  <c r="I66"/>
  <c r="I7" s="1"/>
  <c r="J178"/>
  <c r="J13" s="1"/>
  <c r="B99" i="223"/>
  <c r="B10" s="1"/>
  <c r="O100"/>
  <c r="Q25" i="18"/>
  <c r="D178" i="223"/>
  <c r="D14" s="1"/>
  <c r="AP25" i="18"/>
  <c r="E66" i="237"/>
  <c r="E7" s="1"/>
  <c r="K52"/>
  <c r="K5" s="1"/>
  <c r="C19" i="223"/>
  <c r="C4" s="1"/>
  <c r="O21"/>
  <c r="O57"/>
  <c r="O125" i="237"/>
  <c r="H82"/>
  <c r="H8" s="1"/>
  <c r="O63" i="223"/>
  <c r="F99" i="237"/>
  <c r="F9" s="1"/>
  <c r="E19" i="223"/>
  <c r="E4" s="1"/>
  <c r="O38"/>
  <c r="F159" i="237"/>
  <c r="F4" s="1"/>
  <c r="D19"/>
  <c r="D3" s="1"/>
  <c r="O116" i="223"/>
  <c r="O85"/>
  <c r="N82" i="237"/>
  <c r="N8" s="1"/>
  <c r="BB25" i="18"/>
  <c r="O180" i="223"/>
  <c r="G82" i="237"/>
  <c r="G8" s="1"/>
  <c r="H99" i="223"/>
  <c r="H10" s="1"/>
  <c r="C99" i="237"/>
  <c r="C9" s="1"/>
  <c r="O155"/>
  <c r="O32"/>
  <c r="N52"/>
  <c r="N5" s="1"/>
  <c r="N159"/>
  <c r="N4" s="1"/>
  <c r="L99"/>
  <c r="L9" s="1"/>
  <c r="E82"/>
  <c r="E8" s="1"/>
  <c r="N178" i="223"/>
  <c r="N14" s="1"/>
  <c r="O140" i="237"/>
  <c r="O27" i="223"/>
  <c r="O146"/>
  <c r="D99" i="237"/>
  <c r="D9" s="1"/>
  <c r="N36" i="223"/>
  <c r="N9" s="1"/>
  <c r="O25"/>
  <c r="O122" i="237"/>
  <c r="H129" i="223"/>
  <c r="H6" s="1"/>
  <c r="W4" i="15"/>
  <c r="W5" s="1"/>
  <c r="W6" s="1"/>
  <c r="W7" s="1"/>
  <c r="W8" s="1"/>
  <c r="W9" s="1"/>
  <c r="W10" s="1"/>
  <c r="W11" s="1"/>
  <c r="W12" s="1"/>
  <c r="W13" s="1"/>
  <c r="W14" s="1"/>
  <c r="W15" s="1"/>
  <c r="W16" s="1"/>
  <c r="C99" i="223"/>
  <c r="C10" s="1"/>
  <c r="O185"/>
  <c r="O61" i="237"/>
  <c r="O117" i="223"/>
  <c r="AB25" i="18"/>
  <c r="I114" i="237"/>
  <c r="I10" s="1"/>
  <c r="G144" i="223"/>
  <c r="G8" s="1"/>
  <c r="B178" i="237"/>
  <c r="B13" s="1"/>
  <c r="O179"/>
  <c r="BR25" i="18"/>
  <c r="BJ25"/>
  <c r="O22" i="223"/>
  <c r="O73" i="237"/>
  <c r="AA25" i="18"/>
  <c r="O145" i="237"/>
  <c r="B144"/>
  <c r="B12" s="1"/>
  <c r="N40" i="1"/>
  <c r="O32" i="223"/>
  <c r="D52" i="237"/>
  <c r="D5" s="1"/>
  <c r="O155" i="223"/>
  <c r="I99" i="237"/>
  <c r="I9" s="1"/>
  <c r="O38"/>
  <c r="M4" i="15"/>
  <c r="M5" s="1"/>
  <c r="M6" s="1"/>
  <c r="M7" s="1"/>
  <c r="M8" s="1"/>
  <c r="M9" s="1"/>
  <c r="M10" s="1"/>
  <c r="M11" s="1"/>
  <c r="M12" s="1"/>
  <c r="M13" s="1"/>
  <c r="M14" s="1"/>
  <c r="M15" s="1"/>
  <c r="M16" s="1"/>
  <c r="O148" i="237"/>
  <c r="B52" i="223"/>
  <c r="B11" s="1"/>
  <c r="O53"/>
  <c r="O161"/>
  <c r="AS25" i="18"/>
  <c r="O101" i="237"/>
  <c r="J99" i="223"/>
  <c r="J10" s="1"/>
  <c r="B99" i="237"/>
  <c r="B9" s="1"/>
  <c r="O100"/>
  <c r="O33"/>
  <c r="O23"/>
  <c r="O166"/>
  <c r="O162"/>
  <c r="Y4" i="15"/>
  <c r="Y5" s="1"/>
  <c r="Y6" s="1"/>
  <c r="Y7" s="1"/>
  <c r="Y8" s="1"/>
  <c r="Y9" s="1"/>
  <c r="Y10" s="1"/>
  <c r="Y11" s="1"/>
  <c r="Y12" s="1"/>
  <c r="Y13" s="1"/>
  <c r="Y14" s="1"/>
  <c r="Y15" s="1"/>
  <c r="Y16" s="1"/>
  <c r="N66" i="237"/>
  <c r="N7" s="1"/>
  <c r="O130" i="223"/>
  <c r="B129"/>
  <c r="B6" s="1"/>
  <c r="O181" i="237"/>
  <c r="I144" i="223"/>
  <c r="I8" s="1"/>
  <c r="L4" i="15"/>
  <c r="L5" s="1"/>
  <c r="L6" s="1"/>
  <c r="L7" s="1"/>
  <c r="L8" s="1"/>
  <c r="L9" s="1"/>
  <c r="L10" s="1"/>
  <c r="L11" s="1"/>
  <c r="L12" s="1"/>
  <c r="L13" s="1"/>
  <c r="L14" s="1"/>
  <c r="L15" s="1"/>
  <c r="L16" s="1"/>
  <c r="O26" i="223"/>
  <c r="O134" i="237"/>
  <c r="H159"/>
  <c r="H4" s="1"/>
  <c r="G178"/>
  <c r="G13" s="1"/>
  <c r="D66" i="223"/>
  <c r="D7" s="1"/>
  <c r="O182" i="237"/>
  <c r="H129"/>
  <c r="H11" s="1"/>
  <c r="O90" i="223"/>
  <c r="O76" i="237"/>
  <c r="I25" i="1"/>
  <c r="D6" i="14" s="1"/>
  <c r="E6" s="1"/>
  <c r="Q31" i="1"/>
  <c r="R31"/>
  <c r="O31"/>
  <c r="Y31"/>
  <c r="N31"/>
  <c r="X31"/>
  <c r="L31"/>
  <c r="W31"/>
  <c r="Z31"/>
  <c r="M31"/>
  <c r="V31"/>
  <c r="U31"/>
  <c r="S31"/>
  <c r="AB31"/>
  <c r="K31"/>
  <c r="AA31"/>
  <c r="P31"/>
  <c r="T31"/>
  <c r="H36" i="237"/>
  <c r="H6" s="1"/>
  <c r="K114" i="223"/>
  <c r="K13" s="1"/>
  <c r="X25" i="18"/>
  <c r="D159" i="223"/>
  <c r="D5" s="1"/>
  <c r="O85" i="237"/>
  <c r="M114"/>
  <c r="M10" s="1"/>
  <c r="O173"/>
  <c r="O95"/>
  <c r="AN25" i="18"/>
  <c r="G144" i="237"/>
  <c r="G12" s="1"/>
  <c r="K25" i="18"/>
  <c r="L52" i="237"/>
  <c r="L5" s="1"/>
  <c r="L66" i="223"/>
  <c r="L7" s="1"/>
  <c r="J129" i="237"/>
  <c r="J11" s="1"/>
  <c r="L178"/>
  <c r="L13" s="1"/>
  <c r="M99"/>
  <c r="M9" s="1"/>
  <c r="K159" i="223"/>
  <c r="K5" s="1"/>
  <c r="O133"/>
  <c r="G19" i="237"/>
  <c r="G3" s="1"/>
  <c r="AD25" i="18"/>
  <c r="H99" i="237"/>
  <c r="H9" s="1"/>
  <c r="H36" i="223"/>
  <c r="H9" s="1"/>
  <c r="O124" i="237"/>
  <c r="O182" i="223"/>
  <c r="O103"/>
  <c r="O56" i="237"/>
  <c r="J144"/>
  <c r="J12" s="1"/>
  <c r="M82" i="223"/>
  <c r="M12" s="1"/>
  <c r="O30" i="237"/>
  <c r="AR25" i="18"/>
  <c r="G129" i="237"/>
  <c r="G11" s="1"/>
  <c r="O165" i="223"/>
  <c r="O27" i="237"/>
  <c r="O43"/>
  <c r="I36"/>
  <c r="I6" s="1"/>
  <c r="O55" i="223"/>
  <c r="F144" i="237"/>
  <c r="F12" s="1"/>
  <c r="O31"/>
  <c r="F129" i="223"/>
  <c r="F6" s="1"/>
  <c r="G99" i="237"/>
  <c r="G9" s="1"/>
  <c r="BO25" i="18"/>
  <c r="C82" i="223"/>
  <c r="C12" s="1"/>
  <c r="N144"/>
  <c r="N8" s="1"/>
  <c r="O165" i="237"/>
  <c r="J159"/>
  <c r="J4" s="1"/>
  <c r="J114"/>
  <c r="J10" s="1"/>
  <c r="O117"/>
  <c r="L99" i="223"/>
  <c r="L10" s="1"/>
  <c r="AM25" i="18"/>
  <c r="BL25"/>
  <c r="O167" i="223"/>
  <c r="O168"/>
  <c r="O25" i="18"/>
  <c r="O127" i="223"/>
  <c r="Q40" i="1"/>
  <c r="AI25" i="18"/>
  <c r="O74" i="237"/>
  <c r="I159" i="223"/>
  <c r="I5" s="1"/>
  <c r="E99" i="237"/>
  <c r="E9" s="1"/>
  <c r="C159"/>
  <c r="C4" s="1"/>
  <c r="I114" i="223"/>
  <c r="I13" s="1"/>
  <c r="M144"/>
  <c r="M8" s="1"/>
  <c r="I129"/>
  <c r="I6" s="1"/>
  <c r="J4" i="15"/>
  <c r="J5" s="1"/>
  <c r="J6" s="1"/>
  <c r="J7" s="1"/>
  <c r="J8" s="1"/>
  <c r="J9" s="1"/>
  <c r="J10" s="1"/>
  <c r="J11" s="1"/>
  <c r="J12" s="1"/>
  <c r="J13" s="1"/>
  <c r="J14" s="1"/>
  <c r="J15" s="1"/>
  <c r="J16" s="1"/>
  <c r="D82" i="237"/>
  <c r="D8" s="1"/>
  <c r="L114"/>
  <c r="L10" s="1"/>
  <c r="AT25" i="18"/>
  <c r="O59" i="223"/>
  <c r="O150" i="237"/>
  <c r="T4" i="15"/>
  <c r="T5" s="1"/>
  <c r="T6" s="1"/>
  <c r="T7" s="1"/>
  <c r="T8" s="1"/>
  <c r="T9" s="1"/>
  <c r="T10" s="1"/>
  <c r="T11" s="1"/>
  <c r="T12" s="1"/>
  <c r="T13" s="1"/>
  <c r="T14" s="1"/>
  <c r="T15" s="1"/>
  <c r="T16" s="1"/>
  <c r="N178" i="237"/>
  <c r="N13" s="1"/>
  <c r="M114" i="223"/>
  <c r="M13" s="1"/>
  <c r="O72" i="237"/>
  <c r="F36"/>
  <c r="F6" s="1"/>
  <c r="K82"/>
  <c r="K8" s="1"/>
  <c r="AW25" i="18"/>
  <c r="N66" i="223"/>
  <c r="N7" s="1"/>
  <c r="N159"/>
  <c r="N5" s="1"/>
  <c r="O102" i="237"/>
  <c r="O93"/>
  <c r="C144" i="223"/>
  <c r="C8" s="1"/>
  <c r="I19" i="237"/>
  <c r="I3" s="1"/>
  <c r="O151" i="223"/>
  <c r="O55" i="237"/>
  <c r="H159" i="223"/>
  <c r="H5" s="1"/>
  <c r="O118" i="237"/>
  <c r="O184"/>
  <c r="O137"/>
  <c r="V40" i="1"/>
  <c r="O67" i="223"/>
  <c r="B66"/>
  <c r="B7" s="1"/>
  <c r="N25" i="18"/>
  <c r="Z4" i="15"/>
  <c r="Z5" s="1"/>
  <c r="Z6" s="1"/>
  <c r="Z7" s="1"/>
  <c r="Z8" s="1"/>
  <c r="Z9" s="1"/>
  <c r="Z10" s="1"/>
  <c r="Z11" s="1"/>
  <c r="Z12" s="1"/>
  <c r="Z13" s="1"/>
  <c r="Z14" s="1"/>
  <c r="Z15" s="1"/>
  <c r="Z16" s="1"/>
  <c r="O23" i="223"/>
  <c r="K66"/>
  <c r="K7" s="1"/>
  <c r="O84" i="237"/>
  <c r="O42"/>
  <c r="O134" i="223"/>
  <c r="D66" i="237"/>
  <c r="D7" s="1"/>
  <c r="AF25" i="18"/>
  <c r="T40" i="1"/>
  <c r="O166" i="223"/>
  <c r="O118"/>
  <c r="O41" i="237"/>
  <c r="E144" i="223"/>
  <c r="E8" s="1"/>
  <c r="H144"/>
  <c r="H8" s="1"/>
  <c r="V25" i="18"/>
  <c r="O136" i="237"/>
  <c r="D144" i="223"/>
  <c r="D8" s="1"/>
  <c r="AQ25" i="18"/>
  <c r="C144" i="237"/>
  <c r="C12" s="1"/>
  <c r="O120" i="223"/>
  <c r="M178"/>
  <c r="M14" s="1"/>
  <c r="F82" i="237"/>
  <c r="F8" s="1"/>
  <c r="F178" i="223"/>
  <c r="F14" s="1"/>
  <c r="E52"/>
  <c r="E11" s="1"/>
  <c r="R25" i="18"/>
  <c r="S4" i="15"/>
  <c r="S5" s="1"/>
  <c r="S6" s="1"/>
  <c r="S7" s="1"/>
  <c r="S8" s="1"/>
  <c r="S9" s="1"/>
  <c r="S10" s="1"/>
  <c r="S11" s="1"/>
  <c r="S12" s="1"/>
  <c r="S13" s="1"/>
  <c r="S14" s="1"/>
  <c r="S15" s="1"/>
  <c r="S16" s="1"/>
  <c r="K19" i="223"/>
  <c r="K4" s="1"/>
  <c r="H178" i="237"/>
  <c r="H13" s="1"/>
  <c r="O171" i="223"/>
  <c r="D36" i="237"/>
  <c r="D6" s="1"/>
  <c r="O172" i="223"/>
  <c r="M19"/>
  <c r="M4" s="1"/>
  <c r="O92"/>
  <c r="J36"/>
  <c r="J9" s="1"/>
  <c r="O57" i="237"/>
  <c r="O87" i="223"/>
  <c r="M52"/>
  <c r="M11" s="1"/>
  <c r="O154" i="237"/>
  <c r="F114" i="223"/>
  <c r="F13" s="1"/>
  <c r="O28" i="237"/>
  <c r="M52"/>
  <c r="M5" s="1"/>
  <c r="A33" i="185"/>
  <c r="Q4" i="15"/>
  <c r="Q5" s="1"/>
  <c r="Q6" s="1"/>
  <c r="Q7" s="1"/>
  <c r="Q8" s="1"/>
  <c r="Q9" s="1"/>
  <c r="Q10" s="1"/>
  <c r="Q11" s="1"/>
  <c r="Q12" s="1"/>
  <c r="Q13" s="1"/>
  <c r="Q14" s="1"/>
  <c r="Q15" s="1"/>
  <c r="Q16" s="1"/>
  <c r="O95" i="223"/>
  <c r="O170" i="237"/>
  <c r="E178"/>
  <c r="E13" s="1"/>
  <c r="O33" i="223"/>
  <c r="L114"/>
  <c r="L13" s="1"/>
  <c r="D114"/>
  <c r="D13" s="1"/>
  <c r="D178" i="237"/>
  <c r="D13" s="1"/>
  <c r="O24"/>
  <c r="AZ25" i="18"/>
  <c r="N82" i="223"/>
  <c r="N12" s="1"/>
  <c r="O61"/>
  <c r="O154"/>
  <c r="K144" i="237"/>
  <c r="K12" s="1"/>
  <c r="O163" i="223"/>
  <c r="O22" i="237"/>
  <c r="O70"/>
  <c r="I99" i="223"/>
  <c r="I10" s="1"/>
  <c r="D19"/>
  <c r="D4" s="1"/>
  <c r="K144"/>
  <c r="K8" s="1"/>
  <c r="O151" i="237"/>
  <c r="N114"/>
  <c r="N10" s="1"/>
  <c r="O135" i="223"/>
  <c r="BQ25" i="18"/>
  <c r="O132" i="237"/>
  <c r="O181" i="223"/>
  <c r="AO25" i="18"/>
  <c r="C129" i="223"/>
  <c r="C6" s="1"/>
  <c r="O72"/>
  <c r="G36"/>
  <c r="G9" s="1"/>
  <c r="M19" i="237"/>
  <c r="M3" s="1"/>
  <c r="G99" i="223"/>
  <c r="G10" s="1"/>
  <c r="M144" i="237"/>
  <c r="M12" s="1"/>
  <c r="F159" i="223"/>
  <c r="F5" s="1"/>
  <c r="O75" i="237"/>
  <c r="O163"/>
  <c r="L144" i="223"/>
  <c r="L8" s="1"/>
  <c r="K4" i="15"/>
  <c r="K5" s="1"/>
  <c r="K6" s="1"/>
  <c r="K7" s="1"/>
  <c r="K8" s="1"/>
  <c r="K9" s="1"/>
  <c r="K10" s="1"/>
  <c r="K11" s="1"/>
  <c r="K12" s="1"/>
  <c r="K13" s="1"/>
  <c r="K14" s="1"/>
  <c r="K15" s="1"/>
  <c r="K16" s="1"/>
  <c r="N114" i="223"/>
  <c r="N13" s="1"/>
  <c r="O77"/>
  <c r="E144" i="237"/>
  <c r="E12" s="1"/>
  <c r="K129" i="223"/>
  <c r="K6" s="1"/>
  <c r="E178"/>
  <c r="E14" s="1"/>
  <c r="J114"/>
  <c r="J13" s="1"/>
  <c r="J178"/>
  <c r="J14" s="1"/>
  <c r="O185" i="237"/>
  <c r="O94"/>
  <c r="L159"/>
  <c r="L4" s="1"/>
  <c r="O46"/>
  <c r="H66" i="223"/>
  <c r="H7" s="1"/>
  <c r="H52" i="237"/>
  <c r="H5" s="1"/>
  <c r="O147"/>
  <c r="F82" i="223"/>
  <c r="F12" s="1"/>
  <c r="O46"/>
  <c r="M159" i="237"/>
  <c r="M4" s="1"/>
  <c r="O121"/>
  <c r="O149"/>
  <c r="B52"/>
  <c r="B5" s="1"/>
  <c r="O53"/>
  <c r="D129"/>
  <c r="D11" s="1"/>
  <c r="K41" i="1"/>
  <c r="K42"/>
  <c r="B77" i="18"/>
  <c r="B86"/>
  <c r="K25" i="14"/>
  <c r="W25"/>
  <c r="P25"/>
  <c r="N25"/>
  <c r="S22"/>
  <c r="T22"/>
  <c r="W22"/>
  <c r="L9"/>
  <c r="T9"/>
  <c r="R9"/>
  <c r="AY52" i="18"/>
  <c r="K21" i="14"/>
  <c r="U21"/>
  <c r="O21"/>
  <c r="AO90" i="18"/>
  <c r="T13" i="14"/>
  <c r="P13"/>
  <c r="S13"/>
  <c r="M20"/>
  <c r="V20"/>
  <c r="P20"/>
  <c r="T10"/>
  <c r="Q10"/>
  <c r="O10"/>
  <c r="C63" i="18"/>
  <c r="W8" i="14"/>
  <c r="S8"/>
  <c r="P8"/>
  <c r="K15"/>
  <c r="W15"/>
  <c r="S15"/>
  <c r="N14"/>
  <c r="V14"/>
  <c r="T14"/>
  <c r="U19"/>
  <c r="T19"/>
  <c r="S19"/>
  <c r="L19"/>
  <c r="M23"/>
  <c r="Q23"/>
  <c r="S23"/>
  <c r="S12"/>
  <c r="M12"/>
  <c r="T12"/>
  <c r="C25" i="18"/>
  <c r="S18" i="14"/>
  <c r="W18"/>
  <c r="L18"/>
  <c r="S11"/>
  <c r="R11"/>
  <c r="L11"/>
  <c r="V16"/>
  <c r="S16"/>
  <c r="L16"/>
  <c r="T17"/>
  <c r="U17"/>
  <c r="P17"/>
  <c r="V17"/>
  <c r="T24"/>
  <c r="N24"/>
  <c r="M24"/>
  <c r="B95" i="18"/>
  <c r="B46"/>
  <c r="B83"/>
  <c r="AU76"/>
  <c r="BI89"/>
  <c r="S25" i="14"/>
  <c r="T25"/>
  <c r="O25"/>
  <c r="N22"/>
  <c r="Q22"/>
  <c r="K22"/>
  <c r="B90" i="18"/>
  <c r="S9" i="14"/>
  <c r="O9"/>
  <c r="U9"/>
  <c r="P9"/>
  <c r="V21"/>
  <c r="Q21"/>
  <c r="S21"/>
  <c r="T21"/>
  <c r="AO91" i="18"/>
  <c r="N13" i="14"/>
  <c r="U13"/>
  <c r="O13"/>
  <c r="C66" i="18"/>
  <c r="T20" i="14"/>
  <c r="S20"/>
  <c r="K20"/>
  <c r="S10"/>
  <c r="L10"/>
  <c r="P10"/>
  <c r="O8"/>
  <c r="R8"/>
  <c r="U8"/>
  <c r="O15"/>
  <c r="U15"/>
  <c r="N15"/>
  <c r="U14"/>
  <c r="S14"/>
  <c r="P14"/>
  <c r="R14"/>
  <c r="V19"/>
  <c r="M19"/>
  <c r="P19"/>
  <c r="T23"/>
  <c r="N23"/>
  <c r="R23"/>
  <c r="W12"/>
  <c r="Q12"/>
  <c r="L12"/>
  <c r="O18"/>
  <c r="P18"/>
  <c r="R18"/>
  <c r="M11"/>
  <c r="W11"/>
  <c r="Q11"/>
  <c r="U16"/>
  <c r="P16"/>
  <c r="R16"/>
  <c r="Q17"/>
  <c r="N17"/>
  <c r="O17"/>
  <c r="O24"/>
  <c r="L24"/>
  <c r="U24"/>
  <c r="R17"/>
  <c r="L17"/>
  <c r="K6"/>
  <c r="I19" i="15"/>
  <c r="B42" i="18"/>
  <c r="B81"/>
  <c r="B80"/>
  <c r="B61"/>
  <c r="M25" i="14"/>
  <c r="Q25"/>
  <c r="U25"/>
  <c r="M22"/>
  <c r="P22"/>
  <c r="U22"/>
  <c r="W9"/>
  <c r="M9"/>
  <c r="K9"/>
  <c r="R21"/>
  <c r="W21"/>
  <c r="L21"/>
  <c r="BA81" i="18"/>
  <c r="K13" i="14"/>
  <c r="Q13"/>
  <c r="V13"/>
  <c r="W20"/>
  <c r="R20"/>
  <c r="O20"/>
  <c r="AT93" i="18"/>
  <c r="R10" i="14"/>
  <c r="M10"/>
  <c r="V10"/>
  <c r="L8"/>
  <c r="M8"/>
  <c r="K8"/>
  <c r="T8"/>
  <c r="T15"/>
  <c r="Q15"/>
  <c r="R15"/>
  <c r="Q14"/>
  <c r="L14"/>
  <c r="O14"/>
  <c r="K19"/>
  <c r="O19"/>
  <c r="Q19"/>
  <c r="P23"/>
  <c r="V23"/>
  <c r="W23"/>
  <c r="U12"/>
  <c r="V12"/>
  <c r="P12"/>
  <c r="R12"/>
  <c r="V18"/>
  <c r="Q18"/>
  <c r="U18"/>
  <c r="N11"/>
  <c r="O11"/>
  <c r="V11"/>
  <c r="P11"/>
  <c r="O16"/>
  <c r="M16"/>
  <c r="K16"/>
  <c r="S17"/>
  <c r="B49" i="18"/>
  <c r="B50"/>
  <c r="B94"/>
  <c r="R25" i="14"/>
  <c r="V25"/>
  <c r="L25"/>
  <c r="V22"/>
  <c r="L22"/>
  <c r="R22"/>
  <c r="O22"/>
  <c r="V9"/>
  <c r="Q9"/>
  <c r="N9"/>
  <c r="M21"/>
  <c r="N21"/>
  <c r="P21"/>
  <c r="W13"/>
  <c r="L13"/>
  <c r="R13"/>
  <c r="M13"/>
  <c r="L20"/>
  <c r="N20"/>
  <c r="Q20"/>
  <c r="U20"/>
  <c r="K10"/>
  <c r="N10"/>
  <c r="U10"/>
  <c r="W10"/>
  <c r="Q8"/>
  <c r="V8"/>
  <c r="N8"/>
  <c r="M15"/>
  <c r="V15"/>
  <c r="L15"/>
  <c r="P15"/>
  <c r="W14"/>
  <c r="M14"/>
  <c r="K14"/>
  <c r="C54" i="18"/>
  <c r="C75"/>
  <c r="R19" i="14"/>
  <c r="N19"/>
  <c r="W19"/>
  <c r="K23"/>
  <c r="L23"/>
  <c r="O23"/>
  <c r="U23"/>
  <c r="C38" i="18"/>
  <c r="K12" i="14"/>
  <c r="N12"/>
  <c r="O12"/>
  <c r="M18"/>
  <c r="K18"/>
  <c r="N18"/>
  <c r="T18"/>
  <c r="T11"/>
  <c r="K11"/>
  <c r="U11"/>
  <c r="W16"/>
  <c r="N16"/>
  <c r="Q16"/>
  <c r="T16"/>
  <c r="W17"/>
  <c r="K17"/>
  <c r="M17"/>
  <c r="K24"/>
  <c r="Q24"/>
  <c r="P24"/>
  <c r="R24"/>
  <c r="V24"/>
  <c r="W24"/>
  <c r="S24"/>
  <c r="B38" i="18"/>
  <c r="B58"/>
  <c r="B43"/>
  <c r="B57"/>
  <c r="B48"/>
  <c r="B45"/>
  <c r="B44"/>
  <c r="B51"/>
  <c r="B55"/>
  <c r="B41"/>
  <c r="B59"/>
  <c r="B54"/>
  <c r="B53"/>
  <c r="B47"/>
  <c r="B56"/>
  <c r="B52"/>
  <c r="A43"/>
  <c r="C34"/>
  <c r="A42"/>
  <c r="B40"/>
  <c r="B39"/>
  <c r="O11" i="237" l="1"/>
  <c r="C14"/>
  <c r="D3" i="223"/>
  <c r="C3"/>
  <c r="O7"/>
  <c r="H3"/>
  <c r="O10"/>
  <c r="O11"/>
  <c r="O6"/>
  <c r="J3"/>
  <c r="B14" i="237"/>
  <c r="I3" i="223"/>
  <c r="O4"/>
  <c r="O14"/>
  <c r="A44" i="18"/>
  <c r="I24" i="14"/>
  <c r="J24"/>
  <c r="J17"/>
  <c r="I17"/>
  <c r="J11"/>
  <c r="I11"/>
  <c r="I18"/>
  <c r="J18"/>
  <c r="J12"/>
  <c r="I12"/>
  <c r="I23"/>
  <c r="J23"/>
  <c r="J14"/>
  <c r="I14"/>
  <c r="J10"/>
  <c r="I10"/>
  <c r="I16"/>
  <c r="J16"/>
  <c r="I19"/>
  <c r="J19"/>
  <c r="I8"/>
  <c r="J8"/>
  <c r="I13"/>
  <c r="J13"/>
  <c r="I9"/>
  <c r="J9"/>
  <c r="I4" i="15"/>
  <c r="I5" s="1"/>
  <c r="I6" s="1"/>
  <c r="I7" s="1"/>
  <c r="I8" s="1"/>
  <c r="I9" s="1"/>
  <c r="I10" s="1"/>
  <c r="I11" s="1"/>
  <c r="I12" s="1"/>
  <c r="I13" s="1"/>
  <c r="I14" s="1"/>
  <c r="I15" s="1"/>
  <c r="I16" s="1"/>
  <c r="J6" i="14"/>
  <c r="I6"/>
  <c r="I20"/>
  <c r="J20"/>
  <c r="I22"/>
  <c r="J22"/>
  <c r="I15"/>
  <c r="J15"/>
  <c r="J21"/>
  <c r="I21"/>
  <c r="J25"/>
  <c r="I25"/>
  <c r="A34" i="185"/>
  <c r="M14" i="237"/>
  <c r="E3" i="223"/>
  <c r="G14" i="237"/>
  <c r="O5" i="223"/>
  <c r="O12"/>
  <c r="O6" i="237"/>
  <c r="O8" i="223"/>
  <c r="O9" i="237"/>
  <c r="O13" i="223"/>
  <c r="N14" i="237"/>
  <c r="B3" i="223"/>
  <c r="F3"/>
  <c r="O7" i="237"/>
  <c r="E14"/>
  <c r="O12"/>
  <c r="I14"/>
  <c r="O13"/>
  <c r="O8"/>
  <c r="G3" i="223"/>
  <c r="F14" i="237"/>
  <c r="O10"/>
  <c r="L3" i="223"/>
  <c r="O5" i="237"/>
  <c r="D14"/>
  <c r="K3" i="223"/>
  <c r="K14" i="237"/>
  <c r="N3" i="223"/>
  <c r="M3"/>
  <c r="O9"/>
  <c r="O4" i="237"/>
  <c r="L14"/>
  <c r="J14"/>
  <c r="H14"/>
  <c r="O3"/>
  <c r="B33" i="185"/>
  <c r="B34" i="18"/>
  <c r="O3" i="223" l="1"/>
  <c r="O14" i="237"/>
  <c r="A35" i="185"/>
  <c r="B34"/>
  <c r="A36" l="1"/>
  <c r="B35"/>
  <c r="A37" l="1"/>
  <c r="A14" i="14"/>
  <c r="A17" s="1"/>
  <c r="B36" i="185"/>
  <c r="A15" i="14" l="1"/>
  <c r="H15" s="1"/>
  <c r="H17"/>
  <c r="A38" i="185"/>
  <c r="H14" i="14"/>
  <c r="B37" i="185"/>
  <c r="A9" i="14" l="1"/>
  <c r="A18" s="1"/>
  <c r="H18" s="1"/>
  <c r="A39" i="185"/>
  <c r="B38"/>
  <c r="H9" i="14" l="1"/>
  <c r="A40" i="185"/>
  <c r="B39"/>
  <c r="A41" l="1"/>
  <c r="B40"/>
  <c r="A42" l="1"/>
  <c r="B41"/>
  <c r="A43" l="1"/>
  <c r="B43"/>
  <c r="B42"/>
  <c r="A8" i="14" l="1"/>
  <c r="A21" l="1"/>
  <c r="H21" s="1"/>
  <c r="A12"/>
  <c r="H12" s="1"/>
  <c r="A20"/>
  <c r="H20" s="1"/>
  <c r="H8"/>
  <c r="A19" l="1"/>
  <c r="H19" l="1"/>
  <c r="A10"/>
  <c r="H10" l="1"/>
  <c r="A11"/>
  <c r="A16" l="1"/>
  <c r="H11"/>
  <c r="H16" l="1"/>
  <c r="A25" l="1"/>
  <c r="H25" s="1"/>
  <c r="A23"/>
  <c r="A24" s="1"/>
  <c r="H24" s="1"/>
  <c r="H23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20" authorId="1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<sst xmlns="http://schemas.openxmlformats.org/spreadsheetml/2006/main" count="3398" uniqueCount="305">
  <si>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</si>
  <si>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</si>
  <si>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</si>
  <si>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</si>
  <si>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</si>
  <si>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</si>
  <si>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</si>
  <si>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</si>
  <si>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</si>
  <si>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</si>
  <si>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</si>
  <si>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</si>
  <si>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</si>
  <si>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</si>
  <si>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</si>
  <si>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</si>
  <si>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</si>
  <si>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</si>
  <si>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</si>
  <si>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</si>
  <si>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</si>
  <si>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</si>
  <si>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</si>
  <si>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</si>
  <si>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</si>
  <si>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</si>
  <si>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</si>
  <si>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</si>
  <si>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</si>
  <si>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</si>
  <si>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</si>
  <si>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</si>
  <si>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</si>
  <si>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</si>
  <si>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</si>
  <si>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</si>
  <si>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</si>
  <si>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</si>
  <si>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</si>
  <si>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</si>
  <si>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</si>
  <si>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</si>
  <si>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Robbins, Dale</t>
  </si>
  <si>
    <t>Mean</t>
  </si>
  <si>
    <t>Median</t>
  </si>
  <si>
    <t>Mode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</si>
  <si>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</si>
  <si>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</si>
  <si>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</si>
  <si>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</si>
  <si>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</si>
  <si>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</si>
  <si>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</si>
  <si>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</si>
  <si>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</si>
  <si>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</si>
  <si>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</si>
  <si>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</si>
  <si>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</si>
  <si>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</si>
  <si>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</si>
  <si>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</si>
  <si>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</si>
  <si>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</si>
  <si>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</si>
  <si>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</si>
  <si>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</si>
  <si>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</si>
  <si>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</si>
  <si>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</si>
  <si>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</si>
  <si>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</si>
  <si>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</si>
  <si>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</si>
  <si>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</si>
  <si>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</si>
  <si>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</si>
  <si>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</si>
  <si>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</si>
  <si>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</si>
  <si>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</si>
  <si>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</si>
  <si>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</si>
  <si>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</si>
  <si>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</si>
  <si>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</si>
  <si>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</si>
  <si>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</si>
  <si>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</si>
  <si>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</si>
  <si>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</si>
  <si>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</si>
  <si>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</si>
  <si>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</si>
  <si>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</si>
  <si>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</si>
  <si>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</si>
  <si>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</si>
  <si>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</si>
  <si>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</si>
  <si>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</si>
  <si>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</si>
  <si>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</si>
  <si>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</si>
  <si>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</si>
  <si>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</si>
  <si>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</si>
  <si>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</si>
  <si>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</si>
  <si>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</si>
  <si>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</si>
  <si>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</si>
  <si>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</si>
  <si>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</si>
  <si>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</si>
  <si>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</si>
  <si>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</si>
  <si>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</si>
  <si>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</si>
  <si>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</si>
  <si>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Participants w/o valid picks entered:</t>
  </si>
  <si>
    <t>Cut &amp; Paste from here for pick reminder:</t>
  </si>
  <si>
    <t>Display</t>
  </si>
  <si>
    <t>!!!DO NOT DELETE THIS SHEET!!!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</si>
  <si>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</si>
  <si>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</si>
  <si>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</si>
  <si>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</si>
  <si>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</si>
  <si>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</si>
  <si>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</si>
  <si>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</si>
  <si>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</si>
  <si>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</si>
  <si>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</si>
  <si>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</si>
  <si>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</si>
  <si>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</si>
  <si>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</si>
  <si>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</si>
  <si>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</si>
  <si>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</si>
  <si>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</si>
  <si>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</si>
  <si>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</si>
  <si>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</si>
  <si>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</si>
  <si>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</si>
  <si>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</si>
  <si>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</si>
  <si>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</si>
  <si>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</si>
  <si>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</si>
  <si>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</si>
  <si>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</si>
  <si>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</si>
  <si>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</si>
  <si>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</si>
  <si>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</si>
  <si>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</si>
  <si>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</si>
  <si>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</si>
  <si>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</si>
  <si>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</si>
  <si>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</si>
  <si>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</si>
  <si>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</si>
  <si>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</si>
  <si>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</si>
  <si>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</si>
  <si>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</si>
  <si>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</si>
  <si>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</si>
  <si>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</si>
  <si>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</si>
  <si>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</si>
  <si>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</si>
  <si>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</si>
  <si>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</si>
  <si>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</si>
  <si>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</si>
  <si>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</si>
  <si>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</si>
  <si>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</si>
  <si>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</si>
  <si>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</si>
  <si>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</si>
  <si>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</si>
  <si>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</si>
  <si>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</si>
  <si>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</si>
  <si>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</si>
  <si>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</si>
  <si>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</si>
  <si>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</si>
  <si>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</si>
  <si>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</si>
  <si>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</si>
  <si>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</si>
  <si>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</si>
  <si>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</si>
  <si>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</si>
  <si>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</si>
  <si>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</si>
  <si>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</si>
  <si>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</si>
  <si>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</si>
  <si>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</si>
  <si>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</si>
  <si>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</si>
  <si>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</si>
  <si>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</si>
  <si>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</si>
  <si>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</si>
  <si>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</si>
  <si>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</si>
  <si>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</si>
  <si>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</si>
  <si>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</si>
  <si>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</si>
  <si>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</si>
  <si>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</si>
  <si>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</si>
  <si>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</si>
  <si>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</si>
  <si>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</si>
  <si>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</si>
  <si>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</si>
  <si>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</si>
  <si>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</si>
  <si>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</si>
  <si>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</si>
  <si>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</si>
  <si>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</si>
  <si>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</si>
  <si>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</si>
  <si>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</si>
  <si>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</si>
  <si>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</si>
  <si>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</si>
  <si>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</si>
  <si>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</si>
  <si>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</si>
  <si>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</si>
  <si>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</si>
  <si>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</si>
  <si>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</si>
  <si>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</si>
  <si>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</si>
  <si>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</si>
  <si>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</si>
  <si>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</si>
  <si>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South Alabama</t>
  </si>
  <si>
    <t>BYU</t>
  </si>
  <si>
    <t>Pacific 12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</si>
  <si>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</si>
  <si>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</si>
  <si>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</si>
  <si>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</si>
  <si>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</si>
  <si>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</si>
  <si>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</si>
  <si>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 Participants</t>
  </si>
  <si>
    <t>Cut &amp; Paste from here for all poolers:</t>
  </si>
  <si>
    <t>X</t>
  </si>
  <si>
    <t>x</t>
  </si>
  <si>
    <t>d</t>
  </si>
  <si>
    <t>D</t>
  </si>
  <si>
    <t>Appalachian State</t>
  </si>
  <si>
    <t>Georgia Southern</t>
  </si>
  <si>
    <t>Barker, Chris</t>
  </si>
  <si>
    <t>Batchler, Wayne</t>
  </si>
  <si>
    <t>Blackmon, Vaughn</t>
  </si>
  <si>
    <t>Cochcroft, Art</t>
  </si>
  <si>
    <t>Crenshaw, Ed</t>
  </si>
  <si>
    <t>Gibson, Johnny</t>
  </si>
  <si>
    <t>James, Larry</t>
  </si>
  <si>
    <t>Kieselhorst, Larry</t>
  </si>
  <si>
    <t>Knotts, Brian</t>
  </si>
  <si>
    <t>McGee, Steve</t>
  </si>
  <si>
    <t>McMahon, Pat</t>
  </si>
  <si>
    <t>Moxley, Dave</t>
  </si>
  <si>
    <t>Nguyen, Thai</t>
  </si>
  <si>
    <t>Nye, Mike</t>
  </si>
  <si>
    <t>Reams, Byron</t>
  </si>
  <si>
    <t>Scrivener, Bo</t>
  </si>
  <si>
    <t>Strom, Brooker</t>
  </si>
  <si>
    <t>West Virgina</t>
  </si>
  <si>
    <t>Central Florida</t>
  </si>
  <si>
    <t>bwk</t>
  </si>
  <si>
    <t>Southern Mississippi</t>
  </si>
  <si>
    <t>Miami</t>
  </si>
  <si>
    <t>GA Tech</t>
  </si>
  <si>
    <t>Arizona St.</t>
  </si>
  <si>
    <t>Oklahoma St.</t>
  </si>
  <si>
    <t>N.C. State</t>
  </si>
  <si>
    <t>Penn St.</t>
  </si>
  <si>
    <t>Ohio St.</t>
  </si>
  <si>
    <t>Florida St.</t>
  </si>
  <si>
    <t>N.C.State</t>
  </si>
  <si>
    <t>Kansas St.</t>
  </si>
  <si>
    <t>Tennesee</t>
  </si>
  <si>
    <t>Mississippi St.</t>
  </si>
  <si>
    <t>Michigan St.</t>
  </si>
  <si>
    <t>(The Real) USC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</si>
</sst>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\+0;\-0;0"/>
    <numFmt numFmtId="166" formatCode="&quot;Mr &quot;\ 0.0%"/>
    <numFmt numFmtId="167" formatCode="\+0;[Red]0"/>
  </numFmts>
  <fonts count="25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3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50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33"/>
          <c:h val="0.95414270102069632"/>
        </c:manualLayout>
      </c:layout>
      <c:lineChart>
        <c:grouping val="standard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-3</c:v>
                </c:pt>
                <c:pt idx="5">
                  <c:v>-2</c:v>
                </c:pt>
                <c:pt idx="6">
                  <c:v>-4</c:v>
                </c:pt>
                <c:pt idx="7">
                  <c:v>-5</c:v>
                </c:pt>
                <c:pt idx="8">
                  <c:v>-6</c:v>
                </c:pt>
                <c:pt idx="9">
                  <c:v>-5</c:v>
                </c:pt>
                <c:pt idx="10">
                  <c:v>-5</c:v>
                </c:pt>
                <c:pt idx="11">
                  <c:v>-6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-5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-8</c:v>
                </c:pt>
                <c:pt idx="11">
                  <c:v>-7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1.5</c:v>
                </c:pt>
                <c:pt idx="3">
                  <c:v>-0.5</c:v>
                </c:pt>
                <c:pt idx="4">
                  <c:v>-1.5</c:v>
                </c:pt>
                <c:pt idx="5">
                  <c:v>-2</c:v>
                </c:pt>
                <c:pt idx="6">
                  <c:v>-1.5</c:v>
                </c:pt>
                <c:pt idx="7">
                  <c:v>-2</c:v>
                </c:pt>
                <c:pt idx="8">
                  <c:v>-1</c:v>
                </c:pt>
                <c:pt idx="9">
                  <c:v>-1.5</c:v>
                </c:pt>
                <c:pt idx="10">
                  <c:v>-1</c:v>
                </c:pt>
                <c:pt idx="11">
                  <c:v>-0.5</c:v>
                </c:pt>
                <c:pt idx="12">
                  <c:v>0.5</c:v>
                </c:pt>
                <c:pt idx="13">
                  <c:v>1.5</c:v>
                </c:pt>
              </c:numCache>
            </c:numRef>
          </c:val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-20</c:v>
                </c:pt>
                <c:pt idx="5">
                  <c:v>-25</c:v>
                </c:pt>
                <c:pt idx="6">
                  <c:v>-30</c:v>
                </c:pt>
                <c:pt idx="7">
                  <c:v>-35</c:v>
                </c:pt>
                <c:pt idx="8">
                  <c:v>-40</c:v>
                </c:pt>
                <c:pt idx="9">
                  <c:v>-45</c:v>
                </c:pt>
                <c:pt idx="10">
                  <c:v>-50</c:v>
                </c:pt>
                <c:pt idx="11">
                  <c:v>-55</c:v>
                </c:pt>
                <c:pt idx="12">
                  <c:v>-60</c:v>
                </c:pt>
                <c:pt idx="13">
                  <c:v>-65</c:v>
                </c:pt>
              </c:numCache>
            </c:numRef>
          </c:val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Barker, Chris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-6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</c:v>
                </c:pt>
                <c:pt idx="11">
                  <c:v>-7</c:v>
                </c:pt>
                <c:pt idx="12">
                  <c:v>-5</c:v>
                </c:pt>
                <c:pt idx="13">
                  <c:v>-4</c:v>
                </c:pt>
              </c:numCache>
            </c:numRef>
          </c:val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Batchler, Wayne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-4</c:v>
                </c:pt>
                <c:pt idx="6">
                  <c:v>-3</c:v>
                </c:pt>
                <c:pt idx="7">
                  <c:v>-5</c:v>
                </c:pt>
                <c:pt idx="8">
                  <c:v>-4</c:v>
                </c:pt>
                <c:pt idx="9">
                  <c:v>-4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0</c:v>
                </c:pt>
              </c:numCache>
            </c:numRef>
          </c:val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Blackmon, Vaughn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-2</c:v>
                </c:pt>
                <c:pt idx="4">
                  <c:v>-2</c:v>
                </c:pt>
                <c:pt idx="5">
                  <c:v>-3</c:v>
                </c:pt>
                <c:pt idx="6">
                  <c:v>-4</c:v>
                </c:pt>
                <c:pt idx="7">
                  <c:v>-4</c:v>
                </c:pt>
                <c:pt idx="8">
                  <c:v>-3</c:v>
                </c:pt>
                <c:pt idx="9">
                  <c:v>-4</c:v>
                </c:pt>
                <c:pt idx="10">
                  <c:v>-6</c:v>
                </c:pt>
                <c:pt idx="11">
                  <c:v>-6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Cochcroft, Art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Crenshaw, Ed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-3</c:v>
                </c:pt>
                <c:pt idx="10">
                  <c:v>-3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Gibson, Johnny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-1</c:v>
                </c:pt>
                <c:pt idx="4">
                  <c:v>-3</c:v>
                </c:pt>
                <c:pt idx="5">
                  <c:v>-2</c:v>
                </c:pt>
                <c:pt idx="6">
                  <c:v>-4</c:v>
                </c:pt>
                <c:pt idx="7">
                  <c:v>-1</c:v>
                </c:pt>
                <c:pt idx="8">
                  <c:v>1</c:v>
                </c:pt>
                <c:pt idx="9">
                  <c:v>1</c:v>
                </c:pt>
                <c:pt idx="10">
                  <c:v>-2</c:v>
                </c:pt>
                <c:pt idx="11">
                  <c:v>0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James, Larry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6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Kieselhorst, Larry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-7</c:v>
                </c:pt>
                <c:pt idx="7">
                  <c:v>-9</c:v>
                </c:pt>
                <c:pt idx="8">
                  <c:v>-7</c:v>
                </c:pt>
                <c:pt idx="9">
                  <c:v>-6</c:v>
                </c:pt>
                <c:pt idx="10">
                  <c:v>-6</c:v>
                </c:pt>
                <c:pt idx="11">
                  <c:v>-4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Knotts, Brian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-1</c:v>
                </c:pt>
                <c:pt idx="11">
                  <c:v>-2</c:v>
                </c:pt>
                <c:pt idx="12">
                  <c:v>-2</c:v>
                </c:pt>
                <c:pt idx="13">
                  <c:v>-4</c:v>
                </c:pt>
              </c:numCache>
            </c:numRef>
          </c:val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McMahon, Pat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-1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Moxley, Dave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-3</c:v>
                </c:pt>
                <c:pt idx="7">
                  <c:v>-6</c:v>
                </c:pt>
                <c:pt idx="8">
                  <c:v>-6</c:v>
                </c:pt>
                <c:pt idx="9">
                  <c:v>-5</c:v>
                </c:pt>
                <c:pt idx="10">
                  <c:v>-8</c:v>
                </c:pt>
                <c:pt idx="11">
                  <c:v>-7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-1</c:v>
                </c:pt>
                <c:pt idx="4">
                  <c:v>-3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-3</c:v>
                </c:pt>
              </c:numCache>
            </c:numRef>
          </c:val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Nye, Mike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-1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Reams, Byron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6</c:v>
                </c:pt>
                <c:pt idx="8">
                  <c:v>7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Scrivener, Bo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-9</c:v>
                </c:pt>
                <c:pt idx="8">
                  <c:v>-10</c:v>
                </c:pt>
                <c:pt idx="9">
                  <c:v>-12</c:v>
                </c:pt>
                <c:pt idx="10">
                  <c:v>-12</c:v>
                </c:pt>
                <c:pt idx="11">
                  <c:v>-11</c:v>
                </c:pt>
                <c:pt idx="12">
                  <c:v>-9</c:v>
                </c:pt>
                <c:pt idx="13">
                  <c:v>-8</c:v>
                </c:pt>
              </c:numCache>
            </c:numRef>
          </c:val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Strom, Brooker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-4</c:v>
                </c:pt>
                <c:pt idx="3">
                  <c:v>-4</c:v>
                </c:pt>
                <c:pt idx="4">
                  <c:v>-7</c:v>
                </c:pt>
                <c:pt idx="5">
                  <c:v>-7</c:v>
                </c:pt>
                <c:pt idx="6">
                  <c:v>-8</c:v>
                </c:pt>
                <c:pt idx="7">
                  <c:v>-9</c:v>
                </c:pt>
                <c:pt idx="8">
                  <c:v>-9</c:v>
                </c:pt>
                <c:pt idx="9">
                  <c:v>-11</c:v>
                </c:pt>
                <c:pt idx="10">
                  <c:v>-12</c:v>
                </c:pt>
                <c:pt idx="11">
                  <c:v>-11</c:v>
                </c:pt>
                <c:pt idx="12">
                  <c:v>-11</c:v>
                </c:pt>
                <c:pt idx="13">
                  <c:v>-11</c:v>
                </c:pt>
              </c:numCache>
            </c:numRef>
          </c:val>
        </c:ser>
        <c:ser>
          <c:idx val="24"/>
          <c:order val="24"/>
          <c:tx>
            <c:strRef>
              <c:f>Chart!$AC$2</c:f>
              <c:strCache>
                <c:ptCount val="1"/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</c:numCache>
            </c:numRef>
          </c:val>
        </c:ser>
        <c:ser>
          <c:idx val="25"/>
          <c:order val="25"/>
          <c:tx>
            <c:strRef>
              <c:f>Chart!$AD$2</c:f>
              <c:strCache>
                <c:ptCount val="1"/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</c:numCache>
            </c:numRef>
          </c:val>
        </c:ser>
        <c:ser>
          <c:idx val="26"/>
          <c:order val="26"/>
          <c:tx>
            <c:strRef>
              <c:f>Chart!$AE$2</c:f>
              <c:strCache>
                <c:ptCount val="1"/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</c:numCache>
            </c:numRef>
          </c:val>
        </c:ser>
        <c:ser>
          <c:idx val="27"/>
          <c:order val="27"/>
          <c:tx>
            <c:strRef>
              <c:f>Chart!$AF$2</c:f>
              <c:strCache>
                <c:ptCount val="1"/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</c:numCache>
            </c:numRef>
          </c:val>
        </c:ser>
        <c:ser>
          <c:idx val="28"/>
          <c:order val="28"/>
          <c:tx>
            <c:strRef>
              <c:f>Chart!$AG$2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</c:numCache>
            </c:numRef>
          </c:val>
        </c:ser>
        <c:ser>
          <c:idx val="29"/>
          <c:order val="29"/>
          <c:tx>
            <c:strRef>
              <c:f>Chart!$AH$2</c:f>
              <c:strCache>
                <c:ptCount val="1"/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</c:numCache>
            </c:numRef>
          </c:val>
        </c:ser>
        <c:ser>
          <c:idx val="30"/>
          <c:order val="30"/>
          <c:tx>
            <c:strRef>
              <c:f>Chart!$AI$2</c:f>
              <c:strCache>
                <c:ptCount val="1"/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</c:numCache>
            </c:numRef>
          </c:val>
        </c:ser>
        <c:ser>
          <c:idx val="31"/>
          <c:order val="31"/>
          <c:tx>
            <c:strRef>
              <c:f>Chart!$AJ$2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</c:numCache>
            </c:numRef>
          </c:val>
        </c:ser>
        <c:ser>
          <c:idx val="32"/>
          <c:order val="32"/>
          <c:tx>
            <c:strRef>
              <c:f>Chart!$AK$2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</c:numCache>
            </c:numRef>
          </c:val>
        </c:ser>
        <c:ser>
          <c:idx val="33"/>
          <c:order val="33"/>
          <c:tx>
            <c:strRef>
              <c:f>Chart!$AL$2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</c:numCache>
            </c:numRef>
          </c:val>
        </c:ser>
        <c:ser>
          <c:idx val="34"/>
          <c:order val="34"/>
          <c:tx>
            <c:strRef>
              <c:f>Chart!$AM$2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</c:numCache>
            </c:numRef>
          </c:val>
        </c:ser>
        <c:ser>
          <c:idx val="35"/>
          <c:order val="35"/>
          <c:tx>
            <c:strRef>
              <c:f>Chart!$AN$2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</c:numCache>
            </c:numRef>
          </c:val>
        </c:ser>
        <c:ser>
          <c:idx val="36"/>
          <c:order val="36"/>
          <c:tx>
            <c:strRef>
              <c:f>Chart!$AO$2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</c:numCache>
            </c:numRef>
          </c:val>
        </c:ser>
        <c:ser>
          <c:idx val="37"/>
          <c:order val="37"/>
          <c:tx>
            <c:strRef>
              <c:f>Chart!$AP$2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</c:numCache>
            </c:numRef>
          </c:val>
        </c:ser>
        <c:ser>
          <c:idx val="38"/>
          <c:order val="38"/>
          <c:tx>
            <c:strRef>
              <c:f>Chart!$AQ$2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</c:numCache>
            </c:numRef>
          </c:val>
        </c:ser>
        <c:ser>
          <c:idx val="39"/>
          <c:order val="39"/>
          <c:tx>
            <c:strRef>
              <c:f>Chart!$AR$2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</c:numCache>
            </c:numRef>
          </c:val>
        </c:ser>
        <c:ser>
          <c:idx val="40"/>
          <c:order val="40"/>
          <c:tx>
            <c:strRef>
              <c:f>Chart!$AS$2</c:f>
              <c:strCache>
                <c:ptCount val="1"/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</c:numCache>
            </c:numRef>
          </c:val>
        </c:ser>
        <c:ser>
          <c:idx val="41"/>
          <c:order val="41"/>
          <c:tx>
            <c:strRef>
              <c:f>Chart!$AT$2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</c:numCache>
            </c:numRef>
          </c:val>
        </c:ser>
        <c:ser>
          <c:idx val="42"/>
          <c:order val="42"/>
          <c:tx>
            <c:strRef>
              <c:f>Chart!$AU$2</c:f>
              <c:strCache>
                <c:ptCount val="1"/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</c:numCache>
            </c:numRef>
          </c:val>
        </c:ser>
        <c:ser>
          <c:idx val="43"/>
          <c:order val="43"/>
          <c:tx>
            <c:strRef>
              <c:f>Chart!$AV$2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</c:numCache>
            </c:numRef>
          </c:val>
        </c:ser>
        <c:ser>
          <c:idx val="44"/>
          <c:order val="44"/>
          <c:tx>
            <c:strRef>
              <c:f>Chart!$AW$2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</c:numCache>
            </c:numRef>
          </c:val>
        </c:ser>
        <c:ser>
          <c:idx val="45"/>
          <c:order val="45"/>
          <c:tx>
            <c:strRef>
              <c:f>Chart!$AX$2</c:f>
              <c:strCache>
                <c:ptCount val="1"/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</c:numCache>
            </c:numRef>
          </c:val>
        </c:ser>
        <c:ser>
          <c:idx val="46"/>
          <c:order val="46"/>
          <c:tx>
            <c:strRef>
              <c:f>Chart!$AY$2</c:f>
              <c:strCache>
                <c:ptCount val="1"/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</c:numCache>
            </c:numRef>
          </c:val>
        </c:ser>
        <c:ser>
          <c:idx val="47"/>
          <c:order val="47"/>
          <c:tx>
            <c:strRef>
              <c:f>Chart!$AZ$2</c:f>
              <c:strCache>
                <c:ptCount val="1"/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</c:numCache>
            </c:numRef>
          </c:val>
        </c:ser>
        <c:ser>
          <c:idx val="48"/>
          <c:order val="48"/>
          <c:tx>
            <c:strRef>
              <c:f>Chart!$BA$2</c:f>
              <c:strCache>
                <c:ptCount val="1"/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</c:numCache>
            </c:numRef>
          </c:val>
        </c:ser>
        <c:ser>
          <c:idx val="49"/>
          <c:order val="49"/>
          <c:tx>
            <c:strRef>
              <c:f>Chart!$BB$2</c:f>
              <c:strCache>
                <c:ptCount val="1"/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</c:numCache>
            </c:numRef>
          </c:val>
        </c:ser>
        <c:ser>
          <c:idx val="50"/>
          <c:order val="50"/>
          <c:tx>
            <c:strRef>
              <c:f>Chart!$BC$2</c:f>
              <c:strCache>
                <c:ptCount val="1"/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</c:numCache>
            </c:numRef>
          </c:val>
        </c:ser>
        <c:ser>
          <c:idx val="51"/>
          <c:order val="51"/>
          <c:tx>
            <c:strRef>
              <c:f>Chart!$BD$2</c:f>
              <c:strCache>
                <c:ptCount val="1"/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</c:numCache>
            </c:numRef>
          </c:val>
        </c:ser>
        <c:ser>
          <c:idx val="52"/>
          <c:order val="52"/>
          <c:tx>
            <c:strRef>
              <c:f>Chart!$BE$2</c:f>
              <c:strCache>
                <c:ptCount val="1"/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</c:numCache>
            </c:numRef>
          </c:val>
        </c:ser>
        <c:ser>
          <c:idx val="53"/>
          <c:order val="53"/>
          <c:tx>
            <c:strRef>
              <c:f>Chart!$BF$2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</c:numCache>
            </c:numRef>
          </c:val>
        </c:ser>
        <c:ser>
          <c:idx val="54"/>
          <c:order val="54"/>
          <c:tx>
            <c:strRef>
              <c:f>Chart!$BG$2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</c:numCache>
            </c:numRef>
          </c:val>
        </c:ser>
        <c:ser>
          <c:idx val="55"/>
          <c:order val="55"/>
          <c:tx>
            <c:strRef>
              <c:f>Chart!$BH$2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</c:numCache>
            </c:numRef>
          </c:val>
        </c:ser>
        <c:ser>
          <c:idx val="56"/>
          <c:order val="56"/>
          <c:tx>
            <c:strRef>
              <c:f>Chart!$BI$2</c:f>
              <c:strCache>
                <c:ptCount val="1"/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</c:numCache>
            </c:numRef>
          </c:val>
        </c:ser>
        <c:ser>
          <c:idx val="57"/>
          <c:order val="57"/>
          <c:tx>
            <c:strRef>
              <c:f>Chart!$BJ$2</c:f>
              <c:strCache>
                <c:ptCount val="1"/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</c:numCache>
            </c:numRef>
          </c:val>
        </c:ser>
        <c:ser>
          <c:idx val="58"/>
          <c:order val="58"/>
          <c:tx>
            <c:strRef>
              <c:f>Chart!$BK$2</c:f>
              <c:strCache>
                <c:ptCount val="1"/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</c:numCache>
            </c:numRef>
          </c:val>
        </c:ser>
        <c:ser>
          <c:idx val="59"/>
          <c:order val="59"/>
          <c:tx>
            <c:strRef>
              <c:f>Chart!$BL$2</c:f>
              <c:strCache>
                <c:ptCount val="1"/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</c:numCache>
            </c:numRef>
          </c:val>
        </c:ser>
        <c:ser>
          <c:idx val="60"/>
          <c:order val="60"/>
          <c:tx>
            <c:strRef>
              <c:f>Chart!$BM$2</c:f>
              <c:strCache>
                <c:ptCount val="1"/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</c:numCache>
            </c:numRef>
          </c:val>
        </c:ser>
        <c:marker val="1"/>
        <c:axId val="106011264"/>
        <c:axId val="106025344"/>
      </c:lineChart>
      <c:catAx>
        <c:axId val="106011264"/>
        <c:scaling>
          <c:orientation val="minMax"/>
        </c:scaling>
        <c:axPos val="b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025344"/>
        <c:crosses val="autoZero"/>
        <c:lblAlgn val="ctr"/>
        <c:lblOffset val="100"/>
        <c:tickLblSkip val="1"/>
        <c:tickMarkSkip val="1"/>
      </c:catAx>
      <c:valAx>
        <c:axId val="10602534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011264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92"/>
          <c:y val="7.7177508269018784E-3"/>
          <c:w val="0.10301260224378309"/>
          <c:h val="0.97285268663143398"/>
        </c:manualLayout>
      </c:layout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1"/>
          <c:y val="3.194103194103194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3291969921856784E-2"/>
          <c:y val="0.15479115479115688"/>
          <c:w val="0.90931732174234481"/>
          <c:h val="0.69041769041769041"/>
        </c:manualLayout>
      </c:layout>
      <c:barChart>
        <c:barDir val="col"/>
        <c:grouping val="clustered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axId val="92836992"/>
        <c:axId val="92838912"/>
      </c:barChart>
      <c:catAx>
        <c:axId val="92836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838912"/>
        <c:crosses val="autoZero"/>
        <c:auto val="1"/>
        <c:lblAlgn val="ctr"/>
        <c:lblOffset val="100"/>
        <c:tickLblSkip val="1"/>
        <c:tickMarkSkip val="1"/>
      </c:catAx>
      <c:valAx>
        <c:axId val="9283891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13E-2"/>
              <c:y val="0.4226044226044228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83699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22" r="0.750000000000005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8"/>
          <c:y val="3.186274509803924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3200992555831512E-2"/>
          <c:y val="0.15686312055549595"/>
          <c:w val="0.90942928039702231"/>
          <c:h val="0.68872713868896174"/>
        </c:manualLayout>
      </c:layout>
      <c:barChart>
        <c:barDir val="col"/>
        <c:grouping val="clustered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Histogram!$A$33:$A$43</c:f>
              <c:numCache>
                <c:formatCode>General</c:formatCode>
                <c:ptCount val="11"/>
                <c:pt idx="0">
                  <c:v>54</c:v>
                </c:pt>
                <c:pt idx="1">
                  <c:v>55.8</c:v>
                </c:pt>
                <c:pt idx="2">
                  <c:v>57.599999999999994</c:v>
                </c:pt>
                <c:pt idx="3">
                  <c:v>59.399999999999991</c:v>
                </c:pt>
                <c:pt idx="4">
                  <c:v>61.199999999999989</c:v>
                </c:pt>
                <c:pt idx="5">
                  <c:v>62.999999999999986</c:v>
                </c:pt>
                <c:pt idx="6">
                  <c:v>64.799999999999983</c:v>
                </c:pt>
                <c:pt idx="7">
                  <c:v>66.59999999999998</c:v>
                </c:pt>
                <c:pt idx="8">
                  <c:v>68.399999999999977</c:v>
                </c:pt>
                <c:pt idx="9">
                  <c:v>70.199999999999974</c:v>
                </c:pt>
                <c:pt idx="10">
                  <c:v>71.999999999999972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axId val="106109952"/>
        <c:axId val="106124416"/>
      </c:barChart>
      <c:catAx>
        <c:axId val="106109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124416"/>
        <c:crosses val="autoZero"/>
        <c:auto val="1"/>
        <c:lblAlgn val="ctr"/>
        <c:lblOffset val="100"/>
        <c:tickLblSkip val="1"/>
        <c:tickMarkSkip val="1"/>
      </c:catAx>
      <c:valAx>
        <c:axId val="1061244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4E-2"/>
              <c:y val="0.4240206371262461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10995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22" r="0.750000000000005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comments" Target="../comments1.x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C25"/>
  <sheetViews>
    <sheetView tabSelected="1" zoomScale="75" zoomScaleNormal="75" workbookViewId="0"/>
  </sheetViews>
  <sheetFormatPr defaultRowHeight="12.75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0" width="3.7109375" bestFit="1" customWidth="1"/>
    <col min="11" max="23" width="3.5703125" customWidth="1"/>
    <col min="24" max="24" width="3.28515625" customWidth="1"/>
    <col min="25" max="25" width="4" bestFit="1" customWidth="1"/>
    <col min="26" max="26" width="3" bestFit="1" customWidth="1"/>
  </cols>
  <sheetData>
    <row r="1" spans="1:29" ht="18">
      <c r="A1" s="24"/>
      <c r="B1" s="7" t="s">
        <v>9</v>
      </c>
    </row>
    <row r="2" spans="1:29" ht="18">
      <c r="B2" s="7" t="s">
        <v>37</v>
      </c>
      <c r="D2" s="19">
        <f>FLOOR((COUNT(Begin:End!D3:D22)/20),1)</f>
        <v>13</v>
      </c>
      <c r="E2" s="28" t="s">
        <v>43</v>
      </c>
      <c r="F2" s="109">
        <f ca="1">AVERAGE(INDIRECT("R8C4:R"&amp;8+playercnt-1&amp;"C4",FALSE))</f>
        <v>63.333333333333336</v>
      </c>
      <c r="G2" s="110"/>
      <c r="I2" s="111">
        <f ca="1">SUM(INDIRECT("R8C4:R"&amp;8+playercnt-1&amp;"C4",FALSE))/((playercnt)*games_completed)</f>
        <v>0.48717948717948717</v>
      </c>
      <c r="J2" s="111"/>
      <c r="L2" s="112">
        <f ca="1">SUM(INDIRECT("R8C4:R"&amp;8+playercnt-1&amp;"C4",FALSE))-(playercnt*games_completed/2)</f>
        <v>-30</v>
      </c>
      <c r="M2" s="112"/>
      <c r="O2" s="28" t="s">
        <v>44</v>
      </c>
      <c r="R2">
        <f ca="1">MEDIAN(INDIRECT("R8C4:R"&amp;8+playercnt-1&amp;"C4",FALSE))</f>
        <v>63.5</v>
      </c>
      <c r="U2" s="28" t="s">
        <v>45</v>
      </c>
      <c r="W2">
        <f ca="1">MODE(INDIRECT("R8C4:R"&amp;8+playercnt-1&amp;"C4",FALSE))</f>
        <v>69</v>
      </c>
    </row>
    <row r="3" spans="1:29" ht="87" customHeight="1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>
      <c r="A4" s="84">
        <v>1</v>
      </c>
      <c r="B4" s="29" t="str">
        <f>Chart!$G$2</f>
        <v>Mrs. HomeTeam</v>
      </c>
      <c r="C4" s="10"/>
      <c r="D4" s="10">
        <f>SUM(Begin:End!$G$25)</f>
        <v>62</v>
      </c>
      <c r="E4" s="25">
        <f t="shared" ref="E4:E7" si="0">D4/games_completed</f>
        <v>0.47692307692307695</v>
      </c>
      <c r="F4" s="11"/>
      <c r="G4" s="16"/>
      <c r="H4" s="20"/>
      <c r="I4" s="17">
        <f t="shared" ref="I4:I7" ca="1" si="1">MAX(K4:W4)</f>
        <v>9</v>
      </c>
      <c r="J4" s="17">
        <f t="shared" ref="J4:J7" ca="1" si="2">MIN(K4:W4)</f>
        <v>3</v>
      </c>
      <c r="K4" s="13">
        <f ca="1">IF($D$2&gt;=(COLUMN()-10),INDIRECT(ADDRESS(25,7,1,,K$3)),"")</f>
        <v>3</v>
      </c>
      <c r="L4" s="13">
        <f t="shared" ref="L4:W4" ca="1" si="3">IF($D$2&gt;=(COLUMN()-10),INDIRECT(ADDRESS(25,7,1,,L$3)),"")</f>
        <v>5</v>
      </c>
      <c r="M4" s="13">
        <f t="shared" ca="1" si="3"/>
        <v>5</v>
      </c>
      <c r="N4" s="13">
        <f t="shared" ca="1" si="3"/>
        <v>4</v>
      </c>
      <c r="O4" s="13">
        <f t="shared" ca="1" si="3"/>
        <v>6</v>
      </c>
      <c r="P4" s="13">
        <f t="shared" ca="1" si="3"/>
        <v>3</v>
      </c>
      <c r="Q4" s="13">
        <f t="shared" ca="1" si="3"/>
        <v>4</v>
      </c>
      <c r="R4" s="13">
        <f t="shared" ca="1" si="3"/>
        <v>4</v>
      </c>
      <c r="S4" s="13">
        <f t="shared" ca="1" si="3"/>
        <v>6</v>
      </c>
      <c r="T4" s="13">
        <f t="shared" ca="1" si="3"/>
        <v>5</v>
      </c>
      <c r="U4" s="13">
        <f t="shared" ca="1" si="3"/>
        <v>4</v>
      </c>
      <c r="V4" s="13">
        <f t="shared" ca="1" si="3"/>
        <v>9</v>
      </c>
      <c r="W4" s="13">
        <f t="shared" ca="1" si="3"/>
        <v>4</v>
      </c>
      <c r="X4" s="14"/>
      <c r="Y4" s="14"/>
      <c r="AB4" s="22"/>
    </row>
    <row r="5" spans="1:29">
      <c r="A5" s="84">
        <v>1</v>
      </c>
      <c r="B5" s="29" t="str">
        <f>Chart!$H$2</f>
        <v>Mr. Favorite</v>
      </c>
      <c r="C5" s="10"/>
      <c r="D5" s="10">
        <f>SUM(Begin:End!$H$25)</f>
        <v>60</v>
      </c>
      <c r="E5" s="25">
        <f t="shared" si="0"/>
        <v>0.46153846153846156</v>
      </c>
      <c r="F5" s="11"/>
      <c r="G5" s="16"/>
      <c r="H5" s="20"/>
      <c r="I5" s="17">
        <f t="shared" ca="1" si="1"/>
        <v>7</v>
      </c>
      <c r="J5" s="17">
        <f t="shared" ca="1" si="2"/>
        <v>3</v>
      </c>
      <c r="K5" s="13">
        <f ca="1">IF($D$2&gt;=(COLUMN()-10),INDIRECT(ADDRESS(25,8,1,,K$3)),"")</f>
        <v>3</v>
      </c>
      <c r="L5" s="13">
        <f t="shared" ref="L5:W5" ca="1" si="4">IF($D$2&gt;=(COLUMN()-10),INDIRECT(ADDRESS(25,8,1,,L$3)),"")</f>
        <v>4</v>
      </c>
      <c r="M5" s="13">
        <f t="shared" ca="1" si="4"/>
        <v>4</v>
      </c>
      <c r="N5" s="13">
        <f t="shared" ca="1" si="4"/>
        <v>4</v>
      </c>
      <c r="O5" s="13">
        <f t="shared" ca="1" si="4"/>
        <v>5</v>
      </c>
      <c r="P5" s="13">
        <f t="shared" ca="1" si="4"/>
        <v>4</v>
      </c>
      <c r="Q5" s="13">
        <f t="shared" ca="1" si="4"/>
        <v>5</v>
      </c>
      <c r="R5" s="13">
        <f t="shared" ca="1" si="4"/>
        <v>5</v>
      </c>
      <c r="S5" s="13">
        <f t="shared" ca="1" si="4"/>
        <v>5</v>
      </c>
      <c r="T5" s="13">
        <f t="shared" ca="1" si="4"/>
        <v>3</v>
      </c>
      <c r="U5" s="13">
        <f t="shared" ca="1" si="4"/>
        <v>6</v>
      </c>
      <c r="V5" s="13">
        <f t="shared" ca="1" si="4"/>
        <v>7</v>
      </c>
      <c r="W5" s="13">
        <f t="shared" ca="1" si="4"/>
        <v>5</v>
      </c>
      <c r="X5" s="14"/>
      <c r="Y5" s="14"/>
      <c r="AB5" s="22"/>
    </row>
    <row r="6" spans="1:29">
      <c r="A6" s="84">
        <v>1</v>
      </c>
      <c r="B6" s="29" t="str">
        <f>Chart!$I$2</f>
        <v>Miss CDC</v>
      </c>
      <c r="C6" s="10"/>
      <c r="D6" s="10">
        <f ca="1">SUM(Begin:End!$I$25)</f>
        <v>66.5</v>
      </c>
      <c r="E6" s="25">
        <f t="shared" ca="1" si="0"/>
        <v>0.5115384615384615</v>
      </c>
      <c r="F6" s="11"/>
      <c r="G6" s="16"/>
      <c r="H6" s="20"/>
      <c r="I6" s="17">
        <f t="shared" ca="1" si="1"/>
        <v>6</v>
      </c>
      <c r="J6" s="17">
        <f t="shared" ca="1" si="2"/>
        <v>3</v>
      </c>
      <c r="K6" s="13">
        <f ca="1">IF($D$2&gt;=(COLUMN()-10),INDIRECT(ADDRESS(25,9,1,,K$3)),"")</f>
        <v>6</v>
      </c>
      <c r="L6" s="13">
        <f t="shared" ref="L6:W6" ca="1" si="5">IF($D$2&gt;=(COLUMN()-10),INDIRECT(ADDRESS(25,9,1,,L$3)),"")</f>
        <v>5.5</v>
      </c>
      <c r="M6" s="13">
        <f t="shared" ca="1" si="5"/>
        <v>3</v>
      </c>
      <c r="N6" s="13">
        <f t="shared" ca="1" si="5"/>
        <v>4</v>
      </c>
      <c r="O6" s="13">
        <f t="shared" ca="1" si="5"/>
        <v>4.5</v>
      </c>
      <c r="P6" s="13">
        <f t="shared" ca="1" si="5"/>
        <v>5.5</v>
      </c>
      <c r="Q6" s="13">
        <f t="shared" ca="1" si="5"/>
        <v>4.5</v>
      </c>
      <c r="R6" s="13">
        <f t="shared" ca="1" si="5"/>
        <v>6</v>
      </c>
      <c r="S6" s="13">
        <f t="shared" ca="1" si="5"/>
        <v>4.5</v>
      </c>
      <c r="T6" s="13">
        <f t="shared" ca="1" si="5"/>
        <v>5.5</v>
      </c>
      <c r="U6" s="13">
        <f t="shared" ca="1" si="5"/>
        <v>5.5</v>
      </c>
      <c r="V6" s="13">
        <f t="shared" ca="1" si="5"/>
        <v>6</v>
      </c>
      <c r="W6" s="13">
        <f t="shared" ca="1" si="5"/>
        <v>6</v>
      </c>
      <c r="X6" s="14"/>
      <c r="Y6" s="14"/>
      <c r="AB6" s="22"/>
    </row>
    <row r="7" spans="1:29" ht="13.5" thickBot="1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>
        <f t="shared" ca="1" si="6"/>
        <v>0</v>
      </c>
      <c r="S7" s="54">
        <f t="shared" ca="1" si="6"/>
        <v>0</v>
      </c>
      <c r="T7" s="54">
        <f t="shared" ca="1" si="6"/>
        <v>0</v>
      </c>
      <c r="U7" s="54">
        <f t="shared" ca="1" si="6"/>
        <v>0</v>
      </c>
      <c r="V7" s="54">
        <f t="shared" ca="1" si="6"/>
        <v>0</v>
      </c>
      <c r="W7" s="54">
        <f t="shared" ca="1" si="6"/>
        <v>0</v>
      </c>
      <c r="X7" s="55"/>
      <c r="Y7" s="55"/>
    </row>
    <row r="8" spans="1:29">
      <c r="A8" s="83">
        <f>IF(D8=D7,A7,Y8)</f>
        <v>1</v>
      </c>
      <c r="B8" s="39" t="str">
        <f ca="1">INDIRECT(ADDRESS(2,10+INDIRECT(ADDRESS(ROW(),24)),,,"Chart"))</f>
        <v>Knotts, Brian</v>
      </c>
      <c r="C8" s="40">
        <f ca="1">sumAcrossWkSheets(28,10,X8)</f>
        <v>1</v>
      </c>
      <c r="D8" s="40">
        <f>sumAcrossWkSheets(25,10,X8)</f>
        <v>72</v>
      </c>
      <c r="E8" s="41">
        <f>D8/games_completed</f>
        <v>0.55384615384615388</v>
      </c>
      <c r="F8" s="42">
        <f>$D$8-D8</f>
        <v>0</v>
      </c>
      <c r="G8" s="43">
        <v>5</v>
      </c>
      <c r="H8" s="44">
        <f>G8-A8</f>
        <v>4</v>
      </c>
      <c r="I8" s="45">
        <f ca="1">MAX(K8:W8)</f>
        <v>8</v>
      </c>
      <c r="J8" s="45">
        <f ca="1">MIN(K8:W8)</f>
        <v>4</v>
      </c>
      <c r="K8" s="46">
        <f ca="1">IF($D$2&gt;=(COLUMN()-10),HLOOKUP($B8,INDIRECT(ADDRESS(2,11,1,,K$3)):INDIRECT(ADDRESS(25,playercnt+10,1,,K$3)),24),"")</f>
        <v>6</v>
      </c>
      <c r="L8" s="46">
        <f ca="1">IF($D$2&gt;=(COLUMN()-10),HLOOKUP($B8,INDIRECT(ADDRESS(2,11,1,,L$3)):INDIRECT(ADDRESS(25,playercnt+10,1,,L$3)),24),"")</f>
        <v>4</v>
      </c>
      <c r="M8" s="46">
        <f ca="1">IF($D$2&gt;=(COLUMN()-10),HLOOKUP($B8,INDIRECT(ADDRESS(2,11,1,,M$3)):INDIRECT(ADDRESS(25,playercnt+10,1,,M$3)),24),"")</f>
        <v>5</v>
      </c>
      <c r="N8" s="46">
        <f ca="1">IF($D$2&gt;=(COLUMN()-10),HLOOKUP($B8,INDIRECT(ADDRESS(2,11,1,,N$3)):INDIRECT(ADDRESS(25,playercnt+10,1,,N$3)),24),"")</f>
        <v>4</v>
      </c>
      <c r="O8" s="46">
        <f ca="1">IF($D$2&gt;=(COLUMN()-10),HLOOKUP($B8,INDIRECT(ADDRESS(2,11,1,,O$3)):INDIRECT(ADDRESS(25,playercnt+10,1,,O$3)),24),"")</f>
        <v>8</v>
      </c>
      <c r="P8" s="46">
        <f ca="1">IF($D$2&gt;=(COLUMN()-10),HLOOKUP($B8,INDIRECT(ADDRESS(2,11,1,,P$3)):INDIRECT(ADDRESS(25,playercnt+10,1,,P$3)),24),"")</f>
        <v>4</v>
      </c>
      <c r="Q8" s="46">
        <f ca="1">IF($D$2&gt;=(COLUMN()-10),HLOOKUP($B8,INDIRECT(ADDRESS(2,11,1,,Q$3)):INDIRECT(ADDRESS(25,playercnt+10,1,,Q$3)),24),"")</f>
        <v>4</v>
      </c>
      <c r="R8" s="46">
        <f ca="1">IF($D$2&gt;=(COLUMN()-10),HLOOKUP($B8,INDIRECT(ADDRESS(2,11,1,,R$3)):INDIRECT(ADDRESS(25,playercnt+10,1,,R$3)),24),"")</f>
        <v>5</v>
      </c>
      <c r="S8" s="46">
        <f ca="1">IF($D$2&gt;=(COLUMN()-10),HLOOKUP($B8,INDIRECT(ADDRESS(2,11,1,,S$3)):INDIRECT(ADDRESS(25,playercnt+10,1,,S$3)),24),"")</f>
        <v>7</v>
      </c>
      <c r="T8" s="46">
        <f ca="1">IF($D$2&gt;=(COLUMN()-10),HLOOKUP($B8,INDIRECT(ADDRESS(2,11,1,,T$3)):INDIRECT(ADDRESS(25,playercnt+10,1,,T$3)),24),"")</f>
        <v>7</v>
      </c>
      <c r="U8" s="46">
        <f ca="1">IF($D$2&gt;=(COLUMN()-10),HLOOKUP($B8,INDIRECT(ADDRESS(2,11,1,,U$3)):INDIRECT(ADDRESS(25,playercnt+10,1,,U$3)),24),"")</f>
        <v>6</v>
      </c>
      <c r="V8" s="46">
        <f ca="1">IF($D$2&gt;=(COLUMN()-10),HLOOKUP($B8,INDIRECT(ADDRESS(2,11,1,,V$3)):INDIRECT(ADDRESS(25,playercnt+10,1,,V$3)),24),"")</f>
        <v>7</v>
      </c>
      <c r="W8" s="46">
        <f ca="1">IF($D$2&gt;=(COLUMN()-10),HLOOKUP($B8,INDIRECT(ADDRESS(2,11,1,,W$3)):INDIRECT(ADDRESS(25,playercnt+10,1,,W$3)),24),"")</f>
        <v>5</v>
      </c>
      <c r="X8" s="47">
        <v>9</v>
      </c>
      <c r="Y8" s="47">
        <f>Y7+1</f>
        <v>1</v>
      </c>
      <c r="AC8" s="24"/>
    </row>
    <row r="9" spans="1:29">
      <c r="A9" s="83">
        <f>IF(D9=D8,A8,Y9)</f>
        <v>2</v>
      </c>
      <c r="B9" s="39" t="str">
        <f ca="1">INDIRECT(ADDRESS(2,10+INDIRECT(ADDRESS(ROW(),24)),,,"Chart"))</f>
        <v>James, Larry</v>
      </c>
      <c r="C9" s="40">
        <f ca="1">sumAcrossWkSheets(28,10,X9)</f>
        <v>0</v>
      </c>
      <c r="D9" s="40">
        <f>sumAcrossWkSheets(25,10,X9)</f>
        <v>69</v>
      </c>
      <c r="E9" s="25">
        <f>D9/games_completed</f>
        <v>0.53076923076923077</v>
      </c>
      <c r="F9" s="11">
        <f>$D$8-D9</f>
        <v>3</v>
      </c>
      <c r="G9" s="16">
        <v>10</v>
      </c>
      <c r="H9" s="20">
        <f>G9-A9</f>
        <v>8</v>
      </c>
      <c r="I9" s="17">
        <f ca="1">MAX(K9:W9)</f>
        <v>7</v>
      </c>
      <c r="J9" s="17">
        <f ca="1">MIN(K9:W9)</f>
        <v>4</v>
      </c>
      <c r="K9" s="46">
        <f ca="1">IF($D$2&gt;=(COLUMN()-10),HLOOKUP($B9,INDIRECT(ADDRESS(2,11,1,,K$3)):INDIRECT(ADDRESS(25,playercnt+10,1,,K$3)),24),"")</f>
        <v>5</v>
      </c>
      <c r="L9" s="46">
        <f ca="1">IF($D$2&gt;=(COLUMN()-10),HLOOKUP($B9,INDIRECT(ADDRESS(2,11,1,,L$3)):INDIRECT(ADDRESS(25,playercnt+10,1,,L$3)),24),"")</f>
        <v>6</v>
      </c>
      <c r="M9" s="46">
        <f ca="1">IF($D$2&gt;=(COLUMN()-10),HLOOKUP($B9,INDIRECT(ADDRESS(2,11,1,,M$3)):INDIRECT(ADDRESS(25,playercnt+10,1,,M$3)),24),"")</f>
        <v>7</v>
      </c>
      <c r="N9" s="46">
        <f ca="1">IF($D$2&gt;=(COLUMN()-10),HLOOKUP($B9,INDIRECT(ADDRESS(2,11,1,,N$3)):INDIRECT(ADDRESS(25,playercnt+10,1,,N$3)),24),"")</f>
        <v>6</v>
      </c>
      <c r="O9" s="46">
        <f ca="1">IF($D$2&gt;=(COLUMN()-10),HLOOKUP($B9,INDIRECT(ADDRESS(2,11,1,,O$3)):INDIRECT(ADDRESS(25,playercnt+10,1,,O$3)),24),"")</f>
        <v>5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4</v>
      </c>
      <c r="S9" s="46">
        <f ca="1">IF($D$2&gt;=(COLUMN()-10),HLOOKUP($B9,INDIRECT(ADDRESS(2,11,1,,S$3)):INDIRECT(ADDRESS(25,playercnt+10,1,,S$3)),24),"")</f>
        <v>4</v>
      </c>
      <c r="T9" s="46">
        <f ca="1">IF($D$2&gt;=(COLUMN()-10),HLOOKUP($B9,INDIRECT(ADDRESS(2,11,1,,T$3)):INDIRECT(ADDRESS(25,playercnt+10,1,,T$3)),24),"")</f>
        <v>4</v>
      </c>
      <c r="U9" s="46">
        <f ca="1">IF($D$2&gt;=(COLUMN()-10),HLOOKUP($B9,INDIRECT(ADDRESS(2,11,1,,U$3)):INDIRECT(ADDRESS(25,playercnt+10,1,,U$3)),24),"")</f>
        <v>5</v>
      </c>
      <c r="V9" s="46">
        <f ca="1">IF($D$2&gt;=(COLUMN()-10),HLOOKUP($B9,INDIRECT(ADDRESS(2,11,1,,V$3)):INDIRECT(ADDRESS(25,playercnt+10,1,,V$3)),24),"")</f>
        <v>6</v>
      </c>
      <c r="W9" s="46">
        <f ca="1">IF($D$2&gt;=(COLUMN()-10),HLOOKUP($B9,INDIRECT(ADDRESS(2,11,1,,W$3)):INDIRECT(ADDRESS(25,playercnt+10,1,,W$3)),24),"")</f>
        <v>4</v>
      </c>
      <c r="X9" s="14">
        <v>7</v>
      </c>
      <c r="Y9" s="14">
        <f t="shared" ref="Y9:Y25" si="7">Y8+1</f>
        <v>2</v>
      </c>
    </row>
    <row r="10" spans="1:29">
      <c r="A10" s="83">
        <f>IF(D10=D9,A9,Y10)</f>
        <v>2</v>
      </c>
      <c r="B10" s="39" t="str">
        <f ca="1">INDIRECT(ADDRESS(2,10+INDIRECT(ADDRESS(ROW(),24)),,,"Chart"))</f>
        <v>Nye, Mike</v>
      </c>
      <c r="C10" s="40">
        <f ca="1">sumAcrossWkSheets(28,10,X10)</f>
        <v>1</v>
      </c>
      <c r="D10" s="40">
        <f>sumAcrossWkSheets(25,10,X10)</f>
        <v>69</v>
      </c>
      <c r="E10" s="25">
        <f>D10/games_completed</f>
        <v>0.53076923076923077</v>
      </c>
      <c r="F10" s="11">
        <f>$D$8-D10</f>
        <v>3</v>
      </c>
      <c r="G10" s="43">
        <v>3</v>
      </c>
      <c r="H10" s="20">
        <f>G10-A10</f>
        <v>1</v>
      </c>
      <c r="I10" s="17">
        <f ca="1">MAX(K10:W10)</f>
        <v>8</v>
      </c>
      <c r="J10" s="17">
        <f ca="1">MIN(K10:W10)</f>
        <v>3</v>
      </c>
      <c r="K10" s="46">
        <f ca="1">IF($D$2&gt;=(COLUMN()-10),HLOOKUP($B10,INDIRECT(ADDRESS(2,11,1,,K$3)):INDIRECT(ADDRESS(25,playercnt+10,1,,K$3)),24),"")</f>
        <v>7</v>
      </c>
      <c r="L10" s="46">
        <f ca="1">IF($D$2&gt;=(COLUMN()-10),HLOOKUP($B10,INDIRECT(ADDRESS(2,11,1,,L$3)):INDIRECT(ADDRESS(25,playercnt+10,1,,L$3)),24),"")</f>
        <v>6</v>
      </c>
      <c r="M10" s="46">
        <f ca="1">IF($D$2&gt;=(COLUMN()-10),HLOOKUP($B10,INDIRECT(ADDRESS(2,11,1,,M$3)):INDIRECT(ADDRESS(25,playercnt+10,1,,M$3)),24),"")</f>
        <v>4</v>
      </c>
      <c r="N10" s="46">
        <f ca="1">IF($D$2&gt;=(COLUMN()-10),HLOOKUP($B10,INDIRECT(ADDRESS(2,11,1,,N$3)):INDIRECT(ADDRESS(25,playercnt+10,1,,N$3)),24),"")</f>
        <v>3</v>
      </c>
      <c r="O10" s="46">
        <f ca="1">IF($D$2&gt;=(COLUMN()-10),HLOOKUP($B10,INDIRECT(ADDRESS(2,11,1,,O$3)):INDIRECT(ADDRESS(25,playercnt+10,1,,O$3)),24),"")</f>
        <v>4</v>
      </c>
      <c r="P10" s="46">
        <f ca="1">IF($D$2&gt;=(COLUMN()-10),HLOOKUP($B10,INDIRECT(ADDRESS(2,11,1,,P$3)):INDIRECT(ADDRESS(25,playercnt+10,1,,P$3)),24),"")</f>
        <v>8</v>
      </c>
      <c r="Q10" s="46">
        <f ca="1">IF($D$2&gt;=(COLUMN()-10),HLOOKUP($B10,INDIRECT(ADDRESS(2,11,1,,Q$3)):INDIRECT(ADDRESS(25,playercnt+10,1,,Q$3)),24),"")</f>
        <v>4</v>
      </c>
      <c r="R10" s="46">
        <f ca="1">IF($D$2&gt;=(COLUMN()-10),HLOOKUP($B10,INDIRECT(ADDRESS(2,11,1,,R$3)):INDIRECT(ADDRESS(25,playercnt+10,1,,R$3)),24),"")</f>
        <v>6</v>
      </c>
      <c r="S10" s="46">
        <f ca="1">IF($D$2&gt;=(COLUMN()-10),HLOOKUP($B10,INDIRECT(ADDRESS(2,11,1,,S$3)):INDIRECT(ADDRESS(25,playercnt+10,1,,S$3)),24),"")</f>
        <v>5</v>
      </c>
      <c r="T10" s="46">
        <f ca="1">IF($D$2&gt;=(COLUMN()-10),HLOOKUP($B10,INDIRECT(ADDRESS(2,11,1,,T$3)):INDIRECT(ADDRESS(25,playercnt+10,1,,T$3)),24),"")</f>
        <v>7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5</v>
      </c>
      <c r="W10" s="46">
        <f ca="1">IF($D$2&gt;=(COLUMN()-10),HLOOKUP($B10,INDIRECT(ADDRESS(2,11,1,,W$3)):INDIRECT(ADDRESS(25,playercnt+10,1,,W$3)),24),"")</f>
        <v>4</v>
      </c>
      <c r="X10" s="47">
        <v>14</v>
      </c>
      <c r="Y10" s="14">
        <f t="shared" si="7"/>
        <v>3</v>
      </c>
    </row>
    <row r="11" spans="1:29">
      <c r="A11" s="83">
        <f>IF(D11=D10,A10,Y11)</f>
        <v>4</v>
      </c>
      <c r="B11" s="39" t="str">
        <f ca="1">INDIRECT(ADDRESS(2,10+INDIRECT(ADDRESS(ROW(),24)),,,"Chart"))</f>
        <v>Reams, Byron</v>
      </c>
      <c r="C11" s="40">
        <f ca="1">sumAcrossWkSheets(28,10,X11)</f>
        <v>2</v>
      </c>
      <c r="D11" s="40">
        <f>sumAcrossWkSheets(25,10,X11)</f>
        <v>68</v>
      </c>
      <c r="E11" s="25">
        <f>D11/games_completed</f>
        <v>0.52307692307692311</v>
      </c>
      <c r="F11" s="11">
        <f>$D$8-D11</f>
        <v>4</v>
      </c>
      <c r="G11" s="16">
        <v>12</v>
      </c>
      <c r="H11" s="20">
        <f>G11-A11</f>
        <v>8</v>
      </c>
      <c r="I11" s="17">
        <f ca="1">MAX(K11:W11)</f>
        <v>9</v>
      </c>
      <c r="J11" s="17">
        <f ca="1">MIN(K11:W11)</f>
        <v>2</v>
      </c>
      <c r="K11" s="46">
        <f ca="1">IF($D$2&gt;=(COLUMN()-10),HLOOKUP($B11,INDIRECT(ADDRESS(2,11,1,,K$3)):INDIRECT(ADDRESS(25,playercnt+10,1,,K$3)),24),"")</f>
        <v>4</v>
      </c>
      <c r="L11" s="46">
        <f ca="1">IF($D$2&gt;=(COLUMN()-10),HLOOKUP($B11,INDIRECT(ADDRESS(2,11,1,,L$3)):INDIRECT(ADDRESS(25,playercnt+10,1,,L$3)),24),"")</f>
        <v>7</v>
      </c>
      <c r="M11" s="46">
        <f ca="1">IF($D$2&gt;=(COLUMN()-10),HLOOKUP($B11,INDIRECT(ADDRESS(2,11,1,,M$3)):INDIRECT(ADDRESS(25,playercnt+10,1,,M$3)),24),"")</f>
        <v>8</v>
      </c>
      <c r="N11" s="46">
        <f ca="1">IF($D$2&gt;=(COLUMN()-10),HLOOKUP($B11,INDIRECT(ADDRESS(2,11,1,,N$3)):INDIRECT(ADDRESS(25,playercnt+10,1,,N$3)),24),"")</f>
        <v>2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6</v>
      </c>
      <c r="Q11" s="46">
        <f ca="1">IF($D$2&gt;=(COLUMN()-10),HLOOKUP($B11,INDIRECT(ADDRESS(2,11,1,,Q$3)):INDIRECT(ADDRESS(25,playercnt+10,1,,Q$3)),24),"")</f>
        <v>3</v>
      </c>
      <c r="R11" s="46">
        <f ca="1">IF($D$2&gt;=(COLUMN()-10),HLOOKUP($B11,INDIRECT(ADDRESS(2,11,1,,R$3)):INDIRECT(ADDRESS(25,playercnt+10,1,,R$3)),24),"")</f>
        <v>5</v>
      </c>
      <c r="S11" s="46">
        <f ca="1">IF($D$2&gt;=(COLUMN()-10),HLOOKUP($B11,INDIRECT(ADDRESS(2,11,1,,S$3)):INDIRECT(ADDRESS(25,playercnt+10,1,,S$3)),24),"")</f>
        <v>4</v>
      </c>
      <c r="T11" s="46">
        <f ca="1">IF($D$2&gt;=(COLUMN()-10),HLOOKUP($B11,INDIRECT(ADDRESS(2,11,1,,T$3)):INDIRECT(ADDRESS(25,playercnt+10,1,,T$3)),24),"")</f>
        <v>5</v>
      </c>
      <c r="U11" s="46">
        <f ca="1">IF($D$2&gt;=(COLUMN()-10),HLOOKUP($B11,INDIRECT(ADDRESS(2,11,1,,U$3)):INDIRECT(ADDRESS(25,playercnt+10,1,,U$3)),24),"")</f>
        <v>5</v>
      </c>
      <c r="V11" s="46">
        <f ca="1">IF($D$2&gt;=(COLUMN()-10),HLOOKUP($B11,INDIRECT(ADDRESS(2,11,1,,V$3)):INDIRECT(ADDRESS(25,playercnt+10,1,,V$3)),24),"")</f>
        <v>9</v>
      </c>
      <c r="W11" s="46">
        <f ca="1">IF($D$2&gt;=(COLUMN()-10),HLOOKUP($B11,INDIRECT(ADDRESS(2,11,1,,W$3)):INDIRECT(ADDRESS(25,playercnt+10,1,,W$3)),24),"")</f>
        <v>5</v>
      </c>
      <c r="X11" s="14">
        <v>15</v>
      </c>
      <c r="Y11" s="14">
        <f t="shared" si="7"/>
        <v>4</v>
      </c>
    </row>
    <row r="12" spans="1:29">
      <c r="A12" s="83">
        <f>IF(D12=D11,A11,Y12)</f>
        <v>5</v>
      </c>
      <c r="B12" s="39" t="str">
        <f ca="1">INDIRECT(ADDRESS(2,10+INDIRECT(ADDRESS(ROW(),24)),,,"Chart"))</f>
        <v>McMahon, Pat</v>
      </c>
      <c r="C12" s="40">
        <f ca="1">sumAcrossWkSheets(28,10,X12)</f>
        <v>0</v>
      </c>
      <c r="D12" s="40">
        <f>sumAcrossWkSheets(25,10,X12)</f>
        <v>67</v>
      </c>
      <c r="E12" s="25">
        <f>D12/games_completed</f>
        <v>0.51538461538461533</v>
      </c>
      <c r="F12" s="11">
        <f>$D$8-D12</f>
        <v>5</v>
      </c>
      <c r="G12" s="43">
        <v>1</v>
      </c>
      <c r="H12" s="20">
        <f>G12-A12</f>
        <v>-4</v>
      </c>
      <c r="I12" s="17">
        <f ca="1">MAX(K12:W12)</f>
        <v>8</v>
      </c>
      <c r="J12" s="17">
        <f ca="1">MIN(K12:W12)</f>
        <v>2</v>
      </c>
      <c r="K12" s="46">
        <f ca="1">IF($D$2&gt;=(COLUMN()-10),HLOOKUP($B12,INDIRECT(ADDRESS(2,11,1,,K$3)):INDIRECT(ADDRESS(25,playercnt+10,1,,K$3)),24),"")</f>
        <v>8</v>
      </c>
      <c r="L12" s="46">
        <f ca="1">IF($D$2&gt;=(COLUMN()-10),HLOOKUP($B12,INDIRECT(ADDRESS(2,11,1,,L$3)):INDIRECT(ADDRESS(25,playercnt+10,1,,L$3)),24),"")</f>
        <v>7</v>
      </c>
      <c r="M12" s="46">
        <f ca="1">IF($D$2&gt;=(COLUMN()-10),HLOOKUP($B12,INDIRECT(ADDRESS(2,11,1,,M$3)):INDIRECT(ADDRESS(25,playercnt+10,1,,M$3)),24),"")</f>
        <v>4</v>
      </c>
      <c r="N12" s="46">
        <f ca="1">IF($D$2&gt;=(COLUMN()-10),HLOOKUP($B12,INDIRECT(ADDRESS(2,11,1,,N$3)):INDIRECT(ADDRESS(25,playercnt+10,1,,N$3)),24),"")</f>
        <v>2</v>
      </c>
      <c r="O12" s="46">
        <f ca="1">IF($D$2&gt;=(COLUMN()-10),HLOOKUP($B12,INDIRECT(ADDRESS(2,11,1,,O$3)):INDIRECT(ADDRESS(25,playercnt+10,1,,O$3)),24),"")</f>
        <v>5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5</v>
      </c>
      <c r="R12" s="46">
        <f ca="1">IF($D$2&gt;=(COLUMN()-10),HLOOKUP($B12,INDIRECT(ADDRESS(2,11,1,,R$3)):INDIRECT(ADDRESS(25,playercnt+10,1,,R$3)),24),"")</f>
        <v>2</v>
      </c>
      <c r="S12" s="46">
        <f ca="1">IF($D$2&gt;=(COLUMN()-10),HLOOKUP($B12,INDIRECT(ADDRESS(2,11,1,,S$3)):INDIRECT(ADDRESS(25,playercnt+10,1,,S$3)),24),"")</f>
        <v>6</v>
      </c>
      <c r="T12" s="46">
        <f ca="1">IF($D$2&gt;=(COLUMN()-10),HLOOKUP($B12,INDIRECT(ADDRESS(2,11,1,,T$3)):INDIRECT(ADDRESS(25,playercnt+10,1,,T$3)),24),"")</f>
        <v>6</v>
      </c>
      <c r="U12" s="46">
        <f ca="1">IF($D$2&gt;=(COLUMN()-10),HLOOKUP($B12,INDIRECT(ADDRESS(2,11,1,,U$3)):INDIRECT(ADDRESS(25,playercnt+10,1,,U$3)),24),"")</f>
        <v>4</v>
      </c>
      <c r="V12" s="46">
        <f ca="1">IF($D$2&gt;=(COLUMN()-10),HLOOKUP($B12,INDIRECT(ADDRESS(2,11,1,,V$3)):INDIRECT(ADDRESS(25,playercnt+10,1,,V$3)),24),"")</f>
        <v>7</v>
      </c>
      <c r="W12" s="46">
        <f ca="1">IF($D$2&gt;=(COLUMN()-10),HLOOKUP($B12,INDIRECT(ADDRESS(2,11,1,,W$3)):INDIRECT(ADDRESS(25,playercnt+10,1,,W$3)),24),"")</f>
        <v>6</v>
      </c>
      <c r="X12" s="47">
        <v>11</v>
      </c>
      <c r="Y12" s="14">
        <f t="shared" si="7"/>
        <v>5</v>
      </c>
    </row>
    <row r="13" spans="1:29">
      <c r="A13" s="83">
        <f>IF(D13=D12,A12,Y13)</f>
        <v>6</v>
      </c>
      <c r="B13" s="39" t="str">
        <f ca="1">INDIRECT(ADDRESS(2,10+INDIRECT(ADDRESS(ROW(),24)),,,"Chart"))</f>
        <v>Batchler, Wayne</v>
      </c>
      <c r="C13" s="40">
        <f ca="1">sumAcrossWkSheets(28,10,X13)</f>
        <v>2</v>
      </c>
      <c r="D13" s="40">
        <f>sumAcrossWkSheets(25,10,X13)</f>
        <v>65</v>
      </c>
      <c r="E13" s="25">
        <f>D13/games_completed</f>
        <v>0.5</v>
      </c>
      <c r="F13" s="11">
        <f>$D$8-D13</f>
        <v>7</v>
      </c>
      <c r="G13" s="16">
        <v>12</v>
      </c>
      <c r="H13" s="20">
        <f>G13-A13</f>
        <v>6</v>
      </c>
      <c r="I13" s="17">
        <f ca="1">MAX(K13:W13)</f>
        <v>7</v>
      </c>
      <c r="J13" s="17">
        <f ca="1">MIN(K13:W13)</f>
        <v>3</v>
      </c>
      <c r="K13" s="46">
        <f ca="1">IF($D$2&gt;=(COLUMN()-10),HLOOKUP($B13,INDIRECT(ADDRESS(2,11,1,,K$3)):INDIRECT(ADDRESS(25,playercnt+10,1,,K$3)),24),"")</f>
        <v>4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4</v>
      </c>
      <c r="O13" s="46">
        <f ca="1">IF($D$2&gt;=(COLUMN()-10),HLOOKUP($B13,INDIRECT(ADDRESS(2,11,1,,O$3)):INDIRECT(ADDRESS(25,playercnt+10,1,,O$3)),24),"")</f>
        <v>3</v>
      </c>
      <c r="P13" s="46">
        <f ca="1">IF($D$2&gt;=(COLUMN()-10),HLOOKUP($B13,INDIRECT(ADDRESS(2,11,1,,P$3)):INDIRECT(ADDRESS(25,playercnt+10,1,,P$3)),24),"")</f>
        <v>6</v>
      </c>
      <c r="Q13" s="46">
        <f ca="1">IF($D$2&gt;=(COLUMN()-10),HLOOKUP($B13,INDIRECT(ADDRESS(2,11,1,,Q$3)):INDIRECT(ADDRESS(25,playercnt+10,1,,Q$3)),24),"")</f>
        <v>3</v>
      </c>
      <c r="R13" s="46">
        <f ca="1">IF($D$2&gt;=(COLUMN()-10),HLOOKUP($B13,INDIRECT(ADDRESS(2,11,1,,R$3)):INDIRECT(ADDRESS(25,playercnt+10,1,,R$3)),24),"")</f>
        <v>6</v>
      </c>
      <c r="S13" s="46">
        <f ca="1">IF($D$2&gt;=(COLUMN()-10),HLOOKUP($B13,INDIRECT(ADDRESS(2,11,1,,S$3)):INDIRECT(ADDRESS(25,playercnt+10,1,,S$3)),24),"")</f>
        <v>5</v>
      </c>
      <c r="T13" s="46">
        <f ca="1">IF($D$2&gt;=(COLUMN()-10),HLOOKUP($B13,INDIRECT(ADDRESS(2,11,1,,T$3)):INDIRECT(ADDRESS(25,playercnt+10,1,,T$3)),24),"")</f>
        <v>7</v>
      </c>
      <c r="U13" s="46">
        <f ca="1">IF($D$2&gt;=(COLUMN()-10),HLOOKUP($B13,INDIRECT(ADDRESS(2,11,1,,U$3)):INDIRECT(ADDRESS(25,playercnt+10,1,,U$3)),24),"")</f>
        <v>5</v>
      </c>
      <c r="V13" s="46">
        <f ca="1">IF($D$2&gt;=(COLUMN()-10),HLOOKUP($B13,INDIRECT(ADDRESS(2,11,1,,V$3)):INDIRECT(ADDRESS(25,playercnt+10,1,,V$3)),24),"")</f>
        <v>5</v>
      </c>
      <c r="W13" s="46">
        <f ca="1">IF($D$2&gt;=(COLUMN()-10),HLOOKUP($B13,INDIRECT(ADDRESS(2,11,1,,W$3)):INDIRECT(ADDRESS(25,playercnt+10,1,,W$3)),24),"")</f>
        <v>7</v>
      </c>
      <c r="X13" s="14">
        <v>2</v>
      </c>
      <c r="Y13" s="14">
        <f t="shared" si="7"/>
        <v>6</v>
      </c>
    </row>
    <row r="14" spans="1:29">
      <c r="A14" s="83">
        <f>IF(D14=D13,A13,Y14)</f>
        <v>6</v>
      </c>
      <c r="B14" s="39" t="str">
        <f ca="1">INDIRECT(ADDRESS(2,10+INDIRECT(ADDRESS(ROW(),24)),,,"Chart"))</f>
        <v>Cochcroft, Art</v>
      </c>
      <c r="C14" s="40">
        <f ca="1">sumAcrossWkSheets(28,10,X14)</f>
        <v>1</v>
      </c>
      <c r="D14" s="40">
        <f>sumAcrossWkSheets(25,10,X14)</f>
        <v>65</v>
      </c>
      <c r="E14" s="25">
        <f>D14/games_completed</f>
        <v>0.5</v>
      </c>
      <c r="F14" s="11">
        <f>$D$8-D14</f>
        <v>7</v>
      </c>
      <c r="G14" s="43">
        <v>5</v>
      </c>
      <c r="H14" s="20">
        <f>G14-A14</f>
        <v>-1</v>
      </c>
      <c r="I14" s="17">
        <f ca="1">MAX(K14:W14)</f>
        <v>7</v>
      </c>
      <c r="J14" s="17">
        <f ca="1">MIN(K14:W14)</f>
        <v>4</v>
      </c>
      <c r="K14" s="46">
        <f ca="1">IF($D$2&gt;=(COLUMN()-10),HLOOKUP($B14,INDIRECT(ADDRESS(2,11,1,,K$3)):INDIRECT(ADDRESS(25,playercnt+10,1,,K$3)),24),"")</f>
        <v>6</v>
      </c>
      <c r="L14" s="46">
        <f ca="1">IF($D$2&gt;=(COLUMN()-10),HLOOKUP($B14,INDIRECT(ADDRESS(2,11,1,,L$3)):INDIRECT(ADDRESS(25,playercnt+10,1,,L$3)),24),"")</f>
        <v>4</v>
      </c>
      <c r="M14" s="46">
        <f ca="1">IF($D$2&gt;=(COLUMN()-10),HLOOKUP($B14,INDIRECT(ADDRESS(2,11,1,,M$3)):INDIRECT(ADDRESS(25,playercnt+10,1,,M$3)),24),"")</f>
        <v>4</v>
      </c>
      <c r="N14" s="46">
        <f ca="1">IF($D$2&gt;=(COLUMN()-10),HLOOKUP($B14,INDIRECT(ADDRESS(2,11,1,,N$3)):INDIRECT(ADDRESS(25,playercnt+10,1,,N$3)),24),"")</f>
        <v>7</v>
      </c>
      <c r="O14" s="46">
        <f ca="1">IF($D$2&gt;=(COLUMN()-10),HLOOKUP($B14,INDIRECT(ADDRESS(2,11,1,,O$3)):INDIRECT(ADDRESS(25,playercnt+10,1,,O$3)),24),"")</f>
        <v>4</v>
      </c>
      <c r="P14" s="46">
        <f ca="1">IF($D$2&gt;=(COLUMN()-10),HLOOKUP($B14,INDIRECT(ADDRESS(2,11,1,,P$3)):INDIRECT(ADDRESS(25,playercnt+10,1,,P$3)),24),"")</f>
        <v>5</v>
      </c>
      <c r="Q14" s="46">
        <f ca="1">IF($D$2&gt;=(COLUMN()-10),HLOOKUP($B14,INDIRECT(ADDRESS(2,11,1,,Q$3)):INDIRECT(ADDRESS(25,playercnt+10,1,,Q$3)),24),"")</f>
        <v>4</v>
      </c>
      <c r="R14" s="46">
        <f ca="1">IF($D$2&gt;=(COLUMN()-10),HLOOKUP($B14,INDIRECT(ADDRESS(2,11,1,,R$3)):INDIRECT(ADDRESS(25,playercnt+10,1,,R$3)),24),"")</f>
        <v>6</v>
      </c>
      <c r="S14" s="46">
        <f ca="1">IF($D$2&gt;=(COLUMN()-10),HLOOKUP($B14,INDIRECT(ADDRESS(2,11,1,,S$3)):INDIRECT(ADDRESS(25,playercnt+10,1,,S$3)),24),"")</f>
        <v>4</v>
      </c>
      <c r="T14" s="46">
        <f ca="1">IF($D$2&gt;=(COLUMN()-10),HLOOKUP($B14,INDIRECT(ADDRESS(2,11,1,,T$3)):INDIRECT(ADDRESS(25,playercnt+10,1,,T$3)),24),"")</f>
        <v>6</v>
      </c>
      <c r="U14" s="46">
        <f ca="1">IF($D$2&gt;=(COLUMN()-10),HLOOKUP($B14,INDIRECT(ADDRESS(2,11,1,,U$3)):INDIRECT(ADDRESS(25,playercnt+10,1,,U$3)),24),"")</f>
        <v>6</v>
      </c>
      <c r="V14" s="46">
        <f ca="1">IF($D$2&gt;=(COLUMN()-10),HLOOKUP($B14,INDIRECT(ADDRESS(2,11,1,,V$3)):INDIRECT(ADDRESS(25,playercnt+10,1,,V$3)),24),"")</f>
        <v>4</v>
      </c>
      <c r="W14" s="46">
        <f ca="1">IF($D$2&gt;=(COLUMN()-10),HLOOKUP($B14,INDIRECT(ADDRESS(2,11,1,,W$3)):INDIRECT(ADDRESS(25,playercnt+10,1,,W$3)),24),"")</f>
        <v>5</v>
      </c>
      <c r="X14" s="47">
        <v>4</v>
      </c>
      <c r="Y14" s="14">
        <f t="shared" si="7"/>
        <v>7</v>
      </c>
    </row>
    <row r="15" spans="1:29">
      <c r="A15" s="83">
        <f>IF(D15=D14,A14,Y15)</f>
        <v>8</v>
      </c>
      <c r="B15" s="39" t="str">
        <f ca="1">INDIRECT(ADDRESS(2,10+INDIRECT(ADDRESS(ROW(),24)),,,"Chart"))</f>
        <v>Gibson, Johnny</v>
      </c>
      <c r="C15" s="40">
        <f ca="1">sumAcrossWkSheets(28,10,X15)</f>
        <v>1</v>
      </c>
      <c r="D15" s="40">
        <f>sumAcrossWkSheets(25,10,X15)</f>
        <v>64</v>
      </c>
      <c r="E15" s="25">
        <f>D15/games_completed</f>
        <v>0.49230769230769234</v>
      </c>
      <c r="F15" s="11">
        <f>$D$8-D15</f>
        <v>8</v>
      </c>
      <c r="G15" s="16">
        <v>3</v>
      </c>
      <c r="H15" s="20">
        <f>G15-A15</f>
        <v>-5</v>
      </c>
      <c r="I15" s="17">
        <f ca="1">MAX(K15:W15)</f>
        <v>8</v>
      </c>
      <c r="J15" s="17">
        <f ca="1">MIN(K15:W15)</f>
        <v>2</v>
      </c>
      <c r="K15" s="46">
        <f ca="1">IF($D$2&gt;=(COLUMN()-10),HLOOKUP($B15,INDIRECT(ADDRESS(2,11,1,,K$3)):INDIRECT(ADDRESS(25,playercnt+10,1,,K$3)),24),"")</f>
        <v>7</v>
      </c>
      <c r="L15" s="46">
        <f ca="1">IF($D$2&gt;=(COLUMN()-10),HLOOKUP($B15,INDIRECT(ADDRESS(2,11,1,,L$3)):INDIRECT(ADDRESS(25,playercnt+10,1,,L$3)),24),"")</f>
        <v>4</v>
      </c>
      <c r="M15" s="46">
        <f ca="1">IF($D$2&gt;=(COLUMN()-10),HLOOKUP($B15,INDIRECT(ADDRESS(2,11,1,,M$3)):INDIRECT(ADDRESS(25,playercnt+10,1,,M$3)),24),"")</f>
        <v>3</v>
      </c>
      <c r="N15" s="46">
        <f ca="1">IF($D$2&gt;=(COLUMN()-10),HLOOKUP($B15,INDIRECT(ADDRESS(2,11,1,,N$3)):INDIRECT(ADDRESS(25,playercnt+10,1,,N$3)),24),"")</f>
        <v>3</v>
      </c>
      <c r="O15" s="46">
        <f ca="1">IF($D$2&gt;=(COLUMN()-10),HLOOKUP($B15,INDIRECT(ADDRESS(2,11,1,,O$3)):INDIRECT(ADDRESS(25,playercnt+10,1,,O$3)),24),"")</f>
        <v>6</v>
      </c>
      <c r="P15" s="46">
        <f ca="1">IF($D$2&gt;=(COLUMN()-10),HLOOKUP($B15,INDIRECT(ADDRESS(2,11,1,,P$3)):INDIRECT(ADDRESS(25,playercnt+10,1,,P$3)),24),"")</f>
        <v>3</v>
      </c>
      <c r="Q15" s="46">
        <f ca="1">IF($D$2&gt;=(COLUMN()-10),HLOOKUP($B15,INDIRECT(ADDRESS(2,11,1,,Q$3)):INDIRECT(ADDRESS(25,playercnt+10,1,,Q$3)),24),"")</f>
        <v>8</v>
      </c>
      <c r="R15" s="46">
        <f ca="1">IF($D$2&gt;=(COLUMN()-10),HLOOKUP($B15,INDIRECT(ADDRESS(2,11,1,,R$3)):INDIRECT(ADDRESS(25,playercnt+10,1,,R$3)),24),"")</f>
        <v>7</v>
      </c>
      <c r="S15" s="46">
        <f ca="1">IF($D$2&gt;=(COLUMN()-10),HLOOKUP($B15,INDIRECT(ADDRESS(2,11,1,,S$3)):INDIRECT(ADDRESS(25,playercnt+10,1,,S$3)),24),"")</f>
        <v>5</v>
      </c>
      <c r="T15" s="46">
        <f ca="1">IF($D$2&gt;=(COLUMN()-10),HLOOKUP($B15,INDIRECT(ADDRESS(2,11,1,,T$3)):INDIRECT(ADDRESS(25,playercnt+10,1,,T$3)),24),"")</f>
        <v>2</v>
      </c>
      <c r="U15" s="46">
        <f ca="1">IF($D$2&gt;=(COLUMN()-10),HLOOKUP($B15,INDIRECT(ADDRESS(2,11,1,,U$3)):INDIRECT(ADDRESS(25,playercnt+10,1,,U$3)),24),"")</f>
        <v>7</v>
      </c>
      <c r="V15" s="46">
        <f ca="1">IF($D$2&gt;=(COLUMN()-10),HLOOKUP($B15,INDIRECT(ADDRESS(2,11,1,,V$3)):INDIRECT(ADDRESS(25,playercnt+10,1,,V$3)),24),"")</f>
        <v>4</v>
      </c>
      <c r="W15" s="46">
        <f ca="1">IF($D$2&gt;=(COLUMN()-10),HLOOKUP($B15,INDIRECT(ADDRESS(2,11,1,,W$3)):INDIRECT(ADDRESS(25,playercnt+10,1,,W$3)),24),"")</f>
        <v>5</v>
      </c>
      <c r="X15" s="14">
        <v>6</v>
      </c>
      <c r="Y15" s="14">
        <f t="shared" si="7"/>
        <v>8</v>
      </c>
    </row>
    <row r="16" spans="1:29">
      <c r="A16" s="83">
        <f>IF(D16=D15,A15,Y16)</f>
        <v>8</v>
      </c>
      <c r="B16" s="39" t="str">
        <f ca="1">INDIRECT(ADDRESS(2,10+INDIRECT(ADDRESS(ROW(),24)),,,"Chart"))</f>
        <v>Robbins, Dale</v>
      </c>
      <c r="C16" s="40">
        <f ca="1">sumAcrossWkSheets(28,10,X16)</f>
        <v>1</v>
      </c>
      <c r="D16" s="40">
        <f>sumAcrossWkSheets(25,10,X16)</f>
        <v>64</v>
      </c>
      <c r="E16" s="25">
        <f>D16/games_completed</f>
        <v>0.49230769230769234</v>
      </c>
      <c r="F16" s="11">
        <f>$D$8-D16</f>
        <v>8</v>
      </c>
      <c r="G16" s="43">
        <v>12</v>
      </c>
      <c r="H16" s="20">
        <f>G16-A16</f>
        <v>4</v>
      </c>
      <c r="I16" s="17">
        <f ca="1">MAX(K16:W16)</f>
        <v>7</v>
      </c>
      <c r="J16" s="17">
        <f ca="1">MIN(K16:W16)</f>
        <v>2</v>
      </c>
      <c r="K16" s="46">
        <f ca="1">IF($D$2&gt;=(COLUMN()-10),HLOOKUP($B16,INDIRECT(ADDRESS(2,11,1,,K$3)):INDIRECT(ADDRESS(25,playercnt+10,1,,K$3)),24),"")</f>
        <v>4</v>
      </c>
      <c r="L16" s="46">
        <f ca="1">IF($D$2&gt;=(COLUMN()-10),HLOOKUP($B16,INDIRECT(ADDRESS(2,11,1,,L$3)):INDIRECT(ADDRESS(25,playercnt+10,1,,L$3)),24),"")</f>
        <v>7</v>
      </c>
      <c r="M16" s="46">
        <f ca="1">IF($D$2&gt;=(COLUMN()-10),HLOOKUP($B16,INDIRECT(ADDRESS(2,11,1,,M$3)):INDIRECT(ADDRESS(25,playercnt+10,1,,M$3)),24),"")</f>
        <v>4</v>
      </c>
      <c r="N16" s="46">
        <f ca="1">IF($D$2&gt;=(COLUMN()-10),HLOOKUP($B16,INDIRECT(ADDRESS(2,11,1,,N$3)):INDIRECT(ADDRESS(25,playercnt+10,1,,N$3)),24),"")</f>
        <v>7</v>
      </c>
      <c r="O16" s="46">
        <f ca="1">IF($D$2&gt;=(COLUMN()-10),HLOOKUP($B16,INDIRECT(ADDRESS(2,11,1,,O$3)):INDIRECT(ADDRESS(25,playercnt+10,1,,O$3)),24),"")</f>
        <v>6</v>
      </c>
      <c r="P16" s="46">
        <f ca="1">IF($D$2&gt;=(COLUMN()-10),HLOOKUP($B16,INDIRECT(ADDRESS(2,11,1,,P$3)):INDIRECT(ADDRESS(25,playercnt+10,1,,P$3)),24),"")</f>
        <v>6</v>
      </c>
      <c r="Q16" s="46">
        <f ca="1">IF($D$2&gt;=(COLUMN()-10),HLOOKUP($B16,INDIRECT(ADDRESS(2,11,1,,Q$3)):INDIRECT(ADDRESS(25,playercnt+10,1,,Q$3)),24),"")</f>
        <v>7</v>
      </c>
      <c r="R16" s="46">
        <f ca="1">IF($D$2&gt;=(COLUMN()-10),HLOOKUP($B16,INDIRECT(ADDRESS(2,11,1,,R$3)):INDIRECT(ADDRESS(25,playercnt+10,1,,R$3)),24),"")</f>
        <v>6</v>
      </c>
      <c r="S16" s="46">
        <f ca="1">IF($D$2&gt;=(COLUMN()-10),HLOOKUP($B16,INDIRECT(ADDRESS(2,11,1,,S$3)):INDIRECT(ADDRESS(25,playercnt+10,1,,S$3)),24),"")</f>
        <v>3</v>
      </c>
      <c r="T16" s="46">
        <f ca="1">IF($D$2&gt;=(COLUMN()-10),HLOOKUP($B16,INDIRECT(ADDRESS(2,11,1,,T$3)):INDIRECT(ADDRESS(25,playercnt+10,1,,T$3)),24),"")</f>
        <v>4</v>
      </c>
      <c r="U16" s="46">
        <f ca="1">IF($D$2&gt;=(COLUMN()-10),HLOOKUP($B16,INDIRECT(ADDRESS(2,11,1,,U$3)):INDIRECT(ADDRESS(25,playercnt+10,1,,U$3)),24),"")</f>
        <v>2</v>
      </c>
      <c r="V16" s="46">
        <f ca="1">IF($D$2&gt;=(COLUMN()-10),HLOOKUP($B16,INDIRECT(ADDRESS(2,11,1,,V$3)):INDIRECT(ADDRESS(25,playercnt+10,1,,V$3)),24),"")</f>
        <v>4</v>
      </c>
      <c r="W16" s="46">
        <f ca="1">IF($D$2&gt;=(COLUMN()-10),HLOOKUP($B16,INDIRECT(ADDRESS(2,11,1,,W$3)):INDIRECT(ADDRESS(25,playercnt+10,1,,W$3)),24),"")</f>
        <v>4</v>
      </c>
      <c r="X16" s="47">
        <v>16</v>
      </c>
      <c r="Y16" s="14">
        <f t="shared" si="7"/>
        <v>9</v>
      </c>
    </row>
    <row r="17" spans="1:25">
      <c r="A17" s="83">
        <f>IF(D17=D16,A16,Y17)</f>
        <v>10</v>
      </c>
      <c r="B17" s="39" t="str">
        <f ca="1">INDIRECT(ADDRESS(2,10+INDIRECT(ADDRESS(ROW(),24)),,,"Chart"))</f>
        <v>Crenshaw, Ed</v>
      </c>
      <c r="C17" s="40">
        <f ca="1">sumAcrossWkSheets(28,10,X17)</f>
        <v>0</v>
      </c>
      <c r="D17" s="40">
        <f>sumAcrossWkSheets(25,10,X17)</f>
        <v>63</v>
      </c>
      <c r="E17" s="25">
        <f>D17/games_completed</f>
        <v>0.48461538461538461</v>
      </c>
      <c r="F17" s="11">
        <f>$D$8-D17</f>
        <v>9</v>
      </c>
      <c r="G17" s="16">
        <v>5</v>
      </c>
      <c r="H17" s="20">
        <f>G17-A17</f>
        <v>-5</v>
      </c>
      <c r="I17" s="17">
        <f ca="1">MAX(K17:W17)</f>
        <v>6</v>
      </c>
      <c r="J17" s="17">
        <f ca="1">MIN(K17:W17)</f>
        <v>2</v>
      </c>
      <c r="K17" s="46">
        <f ca="1">IF($D$2&gt;=(COLUMN()-10),HLOOKUP($B17,INDIRECT(ADDRESS(2,11,1,,K$3)):INDIRECT(ADDRESS(25,playercnt+10,1,,K$3)),24),"")</f>
        <v>6</v>
      </c>
      <c r="L17" s="46">
        <f ca="1">IF($D$2&gt;=(COLUMN()-10),HLOOKUP($B17,INDIRECT(ADDRESS(2,11,1,,L$3)):INDIRECT(ADDRESS(25,playercnt+10,1,,L$3)),24),"")</f>
        <v>5</v>
      </c>
      <c r="M17" s="46">
        <f ca="1">IF($D$2&gt;=(COLUMN()-10),HLOOKUP($B17,INDIRECT(ADDRESS(2,11,1,,M$3)):INDIRECT(ADDRESS(25,playercnt+10,1,,M$3)),24),"")</f>
        <v>4</v>
      </c>
      <c r="N17" s="46">
        <f ca="1">IF($D$2&gt;=(COLUMN()-10),HLOOKUP($B17,INDIRECT(ADDRESS(2,11,1,,N$3)):INDIRECT(ADDRESS(25,playercnt+10,1,,N$3)),24),"")</f>
        <v>6</v>
      </c>
      <c r="O17" s="46">
        <f ca="1">IF($D$2&gt;=(COLUMN()-10),HLOOKUP($B17,INDIRECT(ADDRESS(2,11,1,,O$3)):INDIRECT(ADDRESS(25,playercnt+10,1,,O$3)),24),"")</f>
        <v>5</v>
      </c>
      <c r="P17" s="46">
        <f ca="1">IF($D$2&gt;=(COLUMN()-10),HLOOKUP($B17,INDIRECT(ADDRESS(2,11,1,,P$3)):INDIRECT(ADDRESS(25,playercnt+10,1,,P$3)),24),"")</f>
        <v>3</v>
      </c>
      <c r="Q17" s="46">
        <f ca="1">IF($D$2&gt;=(COLUMN()-10),HLOOKUP($B17,INDIRECT(ADDRESS(2,11,1,,Q$3)):INDIRECT(ADDRESS(25,playercnt+10,1,,Q$3)),24),"")</f>
        <v>5</v>
      </c>
      <c r="R17" s="46">
        <f ca="1">IF($D$2&gt;=(COLUMN()-10),HLOOKUP($B17,INDIRECT(ADDRESS(2,11,1,,R$3)):INDIRECT(ADDRESS(25,playercnt+10,1,,R$3)),24),"")</f>
        <v>6</v>
      </c>
      <c r="S17" s="46">
        <f ca="1">IF($D$2&gt;=(COLUMN()-10),HLOOKUP($B17,INDIRECT(ADDRESS(2,11,1,,S$3)):INDIRECT(ADDRESS(25,playercnt+10,1,,S$3)),24),"")</f>
        <v>2</v>
      </c>
      <c r="T17" s="46">
        <f ca="1">IF($D$2&gt;=(COLUMN()-10),HLOOKUP($B17,INDIRECT(ADDRESS(2,11,1,,T$3)):INDIRECT(ADDRESS(25,playercnt+10,1,,T$3)),24),"")</f>
        <v>5</v>
      </c>
      <c r="U17" s="46">
        <f ca="1">IF($D$2&gt;=(COLUMN()-10),HLOOKUP($B17,INDIRECT(ADDRESS(2,11,1,,U$3)):INDIRECT(ADDRESS(25,playercnt+10,1,,U$3)),24),"")</f>
        <v>6</v>
      </c>
      <c r="V17" s="46">
        <f ca="1">IF($D$2&gt;=(COLUMN()-10),HLOOKUP($B17,INDIRECT(ADDRESS(2,11,1,,V$3)):INDIRECT(ADDRESS(25,playercnt+10,1,,V$3)),24),"")</f>
        <v>5</v>
      </c>
      <c r="W17" s="46">
        <f ca="1">IF($D$2&gt;=(COLUMN()-10),HLOOKUP($B17,INDIRECT(ADDRESS(2,11,1,,W$3)):INDIRECT(ADDRESS(25,playercnt+10,1,,W$3)),24),"")</f>
        <v>5</v>
      </c>
      <c r="X17" s="14">
        <v>5</v>
      </c>
      <c r="Y17" s="14">
        <f t="shared" si="7"/>
        <v>10</v>
      </c>
    </row>
    <row r="18" spans="1:25">
      <c r="A18" s="83">
        <f>IF(D18=D17,A17,Y18)</f>
        <v>11</v>
      </c>
      <c r="B18" s="39" t="str">
        <f ca="1">INDIRECT(ADDRESS(2,10+INDIRECT(ADDRESS(ROW(),24)),,,"Chart"))</f>
        <v>Kieselhorst, Larry</v>
      </c>
      <c r="C18" s="40">
        <f ca="1">sumAcrossWkSheets(28,10,X18)</f>
        <v>2</v>
      </c>
      <c r="D18" s="40">
        <f>sumAcrossWkSheets(25,10,X18)</f>
        <v>62</v>
      </c>
      <c r="E18" s="25">
        <f>D18/games_completed</f>
        <v>0.47692307692307695</v>
      </c>
      <c r="F18" s="11">
        <f>$D$8-D18</f>
        <v>10</v>
      </c>
      <c r="G18" s="43">
        <v>17</v>
      </c>
      <c r="H18" s="20">
        <f>G18-A18</f>
        <v>6</v>
      </c>
      <c r="I18" s="17">
        <f ca="1">MAX(K18:W18)</f>
        <v>7</v>
      </c>
      <c r="J18" s="17">
        <f ca="1">MIN(K18:W18)</f>
        <v>3</v>
      </c>
      <c r="K18" s="46">
        <f ca="1">IF($D$2&gt;=(COLUMN()-10),HLOOKUP($B18,INDIRECT(ADDRESS(2,11,1,,K$3)):INDIRECT(ADDRESS(25,playercnt+10,1,,K$3)),24),"")</f>
        <v>3</v>
      </c>
      <c r="L18" s="46">
        <f ca="1">IF($D$2&gt;=(COLUMN()-10),HLOOKUP($B18,INDIRECT(ADDRESS(2,11,1,,L$3)):INDIRECT(ADDRESS(25,playercnt+10,1,,L$3)),24),"")</f>
        <v>5</v>
      </c>
      <c r="M18" s="46">
        <f ca="1">IF($D$2&gt;=(COLUMN()-10),HLOOKUP($B18,INDIRECT(ADDRESS(2,11,1,,M$3)):INDIRECT(ADDRESS(25,playercnt+10,1,,M$3)),24),"")</f>
        <v>4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4</v>
      </c>
      <c r="P18" s="46">
        <f ca="1">IF($D$2&gt;=(COLUMN()-10),HLOOKUP($B18,INDIRECT(ADDRESS(2,11,1,,P$3)):INDIRECT(ADDRESS(25,playercnt+10,1,,P$3)),24),"")</f>
        <v>3</v>
      </c>
      <c r="Q18" s="46">
        <f ca="1">IF($D$2&gt;=(COLUMN()-10),HLOOKUP($B18,INDIRECT(ADDRESS(2,11,1,,Q$3)):INDIRECT(ADDRESS(25,playercnt+10,1,,Q$3)),24),"")</f>
        <v>3</v>
      </c>
      <c r="R18" s="46">
        <f ca="1">IF($D$2&gt;=(COLUMN()-10),HLOOKUP($B18,INDIRECT(ADDRESS(2,11,1,,R$3)):INDIRECT(ADDRESS(25,playercnt+10,1,,R$3)),24),"")</f>
        <v>7</v>
      </c>
      <c r="S18" s="46">
        <f ca="1">IF($D$2&gt;=(COLUMN()-10),HLOOKUP($B18,INDIRECT(ADDRESS(2,11,1,,S$3)):INDIRECT(ADDRESS(25,playercnt+10,1,,S$3)),24),"")</f>
        <v>6</v>
      </c>
      <c r="T18" s="46">
        <f ca="1">IF($D$2&gt;=(COLUMN()-10),HLOOKUP($B18,INDIRECT(ADDRESS(2,11,1,,T$3)):INDIRECT(ADDRESS(25,playercnt+10,1,,T$3)),24),"")</f>
        <v>5</v>
      </c>
      <c r="U18" s="46">
        <f ca="1">IF($D$2&gt;=(COLUMN()-10),HLOOKUP($B18,INDIRECT(ADDRESS(2,11,1,,U$3)):INDIRECT(ADDRESS(25,playercnt+10,1,,U$3)),24),"")</f>
        <v>7</v>
      </c>
      <c r="V18" s="46">
        <f ca="1">IF($D$2&gt;=(COLUMN()-10),HLOOKUP($B18,INDIRECT(ADDRESS(2,11,1,,V$3)):INDIRECT(ADDRESS(25,playercnt+10,1,,V$3)),24),"")</f>
        <v>6</v>
      </c>
      <c r="W18" s="46">
        <f ca="1">IF($D$2&gt;=(COLUMN()-10),HLOOKUP($B18,INDIRECT(ADDRESS(2,11,1,,W$3)):INDIRECT(ADDRESS(25,playercnt+10,1,,W$3)),24),"")</f>
        <v>5</v>
      </c>
      <c r="X18" s="47">
        <v>8</v>
      </c>
      <c r="Y18" s="14">
        <f t="shared" si="7"/>
        <v>11</v>
      </c>
    </row>
    <row r="19" spans="1:25">
      <c r="A19" s="83">
        <f>IF(D19=D18,A18,Y19)</f>
        <v>11</v>
      </c>
      <c r="B19" s="39" t="str">
        <f ca="1">INDIRECT(ADDRESS(2,10+INDIRECT(ADDRESS(ROW(),24)),,,"Chart"))</f>
        <v>Nguyen, Thai</v>
      </c>
      <c r="C19" s="40">
        <f ca="1">sumAcrossWkSheets(28,10,X19)</f>
        <v>1</v>
      </c>
      <c r="D19" s="40">
        <f>sumAcrossWkSheets(25,10,X19)</f>
        <v>62</v>
      </c>
      <c r="E19" s="25">
        <f>D19/games_completed</f>
        <v>0.47692307692307695</v>
      </c>
      <c r="F19" s="11">
        <f>$D$8-D19</f>
        <v>10</v>
      </c>
      <c r="G19" s="16">
        <v>5</v>
      </c>
      <c r="H19" s="20">
        <f>G19-A19</f>
        <v>-6</v>
      </c>
      <c r="I19" s="17">
        <f ca="1">MAX(K19:W19)</f>
        <v>8</v>
      </c>
      <c r="J19" s="17">
        <f ca="1">MIN(K19:W19)</f>
        <v>2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3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3</v>
      </c>
      <c r="O19" s="46">
        <f ca="1">IF($D$2&gt;=(COLUMN()-10),HLOOKUP($B19,INDIRECT(ADDRESS(2,11,1,,O$3)):INDIRECT(ADDRESS(25,playercnt+10,1,,O$3)),24),"")</f>
        <v>6</v>
      </c>
      <c r="P19" s="46">
        <f ca="1">IF($D$2&gt;=(COLUMN()-10),HLOOKUP($B19,INDIRECT(ADDRESS(2,11,1,,P$3)):INDIRECT(ADDRESS(25,playercnt+10,1,,P$3)),24),"")</f>
        <v>5</v>
      </c>
      <c r="Q19" s="46">
        <f ca="1">IF($D$2&gt;=(COLUMN()-10),HLOOKUP($B19,INDIRECT(ADDRESS(2,11,1,,Q$3)):INDIRECT(ADDRESS(25,playercnt+10,1,,Q$3)),24),"")</f>
        <v>5</v>
      </c>
      <c r="R19" s="46">
        <f ca="1">IF($D$2&gt;=(COLUMN()-10),HLOOKUP($B19,INDIRECT(ADDRESS(2,11,1,,R$3)):INDIRECT(ADDRESS(25,playercnt+10,1,,R$3)),24),"")</f>
        <v>5</v>
      </c>
      <c r="S19" s="46">
        <f ca="1">IF($D$2&gt;=(COLUMN()-10),HLOOKUP($B19,INDIRECT(ADDRESS(2,11,1,,S$3)):INDIRECT(ADDRESS(25,playercnt+10,1,,S$3)),24),"")</f>
        <v>8</v>
      </c>
      <c r="T19" s="46">
        <f ca="1">IF($D$2&gt;=(COLUMN()-10),HLOOKUP($B19,INDIRECT(ADDRESS(2,11,1,,T$3)):INDIRECT(ADDRESS(25,playercnt+10,1,,T$3)),24),"")</f>
        <v>4</v>
      </c>
      <c r="U19" s="46">
        <f ca="1">IF($D$2&gt;=(COLUMN()-10),HLOOKUP($B19,INDIRECT(ADDRESS(2,11,1,,U$3)):INDIRECT(ADDRESS(25,playercnt+10,1,,U$3)),24),"")</f>
        <v>6</v>
      </c>
      <c r="V19" s="46">
        <f ca="1">IF($D$2&gt;=(COLUMN()-10),HLOOKUP($B19,INDIRECT(ADDRESS(2,11,1,,V$3)):INDIRECT(ADDRESS(25,playercnt+10,1,,V$3)),24),"")</f>
        <v>4</v>
      </c>
      <c r="W19" s="46">
        <f ca="1">IF($D$2&gt;=(COLUMN()-10),HLOOKUP($B19,INDIRECT(ADDRESS(2,11,1,,W$3)):INDIRECT(ADDRESS(25,playercnt+10,1,,W$3)),24),"")</f>
        <v>2</v>
      </c>
      <c r="X19" s="14">
        <v>13</v>
      </c>
      <c r="Y19" s="14">
        <f t="shared" si="7"/>
        <v>12</v>
      </c>
    </row>
    <row r="20" spans="1:25">
      <c r="A20" s="83">
        <f>IF(D20=D19,A19,Y20)</f>
        <v>13</v>
      </c>
      <c r="B20" s="39" t="str">
        <f ca="1">INDIRECT(ADDRESS(2,10+INDIRECT(ADDRESS(ROW(),24)),,,"Chart"))</f>
        <v>Barker, Chris</v>
      </c>
      <c r="C20" s="40">
        <f ca="1">sumAcrossWkSheets(28,10,X20)</f>
        <v>0</v>
      </c>
      <c r="D20" s="40">
        <f>sumAcrossWkSheets(25,10,X20)</f>
        <v>61</v>
      </c>
      <c r="E20" s="25">
        <f>D20/games_completed</f>
        <v>0.46923076923076923</v>
      </c>
      <c r="F20" s="11">
        <f>$D$8-D20</f>
        <v>11</v>
      </c>
      <c r="G20" s="43">
        <v>10</v>
      </c>
      <c r="H20" s="20">
        <f>G20-A20</f>
        <v>-3</v>
      </c>
      <c r="I20" s="17">
        <f ca="1">MAX(K20:W20)</f>
        <v>7</v>
      </c>
      <c r="J20" s="17">
        <f ca="1">MIN(K20:W20)</f>
        <v>1</v>
      </c>
      <c r="K20" s="46">
        <f ca="1">IF($D$2&gt;=(COLUMN()-10),HLOOKUP($B20,INDIRECT(ADDRESS(2,11,1,,K$3)):INDIRECT(ADDRESS(25,playercnt+10,1,,K$3)),24),"")</f>
        <v>5</v>
      </c>
      <c r="L20" s="46">
        <f ca="1">IF($D$2&gt;=(COLUMN()-10),HLOOKUP($B20,INDIRECT(ADDRESS(2,11,1,,L$3)):INDIRECT(ADDRESS(25,playercnt+10,1,,L$3)),24),"")</f>
        <v>4</v>
      </c>
      <c r="M20" s="46">
        <f ca="1">IF($D$2&gt;=(COLUMN()-10),HLOOKUP($B20,INDIRECT(ADDRESS(2,11,1,,M$3)):INDIRECT(ADDRESS(25,playercnt+10,1,,M$3)),24),"")</f>
        <v>1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5</v>
      </c>
      <c r="P20" s="46">
        <f ca="1">IF($D$2&gt;=(COLUMN()-10),HLOOKUP($B20,INDIRECT(ADDRESS(2,11,1,,P$3)):INDIRECT(ADDRESS(25,playercnt+10,1,,P$3)),24),"")</f>
        <v>4</v>
      </c>
      <c r="Q20" s="46">
        <f ca="1">IF($D$2&gt;=(COLUMN()-10),HLOOKUP($B20,INDIRECT(ADDRESS(2,11,1,,Q$3)):INDIRECT(ADDRESS(25,playercnt+10,1,,Q$3)),24),"")</f>
        <v>3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5</v>
      </c>
      <c r="T20" s="46">
        <f ca="1">IF($D$2&gt;=(COLUMN()-10),HLOOKUP($B20,INDIRECT(ADDRESS(2,11,1,,T$3)):INDIRECT(ADDRESS(25,playercnt+10,1,,T$3)),24),"")</f>
        <v>7</v>
      </c>
      <c r="U20" s="46">
        <f ca="1">IF($D$2&gt;=(COLUMN()-10),HLOOKUP($B20,INDIRECT(ADDRESS(2,11,1,,U$3)):INDIRECT(ADDRESS(25,playercnt+10,1,,U$3)),24),"")</f>
        <v>4</v>
      </c>
      <c r="V20" s="46">
        <f ca="1">IF($D$2&gt;=(COLUMN()-10),HLOOKUP($B20,INDIRECT(ADDRESS(2,11,1,,V$3)):INDIRECT(ADDRESS(25,playercnt+10,1,,V$3)),24),"")</f>
        <v>7</v>
      </c>
      <c r="W20" s="46">
        <f ca="1">IF($D$2&gt;=(COLUMN()-10),HLOOKUP($B20,INDIRECT(ADDRESS(2,11,1,,W$3)):INDIRECT(ADDRESS(25,playercnt+10,1,,W$3)),24),"")</f>
        <v>6</v>
      </c>
      <c r="X20" s="47">
        <v>1</v>
      </c>
      <c r="Y20" s="14">
        <f t="shared" si="7"/>
        <v>13</v>
      </c>
    </row>
    <row r="21" spans="1:25">
      <c r="A21" s="83">
        <f>IF(D21=D20,A20,Y21)</f>
        <v>13</v>
      </c>
      <c r="B21" s="39" t="str">
        <f ca="1">INDIRECT(ADDRESS(2,10+INDIRECT(ADDRESS(ROW(),24)),,,"Chart"))</f>
        <v>McGee, Steve</v>
      </c>
      <c r="C21" s="40">
        <f ca="1">sumAcrossWkSheets(28,10,X21)</f>
        <v>1</v>
      </c>
      <c r="D21" s="40">
        <f>sumAcrossWkSheets(25,10,X21)</f>
        <v>61</v>
      </c>
      <c r="E21" s="25">
        <f>D21/games_completed</f>
        <v>0.46923076923076923</v>
      </c>
      <c r="F21" s="11">
        <f>$D$8-D21</f>
        <v>11</v>
      </c>
      <c r="G21" s="16">
        <v>1</v>
      </c>
      <c r="H21" s="20">
        <f>G21-A21</f>
        <v>-12</v>
      </c>
      <c r="I21" s="17">
        <f ca="1">MAX(K21:W21)</f>
        <v>8</v>
      </c>
      <c r="J21" s="17">
        <f ca="1">MIN(K21:W21)</f>
        <v>3</v>
      </c>
      <c r="K21" s="46">
        <f ca="1">IF($D$2&gt;=(COLUMN()-10),HLOOKUP($B21,INDIRECT(ADDRESS(2,11,1,,K$3)):INDIRECT(ADDRESS(25,playercnt+10,1,,K$3)),24),"")</f>
        <v>8</v>
      </c>
      <c r="L21" s="46">
        <f ca="1">IF($D$2&gt;=(COLUMN()-10),HLOOKUP($B21,INDIRECT(ADDRESS(2,11,1,,L$3)):INDIRECT(ADDRESS(25,playercnt+10,1,,L$3)),24),"")</f>
        <v>5</v>
      </c>
      <c r="M21" s="46">
        <f ca="1">IF($D$2&gt;=(COLUMN()-10),HLOOKUP($B21,INDIRECT(ADDRESS(2,11,1,,M$3)):INDIRECT(ADDRESS(25,playercnt+10,1,,M$3)),24),"")</f>
        <v>4</v>
      </c>
      <c r="N21" s="46">
        <f ca="1">IF($D$2&gt;=(COLUMN()-10),HLOOKUP($B21,INDIRECT(ADDRESS(2,11,1,,N$3)):INDIRECT(ADDRESS(25,playercnt+10,1,,N$3)),24),"")</f>
        <v>5</v>
      </c>
      <c r="O21" s="46">
        <f ca="1">IF($D$2&gt;=(COLUMN()-10),HLOOKUP($B21,INDIRECT(ADDRESS(2,11,1,,O$3)):INDIRECT(ADDRESS(25,playercnt+10,1,,O$3)),24),"")</f>
        <v>5</v>
      </c>
      <c r="P21" s="46">
        <f ca="1">IF($D$2&gt;=(COLUMN()-10),HLOOKUP($B21,INDIRECT(ADDRESS(2,11,1,,P$3)):INDIRECT(ADDRESS(25,playercnt+10,1,,P$3)),24),"")</f>
        <v>7</v>
      </c>
      <c r="Q21" s="46">
        <f ca="1">IF($D$2&gt;=(COLUMN()-10),HLOOKUP($B21,INDIRECT(ADDRESS(2,11,1,,Q$3)):INDIRECT(ADDRESS(25,playercnt+10,1,,Q$3)),24),"")</f>
        <v>4</v>
      </c>
      <c r="R21" s="46">
        <f ca="1">IF($D$2&gt;=(COLUMN()-10),HLOOKUP($B21,INDIRECT(ADDRESS(2,11,1,,R$3)):INDIRECT(ADDRESS(25,playercnt+10,1,,R$3)),24),"")</f>
        <v>4</v>
      </c>
      <c r="S21" s="46">
        <f ca="1">IF($D$2&gt;=(COLUMN()-10),HLOOKUP($B21,INDIRECT(ADDRESS(2,11,1,,S$3)):INDIRECT(ADDRESS(25,playercnt+10,1,,S$3)),24),"")</f>
        <v>4</v>
      </c>
      <c r="T21" s="46">
        <f ca="1">IF($D$2&gt;=(COLUMN()-10),HLOOKUP($B21,INDIRECT(ADDRESS(2,11,1,,T$3)):INDIRECT(ADDRESS(25,playercnt+10,1,,T$3)),24),"")</f>
        <v>3</v>
      </c>
      <c r="U21" s="46">
        <f ca="1">IF($D$2&gt;=(COLUMN()-10),HLOOKUP($B21,INDIRECT(ADDRESS(2,11,1,,U$3)):INDIRECT(ADDRESS(25,playercnt+10,1,,U$3)),24),"")</f>
        <v>4</v>
      </c>
      <c r="V21" s="46">
        <f ca="1">IF($D$2&gt;=(COLUMN()-10),HLOOKUP($B21,INDIRECT(ADDRESS(2,11,1,,V$3)):INDIRECT(ADDRESS(25,playercnt+10,1,,V$3)),24),"")</f>
        <v>5</v>
      </c>
      <c r="W21" s="46">
        <f ca="1">IF($D$2&gt;=(COLUMN()-10),HLOOKUP($B21,INDIRECT(ADDRESS(2,11,1,,W$3)):INDIRECT(ADDRESS(25,playercnt+10,1,,W$3)),24),"")</f>
        <v>3</v>
      </c>
      <c r="X21" s="14">
        <v>10</v>
      </c>
      <c r="Y21" s="14">
        <f t="shared" si="7"/>
        <v>14</v>
      </c>
    </row>
    <row r="22" spans="1:25">
      <c r="A22" s="83">
        <f>IF(D22=D21,A21,Y22)</f>
        <v>15</v>
      </c>
      <c r="B22" s="39" t="str">
        <f ca="1">INDIRECT(ADDRESS(2,10+INDIRECT(ADDRESS(ROW(),24)),,,"Chart"))</f>
        <v>Blackmon, Vaughn</v>
      </c>
      <c r="C22" s="40">
        <f ca="1">sumAcrossWkSheets(28,10,X22)</f>
        <v>0</v>
      </c>
      <c r="D22" s="40">
        <f>sumAcrossWkSheets(25,10,X22)</f>
        <v>60</v>
      </c>
      <c r="E22" s="25">
        <f>D22/games_completed</f>
        <v>0.46153846153846156</v>
      </c>
      <c r="F22" s="11">
        <f>$D$8-D22</f>
        <v>12</v>
      </c>
      <c r="G22" s="43">
        <v>12</v>
      </c>
      <c r="H22" s="20">
        <f>G22-A22</f>
        <v>-3</v>
      </c>
      <c r="I22" s="17">
        <f ca="1">MAX(K22:W22)</f>
        <v>7</v>
      </c>
      <c r="J22" s="17">
        <f ca="1">MIN(K22:W22)</f>
        <v>3</v>
      </c>
      <c r="K22" s="46">
        <f ca="1">IF($D$2&gt;=(COLUMN()-10),HLOOKUP($B22,INDIRECT(ADDRESS(2,11,1,,K$3)):INDIRECT(ADDRESS(25,playercnt+10,1,,K$3)),24),"")</f>
        <v>4</v>
      </c>
      <c r="L22" s="46">
        <f ca="1">IF($D$2&gt;=(COLUMN()-10),HLOOKUP($B22,INDIRECT(ADDRESS(2,11,1,,L$3)):INDIRECT(ADDRESS(25,playercnt+10,1,,L$3)),24),"")</f>
        <v>6</v>
      </c>
      <c r="M22" s="46">
        <f ca="1">IF($D$2&gt;=(COLUMN()-10),HLOOKUP($B22,INDIRECT(ADDRESS(2,11,1,,M$3)):INDIRECT(ADDRESS(25,playercnt+10,1,,M$3)),24),"")</f>
        <v>3</v>
      </c>
      <c r="N22" s="46">
        <f ca="1">IF($D$2&gt;=(COLUMN()-10),HLOOKUP($B22,INDIRECT(ADDRESS(2,11,1,,N$3)):INDIRECT(ADDRESS(25,playercnt+10,1,,N$3)),24),"")</f>
        <v>5</v>
      </c>
      <c r="O22" s="46">
        <f ca="1">IF($D$2&gt;=(COLUMN()-10),HLOOKUP($B22,INDIRECT(ADDRESS(2,11,1,,O$3)):INDIRECT(ADDRESS(25,playercnt+10,1,,O$3)),24),"")</f>
        <v>4</v>
      </c>
      <c r="P22" s="46">
        <f ca="1">IF($D$2&gt;=(COLUMN()-10),HLOOKUP($B22,INDIRECT(ADDRESS(2,11,1,,P$3)):INDIRECT(ADDRESS(25,playercnt+10,1,,P$3)),24),"")</f>
        <v>4</v>
      </c>
      <c r="Q22" s="46">
        <f ca="1">IF($D$2&gt;=(COLUMN()-10),HLOOKUP($B22,INDIRECT(ADDRESS(2,11,1,,Q$3)):INDIRECT(ADDRESS(25,playercnt+10,1,,Q$3)),24),"")</f>
        <v>5</v>
      </c>
      <c r="R22" s="46">
        <f ca="1">IF($D$2&gt;=(COLUMN()-10),HLOOKUP($B22,INDIRECT(ADDRESS(2,11,1,,R$3)):INDIRECT(ADDRESS(25,playercnt+10,1,,R$3)),24),"")</f>
        <v>6</v>
      </c>
      <c r="S22" s="46">
        <f ca="1">IF($D$2&gt;=(COLUMN()-10),HLOOKUP($B22,INDIRECT(ADDRESS(2,11,1,,S$3)):INDIRECT(ADDRESS(25,playercnt+10,1,,S$3)),24),"")</f>
        <v>4</v>
      </c>
      <c r="T22" s="46">
        <f ca="1">IF($D$2&gt;=(COLUMN()-10),HLOOKUP($B22,INDIRECT(ADDRESS(2,11,1,,T$3)):INDIRECT(ADDRESS(25,playercnt+10,1,,T$3)),24),"")</f>
        <v>3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7</v>
      </c>
      <c r="W22" s="46">
        <f ca="1">IF($D$2&gt;=(COLUMN()-10),HLOOKUP($B22,INDIRECT(ADDRESS(2,11,1,,W$3)):INDIRECT(ADDRESS(25,playercnt+10,1,,W$3)),24),"")</f>
        <v>4</v>
      </c>
      <c r="X22" s="47">
        <v>3</v>
      </c>
      <c r="Y22" s="14">
        <f t="shared" si="7"/>
        <v>15</v>
      </c>
    </row>
    <row r="23" spans="1:25">
      <c r="A23" s="83">
        <f>IF(D23=D22,A22,Y23)</f>
        <v>16</v>
      </c>
      <c r="B23" s="39" t="str">
        <f ca="1">INDIRECT(ADDRESS(2,10+INDIRECT(ADDRESS(ROW(),24)),,,"Chart"))</f>
        <v>Moxley, Dave</v>
      </c>
      <c r="C23" s="40">
        <f ca="1">sumAcrossWkSheets(28,10,X23)</f>
        <v>0</v>
      </c>
      <c r="D23" s="40">
        <f>sumAcrossWkSheets(25,10,X23)</f>
        <v>57</v>
      </c>
      <c r="E23" s="25">
        <f>D23/games_completed</f>
        <v>0.43846153846153846</v>
      </c>
      <c r="F23" s="11">
        <f>$D$8-D23</f>
        <v>15</v>
      </c>
      <c r="G23" s="16">
        <v>5</v>
      </c>
      <c r="H23" s="20">
        <f>G23-A23</f>
        <v>-11</v>
      </c>
      <c r="I23" s="17">
        <f ca="1">MAX(K23:W23)</f>
        <v>6</v>
      </c>
      <c r="J23" s="17">
        <f ca="1">MIN(K23:W23)</f>
        <v>2</v>
      </c>
      <c r="K23" s="46">
        <f ca="1">IF($D$2&gt;=(COLUMN()-10),HLOOKUP($B23,INDIRECT(ADDRESS(2,11,1,,K$3)):INDIRECT(ADDRESS(25,playercnt+10,1,,K$3)),24),"")</f>
        <v>6</v>
      </c>
      <c r="L23" s="46">
        <f ca="1">IF($D$2&gt;=(COLUMN()-10),HLOOKUP($B23,INDIRECT(ADDRESS(2,11,1,,L$3)):INDIRECT(ADDRESS(25,playercnt+10,1,,L$3)),24),"")</f>
        <v>4</v>
      </c>
      <c r="M23" s="46">
        <f ca="1">IF($D$2&gt;=(COLUMN()-10),HLOOKUP($B23,INDIRECT(ADDRESS(2,11,1,,M$3)):INDIRECT(ADDRESS(25,playercnt+10,1,,M$3)),24),"")</f>
        <v>2</v>
      </c>
      <c r="N23" s="46">
        <f ca="1">IF($D$2&gt;=(COLUMN()-10),HLOOKUP($B23,INDIRECT(ADDRESS(2,11,1,,N$3)):INDIRECT(ADDRESS(25,playercnt+10,1,,N$3)),24),"")</f>
        <v>4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6</v>
      </c>
      <c r="Q23" s="46">
        <f ca="1">IF($D$2&gt;=(COLUMN()-10),HLOOKUP($B23,INDIRECT(ADDRESS(2,11,1,,Q$3)):INDIRECT(ADDRESS(25,playercnt+10,1,,Q$3)),24),"")</f>
        <v>2</v>
      </c>
      <c r="R23" s="46">
        <f ca="1">IF($D$2&gt;=(COLUMN()-10),HLOOKUP($B23,INDIRECT(ADDRESS(2,11,1,,R$3)):INDIRECT(ADDRESS(25,playercnt+10,1,,R$3)),24),"")</f>
        <v>5</v>
      </c>
      <c r="S23" s="46">
        <f ca="1">IF($D$2&gt;=(COLUMN()-10),HLOOKUP($B23,INDIRECT(ADDRESS(2,11,1,,S$3)):INDIRECT(ADDRESS(25,playercnt+10,1,,S$3)),24),"")</f>
        <v>6</v>
      </c>
      <c r="T23" s="46">
        <f ca="1">IF($D$2&gt;=(COLUMN()-10),HLOOKUP($B23,INDIRECT(ADDRESS(2,11,1,,T$3)):INDIRECT(ADDRESS(25,playercnt+10,1,,T$3)),24),"")</f>
        <v>2</v>
      </c>
      <c r="U23" s="46">
        <f ca="1">IF($D$2&gt;=(COLUMN()-10),HLOOKUP($B23,INDIRECT(ADDRESS(2,11,1,,U$3)):INDIRECT(ADDRESS(25,playercnt+10,1,,U$3)),24),"")</f>
        <v>6</v>
      </c>
      <c r="V23" s="46">
        <f ca="1">IF($D$2&gt;=(COLUMN()-10),HLOOKUP($B23,INDIRECT(ADDRESS(2,11,1,,V$3)):INDIRECT(ADDRESS(25,playercnt+10,1,,V$3)),24),"")</f>
        <v>4</v>
      </c>
      <c r="W23" s="46">
        <f ca="1">IF($D$2&gt;=(COLUMN()-10),HLOOKUP($B23,INDIRECT(ADDRESS(2,11,1,,W$3)):INDIRECT(ADDRESS(25,playercnt+10,1,,W$3)),24),"")</f>
        <v>5</v>
      </c>
      <c r="X23" s="14">
        <v>12</v>
      </c>
      <c r="Y23" s="14">
        <f t="shared" si="7"/>
        <v>16</v>
      </c>
    </row>
    <row r="24" spans="1:25">
      <c r="A24" s="83">
        <f>IF(D24=D23,A23,Y24)</f>
        <v>16</v>
      </c>
      <c r="B24" s="39" t="str">
        <f ca="1">INDIRECT(ADDRESS(2,10+INDIRECT(ADDRESS(ROW(),24)),,,"Chart"))</f>
        <v>Scrivener, Bo</v>
      </c>
      <c r="C24" s="40">
        <f ca="1">sumAcrossWkSheets(28,10,X24)</f>
        <v>0</v>
      </c>
      <c r="D24" s="40">
        <f>sumAcrossWkSheets(25,10,X24)</f>
        <v>57</v>
      </c>
      <c r="E24" s="25">
        <f>D24/games_completed</f>
        <v>0.43846153846153846</v>
      </c>
      <c r="F24" s="11">
        <f>$D$8-D24</f>
        <v>15</v>
      </c>
      <c r="G24" s="43">
        <v>12</v>
      </c>
      <c r="H24" s="20">
        <f>G24-A24</f>
        <v>-4</v>
      </c>
      <c r="I24" s="17">
        <f ca="1">MAX(K24:W24)</f>
        <v>7</v>
      </c>
      <c r="J24" s="17">
        <f ca="1">MIN(K24:W24)</f>
        <v>2</v>
      </c>
      <c r="K24" s="46">
        <f ca="1">IF($D$2&gt;=(COLUMN()-10),HLOOKUP($B24,INDIRECT(ADDRESS(2,11,1,,K$3)):INDIRECT(ADDRESS(25,playercnt+10,1,,K$3)),24),"")</f>
        <v>4</v>
      </c>
      <c r="L24" s="46">
        <f ca="1">IF($D$2&gt;=(COLUMN()-10),HLOOKUP($B24,INDIRECT(ADDRESS(2,11,1,,L$3)):INDIRECT(ADDRESS(25,playercnt+10,1,,L$3)),24),"")</f>
        <v>4</v>
      </c>
      <c r="M24" s="46">
        <f ca="1">IF($D$2&gt;=(COLUMN()-10),HLOOKUP($B24,INDIRECT(ADDRESS(2,11,1,,M$3)):INDIRECT(ADDRESS(25,playercnt+10,1,,M$3)),24),"")</f>
        <v>3</v>
      </c>
      <c r="N24" s="46">
        <f ca="1">IF($D$2&gt;=(COLUMN()-10),HLOOKUP($B24,INDIRECT(ADDRESS(2,11,1,,N$3)):INDIRECT(ADDRESS(25,playercnt+10,1,,N$3)),24),"")</f>
        <v>5</v>
      </c>
      <c r="O24" s="46">
        <f ca="1">IF($D$2&gt;=(COLUMN()-10),HLOOKUP($B24,INDIRECT(ADDRESS(2,11,1,,O$3)):INDIRECT(ADDRESS(25,playercnt+10,1,,O$3)),24),"")</f>
        <v>5</v>
      </c>
      <c r="P24" s="46">
        <f ca="1">IF($D$2&gt;=(COLUMN()-10),HLOOKUP($B24,INDIRECT(ADDRESS(2,11,1,,P$3)):INDIRECT(ADDRESS(25,playercnt+10,1,,P$3)),24),"")</f>
        <v>2</v>
      </c>
      <c r="Q24" s="46">
        <f ca="1">IF($D$2&gt;=(COLUMN()-10),HLOOKUP($B24,INDIRECT(ADDRESS(2,11,1,,Q$3)):INDIRECT(ADDRESS(25,playercnt+10,1,,Q$3)),24),"")</f>
        <v>3</v>
      </c>
      <c r="R24" s="46">
        <f ca="1">IF($D$2&gt;=(COLUMN()-10),HLOOKUP($B24,INDIRECT(ADDRESS(2,11,1,,R$3)):INDIRECT(ADDRESS(25,playercnt+10,1,,R$3)),24),"")</f>
        <v>4</v>
      </c>
      <c r="S24" s="46">
        <f ca="1">IF($D$2&gt;=(COLUMN()-10),HLOOKUP($B24,INDIRECT(ADDRESS(2,11,1,,S$3)):INDIRECT(ADDRESS(25,playercnt+10,1,,S$3)),24),"")</f>
        <v>3</v>
      </c>
      <c r="T24" s="46">
        <f ca="1">IF($D$2&gt;=(COLUMN()-10),HLOOKUP($B24,INDIRECT(ADDRESS(2,11,1,,T$3)):INDIRECT(ADDRESS(25,playercnt+10,1,,T$3)),24),"")</f>
        <v>5</v>
      </c>
      <c r="U24" s="46">
        <f ca="1">IF($D$2&gt;=(COLUMN()-10),HLOOKUP($B24,INDIRECT(ADDRESS(2,11,1,,U$3)):INDIRECT(ADDRESS(25,playercnt+10,1,,U$3)),24),"")</f>
        <v>6</v>
      </c>
      <c r="V24" s="46">
        <f ca="1">IF($D$2&gt;=(COLUMN()-10),HLOOKUP($B24,INDIRECT(ADDRESS(2,11,1,,V$3)):INDIRECT(ADDRESS(25,playercnt+10,1,,V$3)),24),"")</f>
        <v>7</v>
      </c>
      <c r="W24" s="46">
        <f ca="1">IF($D$2&gt;=(COLUMN()-10),HLOOKUP($B24,INDIRECT(ADDRESS(2,11,1,,W$3)):INDIRECT(ADDRESS(25,playercnt+10,1,,W$3)),24),"")</f>
        <v>6</v>
      </c>
      <c r="X24" s="47">
        <v>17</v>
      </c>
      <c r="Y24" s="14">
        <f t="shared" si="7"/>
        <v>17</v>
      </c>
    </row>
    <row r="25" spans="1:25">
      <c r="A25" s="83">
        <f>IF(D25=D24,A24,Y25)</f>
        <v>18</v>
      </c>
      <c r="B25" s="39" t="str">
        <f ca="1">INDIRECT(ADDRESS(2,10+INDIRECT(ADDRESS(ROW(),24)),,,"Chart"))</f>
        <v>Strom, Brooker</v>
      </c>
      <c r="C25" s="40">
        <f ca="1">sumAcrossWkSheets(28,10,X25)</f>
        <v>0</v>
      </c>
      <c r="D25" s="40">
        <f>sumAcrossWkSheets(25,10,X25)</f>
        <v>54</v>
      </c>
      <c r="E25" s="25">
        <f>D25/games_completed</f>
        <v>0.41538461538461541</v>
      </c>
      <c r="F25" s="11">
        <f>$D$8-D25</f>
        <v>18</v>
      </c>
      <c r="G25" s="16">
        <v>17</v>
      </c>
      <c r="H25" s="20">
        <f>G25-A25</f>
        <v>-1</v>
      </c>
      <c r="I25" s="17">
        <f ca="1">MAX(K25:W25)</f>
        <v>6</v>
      </c>
      <c r="J25" s="17">
        <f ca="1">MIN(K25:W25)</f>
        <v>2</v>
      </c>
      <c r="K25" s="46">
        <f ca="1">IF($D$2&gt;=(COLUMN()-10),HLOOKUP($B25,INDIRECT(ADDRESS(2,11,1,,K$3)):INDIRECT(ADDRESS(25,playercnt+10,1,,K$3)),24),"")</f>
        <v>3</v>
      </c>
      <c r="L25" s="46">
        <f ca="1">IF($D$2&gt;=(COLUMN()-10),HLOOKUP($B25,INDIRECT(ADDRESS(2,11,1,,L$3)):INDIRECT(ADDRESS(25,playercnt+10,1,,L$3)),24),"")</f>
        <v>3</v>
      </c>
      <c r="M25" s="46">
        <f ca="1">IF($D$2&gt;=(COLUMN()-10),HLOOKUP($B25,INDIRECT(ADDRESS(2,11,1,,M$3)):INDIRECT(ADDRESS(25,playercnt+10,1,,M$3)),24),"")</f>
        <v>5</v>
      </c>
      <c r="N25" s="46">
        <f ca="1">IF($D$2&gt;=(COLUMN()-10),HLOOKUP($B25,INDIRECT(ADDRESS(2,11,1,,N$3)):INDIRECT(ADDRESS(25,playercnt+10,1,,N$3)),24),"")</f>
        <v>2</v>
      </c>
      <c r="O25" s="46">
        <f ca="1">IF($D$2&gt;=(COLUMN()-10),HLOOKUP($B25,INDIRECT(ADDRESS(2,11,1,,O$3)):INDIRECT(ADDRESS(25,playercnt+10,1,,O$3)),24),"")</f>
        <v>5</v>
      </c>
      <c r="P25" s="46">
        <f ca="1">IF($D$2&gt;=(COLUMN()-10),HLOOKUP($B25,INDIRECT(ADDRESS(2,11,1,,P$3)):INDIRECT(ADDRESS(25,playercnt+10,1,,P$3)),24),"")</f>
        <v>4</v>
      </c>
      <c r="Q25" s="46">
        <f ca="1">IF($D$2&gt;=(COLUMN()-10),HLOOKUP($B25,INDIRECT(ADDRESS(2,11,1,,Q$3)):INDIRECT(ADDRESS(25,playercnt+10,1,,Q$3)),24),"")</f>
        <v>4</v>
      </c>
      <c r="R25" s="46">
        <f ca="1">IF($D$2&gt;=(COLUMN()-10),HLOOKUP($B25,INDIRECT(ADDRESS(2,11,1,,R$3)):INDIRECT(ADDRESS(25,playercnt+10,1,,R$3)),24),"")</f>
        <v>5</v>
      </c>
      <c r="S25" s="46">
        <f ca="1">IF($D$2&gt;=(COLUMN()-10),HLOOKUP($B25,INDIRECT(ADDRESS(2,11,1,,S$3)):INDIRECT(ADDRESS(25,playercnt+10,1,,S$3)),24),"")</f>
        <v>3</v>
      </c>
      <c r="T25" s="46">
        <f ca="1">IF($D$2&gt;=(COLUMN()-10),HLOOKUP($B25,INDIRECT(ADDRESS(2,11,1,,T$3)):INDIRECT(ADDRESS(25,playercnt+10,1,,T$3)),24),"")</f>
        <v>4</v>
      </c>
      <c r="U25" s="46">
        <f ca="1">IF($D$2&gt;=(COLUMN()-10),HLOOKUP($B25,INDIRECT(ADDRESS(2,11,1,,U$3)):INDIRECT(ADDRESS(25,playercnt+10,1,,U$3)),24),"")</f>
        <v>6</v>
      </c>
      <c r="V25" s="46">
        <f ca="1">IF($D$2&gt;=(COLUMN()-10),HLOOKUP($B25,INDIRECT(ADDRESS(2,11,1,,V$3)):INDIRECT(ADDRESS(25,playercnt+10,1,,V$3)),24),"")</f>
        <v>5</v>
      </c>
      <c r="W25" s="46">
        <f ca="1">IF($D$2&gt;=(COLUMN()-10),HLOOKUP($B25,INDIRECT(ADDRESS(2,11,1,,W$3)):INDIRECT(ADDRESS(25,playercnt+10,1,,W$3)),24),"")</f>
        <v>5</v>
      </c>
      <c r="X25" s="14">
        <v>18</v>
      </c>
      <c r="Y25" s="14">
        <f t="shared" si="7"/>
        <v>18</v>
      </c>
    </row>
  </sheetData>
  <sortState ref="A8:X25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25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BZ31"/>
  <sheetViews>
    <sheetView zoomScale="85" zoomScaleNormal="85" workbookViewId="0">
      <pane ySplit="3075"/>
      <selection activeCell="AC1" sqref="AC1:BM31"/>
      <selection pane="bottomLeft" activeCell="G17" sqref="G17:BM17"/>
    </sheetView>
  </sheetViews>
  <sheetFormatPr defaultRowHeight="12.75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26" width="3.28515625" customWidth="1"/>
    <col min="27" max="29" width="3" customWidth="1"/>
    <col min="30" max="30" width="3.42578125" customWidth="1"/>
    <col min="31" max="34" width="3" customWidth="1"/>
    <col min="35" max="35" width="3.85546875" customWidth="1"/>
    <col min="36" max="51" width="3" customWidth="1"/>
    <col min="52" max="78" width="3.28515625" customWidth="1"/>
  </cols>
  <sheetData>
    <row r="1" spans="1:78" ht="18">
      <c r="A1" s="7" t="s">
        <v>13</v>
      </c>
      <c r="B1" s="7"/>
      <c r="C1" s="7"/>
      <c r="D1" s="7"/>
      <c r="H1" s="6"/>
      <c r="J1">
        <f ca="1">SUM(INDIRECT("RC11:RC"&amp;11+playercnt-1, FALSE))</f>
        <v>18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</row>
    <row r="2" spans="1:78" ht="138" customHeight="1">
      <c r="A2" s="56">
        <f>weekcnt</f>
        <v>13</v>
      </c>
      <c r="B2" s="98">
        <f>COUNTA(K2:BZ2)</f>
        <v>18</v>
      </c>
      <c r="E2" s="23">
        <v>0.55384615384615388</v>
      </c>
      <c r="F2" s="23">
        <f>84/130</f>
        <v>0.64615384615384619</v>
      </c>
      <c r="G2" s="31" t="s">
        <v>46</v>
      </c>
      <c r="H2" s="31" t="s">
        <v>47</v>
      </c>
      <c r="I2" s="31" t="s">
        <v>48</v>
      </c>
      <c r="J2" s="31" t="s">
        <v>38</v>
      </c>
      <c r="K2" s="4" t="s">
        <v>270</v>
      </c>
      <c r="L2" s="23" t="s">
        <v>271</v>
      </c>
      <c r="M2" s="23" t="s">
        <v>272</v>
      </c>
      <c r="N2" s="4" t="s">
        <v>273</v>
      </c>
      <c r="O2" s="4" t="s">
        <v>274</v>
      </c>
      <c r="P2" s="23" t="s">
        <v>275</v>
      </c>
      <c r="Q2" s="4" t="s">
        <v>276</v>
      </c>
      <c r="R2" s="4" t="s">
        <v>277</v>
      </c>
      <c r="S2" s="23" t="s">
        <v>278</v>
      </c>
      <c r="T2" s="4" t="s">
        <v>279</v>
      </c>
      <c r="U2" s="23" t="s">
        <v>280</v>
      </c>
      <c r="V2" s="4" t="s">
        <v>281</v>
      </c>
      <c r="W2" s="4" t="s">
        <v>282</v>
      </c>
      <c r="X2" s="4" t="s">
        <v>283</v>
      </c>
      <c r="Y2" s="4" t="s">
        <v>284</v>
      </c>
      <c r="Z2" s="4" t="s">
        <v>42</v>
      </c>
      <c r="AA2" s="4" t="s">
        <v>285</v>
      </c>
      <c r="AB2" s="4" t="s">
        <v>286</v>
      </c>
      <c r="AC2" s="4"/>
      <c r="AD2" s="4"/>
      <c r="AE2" s="4"/>
      <c r="AF2" s="4"/>
      <c r="AG2" s="4"/>
      <c r="AH2" s="4"/>
      <c r="AI2" s="4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4"/>
      <c r="BG2" s="23"/>
      <c r="BH2" s="23"/>
      <c r="BI2" s="23"/>
      <c r="BJ2" s="23"/>
      <c r="BK2" s="23"/>
      <c r="BL2" s="23"/>
      <c r="BM2" s="23"/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78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-2</v>
      </c>
      <c r="H4">
        <f ca="1">IF(($A$2)&gt;=(ROW()-3),H$17*(SUM(H$19:H19)-((ROW()-3)*5)),H3)</f>
        <v>-2</v>
      </c>
      <c r="I4">
        <f ca="1">IF(($A$2)&gt;=(ROW()-3),I$17*(SUM(I$19:I19)-((ROW()-3)*5)),I3)</f>
        <v>1</v>
      </c>
      <c r="J4">
        <f ca="1">IF(($A$2)&gt;=(ROW()-3),J$17*(SUM(J$19:J19)-((ROW()-3)*5)),J3)</f>
        <v>-5</v>
      </c>
      <c r="K4">
        <f ca="1">IF(($A$2)&gt;=(ROW()-3),K$17*(SUM(K$19:K19)-((ROW()-3)*5)),K3)</f>
        <v>0</v>
      </c>
      <c r="L4">
        <f ca="1">IF(($A$2)&gt;=(ROW()-3),L$17*(SUM(L$19:L19)-((ROW()-3)*5)),L3)</f>
        <v>-1</v>
      </c>
      <c r="M4">
        <f ca="1">IF(($A$2)&gt;=(ROW()-3),M$17*(SUM(M$19:M19)-((ROW()-3)*5)),M3)</f>
        <v>-1</v>
      </c>
      <c r="N4">
        <f ca="1">IF(($A$2)&gt;=(ROW()-3),N$17*(SUM(N$19:N19)-((ROW()-3)*5)),N3)</f>
        <v>1</v>
      </c>
      <c r="O4">
        <f ca="1">IF(($A$2)&gt;=(ROW()-3),O$17*(SUM(O$19:O19)-((ROW()-3)*5)),O3)</f>
        <v>1</v>
      </c>
      <c r="P4">
        <f ca="1">IF(($A$2)&gt;=(ROW()-3),P$17*(SUM(P$19:P19)-((ROW()-3)*5)),P3)</f>
        <v>2</v>
      </c>
      <c r="Q4">
        <f ca="1">IF(($A$2)&gt;=(ROW()-3),Q$17*(SUM(Q$19:Q19)-((ROW()-3)*5)),Q3)</f>
        <v>0</v>
      </c>
      <c r="R4">
        <f ca="1">IF(($A$2)&gt;=(ROW()-3),R$17*(SUM(R$19:R19)-((ROW()-3)*5)),R3)</f>
        <v>-2</v>
      </c>
      <c r="S4">
        <f ca="1">IF(($A$2)&gt;=(ROW()-3),S$17*(SUM(S$19:S19)-((ROW()-3)*5)),S3)</f>
        <v>1</v>
      </c>
      <c r="T4">
        <f ca="1">IF(($A$2)&gt;=(ROW()-3),T$17*(SUM(T$19:T19)-((ROW()-3)*5)),T3)</f>
        <v>3</v>
      </c>
      <c r="U4">
        <f ca="1">IF(($A$2)&gt;=(ROW()-3),U$17*(SUM(U$19:U19)-((ROW()-3)*5)),U3)</f>
        <v>3</v>
      </c>
      <c r="V4">
        <f ca="1">IF(($A$2)&gt;=(ROW()-3),V$17*(SUM(V$19:V19)-((ROW()-3)*5)),V3)</f>
        <v>1</v>
      </c>
      <c r="W4">
        <f ca="1">IF(($A$2)&gt;=(ROW()-3),W$17*(SUM(W$19:W19)-((ROW()-3)*5)),W3)</f>
        <v>1</v>
      </c>
      <c r="X4">
        <f ca="1">IF(($A$2)&gt;=(ROW()-3),X$17*(SUM(X$19:X19)-((ROW()-3)*5)),X3)</f>
        <v>2</v>
      </c>
      <c r="Y4">
        <f ca="1">IF(($A$2)&gt;=(ROW()-3),Y$17*(SUM(Y$19:Y19)-((ROW()-3)*5)),Y3)</f>
        <v>-1</v>
      </c>
      <c r="Z4">
        <f ca="1">IF(($A$2)&gt;=(ROW()-3),Z$17*(SUM(Z$19:Z19)-((ROW()-3)*5)),Z3)</f>
        <v>-1</v>
      </c>
      <c r="AA4">
        <f ca="1">IF(($A$2)&gt;=(ROW()-3),AA$17*(SUM(AA$19:AA19)-((ROW()-3)*5)),AA3)</f>
        <v>-1</v>
      </c>
      <c r="AB4">
        <f ca="1">IF(($A$2)&gt;=(ROW()-3),AB$17*(SUM(AB$19:AB19)-((ROW()-3)*5)),AB3)</f>
        <v>-2</v>
      </c>
    </row>
    <row r="5" spans="1:78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-2</v>
      </c>
      <c r="H5">
        <f ca="1">IF(($A$2)&gt;=(ROW()-3),H$17*(SUM(H$19:H20)-((ROW()-3)*5)),H4)</f>
        <v>-3</v>
      </c>
      <c r="I5">
        <f ca="1">IF(($A$2)&gt;=(ROW()-3),I$17*(SUM(I$19:I20)-((ROW()-3)*5)),I4)</f>
        <v>1.5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-1</v>
      </c>
      <c r="M5">
        <f ca="1">IF(($A$2)&gt;=(ROW()-3),M$17*(SUM(M$19:M20)-((ROW()-3)*5)),M4)</f>
        <v>0</v>
      </c>
      <c r="N5">
        <f ca="1">IF(($A$2)&gt;=(ROW()-3),N$17*(SUM(N$19:N20)-((ROW()-3)*5)),N4)</f>
        <v>0</v>
      </c>
      <c r="O5">
        <f ca="1">IF(($A$2)&gt;=(ROW()-3),O$17*(SUM(O$19:O20)-((ROW()-3)*5)),O4)</f>
        <v>1</v>
      </c>
      <c r="P5">
        <f ca="1">IF(($A$2)&gt;=(ROW()-3),P$17*(SUM(P$19:P20)-((ROW()-3)*5)),P4)</f>
        <v>1</v>
      </c>
      <c r="Q5">
        <f ca="1">IF(($A$2)&gt;=(ROW()-3),Q$17*(SUM(Q$19:Q20)-((ROW()-3)*5)),Q4)</f>
        <v>1</v>
      </c>
      <c r="R5">
        <f ca="1">IF(($A$2)&gt;=(ROW()-3),R$17*(SUM(R$19:R20)-((ROW()-3)*5)),R4)</f>
        <v>-2</v>
      </c>
      <c r="S5">
        <f ca="1">IF(($A$2)&gt;=(ROW()-3),S$17*(SUM(S$19:S20)-((ROW()-3)*5)),S4)</f>
        <v>0</v>
      </c>
      <c r="T5">
        <f ca="1">IF(($A$2)&gt;=(ROW()-3),T$17*(SUM(T$19:T20)-((ROW()-3)*5)),T4)</f>
        <v>3</v>
      </c>
      <c r="U5">
        <f ca="1">IF(($A$2)&gt;=(ROW()-3),U$17*(SUM(U$19:U20)-((ROW()-3)*5)),U4)</f>
        <v>5</v>
      </c>
      <c r="V5">
        <f ca="1">IF(($A$2)&gt;=(ROW()-3),V$17*(SUM(V$19:V20)-((ROW()-3)*5)),V4)</f>
        <v>0</v>
      </c>
      <c r="W5">
        <f ca="1">IF(($A$2)&gt;=(ROW()-3),W$17*(SUM(W$19:W20)-((ROW()-3)*5)),W4)</f>
        <v>-1</v>
      </c>
      <c r="X5">
        <f ca="1">IF(($A$2)&gt;=(ROW()-3),X$17*(SUM(X$19:X20)-((ROW()-3)*5)),X4)</f>
        <v>3</v>
      </c>
      <c r="Y5">
        <f ca="1">IF(($A$2)&gt;=(ROW()-3),Y$17*(SUM(Y$19:Y20)-((ROW()-3)*5)),Y4)</f>
        <v>1</v>
      </c>
      <c r="Z5">
        <f ca="1">IF(($A$2)&gt;=(ROW()-3),Z$17*(SUM(Z$19:Z20)-((ROW()-3)*5)),Z4)</f>
        <v>1</v>
      </c>
      <c r="AA5">
        <f ca="1">IF(($A$2)&gt;=(ROW()-3),AA$17*(SUM(AA$19:AA20)-((ROW()-3)*5)),AA4)</f>
        <v>-2</v>
      </c>
      <c r="AB5">
        <f ca="1">IF(($A$2)&gt;=(ROW()-3),AB$17*(SUM(AB$19:AB20)-((ROW()-3)*5)),AB4)</f>
        <v>-4</v>
      </c>
    </row>
    <row r="6" spans="1:78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-2</v>
      </c>
      <c r="H6">
        <f ca="1">IF(($A$2)&gt;=(ROW()-3),H$17*(SUM(H$19:H21)-((ROW()-3)*5)),H5)</f>
        <v>-4</v>
      </c>
      <c r="I6">
        <f ca="1">IF(($A$2)&gt;=(ROW()-3),I$17*(SUM(I$19:I21)-((ROW()-3)*5)),I5)</f>
        <v>-0.5</v>
      </c>
      <c r="J6">
        <f ca="1">IF(($A$2)&gt;=(ROW()-3),J$17*(SUM(J$19:J21)-((ROW()-3)*5)),J5)</f>
        <v>-15</v>
      </c>
      <c r="K6">
        <f ca="1">IF(($A$2)&gt;=(ROW()-3),K$17*(SUM(K$19:K21)-((ROW()-3)*5)),K5)</f>
        <v>-5</v>
      </c>
      <c r="L6">
        <f ca="1">IF(($A$2)&gt;=(ROW()-3),L$17*(SUM(L$19:L21)-((ROW()-3)*5)),L5)</f>
        <v>-1</v>
      </c>
      <c r="M6">
        <f ca="1">IF(($A$2)&gt;=(ROW()-3),M$17*(SUM(M$19:M21)-((ROW()-3)*5)),M5)</f>
        <v>-2</v>
      </c>
      <c r="N6">
        <f ca="1">IF(($A$2)&gt;=(ROW()-3),N$17*(SUM(N$19:N21)-((ROW()-3)*5)),N5)</f>
        <v>-1</v>
      </c>
      <c r="O6">
        <f ca="1">IF(($A$2)&gt;=(ROW()-3),O$17*(SUM(O$19:O21)-((ROW()-3)*5)),O5)</f>
        <v>0</v>
      </c>
      <c r="P6">
        <f ca="1">IF(($A$2)&gt;=(ROW()-3),P$17*(SUM(P$19:P21)-((ROW()-3)*5)),P5)</f>
        <v>-1</v>
      </c>
      <c r="Q6">
        <f ca="1">IF(($A$2)&gt;=(ROW()-3),Q$17*(SUM(Q$19:Q21)-((ROW()-3)*5)),Q5)</f>
        <v>3</v>
      </c>
      <c r="R6">
        <f ca="1">IF(($A$2)&gt;=(ROW()-3),R$17*(SUM(R$19:R21)-((ROW()-3)*5)),R5)</f>
        <v>-3</v>
      </c>
      <c r="S6">
        <f ca="1">IF(($A$2)&gt;=(ROW()-3),S$17*(SUM(S$19:S21)-((ROW()-3)*5)),S5)</f>
        <v>0</v>
      </c>
      <c r="T6">
        <f ca="1">IF(($A$2)&gt;=(ROW()-3),T$17*(SUM(T$19:T21)-((ROW()-3)*5)),T5)</f>
        <v>2</v>
      </c>
      <c r="U6">
        <f ca="1">IF(($A$2)&gt;=(ROW()-3),U$17*(SUM(U$19:U21)-((ROW()-3)*5)),U5)</f>
        <v>4</v>
      </c>
      <c r="V6">
        <f ca="1">IF(($A$2)&gt;=(ROW()-3),V$17*(SUM(V$19:V21)-((ROW()-3)*5)),V5)</f>
        <v>-3</v>
      </c>
      <c r="W6">
        <f ca="1">IF(($A$2)&gt;=(ROW()-3),W$17*(SUM(W$19:W21)-((ROW()-3)*5)),W5)</f>
        <v>-1</v>
      </c>
      <c r="X6">
        <f ca="1">IF(($A$2)&gt;=(ROW()-3),X$17*(SUM(X$19:X21)-((ROW()-3)*5)),X5)</f>
        <v>2</v>
      </c>
      <c r="Y6">
        <f ca="1">IF(($A$2)&gt;=(ROW()-3),Y$17*(SUM(Y$19:Y21)-((ROW()-3)*5)),Y5)</f>
        <v>4</v>
      </c>
      <c r="Z6">
        <f ca="1">IF(($A$2)&gt;=(ROW()-3),Z$17*(SUM(Z$19:Z21)-((ROW()-3)*5)),Z5)</f>
        <v>0</v>
      </c>
      <c r="AA6">
        <f ca="1">IF(($A$2)&gt;=(ROW()-3),AA$17*(SUM(AA$19:AA21)-((ROW()-3)*5)),AA5)</f>
        <v>-4</v>
      </c>
      <c r="AB6">
        <f ca="1">IF(($A$2)&gt;=(ROW()-3),AB$17*(SUM(AB$19:AB21)-((ROW()-3)*5)),AB5)</f>
        <v>-4</v>
      </c>
    </row>
    <row r="7" spans="1:78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-3</v>
      </c>
      <c r="H7">
        <f ca="1">IF(($A$2)&gt;=(ROW()-3),H$17*(SUM(H$19:H22)-((ROW()-3)*5)),H6)</f>
        <v>-5</v>
      </c>
      <c r="I7">
        <f ca="1">IF(($A$2)&gt;=(ROW()-3),I$17*(SUM(I$19:I22)-((ROW()-3)*5)),I6)</f>
        <v>-1.5</v>
      </c>
      <c r="J7">
        <f ca="1">IF(($A$2)&gt;=(ROW()-3),J$17*(SUM(J$19:J22)-((ROW()-3)*5)),J6)</f>
        <v>-20</v>
      </c>
      <c r="K7">
        <f ca="1">IF(($A$2)&gt;=(ROW()-3),K$17*(SUM(K$19:K22)-((ROW()-3)*5)),K6)</f>
        <v>-5</v>
      </c>
      <c r="L7">
        <f ca="1">IF(($A$2)&gt;=(ROW()-3),L$17*(SUM(L$19:L22)-((ROW()-3)*5)),L6)</f>
        <v>-2</v>
      </c>
      <c r="M7">
        <f ca="1">IF(($A$2)&gt;=(ROW()-3),M$17*(SUM(M$19:M22)-((ROW()-3)*5)),M6)</f>
        <v>-2</v>
      </c>
      <c r="N7">
        <f ca="1">IF(($A$2)&gt;=(ROW()-3),N$17*(SUM(N$19:N22)-((ROW()-3)*5)),N6)</f>
        <v>1</v>
      </c>
      <c r="O7">
        <f ca="1">IF(($A$2)&gt;=(ROW()-3),O$17*(SUM(O$19:O22)-((ROW()-3)*5)),O6)</f>
        <v>1</v>
      </c>
      <c r="P7">
        <f ca="1">IF(($A$2)&gt;=(ROW()-3),P$17*(SUM(P$19:P22)-((ROW()-3)*5)),P6)</f>
        <v>-3</v>
      </c>
      <c r="Q7">
        <f ca="1">IF(($A$2)&gt;=(ROW()-3),Q$17*(SUM(Q$19:Q22)-((ROW()-3)*5)),Q6)</f>
        <v>4</v>
      </c>
      <c r="R7">
        <f ca="1">IF(($A$2)&gt;=(ROW()-3),R$17*(SUM(R$19:R22)-((ROW()-3)*5)),R6)</f>
        <v>-4</v>
      </c>
      <c r="S7">
        <f ca="1">IF(($A$2)&gt;=(ROW()-3),S$17*(SUM(S$19:S22)-((ROW()-3)*5)),S6)</f>
        <v>-1</v>
      </c>
      <c r="T7">
        <f ca="1">IF(($A$2)&gt;=(ROW()-3),T$17*(SUM(T$19:T22)-((ROW()-3)*5)),T6)</f>
        <v>2</v>
      </c>
      <c r="U7">
        <f ca="1">IF(($A$2)&gt;=(ROW()-3),U$17*(SUM(U$19:U22)-((ROW()-3)*5)),U6)</f>
        <v>1</v>
      </c>
      <c r="V7">
        <f ca="1">IF(($A$2)&gt;=(ROW()-3),V$17*(SUM(V$19:V22)-((ROW()-3)*5)),V6)</f>
        <v>-4</v>
      </c>
      <c r="W7">
        <f ca="1">IF(($A$2)&gt;=(ROW()-3),W$17*(SUM(W$19:W22)-((ROW()-3)*5)),W6)</f>
        <v>-3</v>
      </c>
      <c r="X7">
        <f ca="1">IF(($A$2)&gt;=(ROW()-3),X$17*(SUM(X$19:X22)-((ROW()-3)*5)),X6)</f>
        <v>0</v>
      </c>
      <c r="Y7">
        <f ca="1">IF(($A$2)&gt;=(ROW()-3),Y$17*(SUM(Y$19:Y22)-((ROW()-3)*5)),Y6)</f>
        <v>1</v>
      </c>
      <c r="Z7">
        <f ca="1">IF(($A$2)&gt;=(ROW()-3),Z$17*(SUM(Z$19:Z22)-((ROW()-3)*5)),Z6)</f>
        <v>2</v>
      </c>
      <c r="AA7">
        <f ca="1">IF(($A$2)&gt;=(ROW()-3),AA$17*(SUM(AA$19:AA22)-((ROW()-3)*5)),AA6)</f>
        <v>-4</v>
      </c>
      <c r="AB7">
        <f ca="1">IF(($A$2)&gt;=(ROW()-3),AB$17*(SUM(AB$19:AB22)-((ROW()-3)*5)),AB6)</f>
        <v>-7</v>
      </c>
    </row>
    <row r="8" spans="1:78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-2</v>
      </c>
      <c r="H8">
        <f ca="1">IF(($A$2)&gt;=(ROW()-3),H$17*(SUM(H$19:H23)-((ROW()-3)*5)),H7)</f>
        <v>-5</v>
      </c>
      <c r="I8">
        <f ca="1">IF(($A$2)&gt;=(ROW()-3),I$17*(SUM(I$19:I23)-((ROW()-3)*5)),I7)</f>
        <v>-2</v>
      </c>
      <c r="J8">
        <f ca="1">IF(($A$2)&gt;=(ROW()-3),J$17*(SUM(J$19:J23)-((ROW()-3)*5)),J7)</f>
        <v>-25</v>
      </c>
      <c r="K8">
        <f ca="1">IF(($A$2)&gt;=(ROW()-3),K$17*(SUM(K$19:K23)-((ROW()-3)*5)),K7)</f>
        <v>-5</v>
      </c>
      <c r="L8">
        <f ca="1">IF(($A$2)&gt;=(ROW()-3),L$17*(SUM(L$19:L23)-((ROW()-3)*5)),L7)</f>
        <v>-4</v>
      </c>
      <c r="M8">
        <f ca="1">IF(($A$2)&gt;=(ROW()-3),M$17*(SUM(M$19:M23)-((ROW()-3)*5)),M7)</f>
        <v>-3</v>
      </c>
      <c r="N8">
        <f ca="1">IF(($A$2)&gt;=(ROW()-3),N$17*(SUM(N$19:N23)-((ROW()-3)*5)),N7)</f>
        <v>0</v>
      </c>
      <c r="O8">
        <f ca="1">IF(($A$2)&gt;=(ROW()-3),O$17*(SUM(O$19:O23)-((ROW()-3)*5)),O7)</f>
        <v>1</v>
      </c>
      <c r="P8">
        <f ca="1">IF(($A$2)&gt;=(ROW()-3),P$17*(SUM(P$19:P23)-((ROW()-3)*5)),P7)</f>
        <v>-2</v>
      </c>
      <c r="Q8">
        <f ca="1">IF(($A$2)&gt;=(ROW()-3),Q$17*(SUM(Q$19:Q23)-((ROW()-3)*5)),Q7)</f>
        <v>4</v>
      </c>
      <c r="R8">
        <f ca="1">IF(($A$2)&gt;=(ROW()-3),R$17*(SUM(R$19:R23)-((ROW()-3)*5)),R7)</f>
        <v>-5</v>
      </c>
      <c r="S8">
        <f ca="1">IF(($A$2)&gt;=(ROW()-3),S$17*(SUM(S$19:S23)-((ROW()-3)*5)),S7)</f>
        <v>2</v>
      </c>
      <c r="T8">
        <f ca="1">IF(($A$2)&gt;=(ROW()-3),T$17*(SUM(T$19:T23)-((ROW()-3)*5)),T7)</f>
        <v>2</v>
      </c>
      <c r="U8">
        <f ca="1">IF(($A$2)&gt;=(ROW()-3),U$17*(SUM(U$19:U23)-((ROW()-3)*5)),U7)</f>
        <v>1</v>
      </c>
      <c r="V8">
        <f ca="1">IF(($A$2)&gt;=(ROW()-3),V$17*(SUM(V$19:V23)-((ROW()-3)*5)),V7)</f>
        <v>-4</v>
      </c>
      <c r="W8">
        <f ca="1">IF(($A$2)&gt;=(ROW()-3),W$17*(SUM(W$19:W23)-((ROW()-3)*5)),W7)</f>
        <v>-2</v>
      </c>
      <c r="X8">
        <f ca="1">IF(($A$2)&gt;=(ROW()-3),X$17*(SUM(X$19:X23)-((ROW()-3)*5)),X7)</f>
        <v>-1</v>
      </c>
      <c r="Y8">
        <f ca="1">IF(($A$2)&gt;=(ROW()-3),Y$17*(SUM(Y$19:Y23)-((ROW()-3)*5)),Y7)</f>
        <v>1</v>
      </c>
      <c r="Z8">
        <f ca="1">IF(($A$2)&gt;=(ROW()-3),Z$17*(SUM(Z$19:Z23)-((ROW()-3)*5)),Z7)</f>
        <v>3</v>
      </c>
      <c r="AA8">
        <f ca="1">IF(($A$2)&gt;=(ROW()-3),AA$17*(SUM(AA$19:AA23)-((ROW()-3)*5)),AA7)</f>
        <v>-4</v>
      </c>
      <c r="AB8">
        <f ca="1">IF(($A$2)&gt;=(ROW()-3),AB$17*(SUM(AB$19:AB23)-((ROW()-3)*5)),AB7)</f>
        <v>-7</v>
      </c>
    </row>
    <row r="9" spans="1:78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-4</v>
      </c>
      <c r="H9">
        <f ca="1">IF(($A$2)&gt;=(ROW()-3),H$17*(SUM(H$19:H24)-((ROW()-3)*5)),H8)</f>
        <v>-6</v>
      </c>
      <c r="I9">
        <f ca="1">IF(($A$2)&gt;=(ROW()-3),I$17*(SUM(I$19:I24)-((ROW()-3)*5)),I8)</f>
        <v>-1.5</v>
      </c>
      <c r="J9">
        <f ca="1">IF(($A$2)&gt;=(ROW()-3),J$17*(SUM(J$19:J24)-((ROW()-3)*5)),J8)</f>
        <v>-30</v>
      </c>
      <c r="K9">
        <f ca="1">IF(($A$2)&gt;=(ROW()-3),K$17*(SUM(K$19:K24)-((ROW()-3)*5)),K8)</f>
        <v>-6</v>
      </c>
      <c r="L9">
        <f ca="1">IF(($A$2)&gt;=(ROW()-3),L$17*(SUM(L$19:L24)-((ROW()-3)*5)),L8)</f>
        <v>-3</v>
      </c>
      <c r="M9">
        <f ca="1">IF(($A$2)&gt;=(ROW()-3),M$17*(SUM(M$19:M24)-((ROW()-3)*5)),M8)</f>
        <v>-4</v>
      </c>
      <c r="N9">
        <f ca="1">IF(($A$2)&gt;=(ROW()-3),N$17*(SUM(N$19:N24)-((ROW()-3)*5)),N8)</f>
        <v>0</v>
      </c>
      <c r="O9">
        <f ca="1">IF(($A$2)&gt;=(ROW()-3),O$17*(SUM(O$19:O24)-((ROW()-3)*5)),O8)</f>
        <v>-1</v>
      </c>
      <c r="P9">
        <f ca="1">IF(($A$2)&gt;=(ROW()-3),P$17*(SUM(P$19:P24)-((ROW()-3)*5)),P8)</f>
        <v>-4</v>
      </c>
      <c r="Q9">
        <f ca="1">IF(($A$2)&gt;=(ROW()-3),Q$17*(SUM(Q$19:Q24)-((ROW()-3)*5)),Q8)</f>
        <v>5</v>
      </c>
      <c r="R9">
        <f ca="1">IF(($A$2)&gt;=(ROW()-3),R$17*(SUM(R$19:R24)-((ROW()-3)*5)),R8)</f>
        <v>-7</v>
      </c>
      <c r="S9">
        <f ca="1">IF(($A$2)&gt;=(ROW()-3),S$17*(SUM(S$19:S24)-((ROW()-3)*5)),S8)</f>
        <v>1</v>
      </c>
      <c r="T9">
        <f ca="1">IF(($A$2)&gt;=(ROW()-3),T$17*(SUM(T$19:T24)-((ROW()-3)*5)),T8)</f>
        <v>4</v>
      </c>
      <c r="U9">
        <f ca="1">IF(($A$2)&gt;=(ROW()-3),U$17*(SUM(U$19:U24)-((ROW()-3)*5)),U8)</f>
        <v>1</v>
      </c>
      <c r="V9">
        <f ca="1">IF(($A$2)&gt;=(ROW()-3),V$17*(SUM(V$19:V24)-((ROW()-3)*5)),V8)</f>
        <v>-3</v>
      </c>
      <c r="W9">
        <f ca="1">IF(($A$2)&gt;=(ROW()-3),W$17*(SUM(W$19:W24)-((ROW()-3)*5)),W8)</f>
        <v>-2</v>
      </c>
      <c r="X9">
        <f ca="1">IF(($A$2)&gt;=(ROW()-3),X$17*(SUM(X$19:X24)-((ROW()-3)*5)),X8)</f>
        <v>2</v>
      </c>
      <c r="Y9">
        <f ca="1">IF(($A$2)&gt;=(ROW()-3),Y$17*(SUM(Y$19:Y24)-((ROW()-3)*5)),Y8)</f>
        <v>2</v>
      </c>
      <c r="Z9">
        <f ca="1">IF(($A$2)&gt;=(ROW()-3),Z$17*(SUM(Z$19:Z24)-((ROW()-3)*5)),Z8)</f>
        <v>4</v>
      </c>
      <c r="AA9">
        <f ca="1">IF(($A$2)&gt;=(ROW()-3),AA$17*(SUM(AA$19:AA24)-((ROW()-3)*5)),AA8)</f>
        <v>-7</v>
      </c>
      <c r="AB9">
        <f ca="1">IF(($A$2)&gt;=(ROW()-3),AB$17*(SUM(AB$19:AB24)-((ROW()-3)*5)),AB8)</f>
        <v>-8</v>
      </c>
    </row>
    <row r="10" spans="1:78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-5</v>
      </c>
      <c r="H10">
        <f ca="1">IF(($A$2)&gt;=(ROW()-3),H$17*(SUM(H$19:H25)-((ROW()-3)*5)),H9)</f>
        <v>-6</v>
      </c>
      <c r="I10">
        <f ca="1">IF(($A$2)&gt;=(ROW()-3),I$17*(SUM(I$19:I25)-((ROW()-3)*5)),I9)</f>
        <v>-2</v>
      </c>
      <c r="J10">
        <f ca="1">IF(($A$2)&gt;=(ROW()-3),J$17*(SUM(J$19:J25)-((ROW()-3)*5)),J9)</f>
        <v>-35</v>
      </c>
      <c r="K10">
        <f ca="1">IF(($A$2)&gt;=(ROW()-3),K$17*(SUM(K$19:K25)-((ROW()-3)*5)),K9)</f>
        <v>-8</v>
      </c>
      <c r="L10">
        <f ca="1">IF(($A$2)&gt;=(ROW()-3),L$17*(SUM(L$19:L25)-((ROW()-3)*5)),L9)</f>
        <v>-5</v>
      </c>
      <c r="M10">
        <f ca="1">IF(($A$2)&gt;=(ROW()-3),M$17*(SUM(M$19:M25)-((ROW()-3)*5)),M9)</f>
        <v>-4</v>
      </c>
      <c r="N10">
        <f ca="1">IF(($A$2)&gt;=(ROW()-3),N$17*(SUM(N$19:N25)-((ROW()-3)*5)),N9)</f>
        <v>-1</v>
      </c>
      <c r="O10">
        <f ca="1">IF(($A$2)&gt;=(ROW()-3),O$17*(SUM(O$19:O25)-((ROW()-3)*5)),O9)</f>
        <v>-1</v>
      </c>
      <c r="P10">
        <f ca="1">IF(($A$2)&gt;=(ROW()-3),P$17*(SUM(P$19:P25)-((ROW()-3)*5)),P9)</f>
        <v>-1</v>
      </c>
      <c r="Q10">
        <f ca="1">IF(($A$2)&gt;=(ROW()-3),Q$17*(SUM(Q$19:Q25)-((ROW()-3)*5)),Q9)</f>
        <v>7</v>
      </c>
      <c r="R10">
        <f ca="1">IF(($A$2)&gt;=(ROW()-3),R$17*(SUM(R$19:R25)-((ROW()-3)*5)),R9)</f>
        <v>-9</v>
      </c>
      <c r="S10">
        <f ca="1">IF(($A$2)&gt;=(ROW()-3),S$17*(SUM(S$19:S25)-((ROW()-3)*5)),S9)</f>
        <v>0</v>
      </c>
      <c r="T10">
        <f ca="1">IF(($A$2)&gt;=(ROW()-3),T$17*(SUM(T$19:T25)-((ROW()-3)*5)),T9)</f>
        <v>3</v>
      </c>
      <c r="U10">
        <f ca="1">IF(($A$2)&gt;=(ROW()-3),U$17*(SUM(U$19:U25)-((ROW()-3)*5)),U9)</f>
        <v>1</v>
      </c>
      <c r="V10">
        <f ca="1">IF(($A$2)&gt;=(ROW()-3),V$17*(SUM(V$19:V25)-((ROW()-3)*5)),V9)</f>
        <v>-6</v>
      </c>
      <c r="W10">
        <f ca="1">IF(($A$2)&gt;=(ROW()-3),W$17*(SUM(W$19:W25)-((ROW()-3)*5)),W9)</f>
        <v>-2</v>
      </c>
      <c r="X10">
        <f ca="1">IF(($A$2)&gt;=(ROW()-3),X$17*(SUM(X$19:X25)-((ROW()-3)*5)),X9)</f>
        <v>1</v>
      </c>
      <c r="Y10">
        <f ca="1">IF(($A$2)&gt;=(ROW()-3),Y$17*(SUM(Y$19:Y25)-((ROW()-3)*5)),Y9)</f>
        <v>0</v>
      </c>
      <c r="Z10">
        <f ca="1">IF(($A$2)&gt;=(ROW()-3),Z$17*(SUM(Z$19:Z25)-((ROW()-3)*5)),Z9)</f>
        <v>6</v>
      </c>
      <c r="AA10">
        <f ca="1">IF(($A$2)&gt;=(ROW()-3),AA$17*(SUM(AA$19:AA25)-((ROW()-3)*5)),AA9)</f>
        <v>-9</v>
      </c>
      <c r="AB10">
        <f ca="1">IF(($A$2)&gt;=(ROW()-3),AB$17*(SUM(AB$19:AB25)-((ROW()-3)*5)),AB9)</f>
        <v>-9</v>
      </c>
    </row>
    <row r="11" spans="1:78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-6</v>
      </c>
      <c r="H11">
        <f ca="1">IF(($A$2)&gt;=(ROW()-3),H$17*(SUM(H$19:H26)-((ROW()-3)*5)),H10)</f>
        <v>-6</v>
      </c>
      <c r="I11">
        <f ca="1">IF(($A$2)&gt;=(ROW()-3),I$17*(SUM(I$19:I26)-((ROW()-3)*5)),I10)</f>
        <v>-1</v>
      </c>
      <c r="J11">
        <f ca="1">IF(($A$2)&gt;=(ROW()-3),J$17*(SUM(J$19:J26)-((ROW()-3)*5)),J10)</f>
        <v>-40</v>
      </c>
      <c r="K11">
        <f ca="1">IF(($A$2)&gt;=(ROW()-3),K$17*(SUM(K$19:K26)-((ROW()-3)*5)),K10)</f>
        <v>-8</v>
      </c>
      <c r="L11">
        <f ca="1">IF(($A$2)&gt;=(ROW()-3),L$17*(SUM(L$19:L26)-((ROW()-3)*5)),L10)</f>
        <v>-4</v>
      </c>
      <c r="M11">
        <f ca="1">IF(($A$2)&gt;=(ROW()-3),M$17*(SUM(M$19:M26)-((ROW()-3)*5)),M10)</f>
        <v>-3</v>
      </c>
      <c r="N11">
        <f ca="1">IF(($A$2)&gt;=(ROW()-3),N$17*(SUM(N$19:N26)-((ROW()-3)*5)),N10)</f>
        <v>0</v>
      </c>
      <c r="O11">
        <f ca="1">IF(($A$2)&gt;=(ROW()-3),O$17*(SUM(O$19:O26)-((ROW()-3)*5)),O10)</f>
        <v>0</v>
      </c>
      <c r="P11">
        <f ca="1">IF(($A$2)&gt;=(ROW()-3),P$17*(SUM(P$19:P26)-((ROW()-3)*5)),P10)</f>
        <v>1</v>
      </c>
      <c r="Q11">
        <f ca="1">IF(($A$2)&gt;=(ROW()-3),Q$17*(SUM(Q$19:Q26)-((ROW()-3)*5)),Q10)</f>
        <v>6</v>
      </c>
      <c r="R11">
        <f ca="1">IF(($A$2)&gt;=(ROW()-3),R$17*(SUM(R$19:R26)-((ROW()-3)*5)),R10)</f>
        <v>-7</v>
      </c>
      <c r="S11">
        <f ca="1">IF(($A$2)&gt;=(ROW()-3),S$17*(SUM(S$19:S26)-((ROW()-3)*5)),S10)</f>
        <v>0</v>
      </c>
      <c r="T11">
        <f ca="1">IF(($A$2)&gt;=(ROW()-3),T$17*(SUM(T$19:T26)-((ROW()-3)*5)),T10)</f>
        <v>2</v>
      </c>
      <c r="U11">
        <f ca="1">IF(($A$2)&gt;=(ROW()-3),U$17*(SUM(U$19:U26)-((ROW()-3)*5)),U10)</f>
        <v>-2</v>
      </c>
      <c r="V11">
        <f ca="1">IF(($A$2)&gt;=(ROW()-3),V$17*(SUM(V$19:V26)-((ROW()-3)*5)),V10)</f>
        <v>-6</v>
      </c>
      <c r="W11">
        <f ca="1">IF(($A$2)&gt;=(ROW()-3),W$17*(SUM(W$19:W26)-((ROW()-3)*5)),W10)</f>
        <v>-2</v>
      </c>
      <c r="X11">
        <f ca="1">IF(($A$2)&gt;=(ROW()-3),X$17*(SUM(X$19:X26)-((ROW()-3)*5)),X10)</f>
        <v>2</v>
      </c>
      <c r="Y11">
        <f ca="1">IF(($A$2)&gt;=(ROW()-3),Y$17*(SUM(Y$19:Y26)-((ROW()-3)*5)),Y10)</f>
        <v>0</v>
      </c>
      <c r="Z11">
        <f ca="1">IF(($A$2)&gt;=(ROW()-3),Z$17*(SUM(Z$19:Z26)-((ROW()-3)*5)),Z10)</f>
        <v>7</v>
      </c>
      <c r="AA11">
        <f ca="1">IF(($A$2)&gt;=(ROW()-3),AA$17*(SUM(AA$19:AA26)-((ROW()-3)*5)),AA10)</f>
        <v>-10</v>
      </c>
      <c r="AB11">
        <f ca="1">IF(($A$2)&gt;=(ROW()-3),AB$17*(SUM(AB$19:AB26)-((ROW()-3)*5)),AB10)</f>
        <v>-9</v>
      </c>
    </row>
    <row r="12" spans="1:78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-5</v>
      </c>
      <c r="H12">
        <f ca="1">IF(($A$2)&gt;=(ROW()-3),H$17*(SUM(H$19:H27)-((ROW()-3)*5)),H11)</f>
        <v>-6</v>
      </c>
      <c r="I12">
        <f ca="1">IF(($A$2)&gt;=(ROW()-3),I$17*(SUM(I$19:I27)-((ROW()-3)*5)),I11)</f>
        <v>-1.5</v>
      </c>
      <c r="J12">
        <f ca="1">IF(($A$2)&gt;=(ROW()-3),J$17*(SUM(J$19:J27)-((ROW()-3)*5)),J11)</f>
        <v>-45</v>
      </c>
      <c r="K12">
        <f ca="1">IF(($A$2)&gt;=(ROW()-3),K$17*(SUM(K$19:K27)-((ROW()-3)*5)),K11)</f>
        <v>-8</v>
      </c>
      <c r="L12">
        <f ca="1">IF(($A$2)&gt;=(ROW()-3),L$17*(SUM(L$19:L27)-((ROW()-3)*5)),L11)</f>
        <v>-4</v>
      </c>
      <c r="M12">
        <f ca="1">IF(($A$2)&gt;=(ROW()-3),M$17*(SUM(M$19:M27)-((ROW()-3)*5)),M11)</f>
        <v>-4</v>
      </c>
      <c r="N12">
        <f ca="1">IF(($A$2)&gt;=(ROW()-3),N$17*(SUM(N$19:N27)-((ROW()-3)*5)),N11)</f>
        <v>-1</v>
      </c>
      <c r="O12">
        <f ca="1">IF(($A$2)&gt;=(ROW()-3),O$17*(SUM(O$19:O27)-((ROW()-3)*5)),O11)</f>
        <v>-3</v>
      </c>
      <c r="P12">
        <f ca="1">IF(($A$2)&gt;=(ROW()-3),P$17*(SUM(P$19:P27)-((ROW()-3)*5)),P11)</f>
        <v>1</v>
      </c>
      <c r="Q12">
        <f ca="1">IF(($A$2)&gt;=(ROW()-3),Q$17*(SUM(Q$19:Q27)-((ROW()-3)*5)),Q11)</f>
        <v>5</v>
      </c>
      <c r="R12">
        <f ca="1">IF(($A$2)&gt;=(ROW()-3),R$17*(SUM(R$19:R27)-((ROW()-3)*5)),R11)</f>
        <v>-6</v>
      </c>
      <c r="S12">
        <f ca="1">IF(($A$2)&gt;=(ROW()-3),S$17*(SUM(S$19:S27)-((ROW()-3)*5)),S11)</f>
        <v>2</v>
      </c>
      <c r="T12">
        <f ca="1">IF(($A$2)&gt;=(ROW()-3),T$17*(SUM(T$19:T27)-((ROW()-3)*5)),T11)</f>
        <v>1</v>
      </c>
      <c r="U12">
        <f ca="1">IF(($A$2)&gt;=(ROW()-3),U$17*(SUM(U$19:U27)-((ROW()-3)*5)),U11)</f>
        <v>-1</v>
      </c>
      <c r="V12">
        <f ca="1">IF(($A$2)&gt;=(ROW()-3),V$17*(SUM(V$19:V27)-((ROW()-3)*5)),V11)</f>
        <v>-5</v>
      </c>
      <c r="W12">
        <f ca="1">IF(($A$2)&gt;=(ROW()-3),W$17*(SUM(W$19:W27)-((ROW()-3)*5)),W11)</f>
        <v>1</v>
      </c>
      <c r="X12">
        <f ca="1">IF(($A$2)&gt;=(ROW()-3),X$17*(SUM(X$19:X27)-((ROW()-3)*5)),X11)</f>
        <v>2</v>
      </c>
      <c r="Y12">
        <f ca="1">IF(($A$2)&gt;=(ROW()-3),Y$17*(SUM(Y$19:Y27)-((ROW()-3)*5)),Y11)</f>
        <v>-1</v>
      </c>
      <c r="Z12">
        <f ca="1">IF(($A$2)&gt;=(ROW()-3),Z$17*(SUM(Z$19:Z27)-((ROW()-3)*5)),Z11)</f>
        <v>5</v>
      </c>
      <c r="AA12">
        <f ca="1">IF(($A$2)&gt;=(ROW()-3),AA$17*(SUM(AA$19:AA27)-((ROW()-3)*5)),AA11)</f>
        <v>-12</v>
      </c>
      <c r="AB12">
        <f ca="1">IF(($A$2)&gt;=(ROW()-3),AB$17*(SUM(AB$19:AB27)-((ROW()-3)*5)),AB11)</f>
        <v>-11</v>
      </c>
    </row>
    <row r="13" spans="1:78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-5</v>
      </c>
      <c r="H13">
        <f ca="1">IF(($A$2)&gt;=(ROW()-3),H$17*(SUM(H$19:H28)-((ROW()-3)*5)),H12)</f>
        <v>-8</v>
      </c>
      <c r="I13">
        <f ca="1">IF(($A$2)&gt;=(ROW()-3),I$17*(SUM(I$19:I28)-((ROW()-3)*5)),I12)</f>
        <v>-1</v>
      </c>
      <c r="J13">
        <f ca="1">IF(($A$2)&gt;=(ROW()-3),J$17*(SUM(J$19:J28)-((ROW()-3)*5)),J12)</f>
        <v>-50</v>
      </c>
      <c r="K13">
        <f ca="1">IF(($A$2)&gt;=(ROW()-3),K$17*(SUM(K$19:K28)-((ROW()-3)*5)),K12)</f>
        <v>-6</v>
      </c>
      <c r="L13">
        <f ca="1">IF(($A$2)&gt;=(ROW()-3),L$17*(SUM(L$19:L28)-((ROW()-3)*5)),L12)</f>
        <v>-2</v>
      </c>
      <c r="M13">
        <f ca="1">IF(($A$2)&gt;=(ROW()-3),M$17*(SUM(M$19:M28)-((ROW()-3)*5)),M12)</f>
        <v>-6</v>
      </c>
      <c r="N13">
        <f ca="1">IF(($A$2)&gt;=(ROW()-3),N$17*(SUM(N$19:N28)-((ROW()-3)*5)),N12)</f>
        <v>0</v>
      </c>
      <c r="O13">
        <f ca="1">IF(($A$2)&gt;=(ROW()-3),O$17*(SUM(O$19:O28)-((ROW()-3)*5)),O12)</f>
        <v>-3</v>
      </c>
      <c r="P13">
        <f ca="1">IF(($A$2)&gt;=(ROW()-3),P$17*(SUM(P$19:P28)-((ROW()-3)*5)),P12)</f>
        <v>-2</v>
      </c>
      <c r="Q13">
        <f ca="1">IF(($A$2)&gt;=(ROW()-3),Q$17*(SUM(Q$19:Q28)-((ROW()-3)*5)),Q12)</f>
        <v>4</v>
      </c>
      <c r="R13">
        <f ca="1">IF(($A$2)&gt;=(ROW()-3),R$17*(SUM(R$19:R28)-((ROW()-3)*5)),R12)</f>
        <v>-6</v>
      </c>
      <c r="S13">
        <f ca="1">IF(($A$2)&gt;=(ROW()-3),S$17*(SUM(S$19:S28)-((ROW()-3)*5)),S12)</f>
        <v>4</v>
      </c>
      <c r="T13">
        <f ca="1">IF(($A$2)&gt;=(ROW()-3),T$17*(SUM(T$19:T28)-((ROW()-3)*5)),T12)</f>
        <v>-1</v>
      </c>
      <c r="U13">
        <f ca="1">IF(($A$2)&gt;=(ROW()-3),U$17*(SUM(U$19:U28)-((ROW()-3)*5)),U12)</f>
        <v>0</v>
      </c>
      <c r="V13">
        <f ca="1">IF(($A$2)&gt;=(ROW()-3),V$17*(SUM(V$19:V28)-((ROW()-3)*5)),V12)</f>
        <v>-8</v>
      </c>
      <c r="W13">
        <f ca="1">IF(($A$2)&gt;=(ROW()-3),W$17*(SUM(W$19:W28)-((ROW()-3)*5)),W12)</f>
        <v>0</v>
      </c>
      <c r="X13">
        <f ca="1">IF(($A$2)&gt;=(ROW()-3),X$17*(SUM(X$19:X28)-((ROW()-3)*5)),X12)</f>
        <v>4</v>
      </c>
      <c r="Y13">
        <f ca="1">IF(($A$2)&gt;=(ROW()-3),Y$17*(SUM(Y$19:Y28)-((ROW()-3)*5)),Y12)</f>
        <v>-1</v>
      </c>
      <c r="Z13">
        <f ca="1">IF(($A$2)&gt;=(ROW()-3),Z$17*(SUM(Z$19:Z28)-((ROW()-3)*5)),Z12)</f>
        <v>4</v>
      </c>
      <c r="AA13">
        <f ca="1">IF(($A$2)&gt;=(ROW()-3),AA$17*(SUM(AA$19:AA28)-((ROW()-3)*5)),AA12)</f>
        <v>-12</v>
      </c>
      <c r="AB13">
        <f ca="1">IF(($A$2)&gt;=(ROW()-3),AB$17*(SUM(AB$19:AB28)-((ROW()-3)*5)),AB12)</f>
        <v>-12</v>
      </c>
    </row>
    <row r="14" spans="1:78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-6</v>
      </c>
      <c r="H14">
        <f ca="1">IF(($A$2)&gt;=(ROW()-3),H$17*(SUM(H$19:H29)-((ROW()-3)*5)),H13)</f>
        <v>-7</v>
      </c>
      <c r="I14">
        <f ca="1">IF(($A$2)&gt;=(ROW()-3),I$17*(SUM(I$19:I29)-((ROW()-3)*5)),I13)</f>
        <v>-0.5</v>
      </c>
      <c r="J14">
        <f ca="1">IF(($A$2)&gt;=(ROW()-3),J$17*(SUM(J$19:J29)-((ROW()-3)*5)),J13)</f>
        <v>-55</v>
      </c>
      <c r="K14">
        <f ca="1">IF(($A$2)&gt;=(ROW()-3),K$17*(SUM(K$19:K29)-((ROW()-3)*5)),K13)</f>
        <v>-7</v>
      </c>
      <c r="L14">
        <f ca="1">IF(($A$2)&gt;=(ROW()-3),L$17*(SUM(L$19:L29)-((ROW()-3)*5)),L13)</f>
        <v>-2</v>
      </c>
      <c r="M14">
        <f ca="1">IF(($A$2)&gt;=(ROW()-3),M$17*(SUM(M$19:M29)-((ROW()-3)*5)),M13)</f>
        <v>-6</v>
      </c>
      <c r="N14">
        <f ca="1">IF(($A$2)&gt;=(ROW()-3),N$17*(SUM(N$19:N29)-((ROW()-3)*5)),N13)</f>
        <v>1</v>
      </c>
      <c r="O14">
        <f ca="1">IF(($A$2)&gt;=(ROW()-3),O$17*(SUM(O$19:O29)-((ROW()-3)*5)),O13)</f>
        <v>-2</v>
      </c>
      <c r="P14">
        <f ca="1">IF(($A$2)&gt;=(ROW()-3),P$17*(SUM(P$19:P29)-((ROW()-3)*5)),P13)</f>
        <v>0</v>
      </c>
      <c r="Q14">
        <f ca="1">IF(($A$2)&gt;=(ROW()-3),Q$17*(SUM(Q$19:Q29)-((ROW()-3)*5)),Q13)</f>
        <v>4</v>
      </c>
      <c r="R14">
        <f ca="1">IF(($A$2)&gt;=(ROW()-3),R$17*(SUM(R$19:R29)-((ROW()-3)*5)),R13)</f>
        <v>-4</v>
      </c>
      <c r="S14">
        <f ca="1">IF(($A$2)&gt;=(ROW()-3),S$17*(SUM(S$19:S29)-((ROW()-3)*5)),S13)</f>
        <v>5</v>
      </c>
      <c r="T14">
        <f ca="1">IF(($A$2)&gt;=(ROW()-3),T$17*(SUM(T$19:T29)-((ROW()-3)*5)),T13)</f>
        <v>-2</v>
      </c>
      <c r="U14">
        <f ca="1">IF(($A$2)&gt;=(ROW()-3),U$17*(SUM(U$19:U29)-((ROW()-3)*5)),U13)</f>
        <v>-1</v>
      </c>
      <c r="V14">
        <f ca="1">IF(($A$2)&gt;=(ROW()-3),V$17*(SUM(V$19:V29)-((ROW()-3)*5)),V13)</f>
        <v>-7</v>
      </c>
      <c r="W14">
        <f ca="1">IF(($A$2)&gt;=(ROW()-3),W$17*(SUM(W$19:W29)-((ROW()-3)*5)),W13)</f>
        <v>1</v>
      </c>
      <c r="X14">
        <f ca="1">IF(($A$2)&gt;=(ROW()-3),X$17*(SUM(X$19:X29)-((ROW()-3)*5)),X13)</f>
        <v>5</v>
      </c>
      <c r="Y14">
        <f ca="1">IF(($A$2)&gt;=(ROW()-3),Y$17*(SUM(Y$19:Y29)-((ROW()-3)*5)),Y13)</f>
        <v>-1</v>
      </c>
      <c r="Z14">
        <f ca="1">IF(($A$2)&gt;=(ROW()-3),Z$17*(SUM(Z$19:Z29)-((ROW()-3)*5)),Z13)</f>
        <v>1</v>
      </c>
      <c r="AA14">
        <f ca="1">IF(($A$2)&gt;=(ROW()-3),AA$17*(SUM(AA$19:AA29)-((ROW()-3)*5)),AA13)</f>
        <v>-11</v>
      </c>
      <c r="AB14">
        <f ca="1">IF(($A$2)&gt;=(ROW()-3),AB$17*(SUM(AB$19:AB29)-((ROW()-3)*5)),AB13)</f>
        <v>-11</v>
      </c>
    </row>
    <row r="15" spans="1:78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-2</v>
      </c>
      <c r="H15">
        <f ca="1">IF(($A$2)&gt;=(ROW()-3),H$17*(SUM(H$19:H30)-((ROW()-3)*5)),H14)</f>
        <v>-5</v>
      </c>
      <c r="I15">
        <f ca="1">IF(($A$2)&gt;=(ROW()-3),I$17*(SUM(I$19:I30)-((ROW()-3)*5)),I14)</f>
        <v>0.5</v>
      </c>
      <c r="J15">
        <f ca="1">IF(($A$2)&gt;=(ROW()-3),J$17*(SUM(J$19:J30)-((ROW()-3)*5)),J14)</f>
        <v>-60</v>
      </c>
      <c r="K15">
        <f ca="1">IF(($A$2)&gt;=(ROW()-3),K$17*(SUM(K$19:K30)-((ROW()-3)*5)),K14)</f>
        <v>-5</v>
      </c>
      <c r="L15">
        <f ca="1">IF(($A$2)&gt;=(ROW()-3),L$17*(SUM(L$19:L30)-((ROW()-3)*5)),L14)</f>
        <v>-2</v>
      </c>
      <c r="M15">
        <f ca="1">IF(($A$2)&gt;=(ROW()-3),M$17*(SUM(M$19:M30)-((ROW()-3)*5)),M14)</f>
        <v>-4</v>
      </c>
      <c r="N15">
        <f ca="1">IF(($A$2)&gt;=(ROW()-3),N$17*(SUM(N$19:N30)-((ROW()-3)*5)),N14)</f>
        <v>0</v>
      </c>
      <c r="O15">
        <f ca="1">IF(($A$2)&gt;=(ROW()-3),O$17*(SUM(O$19:O30)-((ROW()-3)*5)),O14)</f>
        <v>-2</v>
      </c>
      <c r="P15">
        <f ca="1">IF(($A$2)&gt;=(ROW()-3),P$17*(SUM(P$19:P30)-((ROW()-3)*5)),P14)</f>
        <v>-1</v>
      </c>
      <c r="Q15">
        <f ca="1">IF(($A$2)&gt;=(ROW()-3),Q$17*(SUM(Q$19:Q30)-((ROW()-3)*5)),Q14)</f>
        <v>5</v>
      </c>
      <c r="R15">
        <f ca="1">IF(($A$2)&gt;=(ROW()-3),R$17*(SUM(R$19:R30)-((ROW()-3)*5)),R14)</f>
        <v>-3</v>
      </c>
      <c r="S15">
        <f ca="1">IF(($A$2)&gt;=(ROW()-3),S$17*(SUM(S$19:S30)-((ROW()-3)*5)),S14)</f>
        <v>7</v>
      </c>
      <c r="T15">
        <f ca="1">IF(($A$2)&gt;=(ROW()-3),T$17*(SUM(T$19:T30)-((ROW()-3)*5)),T14)</f>
        <v>-2</v>
      </c>
      <c r="U15">
        <f ca="1">IF(($A$2)&gt;=(ROW()-3),U$17*(SUM(U$19:U30)-((ROW()-3)*5)),U14)</f>
        <v>1</v>
      </c>
      <c r="V15">
        <f ca="1">IF(($A$2)&gt;=(ROW()-3),V$17*(SUM(V$19:V30)-((ROW()-3)*5)),V14)</f>
        <v>-8</v>
      </c>
      <c r="W15">
        <f ca="1">IF(($A$2)&gt;=(ROW()-3),W$17*(SUM(W$19:W30)-((ROW()-3)*5)),W14)</f>
        <v>0</v>
      </c>
      <c r="X15">
        <f ca="1">IF(($A$2)&gt;=(ROW()-3),X$17*(SUM(X$19:X30)-((ROW()-3)*5)),X14)</f>
        <v>5</v>
      </c>
      <c r="Y15">
        <f ca="1">IF(($A$2)&gt;=(ROW()-3),Y$17*(SUM(Y$19:Y30)-((ROW()-3)*5)),Y14)</f>
        <v>3</v>
      </c>
      <c r="Z15">
        <f ca="1">IF(($A$2)&gt;=(ROW()-3),Z$17*(SUM(Z$19:Z30)-((ROW()-3)*5)),Z14)</f>
        <v>0</v>
      </c>
      <c r="AA15">
        <f ca="1">IF(($A$2)&gt;=(ROW()-3),AA$17*(SUM(AA$19:AA30)-((ROW()-3)*5)),AA14)</f>
        <v>-9</v>
      </c>
      <c r="AB15">
        <f ca="1">IF(($A$2)&gt;=(ROW()-3),AB$17*(SUM(AB$19:AB30)-((ROW()-3)*5)),AB14)</f>
        <v>-11</v>
      </c>
    </row>
    <row r="16" spans="1:78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-3</v>
      </c>
      <c r="H16">
        <f ca="1">IF(($A$2)&gt;=(ROW()-3),H$17*(SUM(H$19:H31)-((ROW()-3)*5)),H15)</f>
        <v>-5</v>
      </c>
      <c r="I16">
        <f ca="1">IF(($A$2)&gt;=(ROW()-3),I$17*(SUM(I$19:I31)-((ROW()-3)*5)),I15)</f>
        <v>1.5</v>
      </c>
      <c r="J16">
        <f ca="1">IF(($A$2)&gt;=(ROW()-3),J$17*(SUM(J$19:J31)-((ROW()-3)*5)),J15)</f>
        <v>-65</v>
      </c>
      <c r="K16">
        <f ca="1">IF(($A$2)&gt;=(ROW()-3),K$17*(SUM(K$19:K31)-((ROW()-3)*5)),K15)</f>
        <v>-4</v>
      </c>
      <c r="L16">
        <f ca="1">IF(($A$2)&gt;=(ROW()-3),L$17*(SUM(L$19:L31)-((ROW()-3)*5)),L15)</f>
        <v>0</v>
      </c>
      <c r="M16">
        <f ca="1">IF(($A$2)&gt;=(ROW()-3),M$17*(SUM(M$19:M31)-((ROW()-3)*5)),M15)</f>
        <v>-5</v>
      </c>
      <c r="N16">
        <f ca="1">IF(($A$2)&gt;=(ROW()-3),N$17*(SUM(N$19:N31)-((ROW()-3)*5)),N15)</f>
        <v>0</v>
      </c>
      <c r="O16">
        <f ca="1">IF(($A$2)&gt;=(ROW()-3),O$17*(SUM(O$19:O31)-((ROW()-3)*5)),O15)</f>
        <v>-2</v>
      </c>
      <c r="P16">
        <f ca="1">IF(($A$2)&gt;=(ROW()-3),P$17*(SUM(P$19:P31)-((ROW()-3)*5)),P15)</f>
        <v>-1</v>
      </c>
      <c r="Q16">
        <f ca="1">IF(($A$2)&gt;=(ROW()-3),Q$17*(SUM(Q$19:Q31)-((ROW()-3)*5)),Q15)</f>
        <v>4</v>
      </c>
      <c r="R16">
        <f ca="1">IF(($A$2)&gt;=(ROW()-3),R$17*(SUM(R$19:R31)-((ROW()-3)*5)),R15)</f>
        <v>-3</v>
      </c>
      <c r="S16">
        <f ca="1">IF(($A$2)&gt;=(ROW()-3),S$17*(SUM(S$19:S31)-((ROW()-3)*5)),S15)</f>
        <v>7</v>
      </c>
      <c r="T16">
        <f ca="1">IF(($A$2)&gt;=(ROW()-3),T$17*(SUM(T$19:T31)-((ROW()-3)*5)),T15)</f>
        <v>-4</v>
      </c>
      <c r="U16">
        <f ca="1">IF(($A$2)&gt;=(ROW()-3),U$17*(SUM(U$19:U31)-((ROW()-3)*5)),U15)</f>
        <v>2</v>
      </c>
      <c r="V16">
        <f ca="1">IF(($A$2)&gt;=(ROW()-3),V$17*(SUM(V$19:V31)-((ROW()-3)*5)),V15)</f>
        <v>-8</v>
      </c>
      <c r="W16">
        <f ca="1">IF(($A$2)&gt;=(ROW()-3),W$17*(SUM(W$19:W31)-((ROW()-3)*5)),W15)</f>
        <v>-3</v>
      </c>
      <c r="X16">
        <f ca="1">IF(($A$2)&gt;=(ROW()-3),X$17*(SUM(X$19:X31)-((ROW()-3)*5)),X15)</f>
        <v>4</v>
      </c>
      <c r="Y16">
        <f ca="1">IF(($A$2)&gt;=(ROW()-3),Y$17*(SUM(Y$19:Y31)-((ROW()-3)*5)),Y15)</f>
        <v>3</v>
      </c>
      <c r="Z16">
        <f ca="1">IF(($A$2)&gt;=(ROW()-3),Z$17*(SUM(Z$19:Z31)-((ROW()-3)*5)),Z15)</f>
        <v>-1</v>
      </c>
      <c r="AA16">
        <f ca="1">IF(($A$2)&gt;=(ROW()-3),AA$17*(SUM(AA$19:AA31)-((ROW()-3)*5)),AA15)</f>
        <v>-8</v>
      </c>
      <c r="AB16">
        <f ca="1">IF(($A$2)&gt;=(ROW()-3),AB$17*(SUM(AB$19:AB31)-((ROW()-3)*5)),AB15)</f>
        <v>-11</v>
      </c>
    </row>
    <row r="17" spans="1:28">
      <c r="A17" s="6" t="s">
        <v>122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</row>
    <row r="19" spans="1:28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3</v>
      </c>
      <c r="H19">
        <f t="shared" ca="1" si="0"/>
        <v>3</v>
      </c>
      <c r="I19">
        <f t="shared" ref="I19:AK28" ca="1" si="1">INDIRECT(ADDRESS(25,COLUMN(),1,,$A19))</f>
        <v>6</v>
      </c>
      <c r="J19">
        <f t="shared" ca="1" si="1"/>
        <v>0</v>
      </c>
      <c r="K19">
        <f t="shared" ca="1" si="1"/>
        <v>5</v>
      </c>
      <c r="L19">
        <f t="shared" ca="1" si="1"/>
        <v>4</v>
      </c>
      <c r="M19">
        <f t="shared" ca="1" si="1"/>
        <v>4</v>
      </c>
      <c r="N19">
        <f t="shared" ca="1" si="1"/>
        <v>6</v>
      </c>
      <c r="O19">
        <f t="shared" ca="1" si="1"/>
        <v>6</v>
      </c>
      <c r="P19">
        <f t="shared" ca="1" si="1"/>
        <v>7</v>
      </c>
      <c r="Q19">
        <f t="shared" ca="1" si="1"/>
        <v>5</v>
      </c>
      <c r="R19">
        <f t="shared" ca="1" si="1"/>
        <v>3</v>
      </c>
      <c r="S19">
        <f t="shared" ca="1" si="1"/>
        <v>6</v>
      </c>
      <c r="T19">
        <f t="shared" ca="1" si="1"/>
        <v>8</v>
      </c>
      <c r="U19">
        <f t="shared" ca="1" si="1"/>
        <v>8</v>
      </c>
      <c r="V19">
        <f t="shared" ca="1" si="1"/>
        <v>6</v>
      </c>
      <c r="W19">
        <f t="shared" ca="1" si="1"/>
        <v>6</v>
      </c>
      <c r="X19">
        <f t="shared" ca="1" si="1"/>
        <v>7</v>
      </c>
      <c r="Y19">
        <f t="shared" ca="1" si="1"/>
        <v>4</v>
      </c>
      <c r="Z19">
        <f t="shared" ca="1" si="1"/>
        <v>4</v>
      </c>
      <c r="AA19">
        <f t="shared" ca="1" si="1"/>
        <v>4</v>
      </c>
      <c r="AB19">
        <f t="shared" ca="1" si="1"/>
        <v>3</v>
      </c>
    </row>
    <row r="20" spans="1:28">
      <c r="A20" s="6" t="str">
        <f t="shared" ref="A20:A31" si="2">A5</f>
        <v>Wk02</v>
      </c>
      <c r="B20" s="6"/>
      <c r="C20" s="6"/>
      <c r="D20" s="6"/>
      <c r="E20">
        <f t="shared" ref="E20:F31" si="3">E$2*10</f>
        <v>5.5384615384615383</v>
      </c>
      <c r="F20">
        <f t="shared" si="3"/>
        <v>6.4615384615384617</v>
      </c>
      <c r="G20">
        <f t="shared" ca="1" si="0"/>
        <v>5</v>
      </c>
      <c r="H20">
        <f t="shared" ca="1" si="0"/>
        <v>4</v>
      </c>
      <c r="I20">
        <f t="shared" ref="I20:W20" ca="1" si="4">INDIRECT(ADDRESS(25,COLUMN(),1,,$A20))</f>
        <v>5.5</v>
      </c>
      <c r="J20">
        <f t="shared" ca="1" si="4"/>
        <v>0</v>
      </c>
      <c r="K20">
        <f t="shared" ca="1" si="4"/>
        <v>4</v>
      </c>
      <c r="L20">
        <f t="shared" ca="1" si="4"/>
        <v>5</v>
      </c>
      <c r="M20">
        <f t="shared" ca="1" si="4"/>
        <v>6</v>
      </c>
      <c r="N20">
        <f t="shared" ca="1" si="4"/>
        <v>4</v>
      </c>
      <c r="O20">
        <f t="shared" ca="1" si="4"/>
        <v>5</v>
      </c>
      <c r="P20">
        <f t="shared" ca="1" si="4"/>
        <v>4</v>
      </c>
      <c r="Q20">
        <f t="shared" ca="1" si="4"/>
        <v>6</v>
      </c>
      <c r="R20">
        <f t="shared" ca="1" si="4"/>
        <v>5</v>
      </c>
      <c r="S20">
        <f t="shared" ca="1" si="4"/>
        <v>4</v>
      </c>
      <c r="T20">
        <f t="shared" ca="1" si="4"/>
        <v>5</v>
      </c>
      <c r="U20">
        <f t="shared" ca="1" si="4"/>
        <v>7</v>
      </c>
      <c r="V20">
        <f t="shared" ca="1" si="4"/>
        <v>4</v>
      </c>
      <c r="W20">
        <f t="shared" ca="1" si="4"/>
        <v>3</v>
      </c>
      <c r="X20">
        <f t="shared" ca="1" si="1"/>
        <v>6</v>
      </c>
      <c r="Y20">
        <f t="shared" ca="1" si="1"/>
        <v>7</v>
      </c>
      <c r="Z20">
        <f t="shared" ca="1" si="1"/>
        <v>7</v>
      </c>
      <c r="AA20">
        <f t="shared" ca="1" si="1"/>
        <v>4</v>
      </c>
      <c r="AB20">
        <f t="shared" ca="1" si="1"/>
        <v>3</v>
      </c>
    </row>
    <row r="21" spans="1:28">
      <c r="A21" s="6" t="str">
        <f t="shared" si="2"/>
        <v>Wk03</v>
      </c>
      <c r="B21" s="6"/>
      <c r="C21" s="6"/>
      <c r="D21" s="6"/>
      <c r="E21">
        <f t="shared" si="3"/>
        <v>5.5384615384615383</v>
      </c>
      <c r="F21">
        <f t="shared" si="3"/>
        <v>6.4615384615384617</v>
      </c>
      <c r="G21">
        <f t="shared" ca="1" si="0"/>
        <v>5</v>
      </c>
      <c r="H21">
        <f t="shared" ca="1" si="0"/>
        <v>4</v>
      </c>
      <c r="I21">
        <f t="shared" ca="1" si="1"/>
        <v>3</v>
      </c>
      <c r="J21">
        <f t="shared" ca="1" si="1"/>
        <v>0</v>
      </c>
      <c r="K21">
        <f t="shared" ca="1" si="1"/>
        <v>1</v>
      </c>
      <c r="L21">
        <f t="shared" ca="1" si="1"/>
        <v>5</v>
      </c>
      <c r="M21">
        <f t="shared" ca="1" si="1"/>
        <v>3</v>
      </c>
      <c r="N21">
        <f t="shared" ca="1" si="1"/>
        <v>4</v>
      </c>
      <c r="O21">
        <f t="shared" ca="1" si="1"/>
        <v>4</v>
      </c>
      <c r="P21">
        <f t="shared" ca="1" si="1"/>
        <v>3</v>
      </c>
      <c r="Q21">
        <f t="shared" ca="1" si="1"/>
        <v>7</v>
      </c>
      <c r="R21">
        <f t="shared" ca="1" si="1"/>
        <v>4</v>
      </c>
      <c r="S21">
        <f t="shared" ca="1" si="1"/>
        <v>5</v>
      </c>
      <c r="T21">
        <f t="shared" ca="1" si="1"/>
        <v>4</v>
      </c>
      <c r="U21">
        <f t="shared" ca="1" si="1"/>
        <v>4</v>
      </c>
      <c r="V21">
        <f t="shared" ca="1" si="1"/>
        <v>2</v>
      </c>
      <c r="W21">
        <f t="shared" ca="1" si="1"/>
        <v>5</v>
      </c>
      <c r="X21">
        <f t="shared" ca="1" si="1"/>
        <v>4</v>
      </c>
      <c r="Y21">
        <f t="shared" ca="1" si="1"/>
        <v>8</v>
      </c>
      <c r="Z21">
        <f t="shared" ca="1" si="1"/>
        <v>4</v>
      </c>
      <c r="AA21">
        <f t="shared" ca="1" si="1"/>
        <v>3</v>
      </c>
      <c r="AB21">
        <f t="shared" ca="1" si="1"/>
        <v>5</v>
      </c>
    </row>
    <row r="22" spans="1:28">
      <c r="A22" s="6" t="str">
        <f t="shared" si="2"/>
        <v>Wk04</v>
      </c>
      <c r="B22" s="6"/>
      <c r="C22" s="6"/>
      <c r="D22" s="6"/>
      <c r="E22">
        <f t="shared" si="3"/>
        <v>5.5384615384615383</v>
      </c>
      <c r="F22">
        <f t="shared" si="3"/>
        <v>6.4615384615384617</v>
      </c>
      <c r="G22">
        <f t="shared" ca="1" si="0"/>
        <v>4</v>
      </c>
      <c r="H22">
        <f t="shared" ca="1" si="0"/>
        <v>4</v>
      </c>
      <c r="I22">
        <f t="shared" ca="1" si="1"/>
        <v>4</v>
      </c>
      <c r="J22">
        <f t="shared" ca="1" si="1"/>
        <v>0</v>
      </c>
      <c r="K22">
        <f t="shared" ca="1" si="1"/>
        <v>5</v>
      </c>
      <c r="L22">
        <f t="shared" ca="1" si="1"/>
        <v>4</v>
      </c>
      <c r="M22">
        <f t="shared" ca="1" si="1"/>
        <v>5</v>
      </c>
      <c r="N22">
        <f t="shared" ca="1" si="1"/>
        <v>7</v>
      </c>
      <c r="O22">
        <f t="shared" ca="1" si="1"/>
        <v>6</v>
      </c>
      <c r="P22">
        <f t="shared" ca="1" si="1"/>
        <v>3</v>
      </c>
      <c r="Q22">
        <f t="shared" ca="1" si="1"/>
        <v>6</v>
      </c>
      <c r="R22">
        <f t="shared" ca="1" si="1"/>
        <v>4</v>
      </c>
      <c r="S22">
        <f t="shared" ca="1" si="1"/>
        <v>4</v>
      </c>
      <c r="T22">
        <f t="shared" ca="1" si="1"/>
        <v>5</v>
      </c>
      <c r="U22">
        <f t="shared" ca="1" si="1"/>
        <v>2</v>
      </c>
      <c r="V22">
        <f t="shared" ca="1" si="1"/>
        <v>4</v>
      </c>
      <c r="W22">
        <f t="shared" ca="1" si="1"/>
        <v>3</v>
      </c>
      <c r="X22">
        <f t="shared" ca="1" si="1"/>
        <v>3</v>
      </c>
      <c r="Y22">
        <f t="shared" ca="1" si="1"/>
        <v>2</v>
      </c>
      <c r="Z22">
        <f t="shared" ca="1" si="1"/>
        <v>7</v>
      </c>
      <c r="AA22">
        <f t="shared" ca="1" si="1"/>
        <v>5</v>
      </c>
      <c r="AB22">
        <f t="shared" ca="1" si="1"/>
        <v>2</v>
      </c>
    </row>
    <row r="23" spans="1:28">
      <c r="A23" s="6" t="str">
        <f t="shared" si="2"/>
        <v>Wk05</v>
      </c>
      <c r="B23" s="6"/>
      <c r="C23" s="6"/>
      <c r="D23" s="6"/>
      <c r="E23">
        <f t="shared" si="3"/>
        <v>5.5384615384615383</v>
      </c>
      <c r="F23">
        <f t="shared" si="3"/>
        <v>6.4615384615384617</v>
      </c>
      <c r="G23">
        <f t="shared" ca="1" si="0"/>
        <v>6</v>
      </c>
      <c r="H23">
        <f t="shared" ca="1" si="0"/>
        <v>5</v>
      </c>
      <c r="I23">
        <f t="shared" ca="1" si="1"/>
        <v>4.5</v>
      </c>
      <c r="J23">
        <f t="shared" ca="1" si="1"/>
        <v>0</v>
      </c>
      <c r="K23">
        <f t="shared" ca="1" si="1"/>
        <v>5</v>
      </c>
      <c r="L23">
        <f t="shared" ca="1" si="1"/>
        <v>3</v>
      </c>
      <c r="M23">
        <f t="shared" ca="1" si="1"/>
        <v>4</v>
      </c>
      <c r="N23">
        <f t="shared" ca="1" si="1"/>
        <v>4</v>
      </c>
      <c r="O23">
        <f t="shared" ca="1" si="1"/>
        <v>5</v>
      </c>
      <c r="P23">
        <f t="shared" ca="1" si="1"/>
        <v>6</v>
      </c>
      <c r="Q23">
        <f t="shared" ca="1" si="1"/>
        <v>5</v>
      </c>
      <c r="R23">
        <f t="shared" ca="1" si="1"/>
        <v>4</v>
      </c>
      <c r="S23">
        <f t="shared" ca="1" si="1"/>
        <v>8</v>
      </c>
      <c r="T23">
        <f t="shared" ca="1" si="1"/>
        <v>5</v>
      </c>
      <c r="U23">
        <f t="shared" ca="1" si="1"/>
        <v>5</v>
      </c>
      <c r="V23">
        <f t="shared" ca="1" si="1"/>
        <v>5</v>
      </c>
      <c r="W23">
        <f t="shared" ca="1" si="1"/>
        <v>6</v>
      </c>
      <c r="X23">
        <f t="shared" ca="1" si="1"/>
        <v>4</v>
      </c>
      <c r="Y23">
        <f t="shared" ca="1" si="1"/>
        <v>5</v>
      </c>
      <c r="Z23">
        <f t="shared" ca="1" si="1"/>
        <v>6</v>
      </c>
      <c r="AA23">
        <f t="shared" ca="1" si="1"/>
        <v>5</v>
      </c>
      <c r="AB23">
        <f t="shared" ca="1" si="1"/>
        <v>5</v>
      </c>
    </row>
    <row r="24" spans="1:28">
      <c r="A24" s="6" t="str">
        <f t="shared" si="2"/>
        <v>Wk06</v>
      </c>
      <c r="B24" s="6"/>
      <c r="C24" s="6"/>
      <c r="D24" s="6"/>
      <c r="E24">
        <f t="shared" si="3"/>
        <v>5.5384615384615383</v>
      </c>
      <c r="F24">
        <f t="shared" si="3"/>
        <v>6.4615384615384617</v>
      </c>
      <c r="G24">
        <f t="shared" ca="1" si="0"/>
        <v>3</v>
      </c>
      <c r="H24">
        <f t="shared" ca="1" si="0"/>
        <v>4</v>
      </c>
      <c r="I24">
        <f t="shared" ca="1" si="1"/>
        <v>5.5</v>
      </c>
      <c r="J24">
        <f t="shared" ca="1" si="1"/>
        <v>0</v>
      </c>
      <c r="K24">
        <f t="shared" ca="1" si="1"/>
        <v>4</v>
      </c>
      <c r="L24">
        <f t="shared" ca="1" si="1"/>
        <v>6</v>
      </c>
      <c r="M24">
        <f t="shared" ca="1" si="1"/>
        <v>4</v>
      </c>
      <c r="N24">
        <f t="shared" ca="1" si="1"/>
        <v>5</v>
      </c>
      <c r="O24">
        <f t="shared" ca="1" si="1"/>
        <v>3</v>
      </c>
      <c r="P24">
        <f t="shared" ca="1" si="1"/>
        <v>3</v>
      </c>
      <c r="Q24">
        <f t="shared" ca="1" si="1"/>
        <v>6</v>
      </c>
      <c r="R24">
        <f t="shared" ca="1" si="1"/>
        <v>3</v>
      </c>
      <c r="S24">
        <f t="shared" ca="1" si="1"/>
        <v>4</v>
      </c>
      <c r="T24">
        <f t="shared" ca="1" si="1"/>
        <v>7</v>
      </c>
      <c r="U24">
        <f t="shared" ca="1" si="1"/>
        <v>5</v>
      </c>
      <c r="V24">
        <f t="shared" ca="1" si="1"/>
        <v>6</v>
      </c>
      <c r="W24">
        <f t="shared" ca="1" si="1"/>
        <v>5</v>
      </c>
      <c r="X24">
        <f t="shared" ca="1" si="1"/>
        <v>8</v>
      </c>
      <c r="Y24">
        <f t="shared" ca="1" si="1"/>
        <v>6</v>
      </c>
      <c r="Z24">
        <f t="shared" ca="1" si="1"/>
        <v>6</v>
      </c>
      <c r="AA24">
        <f t="shared" ca="1" si="1"/>
        <v>2</v>
      </c>
      <c r="AB24">
        <f t="shared" ca="1" si="1"/>
        <v>4</v>
      </c>
    </row>
    <row r="25" spans="1:28">
      <c r="A25" s="6" t="str">
        <f t="shared" si="2"/>
        <v>Wk07</v>
      </c>
      <c r="B25" s="6"/>
      <c r="C25" s="6"/>
      <c r="D25" s="6"/>
      <c r="E25">
        <f t="shared" si="3"/>
        <v>5.5384615384615383</v>
      </c>
      <c r="F25">
        <f t="shared" si="3"/>
        <v>6.4615384615384617</v>
      </c>
      <c r="G25">
        <f t="shared" ca="1" si="0"/>
        <v>4</v>
      </c>
      <c r="H25">
        <f t="shared" ca="1" si="0"/>
        <v>5</v>
      </c>
      <c r="I25">
        <f t="shared" ca="1" si="1"/>
        <v>4.5</v>
      </c>
      <c r="J25">
        <f t="shared" ca="1" si="1"/>
        <v>0</v>
      </c>
      <c r="K25">
        <f t="shared" ca="1" si="1"/>
        <v>3</v>
      </c>
      <c r="L25">
        <f t="shared" ca="1" si="1"/>
        <v>3</v>
      </c>
      <c r="M25">
        <f t="shared" ca="1" si="1"/>
        <v>5</v>
      </c>
      <c r="N25">
        <f t="shared" ca="1" si="1"/>
        <v>4</v>
      </c>
      <c r="O25">
        <f t="shared" ca="1" si="1"/>
        <v>5</v>
      </c>
      <c r="P25">
        <f t="shared" ca="1" si="1"/>
        <v>8</v>
      </c>
      <c r="Q25">
        <f t="shared" ca="1" si="1"/>
        <v>7</v>
      </c>
      <c r="R25">
        <f t="shared" ca="1" si="1"/>
        <v>3</v>
      </c>
      <c r="S25">
        <f t="shared" ca="1" si="1"/>
        <v>4</v>
      </c>
      <c r="T25">
        <f t="shared" ca="1" si="1"/>
        <v>4</v>
      </c>
      <c r="U25">
        <f t="shared" ca="1" si="1"/>
        <v>5</v>
      </c>
      <c r="V25">
        <f t="shared" ca="1" si="1"/>
        <v>2</v>
      </c>
      <c r="W25">
        <f t="shared" ca="1" si="1"/>
        <v>5</v>
      </c>
      <c r="X25">
        <f t="shared" ca="1" si="1"/>
        <v>4</v>
      </c>
      <c r="Y25">
        <f t="shared" ca="1" si="1"/>
        <v>3</v>
      </c>
      <c r="Z25">
        <f t="shared" ca="1" si="1"/>
        <v>7</v>
      </c>
      <c r="AA25">
        <f t="shared" ca="1" si="1"/>
        <v>3</v>
      </c>
      <c r="AB25">
        <f t="shared" ca="1" si="1"/>
        <v>4</v>
      </c>
    </row>
    <row r="26" spans="1:28">
      <c r="A26" s="6" t="str">
        <f t="shared" si="2"/>
        <v>Wk08</v>
      </c>
      <c r="B26" s="6"/>
      <c r="C26" s="6"/>
      <c r="D26" s="6"/>
      <c r="E26">
        <f t="shared" si="3"/>
        <v>5.5384615384615383</v>
      </c>
      <c r="F26">
        <f t="shared" si="3"/>
        <v>6.4615384615384617</v>
      </c>
      <c r="G26">
        <f t="shared" ca="1" si="0"/>
        <v>4</v>
      </c>
      <c r="H26">
        <f t="shared" ca="1" si="0"/>
        <v>5</v>
      </c>
      <c r="I26">
        <f t="shared" ca="1" si="1"/>
        <v>6</v>
      </c>
      <c r="J26">
        <f t="shared" ca="1" si="1"/>
        <v>0</v>
      </c>
      <c r="K26">
        <f t="shared" ca="1" si="1"/>
        <v>5</v>
      </c>
      <c r="L26">
        <f t="shared" ca="1" si="1"/>
        <v>6</v>
      </c>
      <c r="M26">
        <f t="shared" ca="1" si="1"/>
        <v>6</v>
      </c>
      <c r="N26">
        <f t="shared" ca="1" si="1"/>
        <v>6</v>
      </c>
      <c r="O26">
        <f t="shared" ca="1" si="1"/>
        <v>6</v>
      </c>
      <c r="P26">
        <f t="shared" ca="1" si="1"/>
        <v>7</v>
      </c>
      <c r="Q26">
        <f t="shared" ca="1" si="1"/>
        <v>4</v>
      </c>
      <c r="R26">
        <f t="shared" ca="1" si="1"/>
        <v>7</v>
      </c>
      <c r="S26">
        <f t="shared" ca="1" si="1"/>
        <v>5</v>
      </c>
      <c r="T26">
        <f t="shared" ca="1" si="1"/>
        <v>4</v>
      </c>
      <c r="U26">
        <f t="shared" ca="1" si="1"/>
        <v>2</v>
      </c>
      <c r="V26">
        <f t="shared" ca="1" si="1"/>
        <v>5</v>
      </c>
      <c r="W26">
        <f t="shared" ca="1" si="1"/>
        <v>5</v>
      </c>
      <c r="X26">
        <f t="shared" ca="1" si="1"/>
        <v>6</v>
      </c>
      <c r="Y26">
        <f t="shared" ca="1" si="1"/>
        <v>5</v>
      </c>
      <c r="Z26">
        <f t="shared" ca="1" si="1"/>
        <v>6</v>
      </c>
      <c r="AA26">
        <f t="shared" ca="1" si="1"/>
        <v>4</v>
      </c>
      <c r="AB26">
        <f t="shared" ca="1" si="1"/>
        <v>5</v>
      </c>
    </row>
    <row r="27" spans="1:28">
      <c r="A27" s="6" t="str">
        <f t="shared" si="2"/>
        <v>Wk09</v>
      </c>
      <c r="B27" s="6"/>
      <c r="C27" s="6"/>
      <c r="D27" s="6"/>
      <c r="E27">
        <f t="shared" si="3"/>
        <v>5.5384615384615383</v>
      </c>
      <c r="F27">
        <f t="shared" si="3"/>
        <v>6.4615384615384617</v>
      </c>
      <c r="G27">
        <f t="shared" ca="1" si="0"/>
        <v>6</v>
      </c>
      <c r="H27">
        <f t="shared" ca="1" si="0"/>
        <v>5</v>
      </c>
      <c r="I27">
        <f t="shared" ca="1" si="1"/>
        <v>4.5</v>
      </c>
      <c r="J27">
        <f t="shared" ca="1" si="1"/>
        <v>0</v>
      </c>
      <c r="K27">
        <f t="shared" ca="1" si="1"/>
        <v>5</v>
      </c>
      <c r="L27">
        <f t="shared" ca="1" si="1"/>
        <v>5</v>
      </c>
      <c r="M27">
        <f t="shared" ca="1" si="1"/>
        <v>4</v>
      </c>
      <c r="N27">
        <f t="shared" ca="1" si="1"/>
        <v>4</v>
      </c>
      <c r="O27">
        <f t="shared" ca="1" si="1"/>
        <v>2</v>
      </c>
      <c r="P27">
        <f t="shared" ca="1" si="1"/>
        <v>5</v>
      </c>
      <c r="Q27">
        <f t="shared" ca="1" si="1"/>
        <v>4</v>
      </c>
      <c r="R27">
        <f t="shared" ca="1" si="1"/>
        <v>6</v>
      </c>
      <c r="S27">
        <f t="shared" ca="1" si="1"/>
        <v>7</v>
      </c>
      <c r="T27">
        <f t="shared" ca="1" si="1"/>
        <v>4</v>
      </c>
      <c r="U27">
        <f t="shared" ca="1" si="1"/>
        <v>6</v>
      </c>
      <c r="V27">
        <f t="shared" ca="1" si="1"/>
        <v>6</v>
      </c>
      <c r="W27">
        <f t="shared" ca="1" si="1"/>
        <v>8</v>
      </c>
      <c r="X27">
        <f t="shared" ca="1" si="1"/>
        <v>5</v>
      </c>
      <c r="Y27">
        <f t="shared" ca="1" si="1"/>
        <v>4</v>
      </c>
      <c r="Z27">
        <f t="shared" ca="1" si="1"/>
        <v>3</v>
      </c>
      <c r="AA27">
        <f t="shared" ca="1" si="1"/>
        <v>3</v>
      </c>
      <c r="AB27">
        <f t="shared" ca="1" si="1"/>
        <v>3</v>
      </c>
    </row>
    <row r="28" spans="1:28">
      <c r="A28" s="6" t="str">
        <f t="shared" si="2"/>
        <v>Wk10</v>
      </c>
      <c r="B28" s="6"/>
      <c r="C28" s="6"/>
      <c r="D28" s="6"/>
      <c r="E28">
        <f t="shared" si="3"/>
        <v>5.5384615384615383</v>
      </c>
      <c r="F28">
        <f t="shared" si="3"/>
        <v>6.4615384615384617</v>
      </c>
      <c r="G28">
        <f t="shared" ca="1" si="0"/>
        <v>5</v>
      </c>
      <c r="H28">
        <f t="shared" ca="1" si="0"/>
        <v>3</v>
      </c>
      <c r="I28">
        <f t="shared" ca="1" si="1"/>
        <v>5.5</v>
      </c>
      <c r="J28">
        <f t="shared" ca="1" si="1"/>
        <v>0</v>
      </c>
      <c r="K28">
        <f t="shared" ca="1" si="1"/>
        <v>7</v>
      </c>
      <c r="L28">
        <f t="shared" ca="1" si="1"/>
        <v>7</v>
      </c>
      <c r="M28">
        <f t="shared" ca="1" si="1"/>
        <v>3</v>
      </c>
      <c r="N28">
        <f t="shared" ca="1" si="1"/>
        <v>6</v>
      </c>
      <c r="O28">
        <f t="shared" ca="1" si="1"/>
        <v>5</v>
      </c>
      <c r="P28">
        <f t="shared" ca="1" si="1"/>
        <v>2</v>
      </c>
      <c r="Q28">
        <f t="shared" ca="1" si="1"/>
        <v>4</v>
      </c>
      <c r="R28">
        <f t="shared" ref="I28:AM31" ca="1" si="5">INDIRECT(ADDRESS(25,COLUMN(),1,,$A28))</f>
        <v>5</v>
      </c>
      <c r="S28">
        <f t="shared" ca="1" si="5"/>
        <v>7</v>
      </c>
      <c r="T28">
        <f t="shared" ca="1" si="5"/>
        <v>3</v>
      </c>
      <c r="U28">
        <f t="shared" ca="1" si="5"/>
        <v>6</v>
      </c>
      <c r="V28">
        <f t="shared" ca="1" si="5"/>
        <v>2</v>
      </c>
      <c r="W28">
        <f t="shared" ca="1" si="5"/>
        <v>4</v>
      </c>
      <c r="X28">
        <f t="shared" ca="1" si="5"/>
        <v>7</v>
      </c>
      <c r="Y28">
        <f t="shared" ca="1" si="5"/>
        <v>5</v>
      </c>
      <c r="Z28">
        <f t="shared" ca="1" si="5"/>
        <v>4</v>
      </c>
      <c r="AA28">
        <f t="shared" ca="1" si="5"/>
        <v>5</v>
      </c>
      <c r="AB28">
        <f t="shared" ca="1" si="5"/>
        <v>4</v>
      </c>
    </row>
    <row r="29" spans="1:28">
      <c r="A29" s="6" t="str">
        <f t="shared" si="2"/>
        <v>Wk11</v>
      </c>
      <c r="B29" s="6"/>
      <c r="C29" s="6"/>
      <c r="D29" s="6"/>
      <c r="E29">
        <f t="shared" si="3"/>
        <v>5.5384615384615383</v>
      </c>
      <c r="F29">
        <f t="shared" si="3"/>
        <v>6.4615384615384617</v>
      </c>
      <c r="G29">
        <f t="shared" ca="1" si="0"/>
        <v>4</v>
      </c>
      <c r="H29">
        <f t="shared" ca="1" si="0"/>
        <v>6</v>
      </c>
      <c r="I29">
        <f t="shared" ca="1" si="5"/>
        <v>5.5</v>
      </c>
      <c r="J29">
        <f t="shared" ca="1" si="5"/>
        <v>0</v>
      </c>
      <c r="K29">
        <f t="shared" ca="1" si="5"/>
        <v>4</v>
      </c>
      <c r="L29">
        <f t="shared" ca="1" si="5"/>
        <v>5</v>
      </c>
      <c r="M29">
        <f t="shared" ca="1" si="5"/>
        <v>5</v>
      </c>
      <c r="N29">
        <f t="shared" ca="1" si="5"/>
        <v>6</v>
      </c>
      <c r="O29">
        <f t="shared" ca="1" si="5"/>
        <v>6</v>
      </c>
      <c r="P29">
        <f t="shared" ca="1" si="5"/>
        <v>7</v>
      </c>
      <c r="Q29">
        <f t="shared" ca="1" si="5"/>
        <v>5</v>
      </c>
      <c r="R29">
        <f t="shared" ca="1" si="5"/>
        <v>7</v>
      </c>
      <c r="S29">
        <f t="shared" ca="1" si="5"/>
        <v>6</v>
      </c>
      <c r="T29">
        <f t="shared" ca="1" si="5"/>
        <v>4</v>
      </c>
      <c r="U29">
        <f t="shared" ca="1" si="5"/>
        <v>4</v>
      </c>
      <c r="V29">
        <f t="shared" ca="1" si="5"/>
        <v>6</v>
      </c>
      <c r="W29">
        <f t="shared" ca="1" si="5"/>
        <v>6</v>
      </c>
      <c r="X29">
        <f t="shared" ca="1" si="5"/>
        <v>6</v>
      </c>
      <c r="Y29">
        <f t="shared" ca="1" si="5"/>
        <v>5</v>
      </c>
      <c r="Z29">
        <f t="shared" ca="1" si="5"/>
        <v>2</v>
      </c>
      <c r="AA29">
        <f t="shared" ca="1" si="5"/>
        <v>6</v>
      </c>
      <c r="AB29">
        <f t="shared" ca="1" si="5"/>
        <v>6</v>
      </c>
    </row>
    <row r="30" spans="1:28">
      <c r="A30" s="6" t="str">
        <f t="shared" si="2"/>
        <v>Wk12</v>
      </c>
      <c r="B30" s="6"/>
      <c r="C30" s="6"/>
      <c r="D30" s="6"/>
      <c r="E30">
        <f t="shared" si="3"/>
        <v>5.5384615384615383</v>
      </c>
      <c r="F30">
        <f t="shared" si="3"/>
        <v>6.4615384615384617</v>
      </c>
      <c r="G30">
        <f t="shared" ca="1" si="0"/>
        <v>9</v>
      </c>
      <c r="H30">
        <f t="shared" ca="1" si="0"/>
        <v>7</v>
      </c>
      <c r="I30">
        <f t="shared" ca="1" si="5"/>
        <v>6</v>
      </c>
      <c r="J30">
        <f t="shared" ca="1" si="5"/>
        <v>0</v>
      </c>
      <c r="K30">
        <f t="shared" ca="1" si="5"/>
        <v>7</v>
      </c>
      <c r="L30">
        <f t="shared" ca="1" si="5"/>
        <v>5</v>
      </c>
      <c r="M30">
        <f t="shared" ca="1" si="5"/>
        <v>7</v>
      </c>
      <c r="N30">
        <f t="shared" ca="1" si="5"/>
        <v>4</v>
      </c>
      <c r="O30">
        <f t="shared" ca="1" si="5"/>
        <v>5</v>
      </c>
      <c r="P30">
        <f t="shared" ca="1" si="5"/>
        <v>4</v>
      </c>
      <c r="Q30">
        <f t="shared" ca="1" si="5"/>
        <v>6</v>
      </c>
      <c r="R30">
        <f t="shared" ca="1" si="5"/>
        <v>6</v>
      </c>
      <c r="S30">
        <f t="shared" ca="1" si="5"/>
        <v>7</v>
      </c>
      <c r="T30">
        <f t="shared" ca="1" si="5"/>
        <v>5</v>
      </c>
      <c r="U30">
        <f t="shared" ca="1" si="5"/>
        <v>7</v>
      </c>
      <c r="V30">
        <f t="shared" ca="1" si="5"/>
        <v>4</v>
      </c>
      <c r="W30">
        <f t="shared" ca="1" si="5"/>
        <v>4</v>
      </c>
      <c r="X30">
        <f t="shared" ca="1" si="5"/>
        <v>5</v>
      </c>
      <c r="Y30">
        <f t="shared" ca="1" si="5"/>
        <v>9</v>
      </c>
      <c r="Z30">
        <f t="shared" ca="1" si="5"/>
        <v>4</v>
      </c>
      <c r="AA30">
        <f t="shared" ca="1" si="5"/>
        <v>7</v>
      </c>
      <c r="AB30">
        <f t="shared" ca="1" si="5"/>
        <v>5</v>
      </c>
    </row>
    <row r="31" spans="1:28">
      <c r="A31" s="6" t="str">
        <f t="shared" si="2"/>
        <v>Wk13</v>
      </c>
      <c r="B31" s="6"/>
      <c r="C31" s="6"/>
      <c r="D31" s="6"/>
      <c r="E31">
        <f t="shared" si="3"/>
        <v>5.5384615384615383</v>
      </c>
      <c r="F31">
        <f t="shared" si="3"/>
        <v>6.4615384615384617</v>
      </c>
      <c r="G31">
        <f t="shared" ca="1" si="0"/>
        <v>4</v>
      </c>
      <c r="H31">
        <f t="shared" ca="1" si="0"/>
        <v>5</v>
      </c>
      <c r="I31">
        <f t="shared" ca="1" si="5"/>
        <v>6</v>
      </c>
      <c r="J31">
        <f t="shared" ca="1" si="5"/>
        <v>0</v>
      </c>
      <c r="K31">
        <f t="shared" ca="1" si="5"/>
        <v>6</v>
      </c>
      <c r="L31">
        <f t="shared" ca="1" si="5"/>
        <v>7</v>
      </c>
      <c r="M31">
        <f t="shared" ca="1" si="5"/>
        <v>4</v>
      </c>
      <c r="N31">
        <f t="shared" ca="1" si="5"/>
        <v>5</v>
      </c>
      <c r="O31">
        <f t="shared" ca="1" si="5"/>
        <v>5</v>
      </c>
      <c r="P31">
        <f t="shared" ca="1" si="5"/>
        <v>5</v>
      </c>
      <c r="Q31">
        <f t="shared" ca="1" si="5"/>
        <v>4</v>
      </c>
      <c r="R31">
        <f t="shared" ca="1" si="5"/>
        <v>5</v>
      </c>
      <c r="S31">
        <f t="shared" ca="1" si="5"/>
        <v>5</v>
      </c>
      <c r="T31">
        <f t="shared" ca="1" si="5"/>
        <v>3</v>
      </c>
      <c r="U31">
        <f t="shared" ca="1" si="5"/>
        <v>6</v>
      </c>
      <c r="V31">
        <f t="shared" ca="1" si="5"/>
        <v>5</v>
      </c>
      <c r="W31">
        <f t="shared" ca="1" si="5"/>
        <v>2</v>
      </c>
      <c r="X31">
        <f t="shared" ca="1" si="5"/>
        <v>4</v>
      </c>
      <c r="Y31">
        <f t="shared" ca="1" si="5"/>
        <v>5</v>
      </c>
      <c r="Z31">
        <f t="shared" ca="1" si="5"/>
        <v>4</v>
      </c>
      <c r="AA31">
        <f t="shared" ca="1" si="5"/>
        <v>6</v>
      </c>
      <c r="AB31">
        <f t="shared" ca="1" si="5"/>
        <v>5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2.75"/>
  <sheetData>
    <row r="1" spans="1:2">
      <c r="A1" s="26" t="str">
        <f>IF(ISBLANK(B1),IF((weekcnt)&lt;10,("Wk0"&amp;(weekcnt)),("Wk"&amp;(weekcnt))),B1)</f>
        <v>Wk13</v>
      </c>
      <c r="B1" s="26"/>
    </row>
    <row r="3" spans="1:2" ht="13.5" thickBot="1"/>
    <row r="4" spans="1:2">
      <c r="A4" s="77" t="s">
        <v>105</v>
      </c>
      <c r="B4" s="77" t="s">
        <v>104</v>
      </c>
    </row>
    <row r="5" spans="1:2">
      <c r="A5" s="74">
        <v>0</v>
      </c>
      <c r="B5" s="75">
        <f ca="1">histoBin(INDIRECT($A$1&amp;"!R25C11:R25C"&amp;11+[0]!playercnt-1,FALSE),A5-0.5,A5+0.5)</f>
        <v>0</v>
      </c>
    </row>
    <row r="6" spans="1:2">
      <c r="A6" s="74">
        <v>1</v>
      </c>
      <c r="B6" s="75">
        <f ca="1">histoBin(INDIRECT($A$1&amp;"!R25C11:R25C"&amp;11+[0]!playercnt-1,FALSE),A6-0.5,A6+0.5)</f>
        <v>0</v>
      </c>
    </row>
    <row r="7" spans="1:2">
      <c r="A7" s="74">
        <v>2</v>
      </c>
      <c r="B7" s="75">
        <f ca="1">histoBin(INDIRECT($A$1&amp;"!R25C11:R25C"&amp;11+[0]!playercnt-1,FALSE),A7-0.5,A7+0.5)</f>
        <v>1</v>
      </c>
    </row>
    <row r="8" spans="1:2">
      <c r="A8" s="74">
        <v>3</v>
      </c>
      <c r="B8" s="75">
        <f ca="1">histoBin(INDIRECT($A$1&amp;"!R25C11:R25C"&amp;11+[0]!playercnt-1,FALSE),A8-0.5,A8+0.5)</f>
        <v>1</v>
      </c>
    </row>
    <row r="9" spans="1:2">
      <c r="A9" s="74">
        <v>4</v>
      </c>
      <c r="B9" s="75">
        <f ca="1">histoBin(INDIRECT($A$1&amp;"!R25C11:R25C"&amp;11+[0]!playercnt-1,FALSE),A9-0.5,A9+0.5)</f>
        <v>4</v>
      </c>
    </row>
    <row r="10" spans="1:2">
      <c r="A10" s="74">
        <v>5</v>
      </c>
      <c r="B10" s="75">
        <f ca="1">histoBin(INDIRECT($A$1&amp;"!R25C11:R25C"&amp;11+[0]!playercnt-1,FALSE),A10-0.5,A10+0.5)</f>
        <v>8</v>
      </c>
    </row>
    <row r="11" spans="1:2">
      <c r="A11" s="74">
        <v>6</v>
      </c>
      <c r="B11" s="75">
        <f ca="1">histoBin(INDIRECT($A$1&amp;"!R25C11:R25C"&amp;11+[0]!playercnt-1,FALSE),A11-0.5,A11+0.5)</f>
        <v>3</v>
      </c>
    </row>
    <row r="12" spans="1:2">
      <c r="A12" s="74">
        <v>7</v>
      </c>
      <c r="B12" s="75">
        <f ca="1">histoBin(INDIRECT($A$1&amp;"!R25C11:R25C"&amp;11+[0]!playercnt-1,FALSE),A12-0.5,A12+0.5)</f>
        <v>1</v>
      </c>
    </row>
    <row r="13" spans="1:2">
      <c r="A13" s="74">
        <v>8</v>
      </c>
      <c r="B13" s="75">
        <f ca="1">histoBin(INDIRECT($A$1&amp;"!R25C11:R25C"&amp;11+[0]!playercnt-1,FALSE),A13-0.5,A13+0.5)</f>
        <v>0</v>
      </c>
    </row>
    <row r="14" spans="1:2">
      <c r="A14" s="74">
        <v>9</v>
      </c>
      <c r="B14" s="75">
        <f ca="1">histoBin(INDIRECT($A$1&amp;"!R25C11:R25C"&amp;11+[0]!playercnt-1,FALSE),A14-0.5,A14+0.5)</f>
        <v>0</v>
      </c>
    </row>
    <row r="15" spans="1: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>
      <c r="A16" s="76"/>
      <c r="B16" s="76"/>
    </row>
    <row r="29" spans="1:2">
      <c r="A29" t="s">
        <v>106</v>
      </c>
      <c r="B29" s="74">
        <f ca="1">MIN(INDIRECT("Standings!R8C4:R"&amp;8+playercnt-1&amp;"C4",FALSE))</f>
        <v>54</v>
      </c>
    </row>
    <row r="30" spans="1:2">
      <c r="A30" t="s">
        <v>107</v>
      </c>
      <c r="B30" s="74">
        <f ca="1">MAX(INDIRECT("Standings!R8C4:R"&amp;8+playercnt-1&amp;"C4",FALSE))</f>
        <v>72</v>
      </c>
    </row>
    <row r="31" spans="1:2" ht="13.5" thickBot="1">
      <c r="A31" t="s">
        <v>108</v>
      </c>
      <c r="B31">
        <f ca="1">IF((B30-B29)&lt;=10,1,(((B30-B29)/10)))</f>
        <v>1.8</v>
      </c>
    </row>
    <row r="32" spans="1:2">
      <c r="A32" s="77" t="s">
        <v>105</v>
      </c>
      <c r="B32" s="77" t="s">
        <v>104</v>
      </c>
    </row>
    <row r="33" spans="1:2">
      <c r="A33" s="74">
        <f ca="1">B29</f>
        <v>54</v>
      </c>
      <c r="B33" s="75">
        <f ca="1">histoBin(INDIRECT("Standings!R8C4:R"&amp;8+playercnt-1&amp;"C4",FALSE),A33-($B$31/2),A33+($B$31/2))</f>
        <v>1</v>
      </c>
    </row>
    <row r="34" spans="1:2">
      <c r="A34" s="74">
        <f ca="1">A33+$B$31</f>
        <v>55.8</v>
      </c>
      <c r="B34" s="75">
        <f t="shared" ref="B34:B43" ca="1" si="0">histoBin(INDIRECT("Standings!R8C4:R"&amp;8+playercnt-1&amp;"C4",FALSE),A34-($B$31/2),A34+($B$31/2))</f>
        <v>0</v>
      </c>
    </row>
    <row r="35" spans="1:2">
      <c r="A35" s="74">
        <f t="shared" ref="A35:A42" ca="1" si="1">A34+$B$31</f>
        <v>57.599999999999994</v>
      </c>
      <c r="B35" s="75">
        <f t="shared" ca="1" si="0"/>
        <v>2</v>
      </c>
    </row>
    <row r="36" spans="1:2">
      <c r="A36" s="74">
        <f t="shared" ca="1" si="1"/>
        <v>59.399999999999991</v>
      </c>
      <c r="B36" s="75">
        <f t="shared" ca="1" si="0"/>
        <v>1</v>
      </c>
    </row>
    <row r="37" spans="1:2">
      <c r="A37" s="74">
        <f t="shared" ca="1" si="1"/>
        <v>61.199999999999989</v>
      </c>
      <c r="B37" s="75">
        <f t="shared" ca="1" si="0"/>
        <v>4</v>
      </c>
    </row>
    <row r="38" spans="1:2">
      <c r="A38" s="74">
        <f t="shared" ca="1" si="1"/>
        <v>62.999999999999986</v>
      </c>
      <c r="B38" s="75">
        <f t="shared" ca="1" si="0"/>
        <v>1</v>
      </c>
    </row>
    <row r="39" spans="1:2">
      <c r="A39" s="74">
        <f t="shared" ca="1" si="1"/>
        <v>64.799999999999983</v>
      </c>
      <c r="B39" s="75">
        <f t="shared" ca="1" si="0"/>
        <v>4</v>
      </c>
    </row>
    <row r="40" spans="1:2">
      <c r="A40" s="74">
        <f t="shared" ca="1" si="1"/>
        <v>66.59999999999998</v>
      </c>
      <c r="B40" s="75">
        <f t="shared" ca="1" si="0"/>
        <v>1</v>
      </c>
    </row>
    <row r="41" spans="1:2">
      <c r="A41" s="74">
        <f t="shared" ca="1" si="1"/>
        <v>68.399999999999977</v>
      </c>
      <c r="B41" s="75">
        <f t="shared" ca="1" si="0"/>
        <v>3</v>
      </c>
    </row>
    <row r="42" spans="1:2">
      <c r="A42" s="74">
        <f t="shared" ca="1" si="1"/>
        <v>70.199999999999974</v>
      </c>
      <c r="B42" s="75">
        <f t="shared" ca="1" si="0"/>
        <v>0</v>
      </c>
    </row>
    <row r="43" spans="1:2">
      <c r="A43" s="74">
        <f ca="1">A42+$B$31</f>
        <v>71.999999999999972</v>
      </c>
      <c r="B43" s="75">
        <f t="shared" ca="1" si="0"/>
        <v>1</v>
      </c>
    </row>
    <row r="44" spans="1:2" ht="13.5" thickBot="1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BX110"/>
  <sheetViews>
    <sheetView zoomScale="80" zoomScaleNormal="80" workbookViewId="0">
      <pane ySplit="2445" topLeftCell="A34"/>
      <selection activeCell="AP1" sqref="AP1:AP1048576"/>
      <selection pane="bottomLeft" activeCell="AX80" sqref="AX80"/>
    </sheetView>
  </sheetViews>
  <sheetFormatPr defaultRowHeight="12.75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76" width="3.28515625" customWidth="1"/>
  </cols>
  <sheetData>
    <row r="2" spans="4:76" ht="32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>
      <c r="C25">
        <f ca="1">SUM(INDIRECT("RC11:RC"&amp;11+playercnt-1,FALSE))</f>
        <v>18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>
      <c r="A33" s="26" t="str">
        <f>IF(ISBLANK(B33),IF((weekcnt+1)&lt;10,("Wk0"&amp;(weekcnt+1)),("Wk"&amp;(weekcnt+1))),B33)</f>
        <v>Wk14</v>
      </c>
    </row>
    <row r="34" spans="1:76" ht="111" customHeight="1">
      <c r="B34" s="22">
        <f ca="1">(SUM(INDIRECT("R42C11:R"&amp;42+playercnt-1&amp;"C"&amp;11+playercnt-1,FALSE))-(10*picks_entered))/((picks_entered^2)-picks_entered)</f>
        <v>20.588235294117649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str">
        <f t="shared" ca="1" si="26"/>
        <v/>
      </c>
      <c r="AD34" s="2" t="str">
        <f t="shared" ca="1" si="26"/>
        <v/>
      </c>
      <c r="AE34" s="2" t="str">
        <f t="shared" ca="1" si="26"/>
        <v/>
      </c>
      <c r="AF34" s="2" t="str">
        <f t="shared" ca="1" si="26"/>
        <v/>
      </c>
      <c r="AG34" s="2" t="str">
        <f t="shared" ca="1" si="26"/>
        <v/>
      </c>
      <c r="AH34" s="2" t="str">
        <f t="shared" ca="1" si="26"/>
        <v/>
      </c>
      <c r="AI34" s="2" t="str">
        <f t="shared" ca="1" si="26"/>
        <v/>
      </c>
      <c r="AJ34" s="2" t="str">
        <f t="shared" ca="1" si="26"/>
        <v/>
      </c>
      <c r="AK34" s="2" t="str">
        <f t="shared" ca="1" si="26"/>
        <v/>
      </c>
      <c r="AL34" s="2" t="str">
        <f t="shared" ca="1" si="26"/>
        <v/>
      </c>
      <c r="AM34" s="2" t="str">
        <f t="shared" ca="1" si="26"/>
        <v/>
      </c>
      <c r="AN34" s="2" t="str">
        <f t="shared" ca="1" si="26"/>
        <v/>
      </c>
      <c r="AO34" s="2" t="str">
        <f t="shared" ca="1" si="26"/>
        <v/>
      </c>
      <c r="AP34" s="2" t="str">
        <f t="shared" ca="1" si="26"/>
        <v/>
      </c>
      <c r="AQ34" s="2" t="str">
        <f t="shared" ca="1" si="26"/>
        <v/>
      </c>
      <c r="AR34" s="2" t="str">
        <f t="shared" ca="1" si="26"/>
        <v/>
      </c>
      <c r="AS34" s="2" t="str">
        <f t="shared" ca="1" si="26"/>
        <v/>
      </c>
      <c r="AT34" s="2" t="str">
        <f t="shared" ca="1" si="26"/>
        <v/>
      </c>
      <c r="AU34" s="2" t="str">
        <f t="shared" ca="1" si="26"/>
        <v/>
      </c>
      <c r="AV34" s="2" t="str">
        <f t="shared" ca="1" si="26"/>
        <v/>
      </c>
      <c r="AW34" s="2" t="str">
        <f t="shared" ca="1" si="26"/>
        <v/>
      </c>
      <c r="AX34" s="2" t="str">
        <f t="shared" ca="1" si="26"/>
        <v/>
      </c>
      <c r="AY34" s="2" t="str">
        <f t="shared" ca="1" si="26"/>
        <v/>
      </c>
      <c r="AZ34" s="2" t="str">
        <f t="shared" ca="1" si="26"/>
        <v/>
      </c>
      <c r="BA34" s="2" t="str">
        <f t="shared" ca="1" si="26"/>
        <v/>
      </c>
      <c r="BB34" s="2" t="str">
        <f t="shared" ca="1" si="26"/>
        <v/>
      </c>
      <c r="BC34" s="2" t="str">
        <f t="shared" ca="1" si="26"/>
        <v/>
      </c>
      <c r="BD34" s="2" t="str">
        <f t="shared" ca="1" si="26"/>
        <v/>
      </c>
      <c r="BE34" s="2" t="str">
        <f t="shared" ca="1" si="26"/>
        <v/>
      </c>
      <c r="BF34" s="2" t="str">
        <f t="shared" ca="1" si="26"/>
        <v/>
      </c>
      <c r="BG34" s="2" t="str">
        <f t="shared" ca="1" si="26"/>
        <v/>
      </c>
      <c r="BH34" s="2" t="str">
        <f t="shared" ca="1" si="26"/>
        <v/>
      </c>
      <c r="BI34" s="2" t="str">
        <f t="shared" ca="1" si="26"/>
        <v/>
      </c>
      <c r="BJ34" s="2" t="str">
        <f t="shared" ca="1" si="26"/>
        <v/>
      </c>
      <c r="BK34" s="2" t="str">
        <f t="shared" ca="1" si="26"/>
        <v/>
      </c>
      <c r="BL34" s="2" t="str">
        <f t="shared" ca="1" si="26"/>
        <v/>
      </c>
      <c r="BM34" s="2" t="str">
        <f t="shared" ca="1" si="26"/>
        <v/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>
      <c r="A35" s="22"/>
      <c r="B35" s="27" t="str">
        <f ca="1">IF(INDIRECT(ADDRESS(ROW(),COLUMN()+(ROW()-33)))=10,(SUM(D35:AW35)-10)/(playercnt-1),"")</f>
        <v/>
      </c>
    </row>
    <row r="36" spans="1:76" ht="3.75" customHeight="1">
      <c r="A36" s="22"/>
      <c r="B36" s="27" t="str">
        <f ca="1">IF(INDIRECT(ADDRESS(ROW(),COLUMN()+(ROW()-33)))=10,(SUM(D36:AW36)-10)/(playercnt-1),"")</f>
        <v/>
      </c>
    </row>
    <row r="37" spans="1:76" ht="3" customHeight="1">
      <c r="B37" s="27" t="str">
        <f ca="1">IF(INDIRECT(ADDRESS(ROW(),COLUMN()+(ROW()-33)))=10,(SUM(D37:AW37)-10)/(playercnt-1),"")</f>
        <v/>
      </c>
    </row>
    <row r="38" spans="1:76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 t="str">
        <f ca="1">IF(AND(((COLUMN()-10)&lt;=playercnt),((ROW()-41)&lt;=playercnt)),SUMPRODUCT(INDIRECT(ADDRESS(3,ROW()-31,1)):INDIRECT(ADDRESS(22,ROW()-31,1)),AC$3:AC$22),"")</f>
        <v/>
      </c>
      <c r="AD38" t="str">
        <f ca="1">IF(AND(((COLUMN()-10)&lt;=playercnt),((ROW()-41)&lt;=playercnt)),SUMPRODUCT(INDIRECT(ADDRESS(3,ROW()-31,1)):INDIRECT(ADDRESS(22,ROW()-31,1)),AD$3:AD$22),"")</f>
        <v/>
      </c>
      <c r="AE38" t="str">
        <f ca="1">IF(AND(((COLUMN()-10)&lt;=playercnt),((ROW()-41)&lt;=playercnt)),SUMPRODUCT(INDIRECT(ADDRESS(3,ROW()-31,1)):INDIRECT(ADDRESS(22,ROW()-31,1)),AE$3:AE$22),"")</f>
        <v/>
      </c>
      <c r="AF38" t="str">
        <f ca="1">IF(AND(((COLUMN()-10)&lt;=playercnt),((ROW()-41)&lt;=playercnt)),SUMPRODUCT(INDIRECT(ADDRESS(3,ROW()-31,1)):INDIRECT(ADDRESS(22,ROW()-31,1)),AF$3:AF$22),"")</f>
        <v/>
      </c>
      <c r="AG38" t="str">
        <f ca="1">IF(AND(((COLUMN()-10)&lt;=playercnt),((ROW()-41)&lt;=playercnt)),SUMPRODUCT(INDIRECT(ADDRESS(3,ROW()-31,1)):INDIRECT(ADDRESS(22,ROW()-31,1)),AG$3:AG$22),"")</f>
        <v/>
      </c>
      <c r="AH38" t="str">
        <f ca="1">IF(AND(((COLUMN()-10)&lt;=playercnt),((ROW()-41)&lt;=playercnt)),SUMPRODUCT(INDIRECT(ADDRESS(3,ROW()-31,1)):INDIRECT(ADDRESS(22,ROW()-31,1)),AH$3:AH$22),"")</f>
        <v/>
      </c>
      <c r="AI38" t="str">
        <f ca="1">IF(AND(((COLUMN()-10)&lt;=playercnt),((ROW()-41)&lt;=playercnt)),SUMPRODUCT(INDIRECT(ADDRESS(3,ROW()-31,1)):INDIRECT(ADDRESS(22,ROW()-31,1)),AI$3:AI$22),"")</f>
        <v/>
      </c>
      <c r="AJ38" t="str">
        <f ca="1">IF(AND(((COLUMN()-10)&lt;=playercnt),((ROW()-41)&lt;=playercnt)),SUMPRODUCT(INDIRECT(ADDRESS(3,ROW()-31,1)):INDIRECT(ADDRESS(22,ROW()-31,1)),AJ$3:AJ$22),"")</f>
        <v/>
      </c>
      <c r="AK38" t="str">
        <f ca="1">IF(AND(((COLUMN()-10)&lt;=playercnt),((ROW()-41)&lt;=playercnt)),SUMPRODUCT(INDIRECT(ADDRESS(3,ROW()-31,1)):INDIRECT(ADDRESS(22,ROW()-31,1)),AK$3:AK$22),"")</f>
        <v/>
      </c>
      <c r="AL38" t="str">
        <f ca="1">IF(AND(((COLUMN()-10)&lt;=playercnt),((ROW()-41)&lt;=playercnt)),SUMPRODUCT(INDIRECT(ADDRESS(3,ROW()-31,1)):INDIRECT(ADDRESS(22,ROW()-31,1)),AL$3:AL$22),"")</f>
        <v/>
      </c>
      <c r="AM38" t="str">
        <f ca="1">IF(AND(((COLUMN()-10)&lt;=playercnt),((ROW()-41)&lt;=playercnt)),SUMPRODUCT(INDIRECT(ADDRESS(3,ROW()-31,1)):INDIRECT(ADDRESS(22,ROW()-31,1)),AM$3:AM$22),"")</f>
        <v/>
      </c>
      <c r="AN38" t="str">
        <f ca="1">IF(AND(((COLUMN()-10)&lt;=playercnt),((ROW()-41)&lt;=playercnt)),SUMPRODUCT(INDIRECT(ADDRESS(3,ROW()-31,1)):INDIRECT(ADDRESS(22,ROW()-31,1)),AN$3:AN$22),"")</f>
        <v/>
      </c>
      <c r="AO38" t="str">
        <f ca="1">IF(AND(((COLUMN()-10)&lt;=playercnt),((ROW()-41)&lt;=playercnt)),SUMPRODUCT(INDIRECT(ADDRESS(3,ROW()-31,1)):INDIRECT(ADDRESS(22,ROW()-31,1)),AO$3:AO$22),"")</f>
        <v/>
      </c>
      <c r="AP38" t="str">
        <f ca="1">IF(AND(((COLUMN()-10)&lt;=playercnt),((ROW()-41)&lt;=playercnt)),SUMPRODUCT(INDIRECT(ADDRESS(3,ROW()-31,1)):INDIRECT(ADDRESS(22,ROW()-31,1)),AP$3:AP$22),"")</f>
        <v/>
      </c>
      <c r="AQ38" t="str">
        <f ca="1">IF(AND(((COLUMN()-10)&lt;=playercnt),((ROW()-41)&lt;=playercnt)),SUMPRODUCT(INDIRECT(ADDRESS(3,ROW()-31,1)):INDIRECT(ADDRESS(22,ROW()-31,1)),AQ$3:AQ$22),"")</f>
        <v/>
      </c>
      <c r="AR38" t="str">
        <f ca="1">IF(AND(((COLUMN()-10)&lt;=playercnt),((ROW()-41)&lt;=playercnt)),SUMPRODUCT(INDIRECT(ADDRESS(3,ROW()-31,1)):INDIRECT(ADDRESS(22,ROW()-31,1)),AR$3:AR$22),"")</f>
        <v/>
      </c>
      <c r="AS38" t="str">
        <f ca="1">IF(AND(((COLUMN()-10)&lt;=playercnt),((ROW()-41)&lt;=playercnt)),SUMPRODUCT(INDIRECT(ADDRESS(3,ROW()-31,1)):INDIRECT(ADDRESS(22,ROW()-31,1)),AS$3:AS$22),"")</f>
        <v/>
      </c>
      <c r="AT38" t="str">
        <f ca="1">IF(AND(((COLUMN()-10)&lt;=playercnt),((ROW()-41)&lt;=playercnt)),SUMPRODUCT(INDIRECT(ADDRESS(3,ROW()-31,1)):INDIRECT(ADDRESS(22,ROW()-31,1)),AT$3:AT$22),"")</f>
        <v/>
      </c>
      <c r="AU38" t="str">
        <f ca="1">IF(AND(((COLUMN()-10)&lt;=playercnt),((ROW()-41)&lt;=playercnt)),SUMPRODUCT(INDIRECT(ADDRESS(3,ROW()-31,1)):INDIRECT(ADDRESS(22,ROW()-31,1)),AU$3:AU$22),"")</f>
        <v/>
      </c>
      <c r="AV38" t="str">
        <f ca="1">IF(AND(((COLUMN()-10)&lt;=playercnt),((ROW()-41)&lt;=playercnt)),SUMPRODUCT(INDIRECT(ADDRESS(3,ROW()-31,1)):INDIRECT(ADDRESS(22,ROW()-31,1)),AV$3:AV$22),"")</f>
        <v/>
      </c>
      <c r="AW38" t="str">
        <f ca="1">IF(AND(((COLUMN()-10)&lt;=playercnt),((ROW()-41)&lt;=playercnt)),SUMPRODUCT(INDIRECT(ADDRESS(3,ROW()-31,1)):INDIRECT(ADDRESS(22,ROW()-31,1)),AW$3:AW$22),"")</f>
        <v/>
      </c>
      <c r="AX38" t="str">
        <f ca="1">IF(AND(((COLUMN()-10)&lt;=playercnt),((ROW()-41)&lt;=playercnt)),SUMPRODUCT(INDIRECT(ADDRESS(3,ROW()-31,1)):INDIRECT(ADDRESS(22,ROW()-31,1)),AX$3:AX$22),"")</f>
        <v/>
      </c>
      <c r="AY38" t="str">
        <f ca="1">IF(AND(((COLUMN()-10)&lt;=playercnt),((ROW()-41)&lt;=playercnt)),SUMPRODUCT(INDIRECT(ADDRESS(3,ROW()-31,1)):INDIRECT(ADDRESS(22,ROW()-31,1)),AY$3:AY$22),"")</f>
        <v/>
      </c>
      <c r="AZ38" t="str">
        <f ca="1">IF(AND(((COLUMN()-10)&lt;=playercnt),((ROW()-41)&lt;=playercnt)),SUMPRODUCT(INDIRECT(ADDRESS(3,ROW()-31,1)):INDIRECT(ADDRESS(22,ROW()-31,1)),AZ$3:AZ$22),"")</f>
        <v/>
      </c>
      <c r="BA38" t="str">
        <f ca="1">IF(AND(((COLUMN()-10)&lt;=playercnt),((ROW()-41)&lt;=playercnt)),SUMPRODUCT(INDIRECT(ADDRESS(3,ROW()-31,1)):INDIRECT(ADDRESS(22,ROW()-31,1)),BA$3:BA$22),"")</f>
        <v/>
      </c>
      <c r="BB38" t="str">
        <f ca="1">IF(AND(((COLUMN()-10)&lt;=playercnt),((ROW()-41)&lt;=playercnt)),SUMPRODUCT(INDIRECT(ADDRESS(3,ROW()-31,1)):INDIRECT(ADDRESS(22,ROW()-31,1)),BB$3:BB$22),"")</f>
        <v/>
      </c>
      <c r="BC38" t="str">
        <f ca="1">IF(AND(((COLUMN()-10)&lt;=playercnt),((ROW()-41)&lt;=playercnt)),SUMPRODUCT(INDIRECT(ADDRESS(3,ROW()-31,1)):INDIRECT(ADDRESS(22,ROW()-31,1)),BC$3:BC$22),"")</f>
        <v/>
      </c>
      <c r="BD38" t="str">
        <f ca="1">IF(AND(((COLUMN()-10)&lt;=playercnt),((ROW()-41)&lt;=playercnt)),SUMPRODUCT(INDIRECT(ADDRESS(3,ROW()-31,1)):INDIRECT(ADDRESS(22,ROW()-31,1)),BD$3:BD$22),"")</f>
        <v/>
      </c>
      <c r="BE38" t="str">
        <f ca="1">IF(AND(((COLUMN()-10)&lt;=playercnt),((ROW()-41)&lt;=playercnt)),SUMPRODUCT(INDIRECT(ADDRESS(3,ROW()-31,1)):INDIRECT(ADDRESS(22,ROW()-31,1)),BE$3:BE$22),"")</f>
        <v/>
      </c>
      <c r="BF38" t="str">
        <f ca="1">IF(AND(((COLUMN()-10)&lt;=playercnt),((ROW()-41)&lt;=playercnt)),SUMPRODUCT(INDIRECT(ADDRESS(3,ROW()-31,1)):INDIRECT(ADDRESS(22,ROW()-31,1)),BF$3:BF$22),"")</f>
        <v/>
      </c>
      <c r="BG38" t="str">
        <f ca="1">IF(AND(((COLUMN()-10)&lt;=playercnt),((ROW()-41)&lt;=playercnt)),SUMPRODUCT(INDIRECT(ADDRESS(3,ROW()-31,1)):INDIRECT(ADDRESS(22,ROW()-31,1)),BG$3:BG$22),"")</f>
        <v/>
      </c>
      <c r="BH38" t="str">
        <f ca="1">IF(AND(((COLUMN()-10)&lt;=playercnt),((ROW()-41)&lt;=playercnt)),SUMPRODUCT(INDIRECT(ADDRESS(3,ROW()-31,1)):INDIRECT(ADDRESS(22,ROW()-31,1)),BH$3:BH$22),"")</f>
        <v/>
      </c>
      <c r="BI38" t="str">
        <f ca="1">IF(AND(((COLUMN()-10)&lt;=playercnt),((ROW()-41)&lt;=playercnt)),SUMPRODUCT(INDIRECT(ADDRESS(3,ROW()-31,1)):INDIRECT(ADDRESS(22,ROW()-31,1)),BI$3:BI$22),"")</f>
        <v/>
      </c>
      <c r="BJ38" t="str">
        <f ca="1">IF(AND(((COLUMN()-10)&lt;=playercnt),((ROW()-41)&lt;=playercnt)),SUMPRODUCT(INDIRECT(ADDRESS(3,ROW()-31,1)):INDIRECT(ADDRESS(22,ROW()-31,1)),BJ$3:BJ$22),"")</f>
        <v/>
      </c>
      <c r="BK38" t="str">
        <f ca="1">IF(AND(((COLUMN()-10)&lt;=playercnt),((ROW()-41)&lt;=playercnt)),SUMPRODUCT(INDIRECT(ADDRESS(3,ROW()-31,1)):INDIRECT(ADDRESS(22,ROW()-31,1)),BK$3:BK$22),"")</f>
        <v/>
      </c>
      <c r="BL38" t="str">
        <f ca="1">IF(AND(((COLUMN()-10)&lt;=playercnt),((ROW()-41)&lt;=playercnt)),SUMPRODUCT(INDIRECT(ADDRESS(3,ROW()-31,1)):INDIRECT(ADDRESS(22,ROW()-31,1)),BL$3:BL$22),"")</f>
        <v/>
      </c>
      <c r="BM38" t="str">
        <f ca="1">IF(AND(((COLUMN()-10)&lt;=playercnt),((ROW()-41)&lt;=playercnt)),SUMPRODUCT(INDIRECT(ADDRESS(3,ROW()-31,1)):INDIRECT(ADDRESS(22,ROW()-31,1)),BM$3:BM$22),"")</f>
        <v/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str">
        <f ca="1">IF(AND(((COLUMN()-10)&lt;=playercnt),((ROW()-41)&lt;=playercnt)),SUMPRODUCT(INDIRECT(ADDRESS(3,ROW()-31,1)):INDIRECT(ADDRESS(22,ROW()-31,1)),AC$3:AC$22),"")</f>
        <v/>
      </c>
      <c r="AD39" t="str">
        <f ca="1">IF(AND(((COLUMN()-10)&lt;=playercnt),((ROW()-41)&lt;=playercnt)),SUMPRODUCT(INDIRECT(ADDRESS(3,ROW()-31,1)):INDIRECT(ADDRESS(22,ROW()-31,1)),AD$3:AD$22),"")</f>
        <v/>
      </c>
      <c r="AE39" t="str">
        <f ca="1">IF(AND(((COLUMN()-10)&lt;=playercnt),((ROW()-41)&lt;=playercnt)),SUMPRODUCT(INDIRECT(ADDRESS(3,ROW()-31,1)):INDIRECT(ADDRESS(22,ROW()-31,1)),AE$3:AE$22),"")</f>
        <v/>
      </c>
      <c r="AF39" t="str">
        <f ca="1">IF(AND(((COLUMN()-10)&lt;=playercnt),((ROW()-41)&lt;=playercnt)),SUMPRODUCT(INDIRECT(ADDRESS(3,ROW()-31,1)):INDIRECT(ADDRESS(22,ROW()-31,1)),AF$3:AF$22),"")</f>
        <v/>
      </c>
      <c r="AG39" t="str">
        <f ca="1">IF(AND(((COLUMN()-10)&lt;=playercnt),((ROW()-41)&lt;=playercnt)),SUMPRODUCT(INDIRECT(ADDRESS(3,ROW()-31,1)):INDIRECT(ADDRESS(22,ROW()-31,1)),AG$3:AG$22),"")</f>
        <v/>
      </c>
      <c r="AH39" t="str">
        <f ca="1">IF(AND(((COLUMN()-10)&lt;=playercnt),((ROW()-41)&lt;=playercnt)),SUMPRODUCT(INDIRECT(ADDRESS(3,ROW()-31,1)):INDIRECT(ADDRESS(22,ROW()-31,1)),AH$3:AH$22),"")</f>
        <v/>
      </c>
      <c r="AI39" t="str">
        <f ca="1">IF(AND(((COLUMN()-10)&lt;=playercnt),((ROW()-41)&lt;=playercnt)),SUMPRODUCT(INDIRECT(ADDRESS(3,ROW()-31,1)):INDIRECT(ADDRESS(22,ROW()-31,1)),AI$3:AI$22),"")</f>
        <v/>
      </c>
      <c r="AJ39" t="str">
        <f ca="1">IF(AND(((COLUMN()-10)&lt;=playercnt),((ROW()-41)&lt;=playercnt)),SUMPRODUCT(INDIRECT(ADDRESS(3,ROW()-31,1)):INDIRECT(ADDRESS(22,ROW()-31,1)),AJ$3:AJ$22),"")</f>
        <v/>
      </c>
      <c r="AK39" t="str">
        <f ca="1">IF(AND(((COLUMN()-10)&lt;=playercnt),((ROW()-41)&lt;=playercnt)),SUMPRODUCT(INDIRECT(ADDRESS(3,ROW()-31,1)):INDIRECT(ADDRESS(22,ROW()-31,1)),AK$3:AK$22),"")</f>
        <v/>
      </c>
      <c r="AL39" t="str">
        <f ca="1">IF(AND(((COLUMN()-10)&lt;=playercnt),((ROW()-41)&lt;=playercnt)),SUMPRODUCT(INDIRECT(ADDRESS(3,ROW()-31,1)):INDIRECT(ADDRESS(22,ROW()-31,1)),AL$3:AL$22),"")</f>
        <v/>
      </c>
      <c r="AM39" t="str">
        <f ca="1">IF(AND(((COLUMN()-10)&lt;=playercnt),((ROW()-41)&lt;=playercnt)),SUMPRODUCT(INDIRECT(ADDRESS(3,ROW()-31,1)):INDIRECT(ADDRESS(22,ROW()-31,1)),AM$3:AM$22),"")</f>
        <v/>
      </c>
      <c r="AN39" t="str">
        <f ca="1">IF(AND(((COLUMN()-10)&lt;=playercnt),((ROW()-41)&lt;=playercnt)),SUMPRODUCT(INDIRECT(ADDRESS(3,ROW()-31,1)):INDIRECT(ADDRESS(22,ROW()-31,1)),AN$3:AN$22),"")</f>
        <v/>
      </c>
      <c r="AO39" t="str">
        <f ca="1">IF(AND(((COLUMN()-10)&lt;=playercnt),((ROW()-41)&lt;=playercnt)),SUMPRODUCT(INDIRECT(ADDRESS(3,ROW()-31,1)):INDIRECT(ADDRESS(22,ROW()-31,1)),AO$3:AO$22),"")</f>
        <v/>
      </c>
      <c r="AP39" t="str">
        <f ca="1">IF(AND(((COLUMN()-10)&lt;=playercnt),((ROW()-41)&lt;=playercnt)),SUMPRODUCT(INDIRECT(ADDRESS(3,ROW()-31,1)):INDIRECT(ADDRESS(22,ROW()-31,1)),AP$3:AP$22),"")</f>
        <v/>
      </c>
      <c r="AQ39" t="str">
        <f ca="1">IF(AND(((COLUMN()-10)&lt;=playercnt),((ROW()-41)&lt;=playercnt)),SUMPRODUCT(INDIRECT(ADDRESS(3,ROW()-31,1)):INDIRECT(ADDRESS(22,ROW()-31,1)),AQ$3:AQ$22),"")</f>
        <v/>
      </c>
      <c r="AR39" t="str">
        <f ca="1">IF(AND(((COLUMN()-10)&lt;=playercnt),((ROW()-41)&lt;=playercnt)),SUMPRODUCT(INDIRECT(ADDRESS(3,ROW()-31,1)):INDIRECT(ADDRESS(22,ROW()-31,1)),AR$3:AR$22),"")</f>
        <v/>
      </c>
      <c r="AS39" t="str">
        <f ca="1">IF(AND(((COLUMN()-10)&lt;=playercnt),((ROW()-41)&lt;=playercnt)),SUMPRODUCT(INDIRECT(ADDRESS(3,ROW()-31,1)):INDIRECT(ADDRESS(22,ROW()-31,1)),AS$3:AS$22),"")</f>
        <v/>
      </c>
      <c r="AT39" t="str">
        <f ca="1">IF(AND(((COLUMN()-10)&lt;=playercnt),((ROW()-41)&lt;=playercnt)),SUMPRODUCT(INDIRECT(ADDRESS(3,ROW()-31,1)):INDIRECT(ADDRESS(22,ROW()-31,1)),AT$3:AT$22),"")</f>
        <v/>
      </c>
      <c r="AU39" t="str">
        <f ca="1">IF(AND(((COLUMN()-10)&lt;=playercnt),((ROW()-41)&lt;=playercnt)),SUMPRODUCT(INDIRECT(ADDRESS(3,ROW()-31,1)):INDIRECT(ADDRESS(22,ROW()-31,1)),AU$3:AU$22),"")</f>
        <v/>
      </c>
      <c r="AV39" t="str">
        <f ca="1">IF(AND(((COLUMN()-10)&lt;=playercnt),((ROW()-41)&lt;=playercnt)),SUMPRODUCT(INDIRECT(ADDRESS(3,ROW()-31,1)):INDIRECT(ADDRESS(22,ROW()-31,1)),AV$3:AV$22),"")</f>
        <v/>
      </c>
      <c r="AW39" t="str">
        <f ca="1">IF(AND(((COLUMN()-10)&lt;=playercnt),((ROW()-41)&lt;=playercnt)),SUMPRODUCT(INDIRECT(ADDRESS(3,ROW()-31,1)):INDIRECT(ADDRESS(22,ROW()-31,1)),AW$3:AW$22),"")</f>
        <v/>
      </c>
      <c r="AX39" t="str">
        <f ca="1">IF(AND(((COLUMN()-10)&lt;=playercnt),((ROW()-41)&lt;=playercnt)),SUMPRODUCT(INDIRECT(ADDRESS(3,ROW()-31,1)):INDIRECT(ADDRESS(22,ROW()-31,1)),AX$3:AX$22),"")</f>
        <v/>
      </c>
      <c r="AY39" t="str">
        <f ca="1">IF(AND(((COLUMN()-10)&lt;=playercnt),((ROW()-41)&lt;=playercnt)),SUMPRODUCT(INDIRECT(ADDRESS(3,ROW()-31,1)):INDIRECT(ADDRESS(22,ROW()-31,1)),AY$3:AY$22),"")</f>
        <v/>
      </c>
      <c r="AZ39" t="str">
        <f ca="1">IF(AND(((COLUMN()-10)&lt;=playercnt),((ROW()-41)&lt;=playercnt)),SUMPRODUCT(INDIRECT(ADDRESS(3,ROW()-31,1)):INDIRECT(ADDRESS(22,ROW()-31,1)),AZ$3:AZ$22),"")</f>
        <v/>
      </c>
      <c r="BA39" t="str">
        <f ca="1">IF(AND(((COLUMN()-10)&lt;=playercnt),((ROW()-41)&lt;=playercnt)),SUMPRODUCT(INDIRECT(ADDRESS(3,ROW()-31,1)):INDIRECT(ADDRESS(22,ROW()-31,1)),BA$3:BA$22),"")</f>
        <v/>
      </c>
      <c r="BB39" t="str">
        <f ca="1">IF(AND(((COLUMN()-10)&lt;=playercnt),((ROW()-41)&lt;=playercnt)),SUMPRODUCT(INDIRECT(ADDRESS(3,ROW()-31,1)):INDIRECT(ADDRESS(22,ROW()-31,1)),BB$3:BB$22),"")</f>
        <v/>
      </c>
      <c r="BC39" t="str">
        <f ca="1">IF(AND(((COLUMN()-10)&lt;=playercnt),((ROW()-41)&lt;=playercnt)),SUMPRODUCT(INDIRECT(ADDRESS(3,ROW()-31,1)):INDIRECT(ADDRESS(22,ROW()-31,1)),BC$3:BC$22),"")</f>
        <v/>
      </c>
      <c r="BD39" t="str">
        <f ca="1">IF(AND(((COLUMN()-10)&lt;=playercnt),((ROW()-41)&lt;=playercnt)),SUMPRODUCT(INDIRECT(ADDRESS(3,ROW()-31,1)):INDIRECT(ADDRESS(22,ROW()-31,1)),BD$3:BD$22),"")</f>
        <v/>
      </c>
      <c r="BE39" t="str">
        <f ca="1">IF(AND(((COLUMN()-10)&lt;=playercnt),((ROW()-41)&lt;=playercnt)),SUMPRODUCT(INDIRECT(ADDRESS(3,ROW()-31,1)):INDIRECT(ADDRESS(22,ROW()-31,1)),BE$3:BE$22),"")</f>
        <v/>
      </c>
      <c r="BF39" t="str">
        <f ca="1">IF(AND(((COLUMN()-10)&lt;=playercnt),((ROW()-41)&lt;=playercnt)),SUMPRODUCT(INDIRECT(ADDRESS(3,ROW()-31,1)):INDIRECT(ADDRESS(22,ROW()-31,1)),BF$3:BF$22),"")</f>
        <v/>
      </c>
      <c r="BG39" t="str">
        <f ca="1">IF(AND(((COLUMN()-10)&lt;=playercnt),((ROW()-41)&lt;=playercnt)),SUMPRODUCT(INDIRECT(ADDRESS(3,ROW()-31,1)):INDIRECT(ADDRESS(22,ROW()-31,1)),BG$3:BG$22),"")</f>
        <v/>
      </c>
      <c r="BH39" t="str">
        <f ca="1">IF(AND(((COLUMN()-10)&lt;=playercnt),((ROW()-41)&lt;=playercnt)),SUMPRODUCT(INDIRECT(ADDRESS(3,ROW()-31,1)):INDIRECT(ADDRESS(22,ROW()-31,1)),BH$3:BH$22),"")</f>
        <v/>
      </c>
      <c r="BI39" t="str">
        <f ca="1">IF(AND(((COLUMN()-10)&lt;=playercnt),((ROW()-41)&lt;=playercnt)),SUMPRODUCT(INDIRECT(ADDRESS(3,ROW()-31,1)):INDIRECT(ADDRESS(22,ROW()-31,1)),BI$3:BI$22),"")</f>
        <v/>
      </c>
      <c r="BJ39" t="str">
        <f ca="1">IF(AND(((COLUMN()-10)&lt;=playercnt),((ROW()-41)&lt;=playercnt)),SUMPRODUCT(INDIRECT(ADDRESS(3,ROW()-31,1)):INDIRECT(ADDRESS(22,ROW()-31,1)),BJ$3:BJ$22),"")</f>
        <v/>
      </c>
      <c r="BK39" t="str">
        <f ca="1">IF(AND(((COLUMN()-10)&lt;=playercnt),((ROW()-41)&lt;=playercnt)),SUMPRODUCT(INDIRECT(ADDRESS(3,ROW()-31,1)):INDIRECT(ADDRESS(22,ROW()-31,1)),BK$3:BK$22),"")</f>
        <v/>
      </c>
      <c r="BL39" t="str">
        <f ca="1">IF(AND(((COLUMN()-10)&lt;=playercnt),((ROW()-41)&lt;=playercnt)),SUMPRODUCT(INDIRECT(ADDRESS(3,ROW()-31,1)):INDIRECT(ADDRESS(22,ROW()-31,1)),BL$3:BL$22),"")</f>
        <v/>
      </c>
      <c r="BM39" t="str">
        <f ca="1">IF(AND(((COLUMN()-10)&lt;=playercnt),((ROW()-41)&lt;=playercnt)),SUMPRODUCT(INDIRECT(ADDRESS(3,ROW()-31,1)):INDIRECT(ADDRESS(22,ROW()-31,1)),BM$3:BM$22),"")</f>
        <v/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str">
        <f ca="1">IF(AND(((COLUMN()-10)&lt;=playercnt),((ROW()-41)&lt;=playercnt)),SUMPRODUCT(INDIRECT(ADDRESS(3,ROW()-31,1)):INDIRECT(ADDRESS(22,ROW()-31,1)),AC$3:AC$22),"")</f>
        <v/>
      </c>
      <c r="AD40" t="str">
        <f ca="1">IF(AND(((COLUMN()-10)&lt;=playercnt),((ROW()-41)&lt;=playercnt)),SUMPRODUCT(INDIRECT(ADDRESS(3,ROW()-31,1)):INDIRECT(ADDRESS(22,ROW()-31,1)),AD$3:AD$22),"")</f>
        <v/>
      </c>
      <c r="AE40" t="str">
        <f ca="1">IF(AND(((COLUMN()-10)&lt;=playercnt),((ROW()-41)&lt;=playercnt)),SUMPRODUCT(INDIRECT(ADDRESS(3,ROW()-31,1)):INDIRECT(ADDRESS(22,ROW()-31,1)),AE$3:AE$22),"")</f>
        <v/>
      </c>
      <c r="AF40" t="str">
        <f ca="1">IF(AND(((COLUMN()-10)&lt;=playercnt),((ROW()-41)&lt;=playercnt)),SUMPRODUCT(INDIRECT(ADDRESS(3,ROW()-31,1)):INDIRECT(ADDRESS(22,ROW()-31,1)),AF$3:AF$22),"")</f>
        <v/>
      </c>
      <c r="AG40" t="str">
        <f ca="1">IF(AND(((COLUMN()-10)&lt;=playercnt),((ROW()-41)&lt;=playercnt)),SUMPRODUCT(INDIRECT(ADDRESS(3,ROW()-31,1)):INDIRECT(ADDRESS(22,ROW()-31,1)),AG$3:AG$22),"")</f>
        <v/>
      </c>
      <c r="AH40" t="str">
        <f ca="1">IF(AND(((COLUMN()-10)&lt;=playercnt),((ROW()-41)&lt;=playercnt)),SUMPRODUCT(INDIRECT(ADDRESS(3,ROW()-31,1)):INDIRECT(ADDRESS(22,ROW()-31,1)),AH$3:AH$22),"")</f>
        <v/>
      </c>
      <c r="AI40" t="str">
        <f ca="1">IF(AND(((COLUMN()-10)&lt;=playercnt),((ROW()-41)&lt;=playercnt)),SUMPRODUCT(INDIRECT(ADDRESS(3,ROW()-31,1)):INDIRECT(ADDRESS(22,ROW()-31,1)),AI$3:AI$22),"")</f>
        <v/>
      </c>
      <c r="AJ40" t="str">
        <f ca="1">IF(AND(((COLUMN()-10)&lt;=playercnt),((ROW()-41)&lt;=playercnt)),SUMPRODUCT(INDIRECT(ADDRESS(3,ROW()-31,1)):INDIRECT(ADDRESS(22,ROW()-31,1)),AJ$3:AJ$22),"")</f>
        <v/>
      </c>
      <c r="AK40" t="str">
        <f ca="1">IF(AND(((COLUMN()-10)&lt;=playercnt),((ROW()-41)&lt;=playercnt)),SUMPRODUCT(INDIRECT(ADDRESS(3,ROW()-31,1)):INDIRECT(ADDRESS(22,ROW()-31,1)),AK$3:AK$22),"")</f>
        <v/>
      </c>
      <c r="AL40" t="str">
        <f ca="1">IF(AND(((COLUMN()-10)&lt;=playercnt),((ROW()-41)&lt;=playercnt)),SUMPRODUCT(INDIRECT(ADDRESS(3,ROW()-31,1)):INDIRECT(ADDRESS(22,ROW()-31,1)),AL$3:AL$22),"")</f>
        <v/>
      </c>
      <c r="AM40" t="str">
        <f ca="1">IF(AND(((COLUMN()-10)&lt;=playercnt),((ROW()-41)&lt;=playercnt)),SUMPRODUCT(INDIRECT(ADDRESS(3,ROW()-31,1)):INDIRECT(ADDRESS(22,ROW()-31,1)),AM$3:AM$22),"")</f>
        <v/>
      </c>
      <c r="AN40" t="str">
        <f ca="1">IF(AND(((COLUMN()-10)&lt;=playercnt),((ROW()-41)&lt;=playercnt)),SUMPRODUCT(INDIRECT(ADDRESS(3,ROW()-31,1)):INDIRECT(ADDRESS(22,ROW()-31,1)),AN$3:AN$22),"")</f>
        <v/>
      </c>
      <c r="AO40" t="str">
        <f ca="1">IF(AND(((COLUMN()-10)&lt;=playercnt),((ROW()-41)&lt;=playercnt)),SUMPRODUCT(INDIRECT(ADDRESS(3,ROW()-31,1)):INDIRECT(ADDRESS(22,ROW()-31,1)),AO$3:AO$22),"")</f>
        <v/>
      </c>
      <c r="AP40" t="str">
        <f ca="1">IF(AND(((COLUMN()-10)&lt;=playercnt),((ROW()-41)&lt;=playercnt)),SUMPRODUCT(INDIRECT(ADDRESS(3,ROW()-31,1)):INDIRECT(ADDRESS(22,ROW()-31,1)),AP$3:AP$22),"")</f>
        <v/>
      </c>
      <c r="AQ40" t="str">
        <f ca="1">IF(AND(((COLUMN()-10)&lt;=playercnt),((ROW()-41)&lt;=playercnt)),SUMPRODUCT(INDIRECT(ADDRESS(3,ROW()-31,1)):INDIRECT(ADDRESS(22,ROW()-31,1)),AQ$3:AQ$22),"")</f>
        <v/>
      </c>
      <c r="AR40" t="str">
        <f ca="1">IF(AND(((COLUMN()-10)&lt;=playercnt),((ROW()-41)&lt;=playercnt)),SUMPRODUCT(INDIRECT(ADDRESS(3,ROW()-31,1)):INDIRECT(ADDRESS(22,ROW()-31,1)),AR$3:AR$22),"")</f>
        <v/>
      </c>
      <c r="AS40" t="str">
        <f ca="1">IF(AND(((COLUMN()-10)&lt;=playercnt),((ROW()-41)&lt;=playercnt)),SUMPRODUCT(INDIRECT(ADDRESS(3,ROW()-31,1)):INDIRECT(ADDRESS(22,ROW()-31,1)),AS$3:AS$22),"")</f>
        <v/>
      </c>
      <c r="AT40" t="str">
        <f ca="1">IF(AND(((COLUMN()-10)&lt;=playercnt),((ROW()-41)&lt;=playercnt)),SUMPRODUCT(INDIRECT(ADDRESS(3,ROW()-31,1)):INDIRECT(ADDRESS(22,ROW()-31,1)),AT$3:AT$22),"")</f>
        <v/>
      </c>
      <c r="AU40" t="str">
        <f ca="1">IF(AND(((COLUMN()-10)&lt;=playercnt),((ROW()-41)&lt;=playercnt)),SUMPRODUCT(INDIRECT(ADDRESS(3,ROW()-31,1)):INDIRECT(ADDRESS(22,ROW()-31,1)),AU$3:AU$22),"")</f>
        <v/>
      </c>
      <c r="AV40" t="str">
        <f ca="1">IF(AND(((COLUMN()-10)&lt;=playercnt),((ROW()-41)&lt;=playercnt)),SUMPRODUCT(INDIRECT(ADDRESS(3,ROW()-31,1)):INDIRECT(ADDRESS(22,ROW()-31,1)),AV$3:AV$22),"")</f>
        <v/>
      </c>
      <c r="AW40" t="str">
        <f ca="1">IF(AND(((COLUMN()-10)&lt;=playercnt),((ROW()-41)&lt;=playercnt)),SUMPRODUCT(INDIRECT(ADDRESS(3,ROW()-31,1)):INDIRECT(ADDRESS(22,ROW()-31,1)),AW$3:AW$22),"")</f>
        <v/>
      </c>
      <c r="AX40" t="str">
        <f ca="1">IF(AND(((COLUMN()-10)&lt;=playercnt),((ROW()-41)&lt;=playercnt)),SUMPRODUCT(INDIRECT(ADDRESS(3,ROW()-31,1)):INDIRECT(ADDRESS(22,ROW()-31,1)),AX$3:AX$22),"")</f>
        <v/>
      </c>
      <c r="AY40" t="str">
        <f ca="1">IF(AND(((COLUMN()-10)&lt;=playercnt),((ROW()-41)&lt;=playercnt)),SUMPRODUCT(INDIRECT(ADDRESS(3,ROW()-31,1)):INDIRECT(ADDRESS(22,ROW()-31,1)),AY$3:AY$22),"")</f>
        <v/>
      </c>
      <c r="AZ40" t="str">
        <f ca="1">IF(AND(((COLUMN()-10)&lt;=playercnt),((ROW()-41)&lt;=playercnt)),SUMPRODUCT(INDIRECT(ADDRESS(3,ROW()-31,1)):INDIRECT(ADDRESS(22,ROW()-31,1)),AZ$3:AZ$22),"")</f>
        <v/>
      </c>
      <c r="BA40" t="str">
        <f ca="1">IF(AND(((COLUMN()-10)&lt;=playercnt),((ROW()-41)&lt;=playercnt)),SUMPRODUCT(INDIRECT(ADDRESS(3,ROW()-31,1)):INDIRECT(ADDRESS(22,ROW()-31,1)),BA$3:BA$22),"")</f>
        <v/>
      </c>
      <c r="BB40" t="str">
        <f ca="1">IF(AND(((COLUMN()-10)&lt;=playercnt),((ROW()-41)&lt;=playercnt)),SUMPRODUCT(INDIRECT(ADDRESS(3,ROW()-31,1)):INDIRECT(ADDRESS(22,ROW()-31,1)),BB$3:BB$22),"")</f>
        <v/>
      </c>
      <c r="BC40" t="str">
        <f ca="1">IF(AND(((COLUMN()-10)&lt;=playercnt),((ROW()-41)&lt;=playercnt)),SUMPRODUCT(INDIRECT(ADDRESS(3,ROW()-31,1)):INDIRECT(ADDRESS(22,ROW()-31,1)),BC$3:BC$22),"")</f>
        <v/>
      </c>
      <c r="BD40" t="str">
        <f ca="1">IF(AND(((COLUMN()-10)&lt;=playercnt),((ROW()-41)&lt;=playercnt)),SUMPRODUCT(INDIRECT(ADDRESS(3,ROW()-31,1)):INDIRECT(ADDRESS(22,ROW()-31,1)),BD$3:BD$22),"")</f>
        <v/>
      </c>
      <c r="BE40" t="str">
        <f ca="1">IF(AND(((COLUMN()-10)&lt;=playercnt),((ROW()-41)&lt;=playercnt)),SUMPRODUCT(INDIRECT(ADDRESS(3,ROW()-31,1)):INDIRECT(ADDRESS(22,ROW()-31,1)),BE$3:BE$22),"")</f>
        <v/>
      </c>
      <c r="BF40" t="str">
        <f ca="1">IF(AND(((COLUMN()-10)&lt;=playercnt),((ROW()-41)&lt;=playercnt)),SUMPRODUCT(INDIRECT(ADDRESS(3,ROW()-31,1)):INDIRECT(ADDRESS(22,ROW()-31,1)),BF$3:BF$22),"")</f>
        <v/>
      </c>
      <c r="BG40" t="str">
        <f ca="1">IF(AND(((COLUMN()-10)&lt;=playercnt),((ROW()-41)&lt;=playercnt)),SUMPRODUCT(INDIRECT(ADDRESS(3,ROW()-31,1)):INDIRECT(ADDRESS(22,ROW()-31,1)),BG$3:BG$22),"")</f>
        <v/>
      </c>
      <c r="BH40" t="str">
        <f ca="1">IF(AND(((COLUMN()-10)&lt;=playercnt),((ROW()-41)&lt;=playercnt)),SUMPRODUCT(INDIRECT(ADDRESS(3,ROW()-31,1)):INDIRECT(ADDRESS(22,ROW()-31,1)),BH$3:BH$22),"")</f>
        <v/>
      </c>
      <c r="BI40" t="str">
        <f ca="1">IF(AND(((COLUMN()-10)&lt;=playercnt),((ROW()-41)&lt;=playercnt)),SUMPRODUCT(INDIRECT(ADDRESS(3,ROW()-31,1)):INDIRECT(ADDRESS(22,ROW()-31,1)),BI$3:BI$22),"")</f>
        <v/>
      </c>
      <c r="BJ40" t="str">
        <f ca="1">IF(AND(((COLUMN()-10)&lt;=playercnt),((ROW()-41)&lt;=playercnt)),SUMPRODUCT(INDIRECT(ADDRESS(3,ROW()-31,1)):INDIRECT(ADDRESS(22,ROW()-31,1)),BJ$3:BJ$22),"")</f>
        <v/>
      </c>
      <c r="BK40" t="str">
        <f ca="1">IF(AND(((COLUMN()-10)&lt;=playercnt),((ROW()-41)&lt;=playercnt)),SUMPRODUCT(INDIRECT(ADDRESS(3,ROW()-31,1)):INDIRECT(ADDRESS(22,ROW()-31,1)),BK$3:BK$22),"")</f>
        <v/>
      </c>
      <c r="BL40" t="str">
        <f ca="1">IF(AND(((COLUMN()-10)&lt;=playercnt),((ROW()-41)&lt;=playercnt)),SUMPRODUCT(INDIRECT(ADDRESS(3,ROW()-31,1)):INDIRECT(ADDRESS(22,ROW()-31,1)),BL$3:BL$22),"")</f>
        <v/>
      </c>
      <c r="BM40" t="str">
        <f ca="1">IF(AND(((COLUMN()-10)&lt;=playercnt),((ROW()-41)&lt;=playercnt)),SUMPRODUCT(INDIRECT(ADDRESS(3,ROW()-31,1)):INDIRECT(ADDRESS(22,ROW()-31,1)),BM$3:BM$22),"")</f>
        <v/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 t="str">
        <f ca="1">IF(AND(((COLUMN()-10)&lt;=playercnt),((ROW()-41)&lt;=playercnt)),SUMPRODUCT(INDIRECT(ADDRESS(3,ROW()-31,1)):INDIRECT(ADDRESS(22,ROW()-31,1)),AC$3:AC$22),"")</f>
        <v/>
      </c>
      <c r="AD41" t="str">
        <f ca="1">IF(AND(((COLUMN()-10)&lt;=playercnt),((ROW()-41)&lt;=playercnt)),SUMPRODUCT(INDIRECT(ADDRESS(3,ROW()-31,1)):INDIRECT(ADDRESS(22,ROW()-31,1)),AD$3:AD$22),"")</f>
        <v/>
      </c>
      <c r="AE41" t="str">
        <f ca="1">IF(AND(((COLUMN()-10)&lt;=playercnt),((ROW()-41)&lt;=playercnt)),SUMPRODUCT(INDIRECT(ADDRESS(3,ROW()-31,1)):INDIRECT(ADDRESS(22,ROW()-31,1)),AE$3:AE$22),"")</f>
        <v/>
      </c>
      <c r="AF41" t="str">
        <f ca="1">IF(AND(((COLUMN()-10)&lt;=playercnt),((ROW()-41)&lt;=playercnt)),SUMPRODUCT(INDIRECT(ADDRESS(3,ROW()-31,1)):INDIRECT(ADDRESS(22,ROW()-31,1)),AF$3:AF$22),"")</f>
        <v/>
      </c>
      <c r="AG41" t="str">
        <f ca="1">IF(AND(((COLUMN()-10)&lt;=playercnt),((ROW()-41)&lt;=playercnt)),SUMPRODUCT(INDIRECT(ADDRESS(3,ROW()-31,1)):INDIRECT(ADDRESS(22,ROW()-31,1)),AG$3:AG$22),"")</f>
        <v/>
      </c>
      <c r="AH41" t="str">
        <f ca="1">IF(AND(((COLUMN()-10)&lt;=playercnt),((ROW()-41)&lt;=playercnt)),SUMPRODUCT(INDIRECT(ADDRESS(3,ROW()-31,1)):INDIRECT(ADDRESS(22,ROW()-31,1)),AH$3:AH$22),"")</f>
        <v/>
      </c>
      <c r="AI41" t="str">
        <f ca="1">IF(AND(((COLUMN()-10)&lt;=playercnt),((ROW()-41)&lt;=playercnt)),SUMPRODUCT(INDIRECT(ADDRESS(3,ROW()-31,1)):INDIRECT(ADDRESS(22,ROW()-31,1)),AI$3:AI$22),"")</f>
        <v/>
      </c>
      <c r="AJ41" t="str">
        <f ca="1">IF(AND(((COLUMN()-10)&lt;=playercnt),((ROW()-41)&lt;=playercnt)),SUMPRODUCT(INDIRECT(ADDRESS(3,ROW()-31,1)):INDIRECT(ADDRESS(22,ROW()-31,1)),AJ$3:AJ$22),"")</f>
        <v/>
      </c>
      <c r="AK41" t="str">
        <f ca="1">IF(AND(((COLUMN()-10)&lt;=playercnt),((ROW()-41)&lt;=playercnt)),SUMPRODUCT(INDIRECT(ADDRESS(3,ROW()-31,1)):INDIRECT(ADDRESS(22,ROW()-31,1)),AK$3:AK$22),"")</f>
        <v/>
      </c>
      <c r="AL41" t="str">
        <f ca="1">IF(AND(((COLUMN()-10)&lt;=playercnt),((ROW()-41)&lt;=playercnt)),SUMPRODUCT(INDIRECT(ADDRESS(3,ROW()-31,1)):INDIRECT(ADDRESS(22,ROW()-31,1)),AL$3:AL$22),"")</f>
        <v/>
      </c>
      <c r="AM41" t="str">
        <f ca="1">IF(AND(((COLUMN()-10)&lt;=playercnt),((ROW()-41)&lt;=playercnt)),SUMPRODUCT(INDIRECT(ADDRESS(3,ROW()-31,1)):INDIRECT(ADDRESS(22,ROW()-31,1)),AM$3:AM$22),"")</f>
        <v/>
      </c>
      <c r="AN41" t="str">
        <f ca="1">IF(AND(((COLUMN()-10)&lt;=playercnt),((ROW()-41)&lt;=playercnt)),SUMPRODUCT(INDIRECT(ADDRESS(3,ROW()-31,1)):INDIRECT(ADDRESS(22,ROW()-31,1)),AN$3:AN$22),"")</f>
        <v/>
      </c>
      <c r="AO41" t="str">
        <f ca="1">IF(AND(((COLUMN()-10)&lt;=playercnt),((ROW()-41)&lt;=playercnt)),SUMPRODUCT(INDIRECT(ADDRESS(3,ROW()-31,1)):INDIRECT(ADDRESS(22,ROW()-31,1)),AO$3:AO$22),"")</f>
        <v/>
      </c>
      <c r="AP41" t="str">
        <f ca="1">IF(AND(((COLUMN()-10)&lt;=playercnt),((ROW()-41)&lt;=playercnt)),SUMPRODUCT(INDIRECT(ADDRESS(3,ROW()-31,1)):INDIRECT(ADDRESS(22,ROW()-31,1)),AP$3:AP$22),"")</f>
        <v/>
      </c>
      <c r="AQ41" t="str">
        <f ca="1">IF(AND(((COLUMN()-10)&lt;=playercnt),((ROW()-41)&lt;=playercnt)),SUMPRODUCT(INDIRECT(ADDRESS(3,ROW()-31,1)):INDIRECT(ADDRESS(22,ROW()-31,1)),AQ$3:AQ$22),"")</f>
        <v/>
      </c>
      <c r="AR41" t="str">
        <f ca="1">IF(AND(((COLUMN()-10)&lt;=playercnt),((ROW()-41)&lt;=playercnt)),SUMPRODUCT(INDIRECT(ADDRESS(3,ROW()-31,1)):INDIRECT(ADDRESS(22,ROW()-31,1)),AR$3:AR$22),"")</f>
        <v/>
      </c>
      <c r="AS41" t="str">
        <f ca="1">IF(AND(((COLUMN()-10)&lt;=playercnt),((ROW()-41)&lt;=playercnt)),SUMPRODUCT(INDIRECT(ADDRESS(3,ROW()-31,1)):INDIRECT(ADDRESS(22,ROW()-31,1)),AS$3:AS$22),"")</f>
        <v/>
      </c>
      <c r="AT41" t="str">
        <f ca="1">IF(AND(((COLUMN()-10)&lt;=playercnt),((ROW()-41)&lt;=playercnt)),SUMPRODUCT(INDIRECT(ADDRESS(3,ROW()-31,1)):INDIRECT(ADDRESS(22,ROW()-31,1)),AT$3:AT$22),"")</f>
        <v/>
      </c>
      <c r="AU41" t="str">
        <f ca="1">IF(AND(((COLUMN()-10)&lt;=playercnt),((ROW()-41)&lt;=playercnt)),SUMPRODUCT(INDIRECT(ADDRESS(3,ROW()-31,1)):INDIRECT(ADDRESS(22,ROW()-31,1)),AU$3:AU$22),"")</f>
        <v/>
      </c>
      <c r="AV41" t="str">
        <f ca="1">IF(AND(((COLUMN()-10)&lt;=playercnt),((ROW()-41)&lt;=playercnt)),SUMPRODUCT(INDIRECT(ADDRESS(3,ROW()-31,1)):INDIRECT(ADDRESS(22,ROW()-31,1)),AV$3:AV$22),"")</f>
        <v/>
      </c>
      <c r="AW41" t="str">
        <f ca="1">IF(AND(((COLUMN()-10)&lt;=playercnt),((ROW()-41)&lt;=playercnt)),SUMPRODUCT(INDIRECT(ADDRESS(3,ROW()-31,1)):INDIRECT(ADDRESS(22,ROW()-31,1)),AW$3:AW$22),"")</f>
        <v/>
      </c>
      <c r="AX41" t="str">
        <f ca="1">IF(AND(((COLUMN()-10)&lt;=playercnt),((ROW()-41)&lt;=playercnt)),SUMPRODUCT(INDIRECT(ADDRESS(3,ROW()-31,1)):INDIRECT(ADDRESS(22,ROW()-31,1)),AX$3:AX$22),"")</f>
        <v/>
      </c>
      <c r="AY41" t="str">
        <f ca="1">IF(AND(((COLUMN()-10)&lt;=playercnt),((ROW()-41)&lt;=playercnt)),SUMPRODUCT(INDIRECT(ADDRESS(3,ROW()-31,1)):INDIRECT(ADDRESS(22,ROW()-31,1)),AY$3:AY$22),"")</f>
        <v/>
      </c>
      <c r="AZ41" t="str">
        <f ca="1">IF(AND(((COLUMN()-10)&lt;=playercnt),((ROW()-41)&lt;=playercnt)),SUMPRODUCT(INDIRECT(ADDRESS(3,ROW()-31,1)):INDIRECT(ADDRESS(22,ROW()-31,1)),AZ$3:AZ$22),"")</f>
        <v/>
      </c>
      <c r="BA41" t="str">
        <f ca="1">IF(AND(((COLUMN()-10)&lt;=playercnt),((ROW()-41)&lt;=playercnt)),SUMPRODUCT(INDIRECT(ADDRESS(3,ROW()-31,1)):INDIRECT(ADDRESS(22,ROW()-31,1)),BA$3:BA$22),"")</f>
        <v/>
      </c>
      <c r="BB41" t="str">
        <f ca="1">IF(AND(((COLUMN()-10)&lt;=playercnt),((ROW()-41)&lt;=playercnt)),SUMPRODUCT(INDIRECT(ADDRESS(3,ROW()-31,1)):INDIRECT(ADDRESS(22,ROW()-31,1)),BB$3:BB$22),"")</f>
        <v/>
      </c>
      <c r="BC41" t="str">
        <f ca="1">IF(AND(((COLUMN()-10)&lt;=playercnt),((ROW()-41)&lt;=playercnt)),SUMPRODUCT(INDIRECT(ADDRESS(3,ROW()-31,1)):INDIRECT(ADDRESS(22,ROW()-31,1)),BC$3:BC$22),"")</f>
        <v/>
      </c>
      <c r="BD41" t="str">
        <f ca="1">IF(AND(((COLUMN()-10)&lt;=playercnt),((ROW()-41)&lt;=playercnt)),SUMPRODUCT(INDIRECT(ADDRESS(3,ROW()-31,1)):INDIRECT(ADDRESS(22,ROW()-31,1)),BD$3:BD$22),"")</f>
        <v/>
      </c>
      <c r="BE41" t="str">
        <f ca="1">IF(AND(((COLUMN()-10)&lt;=playercnt),((ROW()-41)&lt;=playercnt)),SUMPRODUCT(INDIRECT(ADDRESS(3,ROW()-31,1)):INDIRECT(ADDRESS(22,ROW()-31,1)),BE$3:BE$22),"")</f>
        <v/>
      </c>
      <c r="BF41" t="str">
        <f ca="1">IF(AND(((COLUMN()-10)&lt;=playercnt),((ROW()-41)&lt;=playercnt)),SUMPRODUCT(INDIRECT(ADDRESS(3,ROW()-31,1)):INDIRECT(ADDRESS(22,ROW()-31,1)),BF$3:BF$22),"")</f>
        <v/>
      </c>
      <c r="BG41" t="str">
        <f ca="1">IF(AND(((COLUMN()-10)&lt;=playercnt),((ROW()-41)&lt;=playercnt)),SUMPRODUCT(INDIRECT(ADDRESS(3,ROW()-31,1)):INDIRECT(ADDRESS(22,ROW()-31,1)),BG$3:BG$22),"")</f>
        <v/>
      </c>
      <c r="BH41" t="str">
        <f ca="1">IF(AND(((COLUMN()-10)&lt;=playercnt),((ROW()-41)&lt;=playercnt)),SUMPRODUCT(INDIRECT(ADDRESS(3,ROW()-31,1)):INDIRECT(ADDRESS(22,ROW()-31,1)),BH$3:BH$22),"")</f>
        <v/>
      </c>
      <c r="BI41" t="str">
        <f ca="1">IF(AND(((COLUMN()-10)&lt;=playercnt),((ROW()-41)&lt;=playercnt)),SUMPRODUCT(INDIRECT(ADDRESS(3,ROW()-31,1)):INDIRECT(ADDRESS(22,ROW()-31,1)),BI$3:BI$22),"")</f>
        <v/>
      </c>
      <c r="BJ41" t="str">
        <f ca="1">IF(AND(((COLUMN()-10)&lt;=playercnt),((ROW()-41)&lt;=playercnt)),SUMPRODUCT(INDIRECT(ADDRESS(3,ROW()-31,1)):INDIRECT(ADDRESS(22,ROW()-31,1)),BJ$3:BJ$22),"")</f>
        <v/>
      </c>
      <c r="BK41" t="str">
        <f ca="1">IF(AND(((COLUMN()-10)&lt;=playercnt),((ROW()-41)&lt;=playercnt)),SUMPRODUCT(INDIRECT(ADDRESS(3,ROW()-31,1)):INDIRECT(ADDRESS(22,ROW()-31,1)),BK$3:BK$22),"")</f>
        <v/>
      </c>
      <c r="BL41" t="str">
        <f ca="1">IF(AND(((COLUMN()-10)&lt;=playercnt),((ROW()-41)&lt;=playercnt)),SUMPRODUCT(INDIRECT(ADDRESS(3,ROW()-31,1)):INDIRECT(ADDRESS(22,ROW()-31,1)),BL$3:BL$22),"")</f>
        <v/>
      </c>
      <c r="BM41" t="str">
        <f ca="1">IF(AND(((COLUMN()-10)&lt;=playercnt),((ROW()-41)&lt;=playercnt)),SUMPRODUCT(INDIRECT(ADDRESS(3,ROW()-31,1)):INDIRECT(ADDRESS(22,ROW()-31,1)),BM$3:BM$22),"")</f>
        <v/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 t="str">
        <f ca="1">IF(AND(((COLUMN()-10)&lt;=playercnt),((ROW()-41)&lt;=playercnt)),SUMPRODUCT(INDIRECT(ADDRESS(3,ROW()-31,1)):INDIRECT(ADDRESS(22,ROW()-31,1)),AC$3:AC$22),"")</f>
        <v/>
      </c>
      <c r="AD42" t="str">
        <f ca="1">IF(AND(((COLUMN()-10)&lt;=playercnt),((ROW()-41)&lt;=playercnt)),SUMPRODUCT(INDIRECT(ADDRESS(3,ROW()-31,1)):INDIRECT(ADDRESS(22,ROW()-31,1)),AD$3:AD$22),"")</f>
        <v/>
      </c>
      <c r="AE42" t="str">
        <f ca="1">IF(AND(((COLUMN()-10)&lt;=playercnt),((ROW()-41)&lt;=playercnt)),SUMPRODUCT(INDIRECT(ADDRESS(3,ROW()-31,1)):INDIRECT(ADDRESS(22,ROW()-31,1)),AE$3:AE$22),"")</f>
        <v/>
      </c>
      <c r="AF42" t="str">
        <f ca="1">IF(AND(((COLUMN()-10)&lt;=playercnt),((ROW()-41)&lt;=playercnt)),SUMPRODUCT(INDIRECT(ADDRESS(3,ROW()-31,1)):INDIRECT(ADDRESS(22,ROW()-31,1)),AF$3:AF$22),"")</f>
        <v/>
      </c>
      <c r="AG42" t="str">
        <f ca="1">IF(AND(((COLUMN()-10)&lt;=playercnt),((ROW()-41)&lt;=playercnt)),SUMPRODUCT(INDIRECT(ADDRESS(3,ROW()-31,1)):INDIRECT(ADDRESS(22,ROW()-31,1)),AG$3:AG$22),"")</f>
        <v/>
      </c>
      <c r="AH42" t="str">
        <f ca="1">IF(AND(((COLUMN()-10)&lt;=playercnt),((ROW()-41)&lt;=playercnt)),SUMPRODUCT(INDIRECT(ADDRESS(3,ROW()-31,1)):INDIRECT(ADDRESS(22,ROW()-31,1)),AH$3:AH$22),"")</f>
        <v/>
      </c>
      <c r="AI42" t="str">
        <f ca="1">IF(AND(((COLUMN()-10)&lt;=playercnt),((ROW()-41)&lt;=playercnt)),SUMPRODUCT(INDIRECT(ADDRESS(3,ROW()-31,1)):INDIRECT(ADDRESS(22,ROW()-31,1)),AI$3:AI$22),"")</f>
        <v/>
      </c>
      <c r="AJ42" t="str">
        <f ca="1">IF(AND(((COLUMN()-10)&lt;=playercnt),((ROW()-41)&lt;=playercnt)),SUMPRODUCT(INDIRECT(ADDRESS(3,ROW()-31,1)):INDIRECT(ADDRESS(22,ROW()-31,1)),AJ$3:AJ$22),"")</f>
        <v/>
      </c>
      <c r="AK42" t="str">
        <f ca="1">IF(AND(((COLUMN()-10)&lt;=playercnt),((ROW()-41)&lt;=playercnt)),SUMPRODUCT(INDIRECT(ADDRESS(3,ROW()-31,1)):INDIRECT(ADDRESS(22,ROW()-31,1)),AK$3:AK$22),"")</f>
        <v/>
      </c>
      <c r="AL42" t="str">
        <f ca="1">IF(AND(((COLUMN()-10)&lt;=playercnt),((ROW()-41)&lt;=playercnt)),SUMPRODUCT(INDIRECT(ADDRESS(3,ROW()-31,1)):INDIRECT(ADDRESS(22,ROW()-31,1)),AL$3:AL$22),"")</f>
        <v/>
      </c>
      <c r="AM42" t="str">
        <f ca="1">IF(AND(((COLUMN()-10)&lt;=playercnt),((ROW()-41)&lt;=playercnt)),SUMPRODUCT(INDIRECT(ADDRESS(3,ROW()-31,1)):INDIRECT(ADDRESS(22,ROW()-31,1)),AM$3:AM$22),"")</f>
        <v/>
      </c>
      <c r="AN42" t="str">
        <f ca="1">IF(AND(((COLUMN()-10)&lt;=playercnt),((ROW()-41)&lt;=playercnt)),SUMPRODUCT(INDIRECT(ADDRESS(3,ROW()-31,1)):INDIRECT(ADDRESS(22,ROW()-31,1)),AN$3:AN$22),"")</f>
        <v/>
      </c>
      <c r="AO42" t="str">
        <f ca="1">IF(AND(((COLUMN()-10)&lt;=playercnt),((ROW()-41)&lt;=playercnt)),SUMPRODUCT(INDIRECT(ADDRESS(3,ROW()-31,1)):INDIRECT(ADDRESS(22,ROW()-31,1)),AO$3:AO$22),"")</f>
        <v/>
      </c>
      <c r="AP42" t="str">
        <f ca="1">IF(AND(((COLUMN()-10)&lt;=playercnt),((ROW()-41)&lt;=playercnt)),SUMPRODUCT(INDIRECT(ADDRESS(3,ROW()-31,1)):INDIRECT(ADDRESS(22,ROW()-31,1)),AP$3:AP$22),"")</f>
        <v/>
      </c>
      <c r="AQ42" t="str">
        <f ca="1">IF(AND(((COLUMN()-10)&lt;=playercnt),((ROW()-41)&lt;=playercnt)),SUMPRODUCT(INDIRECT(ADDRESS(3,ROW()-31,1)):INDIRECT(ADDRESS(22,ROW()-31,1)),AQ$3:AQ$22),"")</f>
        <v/>
      </c>
      <c r="AR42" t="str">
        <f ca="1">IF(AND(((COLUMN()-10)&lt;=playercnt),((ROW()-41)&lt;=playercnt)),SUMPRODUCT(INDIRECT(ADDRESS(3,ROW()-31,1)):INDIRECT(ADDRESS(22,ROW()-31,1)),AR$3:AR$22),"")</f>
        <v/>
      </c>
      <c r="AS42" t="str">
        <f ca="1">IF(AND(((COLUMN()-10)&lt;=playercnt),((ROW()-41)&lt;=playercnt)),SUMPRODUCT(INDIRECT(ADDRESS(3,ROW()-31,1)):INDIRECT(ADDRESS(22,ROW()-31,1)),AS$3:AS$22),"")</f>
        <v/>
      </c>
      <c r="AT42" t="str">
        <f ca="1">IF(AND(((COLUMN()-10)&lt;=playercnt),((ROW()-41)&lt;=playercnt)),SUMPRODUCT(INDIRECT(ADDRESS(3,ROW()-31,1)):INDIRECT(ADDRESS(22,ROW()-31,1)),AT$3:AT$22),"")</f>
        <v/>
      </c>
      <c r="AU42" t="str">
        <f ca="1">IF(AND(((COLUMN()-10)&lt;=playercnt),((ROW()-41)&lt;=playercnt)),SUMPRODUCT(INDIRECT(ADDRESS(3,ROW()-31,1)):INDIRECT(ADDRESS(22,ROW()-31,1)),AU$3:AU$22),"")</f>
        <v/>
      </c>
      <c r="AV42" t="str">
        <f ca="1">IF(AND(((COLUMN()-10)&lt;=playercnt),((ROW()-41)&lt;=playercnt)),SUMPRODUCT(INDIRECT(ADDRESS(3,ROW()-31,1)):INDIRECT(ADDRESS(22,ROW()-31,1)),AV$3:AV$22),"")</f>
        <v/>
      </c>
      <c r="AW42" t="str">
        <f ca="1">IF(AND(((COLUMN()-10)&lt;=playercnt),((ROW()-41)&lt;=playercnt)),SUMPRODUCT(INDIRECT(ADDRESS(3,ROW()-31,1)):INDIRECT(ADDRESS(22,ROW()-31,1)),AW$3:AW$22),"")</f>
        <v/>
      </c>
      <c r="AX42" t="str">
        <f ca="1">IF(AND(((COLUMN()-10)&lt;=playercnt),((ROW()-41)&lt;=playercnt)),SUMPRODUCT(INDIRECT(ADDRESS(3,ROW()-31,1)):INDIRECT(ADDRESS(22,ROW()-31,1)),AX$3:AX$22),"")</f>
        <v/>
      </c>
      <c r="AY42" t="str">
        <f ca="1">IF(AND(((COLUMN()-10)&lt;=playercnt),((ROW()-41)&lt;=playercnt)),SUMPRODUCT(INDIRECT(ADDRESS(3,ROW()-31,1)):INDIRECT(ADDRESS(22,ROW()-31,1)),AY$3:AY$22),"")</f>
        <v/>
      </c>
      <c r="AZ42" t="str">
        <f ca="1">IF(AND(((COLUMN()-10)&lt;=playercnt),((ROW()-41)&lt;=playercnt)),SUMPRODUCT(INDIRECT(ADDRESS(3,ROW()-31,1)):INDIRECT(ADDRESS(22,ROW()-31,1)),AZ$3:AZ$22),"")</f>
        <v/>
      </c>
      <c r="BA42" t="str">
        <f ca="1">IF(AND(((COLUMN()-10)&lt;=playercnt),((ROW()-41)&lt;=playercnt)),SUMPRODUCT(INDIRECT(ADDRESS(3,ROW()-31,1)):INDIRECT(ADDRESS(22,ROW()-31,1)),BA$3:BA$22),"")</f>
        <v/>
      </c>
      <c r="BB42" t="str">
        <f ca="1">IF(AND(((COLUMN()-10)&lt;=playercnt),((ROW()-41)&lt;=playercnt)),SUMPRODUCT(INDIRECT(ADDRESS(3,ROW()-31,1)):INDIRECT(ADDRESS(22,ROW()-31,1)),BB$3:BB$22),"")</f>
        <v/>
      </c>
      <c r="BC42" t="str">
        <f ca="1">IF(AND(((COLUMN()-10)&lt;=playercnt),((ROW()-41)&lt;=playercnt)),SUMPRODUCT(INDIRECT(ADDRESS(3,ROW()-31,1)):INDIRECT(ADDRESS(22,ROW()-31,1)),BC$3:BC$22),"")</f>
        <v/>
      </c>
      <c r="BD42" t="str">
        <f ca="1">IF(AND(((COLUMN()-10)&lt;=playercnt),((ROW()-41)&lt;=playercnt)),SUMPRODUCT(INDIRECT(ADDRESS(3,ROW()-31,1)):INDIRECT(ADDRESS(22,ROW()-31,1)),BD$3:BD$22),"")</f>
        <v/>
      </c>
      <c r="BE42" t="str">
        <f ca="1">IF(AND(((COLUMN()-10)&lt;=playercnt),((ROW()-41)&lt;=playercnt)),SUMPRODUCT(INDIRECT(ADDRESS(3,ROW()-31,1)):INDIRECT(ADDRESS(22,ROW()-31,1)),BE$3:BE$22),"")</f>
        <v/>
      </c>
      <c r="BF42" t="str">
        <f ca="1">IF(AND(((COLUMN()-10)&lt;=playercnt),((ROW()-41)&lt;=playercnt)),SUMPRODUCT(INDIRECT(ADDRESS(3,ROW()-31,1)):INDIRECT(ADDRESS(22,ROW()-31,1)),BF$3:BF$22),"")</f>
        <v/>
      </c>
      <c r="BG42" t="str">
        <f ca="1">IF(AND(((COLUMN()-10)&lt;=playercnt),((ROW()-41)&lt;=playercnt)),SUMPRODUCT(INDIRECT(ADDRESS(3,ROW()-31,1)):INDIRECT(ADDRESS(22,ROW()-31,1)),BG$3:BG$22),"")</f>
        <v/>
      </c>
      <c r="BH42" t="str">
        <f ca="1">IF(AND(((COLUMN()-10)&lt;=playercnt),((ROW()-41)&lt;=playercnt)),SUMPRODUCT(INDIRECT(ADDRESS(3,ROW()-31,1)):INDIRECT(ADDRESS(22,ROW()-31,1)),BH$3:BH$22),"")</f>
        <v/>
      </c>
      <c r="BI42" t="str">
        <f ca="1">IF(AND(((COLUMN()-10)&lt;=playercnt),((ROW()-41)&lt;=playercnt)),SUMPRODUCT(INDIRECT(ADDRESS(3,ROW()-31,1)):INDIRECT(ADDRESS(22,ROW()-31,1)),BI$3:BI$22),"")</f>
        <v/>
      </c>
      <c r="BJ42" t="str">
        <f ca="1">IF(AND(((COLUMN()-10)&lt;=playercnt),((ROW()-41)&lt;=playercnt)),SUMPRODUCT(INDIRECT(ADDRESS(3,ROW()-31,1)):INDIRECT(ADDRESS(22,ROW()-31,1)),BJ$3:BJ$22),"")</f>
        <v/>
      </c>
      <c r="BK42" t="str">
        <f ca="1">IF(AND(((COLUMN()-10)&lt;=playercnt),((ROW()-41)&lt;=playercnt)),SUMPRODUCT(INDIRECT(ADDRESS(3,ROW()-31,1)):INDIRECT(ADDRESS(22,ROW()-31,1)),BK$3:BK$22),"")</f>
        <v/>
      </c>
      <c r="BL42" t="str">
        <f ca="1">IF(AND(((COLUMN()-10)&lt;=playercnt),((ROW()-41)&lt;=playercnt)),SUMPRODUCT(INDIRECT(ADDRESS(3,ROW()-31,1)):INDIRECT(ADDRESS(22,ROW()-31,1)),BL$3:BL$22),"")</f>
        <v/>
      </c>
      <c r="BM42" t="str">
        <f ca="1">IF(AND(((COLUMN()-10)&lt;=playercnt),((ROW()-41)&lt;=playercnt)),SUMPRODUCT(INDIRECT(ADDRESS(3,ROW()-31,1)):INDIRECT(ADDRESS(22,ROW()-31,1)),BM$3:BM$22),"")</f>
        <v/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 t="str">
        <f ca="1">IF(AND(((COLUMN()-10)&lt;=playercnt),((ROW()-41)&lt;=playercnt)),SUMPRODUCT(INDIRECT(ADDRESS(3,ROW()-31,1)):INDIRECT(ADDRESS(22,ROW()-31,1)),AC$3:AC$22),"")</f>
        <v/>
      </c>
      <c r="AD43" t="str">
        <f ca="1">IF(AND(((COLUMN()-10)&lt;=playercnt),((ROW()-41)&lt;=playercnt)),SUMPRODUCT(INDIRECT(ADDRESS(3,ROW()-31,1)):INDIRECT(ADDRESS(22,ROW()-31,1)),AD$3:AD$22),"")</f>
        <v/>
      </c>
      <c r="AE43" t="str">
        <f ca="1">IF(AND(((COLUMN()-10)&lt;=playercnt),((ROW()-41)&lt;=playercnt)),SUMPRODUCT(INDIRECT(ADDRESS(3,ROW()-31,1)):INDIRECT(ADDRESS(22,ROW()-31,1)),AE$3:AE$22),"")</f>
        <v/>
      </c>
      <c r="AF43" t="str">
        <f ca="1">IF(AND(((COLUMN()-10)&lt;=playercnt),((ROW()-41)&lt;=playercnt)),SUMPRODUCT(INDIRECT(ADDRESS(3,ROW()-31,1)):INDIRECT(ADDRESS(22,ROW()-31,1)),AF$3:AF$22),"")</f>
        <v/>
      </c>
      <c r="AG43" t="str">
        <f ca="1">IF(AND(((COLUMN()-10)&lt;=playercnt),((ROW()-41)&lt;=playercnt)),SUMPRODUCT(INDIRECT(ADDRESS(3,ROW()-31,1)):INDIRECT(ADDRESS(22,ROW()-31,1)),AG$3:AG$22),"")</f>
        <v/>
      </c>
      <c r="AH43" t="str">
        <f ca="1">IF(AND(((COLUMN()-10)&lt;=playercnt),((ROW()-41)&lt;=playercnt)),SUMPRODUCT(INDIRECT(ADDRESS(3,ROW()-31,1)):INDIRECT(ADDRESS(22,ROW()-31,1)),AH$3:AH$22),"")</f>
        <v/>
      </c>
      <c r="AI43" t="str">
        <f ca="1">IF(AND(((COLUMN()-10)&lt;=playercnt),((ROW()-41)&lt;=playercnt)),SUMPRODUCT(INDIRECT(ADDRESS(3,ROW()-31,1)):INDIRECT(ADDRESS(22,ROW()-31,1)),AI$3:AI$22),"")</f>
        <v/>
      </c>
      <c r="AJ43" t="str">
        <f ca="1">IF(AND(((COLUMN()-10)&lt;=playercnt),((ROW()-41)&lt;=playercnt)),SUMPRODUCT(INDIRECT(ADDRESS(3,ROW()-31,1)):INDIRECT(ADDRESS(22,ROW()-31,1)),AJ$3:AJ$22),"")</f>
        <v/>
      </c>
      <c r="AK43" t="str">
        <f ca="1">IF(AND(((COLUMN()-10)&lt;=playercnt),((ROW()-41)&lt;=playercnt)),SUMPRODUCT(INDIRECT(ADDRESS(3,ROW()-31,1)):INDIRECT(ADDRESS(22,ROW()-31,1)),AK$3:AK$22),"")</f>
        <v/>
      </c>
      <c r="AL43" t="str">
        <f ca="1">IF(AND(((COLUMN()-10)&lt;=playercnt),((ROW()-41)&lt;=playercnt)),SUMPRODUCT(INDIRECT(ADDRESS(3,ROW()-31,1)):INDIRECT(ADDRESS(22,ROW()-31,1)),AL$3:AL$22),"")</f>
        <v/>
      </c>
      <c r="AM43" t="str">
        <f ca="1">IF(AND(((COLUMN()-10)&lt;=playercnt),((ROW()-41)&lt;=playercnt)),SUMPRODUCT(INDIRECT(ADDRESS(3,ROW()-31,1)):INDIRECT(ADDRESS(22,ROW()-31,1)),AM$3:AM$22),"")</f>
        <v/>
      </c>
      <c r="AN43" t="str">
        <f ca="1">IF(AND(((COLUMN()-10)&lt;=playercnt),((ROW()-41)&lt;=playercnt)),SUMPRODUCT(INDIRECT(ADDRESS(3,ROW()-31,1)):INDIRECT(ADDRESS(22,ROW()-31,1)),AN$3:AN$22),"")</f>
        <v/>
      </c>
      <c r="AO43" t="str">
        <f ca="1">IF(AND(((COLUMN()-10)&lt;=playercnt),((ROW()-41)&lt;=playercnt)),SUMPRODUCT(INDIRECT(ADDRESS(3,ROW()-31,1)):INDIRECT(ADDRESS(22,ROW()-31,1)),AO$3:AO$22),"")</f>
        <v/>
      </c>
      <c r="AP43" t="str">
        <f ca="1">IF(AND(((COLUMN()-10)&lt;=playercnt),((ROW()-41)&lt;=playercnt)),SUMPRODUCT(INDIRECT(ADDRESS(3,ROW()-31,1)):INDIRECT(ADDRESS(22,ROW()-31,1)),AP$3:AP$22),"")</f>
        <v/>
      </c>
      <c r="AQ43" t="str">
        <f ca="1">IF(AND(((COLUMN()-10)&lt;=playercnt),((ROW()-41)&lt;=playercnt)),SUMPRODUCT(INDIRECT(ADDRESS(3,ROW()-31,1)):INDIRECT(ADDRESS(22,ROW()-31,1)),AQ$3:AQ$22),"")</f>
        <v/>
      </c>
      <c r="AR43" t="str">
        <f ca="1">IF(AND(((COLUMN()-10)&lt;=playercnt),((ROW()-41)&lt;=playercnt)),SUMPRODUCT(INDIRECT(ADDRESS(3,ROW()-31,1)):INDIRECT(ADDRESS(22,ROW()-31,1)),AR$3:AR$22),"")</f>
        <v/>
      </c>
      <c r="AS43" t="str">
        <f ca="1">IF(AND(((COLUMN()-10)&lt;=playercnt),((ROW()-41)&lt;=playercnt)),SUMPRODUCT(INDIRECT(ADDRESS(3,ROW()-31,1)):INDIRECT(ADDRESS(22,ROW()-31,1)),AS$3:AS$22),"")</f>
        <v/>
      </c>
      <c r="AT43" t="str">
        <f ca="1">IF(AND(((COLUMN()-10)&lt;=playercnt),((ROW()-41)&lt;=playercnt)),SUMPRODUCT(INDIRECT(ADDRESS(3,ROW()-31,1)):INDIRECT(ADDRESS(22,ROW()-31,1)),AT$3:AT$22),"")</f>
        <v/>
      </c>
      <c r="AU43" t="str">
        <f ca="1">IF(AND(((COLUMN()-10)&lt;=playercnt),((ROW()-41)&lt;=playercnt)),SUMPRODUCT(INDIRECT(ADDRESS(3,ROW()-31,1)):INDIRECT(ADDRESS(22,ROW()-31,1)),AU$3:AU$22),"")</f>
        <v/>
      </c>
      <c r="AV43" t="str">
        <f ca="1">IF(AND(((COLUMN()-10)&lt;=playercnt),((ROW()-41)&lt;=playercnt)),SUMPRODUCT(INDIRECT(ADDRESS(3,ROW()-31,1)):INDIRECT(ADDRESS(22,ROW()-31,1)),AV$3:AV$22),"")</f>
        <v/>
      </c>
      <c r="AW43" t="str">
        <f ca="1">IF(AND(((COLUMN()-10)&lt;=playercnt),((ROW()-41)&lt;=playercnt)),SUMPRODUCT(INDIRECT(ADDRESS(3,ROW()-31,1)):INDIRECT(ADDRESS(22,ROW()-31,1)),AW$3:AW$22),"")</f>
        <v/>
      </c>
      <c r="AX43" t="str">
        <f ca="1">IF(AND(((COLUMN()-10)&lt;=playercnt),((ROW()-41)&lt;=playercnt)),SUMPRODUCT(INDIRECT(ADDRESS(3,ROW()-31,1)):INDIRECT(ADDRESS(22,ROW()-31,1)),AX$3:AX$22),"")</f>
        <v/>
      </c>
      <c r="AY43" t="str">
        <f ca="1">IF(AND(((COLUMN()-10)&lt;=playercnt),((ROW()-41)&lt;=playercnt)),SUMPRODUCT(INDIRECT(ADDRESS(3,ROW()-31,1)):INDIRECT(ADDRESS(22,ROW()-31,1)),AY$3:AY$22),"")</f>
        <v/>
      </c>
      <c r="AZ43" t="str">
        <f ca="1">IF(AND(((COLUMN()-10)&lt;=playercnt),((ROW()-41)&lt;=playercnt)),SUMPRODUCT(INDIRECT(ADDRESS(3,ROW()-31,1)):INDIRECT(ADDRESS(22,ROW()-31,1)),AZ$3:AZ$22),"")</f>
        <v/>
      </c>
      <c r="BA43" t="str">
        <f ca="1">IF(AND(((COLUMN()-10)&lt;=playercnt),((ROW()-41)&lt;=playercnt)),SUMPRODUCT(INDIRECT(ADDRESS(3,ROW()-31,1)):INDIRECT(ADDRESS(22,ROW()-31,1)),BA$3:BA$22),"")</f>
        <v/>
      </c>
      <c r="BB43" t="str">
        <f ca="1">IF(AND(((COLUMN()-10)&lt;=playercnt),((ROW()-41)&lt;=playercnt)),SUMPRODUCT(INDIRECT(ADDRESS(3,ROW()-31,1)):INDIRECT(ADDRESS(22,ROW()-31,1)),BB$3:BB$22),"")</f>
        <v/>
      </c>
      <c r="BC43" t="str">
        <f ca="1">IF(AND(((COLUMN()-10)&lt;=playercnt),((ROW()-41)&lt;=playercnt)),SUMPRODUCT(INDIRECT(ADDRESS(3,ROW()-31,1)):INDIRECT(ADDRESS(22,ROW()-31,1)),BC$3:BC$22),"")</f>
        <v/>
      </c>
      <c r="BD43" t="str">
        <f ca="1">IF(AND(((COLUMN()-10)&lt;=playercnt),((ROW()-41)&lt;=playercnt)),SUMPRODUCT(INDIRECT(ADDRESS(3,ROW()-31,1)):INDIRECT(ADDRESS(22,ROW()-31,1)),BD$3:BD$22),"")</f>
        <v/>
      </c>
      <c r="BE43" t="str">
        <f ca="1">IF(AND(((COLUMN()-10)&lt;=playercnt),((ROW()-41)&lt;=playercnt)),SUMPRODUCT(INDIRECT(ADDRESS(3,ROW()-31,1)):INDIRECT(ADDRESS(22,ROW()-31,1)),BE$3:BE$22),"")</f>
        <v/>
      </c>
      <c r="BF43" t="str">
        <f ca="1">IF(AND(((COLUMN()-10)&lt;=playercnt),((ROW()-41)&lt;=playercnt)),SUMPRODUCT(INDIRECT(ADDRESS(3,ROW()-31,1)):INDIRECT(ADDRESS(22,ROW()-31,1)),BF$3:BF$22),"")</f>
        <v/>
      </c>
      <c r="BG43" t="str">
        <f ca="1">IF(AND(((COLUMN()-10)&lt;=playercnt),((ROW()-41)&lt;=playercnt)),SUMPRODUCT(INDIRECT(ADDRESS(3,ROW()-31,1)):INDIRECT(ADDRESS(22,ROW()-31,1)),BG$3:BG$22),"")</f>
        <v/>
      </c>
      <c r="BH43" t="str">
        <f ca="1">IF(AND(((COLUMN()-10)&lt;=playercnt),((ROW()-41)&lt;=playercnt)),SUMPRODUCT(INDIRECT(ADDRESS(3,ROW()-31,1)):INDIRECT(ADDRESS(22,ROW()-31,1)),BH$3:BH$22),"")</f>
        <v/>
      </c>
      <c r="BI43" t="str">
        <f ca="1">IF(AND(((COLUMN()-10)&lt;=playercnt),((ROW()-41)&lt;=playercnt)),SUMPRODUCT(INDIRECT(ADDRESS(3,ROW()-31,1)):INDIRECT(ADDRESS(22,ROW()-31,1)),BI$3:BI$22),"")</f>
        <v/>
      </c>
      <c r="BJ43" t="str">
        <f ca="1">IF(AND(((COLUMN()-10)&lt;=playercnt),((ROW()-41)&lt;=playercnt)),SUMPRODUCT(INDIRECT(ADDRESS(3,ROW()-31,1)):INDIRECT(ADDRESS(22,ROW()-31,1)),BJ$3:BJ$22),"")</f>
        <v/>
      </c>
      <c r="BK43" t="str">
        <f ca="1">IF(AND(((COLUMN()-10)&lt;=playercnt),((ROW()-41)&lt;=playercnt)),SUMPRODUCT(INDIRECT(ADDRESS(3,ROW()-31,1)):INDIRECT(ADDRESS(22,ROW()-31,1)),BK$3:BK$22),"")</f>
        <v/>
      </c>
      <c r="BL43" t="str">
        <f ca="1">IF(AND(((COLUMN()-10)&lt;=playercnt),((ROW()-41)&lt;=playercnt)),SUMPRODUCT(INDIRECT(ADDRESS(3,ROW()-31,1)):INDIRECT(ADDRESS(22,ROW()-31,1)),BL$3:BL$22),"")</f>
        <v/>
      </c>
      <c r="BM43" t="str">
        <f ca="1">IF(AND(((COLUMN()-10)&lt;=playercnt),((ROW()-41)&lt;=playercnt)),SUMPRODUCT(INDIRECT(ADDRESS(3,ROW()-31,1)):INDIRECT(ADDRESS(22,ROW()-31,1)),BM$3:BM$22),"")</f>
        <v/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 t="str">
        <f ca="1">IF(AND(((COLUMN()-10)&lt;=playercnt),((ROW()-41)&lt;=playercnt)),SUMPRODUCT(INDIRECT(ADDRESS(3,ROW()-31,1)):INDIRECT(ADDRESS(22,ROW()-31,1)),AC$3:AC$22),"")</f>
        <v/>
      </c>
      <c r="AD44" t="str">
        <f ca="1">IF(AND(((COLUMN()-10)&lt;=playercnt),((ROW()-41)&lt;=playercnt)),SUMPRODUCT(INDIRECT(ADDRESS(3,ROW()-31,1)):INDIRECT(ADDRESS(22,ROW()-31,1)),AD$3:AD$22),"")</f>
        <v/>
      </c>
      <c r="AE44" t="str">
        <f ca="1">IF(AND(((COLUMN()-10)&lt;=playercnt),((ROW()-41)&lt;=playercnt)),SUMPRODUCT(INDIRECT(ADDRESS(3,ROW()-31,1)):INDIRECT(ADDRESS(22,ROW()-31,1)),AE$3:AE$22),"")</f>
        <v/>
      </c>
      <c r="AF44" t="str">
        <f ca="1">IF(AND(((COLUMN()-10)&lt;=playercnt),((ROW()-41)&lt;=playercnt)),SUMPRODUCT(INDIRECT(ADDRESS(3,ROW()-31,1)):INDIRECT(ADDRESS(22,ROW()-31,1)),AF$3:AF$22),"")</f>
        <v/>
      </c>
      <c r="AG44" t="str">
        <f ca="1">IF(AND(((COLUMN()-10)&lt;=playercnt),((ROW()-41)&lt;=playercnt)),SUMPRODUCT(INDIRECT(ADDRESS(3,ROW()-31,1)):INDIRECT(ADDRESS(22,ROW()-31,1)),AG$3:AG$22),"")</f>
        <v/>
      </c>
      <c r="AH44" t="str">
        <f ca="1">IF(AND(((COLUMN()-10)&lt;=playercnt),((ROW()-41)&lt;=playercnt)),SUMPRODUCT(INDIRECT(ADDRESS(3,ROW()-31,1)):INDIRECT(ADDRESS(22,ROW()-31,1)),AH$3:AH$22),"")</f>
        <v/>
      </c>
      <c r="AI44" t="str">
        <f ca="1">IF(AND(((COLUMN()-10)&lt;=playercnt),((ROW()-41)&lt;=playercnt)),SUMPRODUCT(INDIRECT(ADDRESS(3,ROW()-31,1)):INDIRECT(ADDRESS(22,ROW()-31,1)),AI$3:AI$22),"")</f>
        <v/>
      </c>
      <c r="AJ44" t="str">
        <f ca="1">IF(AND(((COLUMN()-10)&lt;=playercnt),((ROW()-41)&lt;=playercnt)),SUMPRODUCT(INDIRECT(ADDRESS(3,ROW()-31,1)):INDIRECT(ADDRESS(22,ROW()-31,1)),AJ$3:AJ$22),"")</f>
        <v/>
      </c>
      <c r="AK44" t="str">
        <f ca="1">IF(AND(((COLUMN()-10)&lt;=playercnt),((ROW()-41)&lt;=playercnt)),SUMPRODUCT(INDIRECT(ADDRESS(3,ROW()-31,1)):INDIRECT(ADDRESS(22,ROW()-31,1)),AK$3:AK$22),"")</f>
        <v/>
      </c>
      <c r="AL44" t="str">
        <f ca="1">IF(AND(((COLUMN()-10)&lt;=playercnt),((ROW()-41)&lt;=playercnt)),SUMPRODUCT(INDIRECT(ADDRESS(3,ROW()-31,1)):INDIRECT(ADDRESS(22,ROW()-31,1)),AL$3:AL$22),"")</f>
        <v/>
      </c>
      <c r="AM44" t="str">
        <f ca="1">IF(AND(((COLUMN()-10)&lt;=playercnt),((ROW()-41)&lt;=playercnt)),SUMPRODUCT(INDIRECT(ADDRESS(3,ROW()-31,1)):INDIRECT(ADDRESS(22,ROW()-31,1)),AM$3:AM$22),"")</f>
        <v/>
      </c>
      <c r="AN44" t="str">
        <f ca="1">IF(AND(((COLUMN()-10)&lt;=playercnt),((ROW()-41)&lt;=playercnt)),SUMPRODUCT(INDIRECT(ADDRESS(3,ROW()-31,1)):INDIRECT(ADDRESS(22,ROW()-31,1)),AN$3:AN$22),"")</f>
        <v/>
      </c>
      <c r="AO44" t="str">
        <f ca="1">IF(AND(((COLUMN()-10)&lt;=playercnt),((ROW()-41)&lt;=playercnt)),SUMPRODUCT(INDIRECT(ADDRESS(3,ROW()-31,1)):INDIRECT(ADDRESS(22,ROW()-31,1)),AO$3:AO$22),"")</f>
        <v/>
      </c>
      <c r="AP44" t="str">
        <f ca="1">IF(AND(((COLUMN()-10)&lt;=playercnt),((ROW()-41)&lt;=playercnt)),SUMPRODUCT(INDIRECT(ADDRESS(3,ROW()-31,1)):INDIRECT(ADDRESS(22,ROW()-31,1)),AP$3:AP$22),"")</f>
        <v/>
      </c>
      <c r="AQ44" t="str">
        <f ca="1">IF(AND(((COLUMN()-10)&lt;=playercnt),((ROW()-41)&lt;=playercnt)),SUMPRODUCT(INDIRECT(ADDRESS(3,ROW()-31,1)):INDIRECT(ADDRESS(22,ROW()-31,1)),AQ$3:AQ$22),"")</f>
        <v/>
      </c>
      <c r="AR44" t="str">
        <f ca="1">IF(AND(((COLUMN()-10)&lt;=playercnt),((ROW()-41)&lt;=playercnt)),SUMPRODUCT(INDIRECT(ADDRESS(3,ROW()-31,1)):INDIRECT(ADDRESS(22,ROW()-31,1)),AR$3:AR$22),"")</f>
        <v/>
      </c>
      <c r="AS44" t="str">
        <f ca="1">IF(AND(((COLUMN()-10)&lt;=playercnt),((ROW()-41)&lt;=playercnt)),SUMPRODUCT(INDIRECT(ADDRESS(3,ROW()-31,1)):INDIRECT(ADDRESS(22,ROW()-31,1)),AS$3:AS$22),"")</f>
        <v/>
      </c>
      <c r="AT44" t="str">
        <f ca="1">IF(AND(((COLUMN()-10)&lt;=playercnt),((ROW()-41)&lt;=playercnt)),SUMPRODUCT(INDIRECT(ADDRESS(3,ROW()-31,1)):INDIRECT(ADDRESS(22,ROW()-31,1)),AT$3:AT$22),"")</f>
        <v/>
      </c>
      <c r="AU44" t="str">
        <f ca="1">IF(AND(((COLUMN()-10)&lt;=playercnt),((ROW()-41)&lt;=playercnt)),SUMPRODUCT(INDIRECT(ADDRESS(3,ROW()-31,1)):INDIRECT(ADDRESS(22,ROW()-31,1)),AU$3:AU$22),"")</f>
        <v/>
      </c>
      <c r="AV44" t="str">
        <f ca="1">IF(AND(((COLUMN()-10)&lt;=playercnt),((ROW()-41)&lt;=playercnt)),SUMPRODUCT(INDIRECT(ADDRESS(3,ROW()-31,1)):INDIRECT(ADDRESS(22,ROW()-31,1)),AV$3:AV$22),"")</f>
        <v/>
      </c>
      <c r="AW44" t="str">
        <f ca="1">IF(AND(((COLUMN()-10)&lt;=playercnt),((ROW()-41)&lt;=playercnt)),SUMPRODUCT(INDIRECT(ADDRESS(3,ROW()-31,1)):INDIRECT(ADDRESS(22,ROW()-31,1)),AW$3:AW$22),"")</f>
        <v/>
      </c>
      <c r="AX44" t="str">
        <f ca="1">IF(AND(((COLUMN()-10)&lt;=playercnt),((ROW()-41)&lt;=playercnt)),SUMPRODUCT(INDIRECT(ADDRESS(3,ROW()-31,1)):INDIRECT(ADDRESS(22,ROW()-31,1)),AX$3:AX$22),"")</f>
        <v/>
      </c>
      <c r="AY44" t="str">
        <f ca="1">IF(AND(((COLUMN()-10)&lt;=playercnt),((ROW()-41)&lt;=playercnt)),SUMPRODUCT(INDIRECT(ADDRESS(3,ROW()-31,1)):INDIRECT(ADDRESS(22,ROW()-31,1)),AY$3:AY$22),"")</f>
        <v/>
      </c>
      <c r="AZ44" t="str">
        <f ca="1">IF(AND(((COLUMN()-10)&lt;=playercnt),((ROW()-41)&lt;=playercnt)),SUMPRODUCT(INDIRECT(ADDRESS(3,ROW()-31,1)):INDIRECT(ADDRESS(22,ROW()-31,1)),AZ$3:AZ$22),"")</f>
        <v/>
      </c>
      <c r="BA44" t="str">
        <f ca="1">IF(AND(((COLUMN()-10)&lt;=playercnt),((ROW()-41)&lt;=playercnt)),SUMPRODUCT(INDIRECT(ADDRESS(3,ROW()-31,1)):INDIRECT(ADDRESS(22,ROW()-31,1)),BA$3:BA$22),"")</f>
        <v/>
      </c>
      <c r="BB44" t="str">
        <f ca="1">IF(AND(((COLUMN()-10)&lt;=playercnt),((ROW()-41)&lt;=playercnt)),SUMPRODUCT(INDIRECT(ADDRESS(3,ROW()-31,1)):INDIRECT(ADDRESS(22,ROW()-31,1)),BB$3:BB$22),"")</f>
        <v/>
      </c>
      <c r="BC44" t="str">
        <f ca="1">IF(AND(((COLUMN()-10)&lt;=playercnt),((ROW()-41)&lt;=playercnt)),SUMPRODUCT(INDIRECT(ADDRESS(3,ROW()-31,1)):INDIRECT(ADDRESS(22,ROW()-31,1)),BC$3:BC$22),"")</f>
        <v/>
      </c>
      <c r="BD44" t="str">
        <f ca="1">IF(AND(((COLUMN()-10)&lt;=playercnt),((ROW()-41)&lt;=playercnt)),SUMPRODUCT(INDIRECT(ADDRESS(3,ROW()-31,1)):INDIRECT(ADDRESS(22,ROW()-31,1)),BD$3:BD$22),"")</f>
        <v/>
      </c>
      <c r="BE44" t="str">
        <f ca="1">IF(AND(((COLUMN()-10)&lt;=playercnt),((ROW()-41)&lt;=playercnt)),SUMPRODUCT(INDIRECT(ADDRESS(3,ROW()-31,1)):INDIRECT(ADDRESS(22,ROW()-31,1)),BE$3:BE$22),"")</f>
        <v/>
      </c>
      <c r="BF44" t="str">
        <f ca="1">IF(AND(((COLUMN()-10)&lt;=playercnt),((ROW()-41)&lt;=playercnt)),SUMPRODUCT(INDIRECT(ADDRESS(3,ROW()-31,1)):INDIRECT(ADDRESS(22,ROW()-31,1)),BF$3:BF$22),"")</f>
        <v/>
      </c>
      <c r="BG44" t="str">
        <f ca="1">IF(AND(((COLUMN()-10)&lt;=playercnt),((ROW()-41)&lt;=playercnt)),SUMPRODUCT(INDIRECT(ADDRESS(3,ROW()-31,1)):INDIRECT(ADDRESS(22,ROW()-31,1)),BG$3:BG$22),"")</f>
        <v/>
      </c>
      <c r="BH44" t="str">
        <f ca="1">IF(AND(((COLUMN()-10)&lt;=playercnt),((ROW()-41)&lt;=playercnt)),SUMPRODUCT(INDIRECT(ADDRESS(3,ROW()-31,1)):INDIRECT(ADDRESS(22,ROW()-31,1)),BH$3:BH$22),"")</f>
        <v/>
      </c>
      <c r="BI44" t="str">
        <f ca="1">IF(AND(((COLUMN()-10)&lt;=playercnt),((ROW()-41)&lt;=playercnt)),SUMPRODUCT(INDIRECT(ADDRESS(3,ROW()-31,1)):INDIRECT(ADDRESS(22,ROW()-31,1)),BI$3:BI$22),"")</f>
        <v/>
      </c>
      <c r="BJ44" t="str">
        <f ca="1">IF(AND(((COLUMN()-10)&lt;=playercnt),((ROW()-41)&lt;=playercnt)),SUMPRODUCT(INDIRECT(ADDRESS(3,ROW()-31,1)):INDIRECT(ADDRESS(22,ROW()-31,1)),BJ$3:BJ$22),"")</f>
        <v/>
      </c>
      <c r="BK44" t="str">
        <f ca="1">IF(AND(((COLUMN()-10)&lt;=playercnt),((ROW()-41)&lt;=playercnt)),SUMPRODUCT(INDIRECT(ADDRESS(3,ROW()-31,1)):INDIRECT(ADDRESS(22,ROW()-31,1)),BK$3:BK$22),"")</f>
        <v/>
      </c>
      <c r="BL44" t="str">
        <f ca="1">IF(AND(((COLUMN()-10)&lt;=playercnt),((ROW()-41)&lt;=playercnt)),SUMPRODUCT(INDIRECT(ADDRESS(3,ROW()-31,1)):INDIRECT(ADDRESS(22,ROW()-31,1)),BL$3:BL$22),"")</f>
        <v/>
      </c>
      <c r="BM44" t="str">
        <f ca="1">IF(AND(((COLUMN()-10)&lt;=playercnt),((ROW()-41)&lt;=playercnt)),SUMPRODUCT(INDIRECT(ADDRESS(3,ROW()-31,1)):INDIRECT(ADDRESS(22,ROW()-31,1)),BM$3:BM$22),"")</f>
        <v/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 t="str">
        <f ca="1">IF(AND(((COLUMN()-10)&lt;=playercnt),((ROW()-41)&lt;=playercnt)),SUMPRODUCT(INDIRECT(ADDRESS(3,ROW()-31,1)):INDIRECT(ADDRESS(22,ROW()-31,1)),AC$3:AC$22),"")</f>
        <v/>
      </c>
      <c r="AD45" t="str">
        <f ca="1">IF(AND(((COLUMN()-10)&lt;=playercnt),((ROW()-41)&lt;=playercnt)),SUMPRODUCT(INDIRECT(ADDRESS(3,ROW()-31,1)):INDIRECT(ADDRESS(22,ROW()-31,1)),AD$3:AD$22),"")</f>
        <v/>
      </c>
      <c r="AE45" t="str">
        <f ca="1">IF(AND(((COLUMN()-10)&lt;=playercnt),((ROW()-41)&lt;=playercnt)),SUMPRODUCT(INDIRECT(ADDRESS(3,ROW()-31,1)):INDIRECT(ADDRESS(22,ROW()-31,1)),AE$3:AE$22),"")</f>
        <v/>
      </c>
      <c r="AF45" t="str">
        <f ca="1">IF(AND(((COLUMN()-10)&lt;=playercnt),((ROW()-41)&lt;=playercnt)),SUMPRODUCT(INDIRECT(ADDRESS(3,ROW()-31,1)):INDIRECT(ADDRESS(22,ROW()-31,1)),AF$3:AF$22),"")</f>
        <v/>
      </c>
      <c r="AG45" t="str">
        <f ca="1">IF(AND(((COLUMN()-10)&lt;=playercnt),((ROW()-41)&lt;=playercnt)),SUMPRODUCT(INDIRECT(ADDRESS(3,ROW()-31,1)):INDIRECT(ADDRESS(22,ROW()-31,1)),AG$3:AG$22),"")</f>
        <v/>
      </c>
      <c r="AH45" t="str">
        <f ca="1">IF(AND(((COLUMN()-10)&lt;=playercnt),((ROW()-41)&lt;=playercnt)),SUMPRODUCT(INDIRECT(ADDRESS(3,ROW()-31,1)):INDIRECT(ADDRESS(22,ROW()-31,1)),AH$3:AH$22),"")</f>
        <v/>
      </c>
      <c r="AI45" t="str">
        <f ca="1">IF(AND(((COLUMN()-10)&lt;=playercnt),((ROW()-41)&lt;=playercnt)),SUMPRODUCT(INDIRECT(ADDRESS(3,ROW()-31,1)):INDIRECT(ADDRESS(22,ROW()-31,1)),AI$3:AI$22),"")</f>
        <v/>
      </c>
      <c r="AJ45" t="str">
        <f ca="1">IF(AND(((COLUMN()-10)&lt;=playercnt),((ROW()-41)&lt;=playercnt)),SUMPRODUCT(INDIRECT(ADDRESS(3,ROW()-31,1)):INDIRECT(ADDRESS(22,ROW()-31,1)),AJ$3:AJ$22),"")</f>
        <v/>
      </c>
      <c r="AK45" t="str">
        <f ca="1">IF(AND(((COLUMN()-10)&lt;=playercnt),((ROW()-41)&lt;=playercnt)),SUMPRODUCT(INDIRECT(ADDRESS(3,ROW()-31,1)):INDIRECT(ADDRESS(22,ROW()-31,1)),AK$3:AK$22),"")</f>
        <v/>
      </c>
      <c r="AL45" t="str">
        <f ca="1">IF(AND(((COLUMN()-10)&lt;=playercnt),((ROW()-41)&lt;=playercnt)),SUMPRODUCT(INDIRECT(ADDRESS(3,ROW()-31,1)):INDIRECT(ADDRESS(22,ROW()-31,1)),AL$3:AL$22),"")</f>
        <v/>
      </c>
      <c r="AM45" t="str">
        <f ca="1">IF(AND(((COLUMN()-10)&lt;=playercnt),((ROW()-41)&lt;=playercnt)),SUMPRODUCT(INDIRECT(ADDRESS(3,ROW()-31,1)):INDIRECT(ADDRESS(22,ROW()-31,1)),AM$3:AM$22),"")</f>
        <v/>
      </c>
      <c r="AN45" t="str">
        <f ca="1">IF(AND(((COLUMN()-10)&lt;=playercnt),((ROW()-41)&lt;=playercnt)),SUMPRODUCT(INDIRECT(ADDRESS(3,ROW()-31,1)):INDIRECT(ADDRESS(22,ROW()-31,1)),AN$3:AN$22),"")</f>
        <v/>
      </c>
      <c r="AO45" t="str">
        <f ca="1">IF(AND(((COLUMN()-10)&lt;=playercnt),((ROW()-41)&lt;=playercnt)),SUMPRODUCT(INDIRECT(ADDRESS(3,ROW()-31,1)):INDIRECT(ADDRESS(22,ROW()-31,1)),AO$3:AO$22),"")</f>
        <v/>
      </c>
      <c r="AP45" t="str">
        <f ca="1">IF(AND(((COLUMN()-10)&lt;=playercnt),((ROW()-41)&lt;=playercnt)),SUMPRODUCT(INDIRECT(ADDRESS(3,ROW()-31,1)):INDIRECT(ADDRESS(22,ROW()-31,1)),AP$3:AP$22),"")</f>
        <v/>
      </c>
      <c r="AQ45" t="str">
        <f ca="1">IF(AND(((COLUMN()-10)&lt;=playercnt),((ROW()-41)&lt;=playercnt)),SUMPRODUCT(INDIRECT(ADDRESS(3,ROW()-31,1)):INDIRECT(ADDRESS(22,ROW()-31,1)),AQ$3:AQ$22),"")</f>
        <v/>
      </c>
      <c r="AR45" t="str">
        <f ca="1">IF(AND(((COLUMN()-10)&lt;=playercnt),((ROW()-41)&lt;=playercnt)),SUMPRODUCT(INDIRECT(ADDRESS(3,ROW()-31,1)):INDIRECT(ADDRESS(22,ROW()-31,1)),AR$3:AR$22),"")</f>
        <v/>
      </c>
      <c r="AS45" t="str">
        <f ca="1">IF(AND(((COLUMN()-10)&lt;=playercnt),((ROW()-41)&lt;=playercnt)),SUMPRODUCT(INDIRECT(ADDRESS(3,ROW()-31,1)):INDIRECT(ADDRESS(22,ROW()-31,1)),AS$3:AS$22),"")</f>
        <v/>
      </c>
      <c r="AT45" t="str">
        <f ca="1">IF(AND(((COLUMN()-10)&lt;=playercnt),((ROW()-41)&lt;=playercnt)),SUMPRODUCT(INDIRECT(ADDRESS(3,ROW()-31,1)):INDIRECT(ADDRESS(22,ROW()-31,1)),AT$3:AT$22),"")</f>
        <v/>
      </c>
      <c r="AU45" t="str">
        <f ca="1">IF(AND(((COLUMN()-10)&lt;=playercnt),((ROW()-41)&lt;=playercnt)),SUMPRODUCT(INDIRECT(ADDRESS(3,ROW()-31,1)):INDIRECT(ADDRESS(22,ROW()-31,1)),AU$3:AU$22),"")</f>
        <v/>
      </c>
      <c r="AV45" t="str">
        <f ca="1">IF(AND(((COLUMN()-10)&lt;=playercnt),((ROW()-41)&lt;=playercnt)),SUMPRODUCT(INDIRECT(ADDRESS(3,ROW()-31,1)):INDIRECT(ADDRESS(22,ROW()-31,1)),AV$3:AV$22),"")</f>
        <v/>
      </c>
      <c r="AW45" t="str">
        <f ca="1">IF(AND(((COLUMN()-10)&lt;=playercnt),((ROW()-41)&lt;=playercnt)),SUMPRODUCT(INDIRECT(ADDRESS(3,ROW()-31,1)):INDIRECT(ADDRESS(22,ROW()-31,1)),AW$3:AW$22),"")</f>
        <v/>
      </c>
      <c r="AX45" t="str">
        <f ca="1">IF(AND(((COLUMN()-10)&lt;=playercnt),((ROW()-41)&lt;=playercnt)),SUMPRODUCT(INDIRECT(ADDRESS(3,ROW()-31,1)):INDIRECT(ADDRESS(22,ROW()-31,1)),AX$3:AX$22),"")</f>
        <v/>
      </c>
      <c r="AY45" t="str">
        <f ca="1">IF(AND(((COLUMN()-10)&lt;=playercnt),((ROW()-41)&lt;=playercnt)),SUMPRODUCT(INDIRECT(ADDRESS(3,ROW()-31,1)):INDIRECT(ADDRESS(22,ROW()-31,1)),AY$3:AY$22),"")</f>
        <v/>
      </c>
      <c r="AZ45" t="str">
        <f ca="1">IF(AND(((COLUMN()-10)&lt;=playercnt),((ROW()-41)&lt;=playercnt)),SUMPRODUCT(INDIRECT(ADDRESS(3,ROW()-31,1)):INDIRECT(ADDRESS(22,ROW()-31,1)),AZ$3:AZ$22),"")</f>
        <v/>
      </c>
      <c r="BA45" t="str">
        <f ca="1">IF(AND(((COLUMN()-10)&lt;=playercnt),((ROW()-41)&lt;=playercnt)),SUMPRODUCT(INDIRECT(ADDRESS(3,ROW()-31,1)):INDIRECT(ADDRESS(22,ROW()-31,1)),BA$3:BA$22),"")</f>
        <v/>
      </c>
      <c r="BB45" t="str">
        <f ca="1">IF(AND(((COLUMN()-10)&lt;=playercnt),((ROW()-41)&lt;=playercnt)),SUMPRODUCT(INDIRECT(ADDRESS(3,ROW()-31,1)):INDIRECT(ADDRESS(22,ROW()-31,1)),BB$3:BB$22),"")</f>
        <v/>
      </c>
      <c r="BC45" t="str">
        <f ca="1">IF(AND(((COLUMN()-10)&lt;=playercnt),((ROW()-41)&lt;=playercnt)),SUMPRODUCT(INDIRECT(ADDRESS(3,ROW()-31,1)):INDIRECT(ADDRESS(22,ROW()-31,1)),BC$3:BC$22),"")</f>
        <v/>
      </c>
      <c r="BD45" t="str">
        <f ca="1">IF(AND(((COLUMN()-10)&lt;=playercnt),((ROW()-41)&lt;=playercnt)),SUMPRODUCT(INDIRECT(ADDRESS(3,ROW()-31,1)):INDIRECT(ADDRESS(22,ROW()-31,1)),BD$3:BD$22),"")</f>
        <v/>
      </c>
      <c r="BE45" t="str">
        <f ca="1">IF(AND(((COLUMN()-10)&lt;=playercnt),((ROW()-41)&lt;=playercnt)),SUMPRODUCT(INDIRECT(ADDRESS(3,ROW()-31,1)):INDIRECT(ADDRESS(22,ROW()-31,1)),BE$3:BE$22),"")</f>
        <v/>
      </c>
      <c r="BF45" t="str">
        <f ca="1">IF(AND(((COLUMN()-10)&lt;=playercnt),((ROW()-41)&lt;=playercnt)),SUMPRODUCT(INDIRECT(ADDRESS(3,ROW()-31,1)):INDIRECT(ADDRESS(22,ROW()-31,1)),BF$3:BF$22),"")</f>
        <v/>
      </c>
      <c r="BG45" t="str">
        <f ca="1">IF(AND(((COLUMN()-10)&lt;=playercnt),((ROW()-41)&lt;=playercnt)),SUMPRODUCT(INDIRECT(ADDRESS(3,ROW()-31,1)):INDIRECT(ADDRESS(22,ROW()-31,1)),BG$3:BG$22),"")</f>
        <v/>
      </c>
      <c r="BH45" t="str">
        <f ca="1">IF(AND(((COLUMN()-10)&lt;=playercnt),((ROW()-41)&lt;=playercnt)),SUMPRODUCT(INDIRECT(ADDRESS(3,ROW()-31,1)):INDIRECT(ADDRESS(22,ROW()-31,1)),BH$3:BH$22),"")</f>
        <v/>
      </c>
      <c r="BI45" t="str">
        <f ca="1">IF(AND(((COLUMN()-10)&lt;=playercnt),((ROW()-41)&lt;=playercnt)),SUMPRODUCT(INDIRECT(ADDRESS(3,ROW()-31,1)):INDIRECT(ADDRESS(22,ROW()-31,1)),BI$3:BI$22),"")</f>
        <v/>
      </c>
      <c r="BJ45" t="str">
        <f ca="1">IF(AND(((COLUMN()-10)&lt;=playercnt),((ROW()-41)&lt;=playercnt)),SUMPRODUCT(INDIRECT(ADDRESS(3,ROW()-31,1)):INDIRECT(ADDRESS(22,ROW()-31,1)),BJ$3:BJ$22),"")</f>
        <v/>
      </c>
      <c r="BK45" t="str">
        <f ca="1">IF(AND(((COLUMN()-10)&lt;=playercnt),((ROW()-41)&lt;=playercnt)),SUMPRODUCT(INDIRECT(ADDRESS(3,ROW()-31,1)):INDIRECT(ADDRESS(22,ROW()-31,1)),BK$3:BK$22),"")</f>
        <v/>
      </c>
      <c r="BL45" t="str">
        <f ca="1">IF(AND(((COLUMN()-10)&lt;=playercnt),((ROW()-41)&lt;=playercnt)),SUMPRODUCT(INDIRECT(ADDRESS(3,ROW()-31,1)):INDIRECT(ADDRESS(22,ROW()-31,1)),BL$3:BL$22),"")</f>
        <v/>
      </c>
      <c r="BM45" t="str">
        <f ca="1">IF(AND(((COLUMN()-10)&lt;=playercnt),((ROW()-41)&lt;=playercnt)),SUMPRODUCT(INDIRECT(ADDRESS(3,ROW()-31,1)):INDIRECT(ADDRESS(22,ROW()-31,1)),BM$3:BM$22),"")</f>
        <v/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 t="str">
        <f ca="1">IF(AND(((COLUMN()-10)&lt;=playercnt),((ROW()-41)&lt;=playercnt)),SUMPRODUCT(INDIRECT(ADDRESS(3,ROW()-31,1)):INDIRECT(ADDRESS(22,ROW()-31,1)),AC$3:AC$22),"")</f>
        <v/>
      </c>
      <c r="AD46" t="str">
        <f ca="1">IF(AND(((COLUMN()-10)&lt;=playercnt),((ROW()-41)&lt;=playercnt)),SUMPRODUCT(INDIRECT(ADDRESS(3,ROW()-31,1)):INDIRECT(ADDRESS(22,ROW()-31,1)),AD$3:AD$22),"")</f>
        <v/>
      </c>
      <c r="AE46" t="str">
        <f ca="1">IF(AND(((COLUMN()-10)&lt;=playercnt),((ROW()-41)&lt;=playercnt)),SUMPRODUCT(INDIRECT(ADDRESS(3,ROW()-31,1)):INDIRECT(ADDRESS(22,ROW()-31,1)),AE$3:AE$22),"")</f>
        <v/>
      </c>
      <c r="AF46" t="str">
        <f ca="1">IF(AND(((COLUMN()-10)&lt;=playercnt),((ROW()-41)&lt;=playercnt)),SUMPRODUCT(INDIRECT(ADDRESS(3,ROW()-31,1)):INDIRECT(ADDRESS(22,ROW()-31,1)),AF$3:AF$22),"")</f>
        <v/>
      </c>
      <c r="AG46" t="str">
        <f ca="1">IF(AND(((COLUMN()-10)&lt;=playercnt),((ROW()-41)&lt;=playercnt)),SUMPRODUCT(INDIRECT(ADDRESS(3,ROW()-31,1)):INDIRECT(ADDRESS(22,ROW()-31,1)),AG$3:AG$22),"")</f>
        <v/>
      </c>
      <c r="AH46" t="str">
        <f ca="1">IF(AND(((COLUMN()-10)&lt;=playercnt),((ROW()-41)&lt;=playercnt)),SUMPRODUCT(INDIRECT(ADDRESS(3,ROW()-31,1)):INDIRECT(ADDRESS(22,ROW()-31,1)),AH$3:AH$22),"")</f>
        <v/>
      </c>
      <c r="AI46" t="str">
        <f ca="1">IF(AND(((COLUMN()-10)&lt;=playercnt),((ROW()-41)&lt;=playercnt)),SUMPRODUCT(INDIRECT(ADDRESS(3,ROW()-31,1)):INDIRECT(ADDRESS(22,ROW()-31,1)),AI$3:AI$22),"")</f>
        <v/>
      </c>
      <c r="AJ46" t="str">
        <f ca="1">IF(AND(((COLUMN()-10)&lt;=playercnt),((ROW()-41)&lt;=playercnt)),SUMPRODUCT(INDIRECT(ADDRESS(3,ROW()-31,1)):INDIRECT(ADDRESS(22,ROW()-31,1)),AJ$3:AJ$22),"")</f>
        <v/>
      </c>
      <c r="AK46" t="str">
        <f ca="1">IF(AND(((COLUMN()-10)&lt;=playercnt),((ROW()-41)&lt;=playercnt)),SUMPRODUCT(INDIRECT(ADDRESS(3,ROW()-31,1)):INDIRECT(ADDRESS(22,ROW()-31,1)),AK$3:AK$22),"")</f>
        <v/>
      </c>
      <c r="AL46" t="str">
        <f ca="1">IF(AND(((COLUMN()-10)&lt;=playercnt),((ROW()-41)&lt;=playercnt)),SUMPRODUCT(INDIRECT(ADDRESS(3,ROW()-31,1)):INDIRECT(ADDRESS(22,ROW()-31,1)),AL$3:AL$22),"")</f>
        <v/>
      </c>
      <c r="AM46" t="str">
        <f ca="1">IF(AND(((COLUMN()-10)&lt;=playercnt),((ROW()-41)&lt;=playercnt)),SUMPRODUCT(INDIRECT(ADDRESS(3,ROW()-31,1)):INDIRECT(ADDRESS(22,ROW()-31,1)),AM$3:AM$22),"")</f>
        <v/>
      </c>
      <c r="AN46" t="str">
        <f ca="1">IF(AND(((COLUMN()-10)&lt;=playercnt),((ROW()-41)&lt;=playercnt)),SUMPRODUCT(INDIRECT(ADDRESS(3,ROW()-31,1)):INDIRECT(ADDRESS(22,ROW()-31,1)),AN$3:AN$22),"")</f>
        <v/>
      </c>
      <c r="AO46" t="str">
        <f ca="1">IF(AND(((COLUMN()-10)&lt;=playercnt),((ROW()-41)&lt;=playercnt)),SUMPRODUCT(INDIRECT(ADDRESS(3,ROW()-31,1)):INDIRECT(ADDRESS(22,ROW()-31,1)),AO$3:AO$22),"")</f>
        <v/>
      </c>
      <c r="AP46" t="str">
        <f ca="1">IF(AND(((COLUMN()-10)&lt;=playercnt),((ROW()-41)&lt;=playercnt)),SUMPRODUCT(INDIRECT(ADDRESS(3,ROW()-31,1)):INDIRECT(ADDRESS(22,ROW()-31,1)),AP$3:AP$22),"")</f>
        <v/>
      </c>
      <c r="AQ46" t="str">
        <f ca="1">IF(AND(((COLUMN()-10)&lt;=playercnt),((ROW()-41)&lt;=playercnt)),SUMPRODUCT(INDIRECT(ADDRESS(3,ROW()-31,1)):INDIRECT(ADDRESS(22,ROW()-31,1)),AQ$3:AQ$22),"")</f>
        <v/>
      </c>
      <c r="AR46" t="str">
        <f ca="1">IF(AND(((COLUMN()-10)&lt;=playercnt),((ROW()-41)&lt;=playercnt)),SUMPRODUCT(INDIRECT(ADDRESS(3,ROW()-31,1)):INDIRECT(ADDRESS(22,ROW()-31,1)),AR$3:AR$22),"")</f>
        <v/>
      </c>
      <c r="AS46" t="str">
        <f ca="1">IF(AND(((COLUMN()-10)&lt;=playercnt),((ROW()-41)&lt;=playercnt)),SUMPRODUCT(INDIRECT(ADDRESS(3,ROW()-31,1)):INDIRECT(ADDRESS(22,ROW()-31,1)),AS$3:AS$22),"")</f>
        <v/>
      </c>
      <c r="AT46" t="str">
        <f ca="1">IF(AND(((COLUMN()-10)&lt;=playercnt),((ROW()-41)&lt;=playercnt)),SUMPRODUCT(INDIRECT(ADDRESS(3,ROW()-31,1)):INDIRECT(ADDRESS(22,ROW()-31,1)),AT$3:AT$22),"")</f>
        <v/>
      </c>
      <c r="AU46" t="str">
        <f ca="1">IF(AND(((COLUMN()-10)&lt;=playercnt),((ROW()-41)&lt;=playercnt)),SUMPRODUCT(INDIRECT(ADDRESS(3,ROW()-31,1)):INDIRECT(ADDRESS(22,ROW()-31,1)),AU$3:AU$22),"")</f>
        <v/>
      </c>
      <c r="AV46" t="str">
        <f ca="1">IF(AND(((COLUMN()-10)&lt;=playercnt),((ROW()-41)&lt;=playercnt)),SUMPRODUCT(INDIRECT(ADDRESS(3,ROW()-31,1)):INDIRECT(ADDRESS(22,ROW()-31,1)),AV$3:AV$22),"")</f>
        <v/>
      </c>
      <c r="AW46" t="str">
        <f ca="1">IF(AND(((COLUMN()-10)&lt;=playercnt),((ROW()-41)&lt;=playercnt)),SUMPRODUCT(INDIRECT(ADDRESS(3,ROW()-31,1)):INDIRECT(ADDRESS(22,ROW()-31,1)),AW$3:AW$22),"")</f>
        <v/>
      </c>
      <c r="AX46" t="str">
        <f ca="1">IF(AND(((COLUMN()-10)&lt;=playercnt),((ROW()-41)&lt;=playercnt)),SUMPRODUCT(INDIRECT(ADDRESS(3,ROW()-31,1)):INDIRECT(ADDRESS(22,ROW()-31,1)),AX$3:AX$22),"")</f>
        <v/>
      </c>
      <c r="AY46" t="str">
        <f ca="1">IF(AND(((COLUMN()-10)&lt;=playercnt),((ROW()-41)&lt;=playercnt)),SUMPRODUCT(INDIRECT(ADDRESS(3,ROW()-31,1)):INDIRECT(ADDRESS(22,ROW()-31,1)),AY$3:AY$22),"")</f>
        <v/>
      </c>
      <c r="AZ46" t="str">
        <f ca="1">IF(AND(((COLUMN()-10)&lt;=playercnt),((ROW()-41)&lt;=playercnt)),SUMPRODUCT(INDIRECT(ADDRESS(3,ROW()-31,1)):INDIRECT(ADDRESS(22,ROW()-31,1)),AZ$3:AZ$22),"")</f>
        <v/>
      </c>
      <c r="BA46" t="str">
        <f ca="1">IF(AND(((COLUMN()-10)&lt;=playercnt),((ROW()-41)&lt;=playercnt)),SUMPRODUCT(INDIRECT(ADDRESS(3,ROW()-31,1)):INDIRECT(ADDRESS(22,ROW()-31,1)),BA$3:BA$22),"")</f>
        <v/>
      </c>
      <c r="BB46" t="str">
        <f ca="1">IF(AND(((COLUMN()-10)&lt;=playercnt),((ROW()-41)&lt;=playercnt)),SUMPRODUCT(INDIRECT(ADDRESS(3,ROW()-31,1)):INDIRECT(ADDRESS(22,ROW()-31,1)),BB$3:BB$22),"")</f>
        <v/>
      </c>
      <c r="BC46" t="str">
        <f ca="1">IF(AND(((COLUMN()-10)&lt;=playercnt),((ROW()-41)&lt;=playercnt)),SUMPRODUCT(INDIRECT(ADDRESS(3,ROW()-31,1)):INDIRECT(ADDRESS(22,ROW()-31,1)),BC$3:BC$22),"")</f>
        <v/>
      </c>
      <c r="BD46" t="str">
        <f ca="1">IF(AND(((COLUMN()-10)&lt;=playercnt),((ROW()-41)&lt;=playercnt)),SUMPRODUCT(INDIRECT(ADDRESS(3,ROW()-31,1)):INDIRECT(ADDRESS(22,ROW()-31,1)),BD$3:BD$22),"")</f>
        <v/>
      </c>
      <c r="BE46" t="str">
        <f ca="1">IF(AND(((COLUMN()-10)&lt;=playercnt),((ROW()-41)&lt;=playercnt)),SUMPRODUCT(INDIRECT(ADDRESS(3,ROW()-31,1)):INDIRECT(ADDRESS(22,ROW()-31,1)),BE$3:BE$22),"")</f>
        <v/>
      </c>
      <c r="BF46" t="str">
        <f ca="1">IF(AND(((COLUMN()-10)&lt;=playercnt),((ROW()-41)&lt;=playercnt)),SUMPRODUCT(INDIRECT(ADDRESS(3,ROW()-31,1)):INDIRECT(ADDRESS(22,ROW()-31,1)),BF$3:BF$22),"")</f>
        <v/>
      </c>
      <c r="BG46" t="str">
        <f ca="1">IF(AND(((COLUMN()-10)&lt;=playercnt),((ROW()-41)&lt;=playercnt)),SUMPRODUCT(INDIRECT(ADDRESS(3,ROW()-31,1)):INDIRECT(ADDRESS(22,ROW()-31,1)),BG$3:BG$22),"")</f>
        <v/>
      </c>
      <c r="BH46" t="str">
        <f ca="1">IF(AND(((COLUMN()-10)&lt;=playercnt),((ROW()-41)&lt;=playercnt)),SUMPRODUCT(INDIRECT(ADDRESS(3,ROW()-31,1)):INDIRECT(ADDRESS(22,ROW()-31,1)),BH$3:BH$22),"")</f>
        <v/>
      </c>
      <c r="BI46" t="str">
        <f ca="1">IF(AND(((COLUMN()-10)&lt;=playercnt),((ROW()-41)&lt;=playercnt)),SUMPRODUCT(INDIRECT(ADDRESS(3,ROW()-31,1)):INDIRECT(ADDRESS(22,ROW()-31,1)),BI$3:BI$22),"")</f>
        <v/>
      </c>
      <c r="BJ46" t="str">
        <f ca="1">IF(AND(((COLUMN()-10)&lt;=playercnt),((ROW()-41)&lt;=playercnt)),SUMPRODUCT(INDIRECT(ADDRESS(3,ROW()-31,1)):INDIRECT(ADDRESS(22,ROW()-31,1)),BJ$3:BJ$22),"")</f>
        <v/>
      </c>
      <c r="BK46" t="str">
        <f ca="1">IF(AND(((COLUMN()-10)&lt;=playercnt),((ROW()-41)&lt;=playercnt)),SUMPRODUCT(INDIRECT(ADDRESS(3,ROW()-31,1)):INDIRECT(ADDRESS(22,ROW()-31,1)),BK$3:BK$22),"")</f>
        <v/>
      </c>
      <c r="BL46" t="str">
        <f ca="1">IF(AND(((COLUMN()-10)&lt;=playercnt),((ROW()-41)&lt;=playercnt)),SUMPRODUCT(INDIRECT(ADDRESS(3,ROW()-31,1)):INDIRECT(ADDRESS(22,ROW()-31,1)),BL$3:BL$22),"")</f>
        <v/>
      </c>
      <c r="BM46" t="str">
        <f ca="1">IF(AND(((COLUMN()-10)&lt;=playercnt),((ROW()-41)&lt;=playercnt)),SUMPRODUCT(INDIRECT(ADDRESS(3,ROW()-31,1)):INDIRECT(ADDRESS(22,ROW()-31,1)),BM$3:BM$22),"")</f>
        <v/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 t="str">
        <f ca="1">IF(AND(((COLUMN()-10)&lt;=playercnt),((ROW()-41)&lt;=playercnt)),SUMPRODUCT(INDIRECT(ADDRESS(3,ROW()-31,1)):INDIRECT(ADDRESS(22,ROW()-31,1)),AC$3:AC$22),"")</f>
        <v/>
      </c>
      <c r="AD47" t="str">
        <f ca="1">IF(AND(((COLUMN()-10)&lt;=playercnt),((ROW()-41)&lt;=playercnt)),SUMPRODUCT(INDIRECT(ADDRESS(3,ROW()-31,1)):INDIRECT(ADDRESS(22,ROW()-31,1)),AD$3:AD$22),"")</f>
        <v/>
      </c>
      <c r="AE47" t="str">
        <f ca="1">IF(AND(((COLUMN()-10)&lt;=playercnt),((ROW()-41)&lt;=playercnt)),SUMPRODUCT(INDIRECT(ADDRESS(3,ROW()-31,1)):INDIRECT(ADDRESS(22,ROW()-31,1)),AE$3:AE$22),"")</f>
        <v/>
      </c>
      <c r="AF47" t="str">
        <f ca="1">IF(AND(((COLUMN()-10)&lt;=playercnt),((ROW()-41)&lt;=playercnt)),SUMPRODUCT(INDIRECT(ADDRESS(3,ROW()-31,1)):INDIRECT(ADDRESS(22,ROW()-31,1)),AF$3:AF$22),"")</f>
        <v/>
      </c>
      <c r="AG47" t="str">
        <f ca="1">IF(AND(((COLUMN()-10)&lt;=playercnt),((ROW()-41)&lt;=playercnt)),SUMPRODUCT(INDIRECT(ADDRESS(3,ROW()-31,1)):INDIRECT(ADDRESS(22,ROW()-31,1)),AG$3:AG$22),"")</f>
        <v/>
      </c>
      <c r="AH47" t="str">
        <f ca="1">IF(AND(((COLUMN()-10)&lt;=playercnt),((ROW()-41)&lt;=playercnt)),SUMPRODUCT(INDIRECT(ADDRESS(3,ROW()-31,1)):INDIRECT(ADDRESS(22,ROW()-31,1)),AH$3:AH$22),"")</f>
        <v/>
      </c>
      <c r="AI47" t="str">
        <f ca="1">IF(AND(((COLUMN()-10)&lt;=playercnt),((ROW()-41)&lt;=playercnt)),SUMPRODUCT(INDIRECT(ADDRESS(3,ROW()-31,1)):INDIRECT(ADDRESS(22,ROW()-31,1)),AI$3:AI$22),"")</f>
        <v/>
      </c>
      <c r="AJ47" t="str">
        <f ca="1">IF(AND(((COLUMN()-10)&lt;=playercnt),((ROW()-41)&lt;=playercnt)),SUMPRODUCT(INDIRECT(ADDRESS(3,ROW()-31,1)):INDIRECT(ADDRESS(22,ROW()-31,1)),AJ$3:AJ$22),"")</f>
        <v/>
      </c>
      <c r="AK47" t="str">
        <f ca="1">IF(AND(((COLUMN()-10)&lt;=playercnt),((ROW()-41)&lt;=playercnt)),SUMPRODUCT(INDIRECT(ADDRESS(3,ROW()-31,1)):INDIRECT(ADDRESS(22,ROW()-31,1)),AK$3:AK$22),"")</f>
        <v/>
      </c>
      <c r="AL47" t="str">
        <f ca="1">IF(AND(((COLUMN()-10)&lt;=playercnt),((ROW()-41)&lt;=playercnt)),SUMPRODUCT(INDIRECT(ADDRESS(3,ROW()-31,1)):INDIRECT(ADDRESS(22,ROW()-31,1)),AL$3:AL$22),"")</f>
        <v/>
      </c>
      <c r="AM47" t="str">
        <f ca="1">IF(AND(((COLUMN()-10)&lt;=playercnt),((ROW()-41)&lt;=playercnt)),SUMPRODUCT(INDIRECT(ADDRESS(3,ROW()-31,1)):INDIRECT(ADDRESS(22,ROW()-31,1)),AM$3:AM$22),"")</f>
        <v/>
      </c>
      <c r="AN47" t="str">
        <f ca="1">IF(AND(((COLUMN()-10)&lt;=playercnt),((ROW()-41)&lt;=playercnt)),SUMPRODUCT(INDIRECT(ADDRESS(3,ROW()-31,1)):INDIRECT(ADDRESS(22,ROW()-31,1)),AN$3:AN$22),"")</f>
        <v/>
      </c>
      <c r="AO47" t="str">
        <f ca="1">IF(AND(((COLUMN()-10)&lt;=playercnt),((ROW()-41)&lt;=playercnt)),SUMPRODUCT(INDIRECT(ADDRESS(3,ROW()-31,1)):INDIRECT(ADDRESS(22,ROW()-31,1)),AO$3:AO$22),"")</f>
        <v/>
      </c>
      <c r="AP47" t="str">
        <f ca="1">IF(AND(((COLUMN()-10)&lt;=playercnt),((ROW()-41)&lt;=playercnt)),SUMPRODUCT(INDIRECT(ADDRESS(3,ROW()-31,1)):INDIRECT(ADDRESS(22,ROW()-31,1)),AP$3:AP$22),"")</f>
        <v/>
      </c>
      <c r="AQ47" t="str">
        <f ca="1">IF(AND(((COLUMN()-10)&lt;=playercnt),((ROW()-41)&lt;=playercnt)),SUMPRODUCT(INDIRECT(ADDRESS(3,ROW()-31,1)):INDIRECT(ADDRESS(22,ROW()-31,1)),AQ$3:AQ$22),"")</f>
        <v/>
      </c>
      <c r="AR47" t="str">
        <f ca="1">IF(AND(((COLUMN()-10)&lt;=playercnt),((ROW()-41)&lt;=playercnt)),SUMPRODUCT(INDIRECT(ADDRESS(3,ROW()-31,1)):INDIRECT(ADDRESS(22,ROW()-31,1)),AR$3:AR$22),"")</f>
        <v/>
      </c>
      <c r="AS47" t="str">
        <f ca="1">IF(AND(((COLUMN()-10)&lt;=playercnt),((ROW()-41)&lt;=playercnt)),SUMPRODUCT(INDIRECT(ADDRESS(3,ROW()-31,1)):INDIRECT(ADDRESS(22,ROW()-31,1)),AS$3:AS$22),"")</f>
        <v/>
      </c>
      <c r="AT47" t="str">
        <f ca="1">IF(AND(((COLUMN()-10)&lt;=playercnt),((ROW()-41)&lt;=playercnt)),SUMPRODUCT(INDIRECT(ADDRESS(3,ROW()-31,1)):INDIRECT(ADDRESS(22,ROW()-31,1)),AT$3:AT$22),"")</f>
        <v/>
      </c>
      <c r="AU47" t="str">
        <f ca="1">IF(AND(((COLUMN()-10)&lt;=playercnt),((ROW()-41)&lt;=playercnt)),SUMPRODUCT(INDIRECT(ADDRESS(3,ROW()-31,1)):INDIRECT(ADDRESS(22,ROW()-31,1)),AU$3:AU$22),"")</f>
        <v/>
      </c>
      <c r="AV47" t="str">
        <f ca="1">IF(AND(((COLUMN()-10)&lt;=playercnt),((ROW()-41)&lt;=playercnt)),SUMPRODUCT(INDIRECT(ADDRESS(3,ROW()-31,1)):INDIRECT(ADDRESS(22,ROW()-31,1)),AV$3:AV$22),"")</f>
        <v/>
      </c>
      <c r="AW47" t="str">
        <f ca="1">IF(AND(((COLUMN()-10)&lt;=playercnt),((ROW()-41)&lt;=playercnt)),SUMPRODUCT(INDIRECT(ADDRESS(3,ROW()-31,1)):INDIRECT(ADDRESS(22,ROW()-31,1)),AW$3:AW$22),"")</f>
        <v/>
      </c>
      <c r="AX47" t="str">
        <f ca="1">IF(AND(((COLUMN()-10)&lt;=playercnt),((ROW()-41)&lt;=playercnt)),SUMPRODUCT(INDIRECT(ADDRESS(3,ROW()-31,1)):INDIRECT(ADDRESS(22,ROW()-31,1)),AX$3:AX$22),"")</f>
        <v/>
      </c>
      <c r="AY47" t="str">
        <f ca="1">IF(AND(((COLUMN()-10)&lt;=playercnt),((ROW()-41)&lt;=playercnt)),SUMPRODUCT(INDIRECT(ADDRESS(3,ROW()-31,1)):INDIRECT(ADDRESS(22,ROW()-31,1)),AY$3:AY$22),"")</f>
        <v/>
      </c>
      <c r="AZ47" t="str">
        <f ca="1">IF(AND(((COLUMN()-10)&lt;=playercnt),((ROW()-41)&lt;=playercnt)),SUMPRODUCT(INDIRECT(ADDRESS(3,ROW()-31,1)):INDIRECT(ADDRESS(22,ROW()-31,1)),AZ$3:AZ$22),"")</f>
        <v/>
      </c>
      <c r="BA47" t="str">
        <f ca="1">IF(AND(((COLUMN()-10)&lt;=playercnt),((ROW()-41)&lt;=playercnt)),SUMPRODUCT(INDIRECT(ADDRESS(3,ROW()-31,1)):INDIRECT(ADDRESS(22,ROW()-31,1)),BA$3:BA$22),"")</f>
        <v/>
      </c>
      <c r="BB47" t="str">
        <f ca="1">IF(AND(((COLUMN()-10)&lt;=playercnt),((ROW()-41)&lt;=playercnt)),SUMPRODUCT(INDIRECT(ADDRESS(3,ROW()-31,1)):INDIRECT(ADDRESS(22,ROW()-31,1)),BB$3:BB$22),"")</f>
        <v/>
      </c>
      <c r="BC47" t="str">
        <f ca="1">IF(AND(((COLUMN()-10)&lt;=playercnt),((ROW()-41)&lt;=playercnt)),SUMPRODUCT(INDIRECT(ADDRESS(3,ROW()-31,1)):INDIRECT(ADDRESS(22,ROW()-31,1)),BC$3:BC$22),"")</f>
        <v/>
      </c>
      <c r="BD47" t="str">
        <f ca="1">IF(AND(((COLUMN()-10)&lt;=playercnt),((ROW()-41)&lt;=playercnt)),SUMPRODUCT(INDIRECT(ADDRESS(3,ROW()-31,1)):INDIRECT(ADDRESS(22,ROW()-31,1)),BD$3:BD$22),"")</f>
        <v/>
      </c>
      <c r="BE47" t="str">
        <f ca="1">IF(AND(((COLUMN()-10)&lt;=playercnt),((ROW()-41)&lt;=playercnt)),SUMPRODUCT(INDIRECT(ADDRESS(3,ROW()-31,1)):INDIRECT(ADDRESS(22,ROW()-31,1)),BE$3:BE$22),"")</f>
        <v/>
      </c>
      <c r="BF47" t="str">
        <f ca="1">IF(AND(((COLUMN()-10)&lt;=playercnt),((ROW()-41)&lt;=playercnt)),SUMPRODUCT(INDIRECT(ADDRESS(3,ROW()-31,1)):INDIRECT(ADDRESS(22,ROW()-31,1)),BF$3:BF$22),"")</f>
        <v/>
      </c>
      <c r="BG47" t="str">
        <f ca="1">IF(AND(((COLUMN()-10)&lt;=playercnt),((ROW()-41)&lt;=playercnt)),SUMPRODUCT(INDIRECT(ADDRESS(3,ROW()-31,1)):INDIRECT(ADDRESS(22,ROW()-31,1)),BG$3:BG$22),"")</f>
        <v/>
      </c>
      <c r="BH47" t="str">
        <f ca="1">IF(AND(((COLUMN()-10)&lt;=playercnt),((ROW()-41)&lt;=playercnt)),SUMPRODUCT(INDIRECT(ADDRESS(3,ROW()-31,1)):INDIRECT(ADDRESS(22,ROW()-31,1)),BH$3:BH$22),"")</f>
        <v/>
      </c>
      <c r="BI47" t="str">
        <f ca="1">IF(AND(((COLUMN()-10)&lt;=playercnt),((ROW()-41)&lt;=playercnt)),SUMPRODUCT(INDIRECT(ADDRESS(3,ROW()-31,1)):INDIRECT(ADDRESS(22,ROW()-31,1)),BI$3:BI$22),"")</f>
        <v/>
      </c>
      <c r="BJ47" t="str">
        <f ca="1">IF(AND(((COLUMN()-10)&lt;=playercnt),((ROW()-41)&lt;=playercnt)),SUMPRODUCT(INDIRECT(ADDRESS(3,ROW()-31,1)):INDIRECT(ADDRESS(22,ROW()-31,1)),BJ$3:BJ$22),"")</f>
        <v/>
      </c>
      <c r="BK47" t="str">
        <f ca="1">IF(AND(((COLUMN()-10)&lt;=playercnt),((ROW()-41)&lt;=playercnt)),SUMPRODUCT(INDIRECT(ADDRESS(3,ROW()-31,1)):INDIRECT(ADDRESS(22,ROW()-31,1)),BK$3:BK$22),"")</f>
        <v/>
      </c>
      <c r="BL47" t="str">
        <f ca="1">IF(AND(((COLUMN()-10)&lt;=playercnt),((ROW()-41)&lt;=playercnt)),SUMPRODUCT(INDIRECT(ADDRESS(3,ROW()-31,1)):INDIRECT(ADDRESS(22,ROW()-31,1)),BL$3:BL$22),"")</f>
        <v/>
      </c>
      <c r="BM47" t="str">
        <f ca="1">IF(AND(((COLUMN()-10)&lt;=playercnt),((ROW()-41)&lt;=playercnt)),SUMPRODUCT(INDIRECT(ADDRESS(3,ROW()-31,1)):INDIRECT(ADDRESS(22,ROW()-31,1)),BM$3:BM$22),"")</f>
        <v/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 t="str">
        <f ca="1">IF(AND(((COLUMN()-10)&lt;=playercnt),((ROW()-41)&lt;=playercnt)),SUMPRODUCT(INDIRECT(ADDRESS(3,ROW()-31,1)):INDIRECT(ADDRESS(22,ROW()-31,1)),AC$3:AC$22),"")</f>
        <v/>
      </c>
      <c r="AD48" t="str">
        <f ca="1">IF(AND(((COLUMN()-10)&lt;=playercnt),((ROW()-41)&lt;=playercnt)),SUMPRODUCT(INDIRECT(ADDRESS(3,ROW()-31,1)):INDIRECT(ADDRESS(22,ROW()-31,1)),AD$3:AD$22),"")</f>
        <v/>
      </c>
      <c r="AE48" t="str">
        <f ca="1">IF(AND(((COLUMN()-10)&lt;=playercnt),((ROW()-41)&lt;=playercnt)),SUMPRODUCT(INDIRECT(ADDRESS(3,ROW()-31,1)):INDIRECT(ADDRESS(22,ROW()-31,1)),AE$3:AE$22),"")</f>
        <v/>
      </c>
      <c r="AF48" t="str">
        <f ca="1">IF(AND(((COLUMN()-10)&lt;=playercnt),((ROW()-41)&lt;=playercnt)),SUMPRODUCT(INDIRECT(ADDRESS(3,ROW()-31,1)):INDIRECT(ADDRESS(22,ROW()-31,1)),AF$3:AF$22),"")</f>
        <v/>
      </c>
      <c r="AG48" t="str">
        <f ca="1">IF(AND(((COLUMN()-10)&lt;=playercnt),((ROW()-41)&lt;=playercnt)),SUMPRODUCT(INDIRECT(ADDRESS(3,ROW()-31,1)):INDIRECT(ADDRESS(22,ROW()-31,1)),AG$3:AG$22),"")</f>
        <v/>
      </c>
      <c r="AH48" t="str">
        <f ca="1">IF(AND(((COLUMN()-10)&lt;=playercnt),((ROW()-41)&lt;=playercnt)),SUMPRODUCT(INDIRECT(ADDRESS(3,ROW()-31,1)):INDIRECT(ADDRESS(22,ROW()-31,1)),AH$3:AH$22),"")</f>
        <v/>
      </c>
      <c r="AI48" t="str">
        <f ca="1">IF(AND(((COLUMN()-10)&lt;=playercnt),((ROW()-41)&lt;=playercnt)),SUMPRODUCT(INDIRECT(ADDRESS(3,ROW()-31,1)):INDIRECT(ADDRESS(22,ROW()-31,1)),AI$3:AI$22),"")</f>
        <v/>
      </c>
      <c r="AJ48" t="str">
        <f ca="1">IF(AND(((COLUMN()-10)&lt;=playercnt),((ROW()-41)&lt;=playercnt)),SUMPRODUCT(INDIRECT(ADDRESS(3,ROW()-31,1)):INDIRECT(ADDRESS(22,ROW()-31,1)),AJ$3:AJ$22),"")</f>
        <v/>
      </c>
      <c r="AK48" t="str">
        <f ca="1">IF(AND(((COLUMN()-10)&lt;=playercnt),((ROW()-41)&lt;=playercnt)),SUMPRODUCT(INDIRECT(ADDRESS(3,ROW()-31,1)):INDIRECT(ADDRESS(22,ROW()-31,1)),AK$3:AK$22),"")</f>
        <v/>
      </c>
      <c r="AL48" t="str">
        <f ca="1">IF(AND(((COLUMN()-10)&lt;=playercnt),((ROW()-41)&lt;=playercnt)),SUMPRODUCT(INDIRECT(ADDRESS(3,ROW()-31,1)):INDIRECT(ADDRESS(22,ROW()-31,1)),AL$3:AL$22),"")</f>
        <v/>
      </c>
      <c r="AM48" t="str">
        <f ca="1">IF(AND(((COLUMN()-10)&lt;=playercnt),((ROW()-41)&lt;=playercnt)),SUMPRODUCT(INDIRECT(ADDRESS(3,ROW()-31,1)):INDIRECT(ADDRESS(22,ROW()-31,1)),AM$3:AM$22),"")</f>
        <v/>
      </c>
      <c r="AN48" t="str">
        <f ca="1">IF(AND(((COLUMN()-10)&lt;=playercnt),((ROW()-41)&lt;=playercnt)),SUMPRODUCT(INDIRECT(ADDRESS(3,ROW()-31,1)):INDIRECT(ADDRESS(22,ROW()-31,1)),AN$3:AN$22),"")</f>
        <v/>
      </c>
      <c r="AO48" t="str">
        <f ca="1">IF(AND(((COLUMN()-10)&lt;=playercnt),((ROW()-41)&lt;=playercnt)),SUMPRODUCT(INDIRECT(ADDRESS(3,ROW()-31,1)):INDIRECT(ADDRESS(22,ROW()-31,1)),AO$3:AO$22),"")</f>
        <v/>
      </c>
      <c r="AP48" t="str">
        <f ca="1">IF(AND(((COLUMN()-10)&lt;=playercnt),((ROW()-41)&lt;=playercnt)),SUMPRODUCT(INDIRECT(ADDRESS(3,ROW()-31,1)):INDIRECT(ADDRESS(22,ROW()-31,1)),AP$3:AP$22),"")</f>
        <v/>
      </c>
      <c r="AQ48" t="str">
        <f ca="1">IF(AND(((COLUMN()-10)&lt;=playercnt),((ROW()-41)&lt;=playercnt)),SUMPRODUCT(INDIRECT(ADDRESS(3,ROW()-31,1)):INDIRECT(ADDRESS(22,ROW()-31,1)),AQ$3:AQ$22),"")</f>
        <v/>
      </c>
      <c r="AR48" t="str">
        <f ca="1">IF(AND(((COLUMN()-10)&lt;=playercnt),((ROW()-41)&lt;=playercnt)),SUMPRODUCT(INDIRECT(ADDRESS(3,ROW()-31,1)):INDIRECT(ADDRESS(22,ROW()-31,1)),AR$3:AR$22),"")</f>
        <v/>
      </c>
      <c r="AS48" t="str">
        <f ca="1">IF(AND(((COLUMN()-10)&lt;=playercnt),((ROW()-41)&lt;=playercnt)),SUMPRODUCT(INDIRECT(ADDRESS(3,ROW()-31,1)):INDIRECT(ADDRESS(22,ROW()-31,1)),AS$3:AS$22),"")</f>
        <v/>
      </c>
      <c r="AT48" t="str">
        <f ca="1">IF(AND(((COLUMN()-10)&lt;=playercnt),((ROW()-41)&lt;=playercnt)),SUMPRODUCT(INDIRECT(ADDRESS(3,ROW()-31,1)):INDIRECT(ADDRESS(22,ROW()-31,1)),AT$3:AT$22),"")</f>
        <v/>
      </c>
      <c r="AU48" t="str">
        <f ca="1">IF(AND(((COLUMN()-10)&lt;=playercnt),((ROW()-41)&lt;=playercnt)),SUMPRODUCT(INDIRECT(ADDRESS(3,ROW()-31,1)):INDIRECT(ADDRESS(22,ROW()-31,1)),AU$3:AU$22),"")</f>
        <v/>
      </c>
      <c r="AV48" t="str">
        <f ca="1">IF(AND(((COLUMN()-10)&lt;=playercnt),((ROW()-41)&lt;=playercnt)),SUMPRODUCT(INDIRECT(ADDRESS(3,ROW()-31,1)):INDIRECT(ADDRESS(22,ROW()-31,1)),AV$3:AV$22),"")</f>
        <v/>
      </c>
      <c r="AW48" t="str">
        <f ca="1">IF(AND(((COLUMN()-10)&lt;=playercnt),((ROW()-41)&lt;=playercnt)),SUMPRODUCT(INDIRECT(ADDRESS(3,ROW()-31,1)):INDIRECT(ADDRESS(22,ROW()-31,1)),AW$3:AW$22),"")</f>
        <v/>
      </c>
      <c r="AX48" t="str">
        <f ca="1">IF(AND(((COLUMN()-10)&lt;=playercnt),((ROW()-41)&lt;=playercnt)),SUMPRODUCT(INDIRECT(ADDRESS(3,ROW()-31,1)):INDIRECT(ADDRESS(22,ROW()-31,1)),AX$3:AX$22),"")</f>
        <v/>
      </c>
      <c r="AY48" t="str">
        <f ca="1">IF(AND(((COLUMN()-10)&lt;=playercnt),((ROW()-41)&lt;=playercnt)),SUMPRODUCT(INDIRECT(ADDRESS(3,ROW()-31,1)):INDIRECT(ADDRESS(22,ROW()-31,1)),AY$3:AY$22),"")</f>
        <v/>
      </c>
      <c r="AZ48" t="str">
        <f ca="1">IF(AND(((COLUMN()-10)&lt;=playercnt),((ROW()-41)&lt;=playercnt)),SUMPRODUCT(INDIRECT(ADDRESS(3,ROW()-31,1)):INDIRECT(ADDRESS(22,ROW()-31,1)),AZ$3:AZ$22),"")</f>
        <v/>
      </c>
      <c r="BA48" t="str">
        <f ca="1">IF(AND(((COLUMN()-10)&lt;=playercnt),((ROW()-41)&lt;=playercnt)),SUMPRODUCT(INDIRECT(ADDRESS(3,ROW()-31,1)):INDIRECT(ADDRESS(22,ROW()-31,1)),BA$3:BA$22),"")</f>
        <v/>
      </c>
      <c r="BB48" t="str">
        <f ca="1">IF(AND(((COLUMN()-10)&lt;=playercnt),((ROW()-41)&lt;=playercnt)),SUMPRODUCT(INDIRECT(ADDRESS(3,ROW()-31,1)):INDIRECT(ADDRESS(22,ROW()-31,1)),BB$3:BB$22),"")</f>
        <v/>
      </c>
      <c r="BC48" t="str">
        <f ca="1">IF(AND(((COLUMN()-10)&lt;=playercnt),((ROW()-41)&lt;=playercnt)),SUMPRODUCT(INDIRECT(ADDRESS(3,ROW()-31,1)):INDIRECT(ADDRESS(22,ROW()-31,1)),BC$3:BC$22),"")</f>
        <v/>
      </c>
      <c r="BD48" t="str">
        <f ca="1">IF(AND(((COLUMN()-10)&lt;=playercnt),((ROW()-41)&lt;=playercnt)),SUMPRODUCT(INDIRECT(ADDRESS(3,ROW()-31,1)):INDIRECT(ADDRESS(22,ROW()-31,1)),BD$3:BD$22),"")</f>
        <v/>
      </c>
      <c r="BE48" t="str">
        <f ca="1">IF(AND(((COLUMN()-10)&lt;=playercnt),((ROW()-41)&lt;=playercnt)),SUMPRODUCT(INDIRECT(ADDRESS(3,ROW()-31,1)):INDIRECT(ADDRESS(22,ROW()-31,1)),BE$3:BE$22),"")</f>
        <v/>
      </c>
      <c r="BF48" t="str">
        <f ca="1">IF(AND(((COLUMN()-10)&lt;=playercnt),((ROW()-41)&lt;=playercnt)),SUMPRODUCT(INDIRECT(ADDRESS(3,ROW()-31,1)):INDIRECT(ADDRESS(22,ROW()-31,1)),BF$3:BF$22),"")</f>
        <v/>
      </c>
      <c r="BG48" t="str">
        <f ca="1">IF(AND(((COLUMN()-10)&lt;=playercnt),((ROW()-41)&lt;=playercnt)),SUMPRODUCT(INDIRECT(ADDRESS(3,ROW()-31,1)):INDIRECT(ADDRESS(22,ROW()-31,1)),BG$3:BG$22),"")</f>
        <v/>
      </c>
      <c r="BH48" t="str">
        <f ca="1">IF(AND(((COLUMN()-10)&lt;=playercnt),((ROW()-41)&lt;=playercnt)),SUMPRODUCT(INDIRECT(ADDRESS(3,ROW()-31,1)):INDIRECT(ADDRESS(22,ROW()-31,1)),BH$3:BH$22),"")</f>
        <v/>
      </c>
      <c r="BI48" t="str">
        <f ca="1">IF(AND(((COLUMN()-10)&lt;=playercnt),((ROW()-41)&lt;=playercnt)),SUMPRODUCT(INDIRECT(ADDRESS(3,ROW()-31,1)):INDIRECT(ADDRESS(22,ROW()-31,1)),BI$3:BI$22),"")</f>
        <v/>
      </c>
      <c r="BJ48" t="str">
        <f ca="1">IF(AND(((COLUMN()-10)&lt;=playercnt),((ROW()-41)&lt;=playercnt)),SUMPRODUCT(INDIRECT(ADDRESS(3,ROW()-31,1)):INDIRECT(ADDRESS(22,ROW()-31,1)),BJ$3:BJ$22),"")</f>
        <v/>
      </c>
      <c r="BK48" t="str">
        <f ca="1">IF(AND(((COLUMN()-10)&lt;=playercnt),((ROW()-41)&lt;=playercnt)),SUMPRODUCT(INDIRECT(ADDRESS(3,ROW()-31,1)):INDIRECT(ADDRESS(22,ROW()-31,1)),BK$3:BK$22),"")</f>
        <v/>
      </c>
      <c r="BL48" t="str">
        <f ca="1">IF(AND(((COLUMN()-10)&lt;=playercnt),((ROW()-41)&lt;=playercnt)),SUMPRODUCT(INDIRECT(ADDRESS(3,ROW()-31,1)):INDIRECT(ADDRESS(22,ROW()-31,1)),BL$3:BL$22),"")</f>
        <v/>
      </c>
      <c r="BM48" t="str">
        <f ca="1">IF(AND(((COLUMN()-10)&lt;=playercnt),((ROW()-41)&lt;=playercnt)),SUMPRODUCT(INDIRECT(ADDRESS(3,ROW()-31,1)):INDIRECT(ADDRESS(22,ROW()-31,1)),BM$3:BM$22),"")</f>
        <v/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 t="str">
        <f ca="1">IF(AND(((COLUMN()-10)&lt;=playercnt),((ROW()-41)&lt;=playercnt)),SUMPRODUCT(INDIRECT(ADDRESS(3,ROW()-31,1)):INDIRECT(ADDRESS(22,ROW()-31,1)),AC$3:AC$22),"")</f>
        <v/>
      </c>
      <c r="AD49" t="str">
        <f ca="1">IF(AND(((COLUMN()-10)&lt;=playercnt),((ROW()-41)&lt;=playercnt)),SUMPRODUCT(INDIRECT(ADDRESS(3,ROW()-31,1)):INDIRECT(ADDRESS(22,ROW()-31,1)),AD$3:AD$22),"")</f>
        <v/>
      </c>
      <c r="AE49" t="str">
        <f ca="1">IF(AND(((COLUMN()-10)&lt;=playercnt),((ROW()-41)&lt;=playercnt)),SUMPRODUCT(INDIRECT(ADDRESS(3,ROW()-31,1)):INDIRECT(ADDRESS(22,ROW()-31,1)),AE$3:AE$22),"")</f>
        <v/>
      </c>
      <c r="AF49" t="str">
        <f ca="1">IF(AND(((COLUMN()-10)&lt;=playercnt),((ROW()-41)&lt;=playercnt)),SUMPRODUCT(INDIRECT(ADDRESS(3,ROW()-31,1)):INDIRECT(ADDRESS(22,ROW()-31,1)),AF$3:AF$22),"")</f>
        <v/>
      </c>
      <c r="AG49" t="str">
        <f ca="1">IF(AND(((COLUMN()-10)&lt;=playercnt),((ROW()-41)&lt;=playercnt)),SUMPRODUCT(INDIRECT(ADDRESS(3,ROW()-31,1)):INDIRECT(ADDRESS(22,ROW()-31,1)),AG$3:AG$22),"")</f>
        <v/>
      </c>
      <c r="AH49" t="str">
        <f ca="1">IF(AND(((COLUMN()-10)&lt;=playercnt),((ROW()-41)&lt;=playercnt)),SUMPRODUCT(INDIRECT(ADDRESS(3,ROW()-31,1)):INDIRECT(ADDRESS(22,ROW()-31,1)),AH$3:AH$22),"")</f>
        <v/>
      </c>
      <c r="AI49" t="str">
        <f ca="1">IF(AND(((COLUMN()-10)&lt;=playercnt),((ROW()-41)&lt;=playercnt)),SUMPRODUCT(INDIRECT(ADDRESS(3,ROW()-31,1)):INDIRECT(ADDRESS(22,ROW()-31,1)),AI$3:AI$22),"")</f>
        <v/>
      </c>
      <c r="AJ49" t="str">
        <f ca="1">IF(AND(((COLUMN()-10)&lt;=playercnt),((ROW()-41)&lt;=playercnt)),SUMPRODUCT(INDIRECT(ADDRESS(3,ROW()-31,1)):INDIRECT(ADDRESS(22,ROW()-31,1)),AJ$3:AJ$22),"")</f>
        <v/>
      </c>
      <c r="AK49" t="str">
        <f ca="1">IF(AND(((COLUMN()-10)&lt;=playercnt),((ROW()-41)&lt;=playercnt)),SUMPRODUCT(INDIRECT(ADDRESS(3,ROW()-31,1)):INDIRECT(ADDRESS(22,ROW()-31,1)),AK$3:AK$22),"")</f>
        <v/>
      </c>
      <c r="AL49" t="str">
        <f ca="1">IF(AND(((COLUMN()-10)&lt;=playercnt),((ROW()-41)&lt;=playercnt)),SUMPRODUCT(INDIRECT(ADDRESS(3,ROW()-31,1)):INDIRECT(ADDRESS(22,ROW()-31,1)),AL$3:AL$22),"")</f>
        <v/>
      </c>
      <c r="AM49" t="str">
        <f ca="1">IF(AND(((COLUMN()-10)&lt;=playercnt),((ROW()-41)&lt;=playercnt)),SUMPRODUCT(INDIRECT(ADDRESS(3,ROW()-31,1)):INDIRECT(ADDRESS(22,ROW()-31,1)),AM$3:AM$22),"")</f>
        <v/>
      </c>
      <c r="AN49" t="str">
        <f ca="1">IF(AND(((COLUMN()-10)&lt;=playercnt),((ROW()-41)&lt;=playercnt)),SUMPRODUCT(INDIRECT(ADDRESS(3,ROW()-31,1)):INDIRECT(ADDRESS(22,ROW()-31,1)),AN$3:AN$22),"")</f>
        <v/>
      </c>
      <c r="AO49" t="str">
        <f ca="1">IF(AND(((COLUMN()-10)&lt;=playercnt),((ROW()-41)&lt;=playercnt)),SUMPRODUCT(INDIRECT(ADDRESS(3,ROW()-31,1)):INDIRECT(ADDRESS(22,ROW()-31,1)),AO$3:AO$22),"")</f>
        <v/>
      </c>
      <c r="AP49" t="str">
        <f ca="1">IF(AND(((COLUMN()-10)&lt;=playercnt),((ROW()-41)&lt;=playercnt)),SUMPRODUCT(INDIRECT(ADDRESS(3,ROW()-31,1)):INDIRECT(ADDRESS(22,ROW()-31,1)),AP$3:AP$22),"")</f>
        <v/>
      </c>
      <c r="AQ49" t="str">
        <f ca="1">IF(AND(((COLUMN()-10)&lt;=playercnt),((ROW()-41)&lt;=playercnt)),SUMPRODUCT(INDIRECT(ADDRESS(3,ROW()-31,1)):INDIRECT(ADDRESS(22,ROW()-31,1)),AQ$3:AQ$22),"")</f>
        <v/>
      </c>
      <c r="AR49" t="str">
        <f ca="1">IF(AND(((COLUMN()-10)&lt;=playercnt),((ROW()-41)&lt;=playercnt)),SUMPRODUCT(INDIRECT(ADDRESS(3,ROW()-31,1)):INDIRECT(ADDRESS(22,ROW()-31,1)),AR$3:AR$22),"")</f>
        <v/>
      </c>
      <c r="AS49" t="str">
        <f ca="1">IF(AND(((COLUMN()-10)&lt;=playercnt),((ROW()-41)&lt;=playercnt)),SUMPRODUCT(INDIRECT(ADDRESS(3,ROW()-31,1)):INDIRECT(ADDRESS(22,ROW()-31,1)),AS$3:AS$22),"")</f>
        <v/>
      </c>
      <c r="AT49" t="str">
        <f ca="1">IF(AND(((COLUMN()-10)&lt;=playercnt),((ROW()-41)&lt;=playercnt)),SUMPRODUCT(INDIRECT(ADDRESS(3,ROW()-31,1)):INDIRECT(ADDRESS(22,ROW()-31,1)),AT$3:AT$22),"")</f>
        <v/>
      </c>
      <c r="AU49" t="str">
        <f ca="1">IF(AND(((COLUMN()-10)&lt;=playercnt),((ROW()-41)&lt;=playercnt)),SUMPRODUCT(INDIRECT(ADDRESS(3,ROW()-31,1)):INDIRECT(ADDRESS(22,ROW()-31,1)),AU$3:AU$22),"")</f>
        <v/>
      </c>
      <c r="AV49" t="str">
        <f ca="1">IF(AND(((COLUMN()-10)&lt;=playercnt),((ROW()-41)&lt;=playercnt)),SUMPRODUCT(INDIRECT(ADDRESS(3,ROW()-31,1)):INDIRECT(ADDRESS(22,ROW()-31,1)),AV$3:AV$22),"")</f>
        <v/>
      </c>
      <c r="AW49" t="str">
        <f ca="1">IF(AND(((COLUMN()-10)&lt;=playercnt),((ROW()-41)&lt;=playercnt)),SUMPRODUCT(INDIRECT(ADDRESS(3,ROW()-31,1)):INDIRECT(ADDRESS(22,ROW()-31,1)),AW$3:AW$22),"")</f>
        <v/>
      </c>
      <c r="AX49" t="str">
        <f ca="1">IF(AND(((COLUMN()-10)&lt;=playercnt),((ROW()-41)&lt;=playercnt)),SUMPRODUCT(INDIRECT(ADDRESS(3,ROW()-31,1)):INDIRECT(ADDRESS(22,ROW()-31,1)),AX$3:AX$22),"")</f>
        <v/>
      </c>
      <c r="AY49" t="str">
        <f ca="1">IF(AND(((COLUMN()-10)&lt;=playercnt),((ROW()-41)&lt;=playercnt)),SUMPRODUCT(INDIRECT(ADDRESS(3,ROW()-31,1)):INDIRECT(ADDRESS(22,ROW()-31,1)),AY$3:AY$22),"")</f>
        <v/>
      </c>
      <c r="AZ49" t="str">
        <f ca="1">IF(AND(((COLUMN()-10)&lt;=playercnt),((ROW()-41)&lt;=playercnt)),SUMPRODUCT(INDIRECT(ADDRESS(3,ROW()-31,1)):INDIRECT(ADDRESS(22,ROW()-31,1)),AZ$3:AZ$22),"")</f>
        <v/>
      </c>
      <c r="BA49" t="str">
        <f ca="1">IF(AND(((COLUMN()-10)&lt;=playercnt),((ROW()-41)&lt;=playercnt)),SUMPRODUCT(INDIRECT(ADDRESS(3,ROW()-31,1)):INDIRECT(ADDRESS(22,ROW()-31,1)),BA$3:BA$22),"")</f>
        <v/>
      </c>
      <c r="BB49" t="str">
        <f ca="1">IF(AND(((COLUMN()-10)&lt;=playercnt),((ROW()-41)&lt;=playercnt)),SUMPRODUCT(INDIRECT(ADDRESS(3,ROW()-31,1)):INDIRECT(ADDRESS(22,ROW()-31,1)),BB$3:BB$22),"")</f>
        <v/>
      </c>
      <c r="BC49" t="str">
        <f ca="1">IF(AND(((COLUMN()-10)&lt;=playercnt),((ROW()-41)&lt;=playercnt)),SUMPRODUCT(INDIRECT(ADDRESS(3,ROW()-31,1)):INDIRECT(ADDRESS(22,ROW()-31,1)),BC$3:BC$22),"")</f>
        <v/>
      </c>
      <c r="BD49" t="str">
        <f ca="1">IF(AND(((COLUMN()-10)&lt;=playercnt),((ROW()-41)&lt;=playercnt)),SUMPRODUCT(INDIRECT(ADDRESS(3,ROW()-31,1)):INDIRECT(ADDRESS(22,ROW()-31,1)),BD$3:BD$22),"")</f>
        <v/>
      </c>
      <c r="BE49" t="str">
        <f ca="1">IF(AND(((COLUMN()-10)&lt;=playercnt),((ROW()-41)&lt;=playercnt)),SUMPRODUCT(INDIRECT(ADDRESS(3,ROW()-31,1)):INDIRECT(ADDRESS(22,ROW()-31,1)),BE$3:BE$22),"")</f>
        <v/>
      </c>
      <c r="BF49" t="str">
        <f ca="1">IF(AND(((COLUMN()-10)&lt;=playercnt),((ROW()-41)&lt;=playercnt)),SUMPRODUCT(INDIRECT(ADDRESS(3,ROW()-31,1)):INDIRECT(ADDRESS(22,ROW()-31,1)),BF$3:BF$22),"")</f>
        <v/>
      </c>
      <c r="BG49" t="str">
        <f ca="1">IF(AND(((COLUMN()-10)&lt;=playercnt),((ROW()-41)&lt;=playercnt)),SUMPRODUCT(INDIRECT(ADDRESS(3,ROW()-31,1)):INDIRECT(ADDRESS(22,ROW()-31,1)),BG$3:BG$22),"")</f>
        <v/>
      </c>
      <c r="BH49" t="str">
        <f ca="1">IF(AND(((COLUMN()-10)&lt;=playercnt),((ROW()-41)&lt;=playercnt)),SUMPRODUCT(INDIRECT(ADDRESS(3,ROW()-31,1)):INDIRECT(ADDRESS(22,ROW()-31,1)),BH$3:BH$22),"")</f>
        <v/>
      </c>
      <c r="BI49" t="str">
        <f ca="1">IF(AND(((COLUMN()-10)&lt;=playercnt),((ROW()-41)&lt;=playercnt)),SUMPRODUCT(INDIRECT(ADDRESS(3,ROW()-31,1)):INDIRECT(ADDRESS(22,ROW()-31,1)),BI$3:BI$22),"")</f>
        <v/>
      </c>
      <c r="BJ49" t="str">
        <f ca="1">IF(AND(((COLUMN()-10)&lt;=playercnt),((ROW()-41)&lt;=playercnt)),SUMPRODUCT(INDIRECT(ADDRESS(3,ROW()-31,1)):INDIRECT(ADDRESS(22,ROW()-31,1)),BJ$3:BJ$22),"")</f>
        <v/>
      </c>
      <c r="BK49" t="str">
        <f ca="1">IF(AND(((COLUMN()-10)&lt;=playercnt),((ROW()-41)&lt;=playercnt)),SUMPRODUCT(INDIRECT(ADDRESS(3,ROW()-31,1)):INDIRECT(ADDRESS(22,ROW()-31,1)),BK$3:BK$22),"")</f>
        <v/>
      </c>
      <c r="BL49" t="str">
        <f ca="1">IF(AND(((COLUMN()-10)&lt;=playercnt),((ROW()-41)&lt;=playercnt)),SUMPRODUCT(INDIRECT(ADDRESS(3,ROW()-31,1)):INDIRECT(ADDRESS(22,ROW()-31,1)),BL$3:BL$22),"")</f>
        <v/>
      </c>
      <c r="BM49" t="str">
        <f ca="1">IF(AND(((COLUMN()-10)&lt;=playercnt),((ROW()-41)&lt;=playercnt)),SUMPRODUCT(INDIRECT(ADDRESS(3,ROW()-31,1)):INDIRECT(ADDRESS(22,ROW()-31,1)),BM$3:BM$22),"")</f>
        <v/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 t="str">
        <f ca="1">IF(AND(((COLUMN()-10)&lt;=playercnt),((ROW()-41)&lt;=playercnt)),SUMPRODUCT(INDIRECT(ADDRESS(3,ROW()-31,1)):INDIRECT(ADDRESS(22,ROW()-31,1)),AC$3:AC$22),"")</f>
        <v/>
      </c>
      <c r="AD50" t="str">
        <f ca="1">IF(AND(((COLUMN()-10)&lt;=playercnt),((ROW()-41)&lt;=playercnt)),SUMPRODUCT(INDIRECT(ADDRESS(3,ROW()-31,1)):INDIRECT(ADDRESS(22,ROW()-31,1)),AD$3:AD$22),"")</f>
        <v/>
      </c>
      <c r="AE50" t="str">
        <f ca="1">IF(AND(((COLUMN()-10)&lt;=playercnt),((ROW()-41)&lt;=playercnt)),SUMPRODUCT(INDIRECT(ADDRESS(3,ROW()-31,1)):INDIRECT(ADDRESS(22,ROW()-31,1)),AE$3:AE$22),"")</f>
        <v/>
      </c>
      <c r="AF50" t="str">
        <f ca="1">IF(AND(((COLUMN()-10)&lt;=playercnt),((ROW()-41)&lt;=playercnt)),SUMPRODUCT(INDIRECT(ADDRESS(3,ROW()-31,1)):INDIRECT(ADDRESS(22,ROW()-31,1)),AF$3:AF$22),"")</f>
        <v/>
      </c>
      <c r="AG50" t="str">
        <f ca="1">IF(AND(((COLUMN()-10)&lt;=playercnt),((ROW()-41)&lt;=playercnt)),SUMPRODUCT(INDIRECT(ADDRESS(3,ROW()-31,1)):INDIRECT(ADDRESS(22,ROW()-31,1)),AG$3:AG$22),"")</f>
        <v/>
      </c>
      <c r="AH50" t="str">
        <f ca="1">IF(AND(((COLUMN()-10)&lt;=playercnt),((ROW()-41)&lt;=playercnt)),SUMPRODUCT(INDIRECT(ADDRESS(3,ROW()-31,1)):INDIRECT(ADDRESS(22,ROW()-31,1)),AH$3:AH$22),"")</f>
        <v/>
      </c>
      <c r="AI50" t="str">
        <f ca="1">IF(AND(((COLUMN()-10)&lt;=playercnt),((ROW()-41)&lt;=playercnt)),SUMPRODUCT(INDIRECT(ADDRESS(3,ROW()-31,1)):INDIRECT(ADDRESS(22,ROW()-31,1)),AI$3:AI$22),"")</f>
        <v/>
      </c>
      <c r="AJ50" t="str">
        <f ca="1">IF(AND(((COLUMN()-10)&lt;=playercnt),((ROW()-41)&lt;=playercnt)),SUMPRODUCT(INDIRECT(ADDRESS(3,ROW()-31,1)):INDIRECT(ADDRESS(22,ROW()-31,1)),AJ$3:AJ$22),"")</f>
        <v/>
      </c>
      <c r="AK50" t="str">
        <f ca="1">IF(AND(((COLUMN()-10)&lt;=playercnt),((ROW()-41)&lt;=playercnt)),SUMPRODUCT(INDIRECT(ADDRESS(3,ROW()-31,1)):INDIRECT(ADDRESS(22,ROW()-31,1)),AK$3:AK$22),"")</f>
        <v/>
      </c>
      <c r="AL50" t="str">
        <f ca="1">IF(AND(((COLUMN()-10)&lt;=playercnt),((ROW()-41)&lt;=playercnt)),SUMPRODUCT(INDIRECT(ADDRESS(3,ROW()-31,1)):INDIRECT(ADDRESS(22,ROW()-31,1)),AL$3:AL$22),"")</f>
        <v/>
      </c>
      <c r="AM50" t="str">
        <f ca="1">IF(AND(((COLUMN()-10)&lt;=playercnt),((ROW()-41)&lt;=playercnt)),SUMPRODUCT(INDIRECT(ADDRESS(3,ROW()-31,1)):INDIRECT(ADDRESS(22,ROW()-31,1)),AM$3:AM$22),"")</f>
        <v/>
      </c>
      <c r="AN50" t="str">
        <f ca="1">IF(AND(((COLUMN()-10)&lt;=playercnt),((ROW()-41)&lt;=playercnt)),SUMPRODUCT(INDIRECT(ADDRESS(3,ROW()-31,1)):INDIRECT(ADDRESS(22,ROW()-31,1)),AN$3:AN$22),"")</f>
        <v/>
      </c>
      <c r="AO50" t="str">
        <f ca="1">IF(AND(((COLUMN()-10)&lt;=playercnt),((ROW()-41)&lt;=playercnt)),SUMPRODUCT(INDIRECT(ADDRESS(3,ROW()-31,1)):INDIRECT(ADDRESS(22,ROW()-31,1)),AO$3:AO$22),"")</f>
        <v/>
      </c>
      <c r="AP50" t="str">
        <f ca="1">IF(AND(((COLUMN()-10)&lt;=playercnt),((ROW()-41)&lt;=playercnt)),SUMPRODUCT(INDIRECT(ADDRESS(3,ROW()-31,1)):INDIRECT(ADDRESS(22,ROW()-31,1)),AP$3:AP$22),"")</f>
        <v/>
      </c>
      <c r="AQ50" t="str">
        <f ca="1">IF(AND(((COLUMN()-10)&lt;=playercnt),((ROW()-41)&lt;=playercnt)),SUMPRODUCT(INDIRECT(ADDRESS(3,ROW()-31,1)):INDIRECT(ADDRESS(22,ROW()-31,1)),AQ$3:AQ$22),"")</f>
        <v/>
      </c>
      <c r="AR50" t="str">
        <f ca="1">IF(AND(((COLUMN()-10)&lt;=playercnt),((ROW()-41)&lt;=playercnt)),SUMPRODUCT(INDIRECT(ADDRESS(3,ROW()-31,1)):INDIRECT(ADDRESS(22,ROW()-31,1)),AR$3:AR$22),"")</f>
        <v/>
      </c>
      <c r="AS50" t="str">
        <f ca="1">IF(AND(((COLUMN()-10)&lt;=playercnt),((ROW()-41)&lt;=playercnt)),SUMPRODUCT(INDIRECT(ADDRESS(3,ROW()-31,1)):INDIRECT(ADDRESS(22,ROW()-31,1)),AS$3:AS$22),"")</f>
        <v/>
      </c>
      <c r="AT50" t="str">
        <f ca="1">IF(AND(((COLUMN()-10)&lt;=playercnt),((ROW()-41)&lt;=playercnt)),SUMPRODUCT(INDIRECT(ADDRESS(3,ROW()-31,1)):INDIRECT(ADDRESS(22,ROW()-31,1)),AT$3:AT$22),"")</f>
        <v/>
      </c>
      <c r="AU50" t="str">
        <f ca="1">IF(AND(((COLUMN()-10)&lt;=playercnt),((ROW()-41)&lt;=playercnt)),SUMPRODUCT(INDIRECT(ADDRESS(3,ROW()-31,1)):INDIRECT(ADDRESS(22,ROW()-31,1)),AU$3:AU$22),"")</f>
        <v/>
      </c>
      <c r="AV50" t="str">
        <f ca="1">IF(AND(((COLUMN()-10)&lt;=playercnt),((ROW()-41)&lt;=playercnt)),SUMPRODUCT(INDIRECT(ADDRESS(3,ROW()-31,1)):INDIRECT(ADDRESS(22,ROW()-31,1)),AV$3:AV$22),"")</f>
        <v/>
      </c>
      <c r="AW50" t="str">
        <f ca="1">IF(AND(((COLUMN()-10)&lt;=playercnt),((ROW()-41)&lt;=playercnt)),SUMPRODUCT(INDIRECT(ADDRESS(3,ROW()-31,1)):INDIRECT(ADDRESS(22,ROW()-31,1)),AW$3:AW$22),"")</f>
        <v/>
      </c>
      <c r="AX50" t="str">
        <f ca="1">IF(AND(((COLUMN()-10)&lt;=playercnt),((ROW()-41)&lt;=playercnt)),SUMPRODUCT(INDIRECT(ADDRESS(3,ROW()-31,1)):INDIRECT(ADDRESS(22,ROW()-31,1)),AX$3:AX$22),"")</f>
        <v/>
      </c>
      <c r="AY50" t="str">
        <f ca="1">IF(AND(((COLUMN()-10)&lt;=playercnt),((ROW()-41)&lt;=playercnt)),SUMPRODUCT(INDIRECT(ADDRESS(3,ROW()-31,1)):INDIRECT(ADDRESS(22,ROW()-31,1)),AY$3:AY$22),"")</f>
        <v/>
      </c>
      <c r="AZ50" t="str">
        <f ca="1">IF(AND(((COLUMN()-10)&lt;=playercnt),((ROW()-41)&lt;=playercnt)),SUMPRODUCT(INDIRECT(ADDRESS(3,ROW()-31,1)):INDIRECT(ADDRESS(22,ROW()-31,1)),AZ$3:AZ$22),"")</f>
        <v/>
      </c>
      <c r="BA50" t="str">
        <f ca="1">IF(AND(((COLUMN()-10)&lt;=playercnt),((ROW()-41)&lt;=playercnt)),SUMPRODUCT(INDIRECT(ADDRESS(3,ROW()-31,1)):INDIRECT(ADDRESS(22,ROW()-31,1)),BA$3:BA$22),"")</f>
        <v/>
      </c>
      <c r="BB50" t="str">
        <f ca="1">IF(AND(((COLUMN()-10)&lt;=playercnt),((ROW()-41)&lt;=playercnt)),SUMPRODUCT(INDIRECT(ADDRESS(3,ROW()-31,1)):INDIRECT(ADDRESS(22,ROW()-31,1)),BB$3:BB$22),"")</f>
        <v/>
      </c>
      <c r="BC50" t="str">
        <f ca="1">IF(AND(((COLUMN()-10)&lt;=playercnt),((ROW()-41)&lt;=playercnt)),SUMPRODUCT(INDIRECT(ADDRESS(3,ROW()-31,1)):INDIRECT(ADDRESS(22,ROW()-31,1)),BC$3:BC$22),"")</f>
        <v/>
      </c>
      <c r="BD50" t="str">
        <f ca="1">IF(AND(((COLUMN()-10)&lt;=playercnt),((ROW()-41)&lt;=playercnt)),SUMPRODUCT(INDIRECT(ADDRESS(3,ROW()-31,1)):INDIRECT(ADDRESS(22,ROW()-31,1)),BD$3:BD$22),"")</f>
        <v/>
      </c>
      <c r="BE50" t="str">
        <f ca="1">IF(AND(((COLUMN()-10)&lt;=playercnt),((ROW()-41)&lt;=playercnt)),SUMPRODUCT(INDIRECT(ADDRESS(3,ROW()-31,1)):INDIRECT(ADDRESS(22,ROW()-31,1)),BE$3:BE$22),"")</f>
        <v/>
      </c>
      <c r="BF50" t="str">
        <f ca="1">IF(AND(((COLUMN()-10)&lt;=playercnt),((ROW()-41)&lt;=playercnt)),SUMPRODUCT(INDIRECT(ADDRESS(3,ROW()-31,1)):INDIRECT(ADDRESS(22,ROW()-31,1)),BF$3:BF$22),"")</f>
        <v/>
      </c>
      <c r="BG50" t="str">
        <f ca="1">IF(AND(((COLUMN()-10)&lt;=playercnt),((ROW()-41)&lt;=playercnt)),SUMPRODUCT(INDIRECT(ADDRESS(3,ROW()-31,1)):INDIRECT(ADDRESS(22,ROW()-31,1)),BG$3:BG$22),"")</f>
        <v/>
      </c>
      <c r="BH50" t="str">
        <f ca="1">IF(AND(((COLUMN()-10)&lt;=playercnt),((ROW()-41)&lt;=playercnt)),SUMPRODUCT(INDIRECT(ADDRESS(3,ROW()-31,1)):INDIRECT(ADDRESS(22,ROW()-31,1)),BH$3:BH$22),"")</f>
        <v/>
      </c>
      <c r="BI50" t="str">
        <f ca="1">IF(AND(((COLUMN()-10)&lt;=playercnt),((ROW()-41)&lt;=playercnt)),SUMPRODUCT(INDIRECT(ADDRESS(3,ROW()-31,1)):INDIRECT(ADDRESS(22,ROW()-31,1)),BI$3:BI$22),"")</f>
        <v/>
      </c>
      <c r="BJ50" t="str">
        <f ca="1">IF(AND(((COLUMN()-10)&lt;=playercnt),((ROW()-41)&lt;=playercnt)),SUMPRODUCT(INDIRECT(ADDRESS(3,ROW()-31,1)):INDIRECT(ADDRESS(22,ROW()-31,1)),BJ$3:BJ$22),"")</f>
        <v/>
      </c>
      <c r="BK50" t="str">
        <f ca="1">IF(AND(((COLUMN()-10)&lt;=playercnt),((ROW()-41)&lt;=playercnt)),SUMPRODUCT(INDIRECT(ADDRESS(3,ROW()-31,1)):INDIRECT(ADDRESS(22,ROW()-31,1)),BK$3:BK$22),"")</f>
        <v/>
      </c>
      <c r="BL50" t="str">
        <f ca="1">IF(AND(((COLUMN()-10)&lt;=playercnt),((ROW()-41)&lt;=playercnt)),SUMPRODUCT(INDIRECT(ADDRESS(3,ROW()-31,1)):INDIRECT(ADDRESS(22,ROW()-31,1)),BL$3:BL$22),"")</f>
        <v/>
      </c>
      <c r="BM50" t="str">
        <f ca="1">IF(AND(((COLUMN()-10)&lt;=playercnt),((ROW()-41)&lt;=playercnt)),SUMPRODUCT(INDIRECT(ADDRESS(3,ROW()-31,1)):INDIRECT(ADDRESS(22,ROW()-31,1)),BM$3:BM$22),"")</f>
        <v/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 t="str">
        <f ca="1">IF(AND(((COLUMN()-10)&lt;=playercnt),((ROW()-41)&lt;=playercnt)),SUMPRODUCT(INDIRECT(ADDRESS(3,ROW()-31,1)):INDIRECT(ADDRESS(22,ROW()-31,1)),AC$3:AC$22),"")</f>
        <v/>
      </c>
      <c r="AD51" t="str">
        <f ca="1">IF(AND(((COLUMN()-10)&lt;=playercnt),((ROW()-41)&lt;=playercnt)),SUMPRODUCT(INDIRECT(ADDRESS(3,ROW()-31,1)):INDIRECT(ADDRESS(22,ROW()-31,1)),AD$3:AD$22),"")</f>
        <v/>
      </c>
      <c r="AE51" t="str">
        <f ca="1">IF(AND(((COLUMN()-10)&lt;=playercnt),((ROW()-41)&lt;=playercnt)),SUMPRODUCT(INDIRECT(ADDRESS(3,ROW()-31,1)):INDIRECT(ADDRESS(22,ROW()-31,1)),AE$3:AE$22),"")</f>
        <v/>
      </c>
      <c r="AF51" t="str">
        <f ca="1">IF(AND(((COLUMN()-10)&lt;=playercnt),((ROW()-41)&lt;=playercnt)),SUMPRODUCT(INDIRECT(ADDRESS(3,ROW()-31,1)):INDIRECT(ADDRESS(22,ROW()-31,1)),AF$3:AF$22),"")</f>
        <v/>
      </c>
      <c r="AG51" t="str">
        <f ca="1">IF(AND(((COLUMN()-10)&lt;=playercnt),((ROW()-41)&lt;=playercnt)),SUMPRODUCT(INDIRECT(ADDRESS(3,ROW()-31,1)):INDIRECT(ADDRESS(22,ROW()-31,1)),AG$3:AG$22),"")</f>
        <v/>
      </c>
      <c r="AH51" t="str">
        <f ca="1">IF(AND(((COLUMN()-10)&lt;=playercnt),((ROW()-41)&lt;=playercnt)),SUMPRODUCT(INDIRECT(ADDRESS(3,ROW()-31,1)):INDIRECT(ADDRESS(22,ROW()-31,1)),AH$3:AH$22),"")</f>
        <v/>
      </c>
      <c r="AI51" t="str">
        <f ca="1">IF(AND(((COLUMN()-10)&lt;=playercnt),((ROW()-41)&lt;=playercnt)),SUMPRODUCT(INDIRECT(ADDRESS(3,ROW()-31,1)):INDIRECT(ADDRESS(22,ROW()-31,1)),AI$3:AI$22),"")</f>
        <v/>
      </c>
      <c r="AJ51" t="str">
        <f ca="1">IF(AND(((COLUMN()-10)&lt;=playercnt),((ROW()-41)&lt;=playercnt)),SUMPRODUCT(INDIRECT(ADDRESS(3,ROW()-31,1)):INDIRECT(ADDRESS(22,ROW()-31,1)),AJ$3:AJ$22),"")</f>
        <v/>
      </c>
      <c r="AK51" t="str">
        <f ca="1">IF(AND(((COLUMN()-10)&lt;=playercnt),((ROW()-41)&lt;=playercnt)),SUMPRODUCT(INDIRECT(ADDRESS(3,ROW()-31,1)):INDIRECT(ADDRESS(22,ROW()-31,1)),AK$3:AK$22),"")</f>
        <v/>
      </c>
      <c r="AL51" t="str">
        <f ca="1">IF(AND(((COLUMN()-10)&lt;=playercnt),((ROW()-41)&lt;=playercnt)),SUMPRODUCT(INDIRECT(ADDRESS(3,ROW()-31,1)):INDIRECT(ADDRESS(22,ROW()-31,1)),AL$3:AL$22),"")</f>
        <v/>
      </c>
      <c r="AM51" t="str">
        <f ca="1">IF(AND(((COLUMN()-10)&lt;=playercnt),((ROW()-41)&lt;=playercnt)),SUMPRODUCT(INDIRECT(ADDRESS(3,ROW()-31,1)):INDIRECT(ADDRESS(22,ROW()-31,1)),AM$3:AM$22),"")</f>
        <v/>
      </c>
      <c r="AN51" t="str">
        <f ca="1">IF(AND(((COLUMN()-10)&lt;=playercnt),((ROW()-41)&lt;=playercnt)),SUMPRODUCT(INDIRECT(ADDRESS(3,ROW()-31,1)):INDIRECT(ADDRESS(22,ROW()-31,1)),AN$3:AN$22),"")</f>
        <v/>
      </c>
      <c r="AO51" t="str">
        <f ca="1">IF(AND(((COLUMN()-10)&lt;=playercnt),((ROW()-41)&lt;=playercnt)),SUMPRODUCT(INDIRECT(ADDRESS(3,ROW()-31,1)):INDIRECT(ADDRESS(22,ROW()-31,1)),AO$3:AO$22),"")</f>
        <v/>
      </c>
      <c r="AP51" t="str">
        <f ca="1">IF(AND(((COLUMN()-10)&lt;=playercnt),((ROW()-41)&lt;=playercnt)),SUMPRODUCT(INDIRECT(ADDRESS(3,ROW()-31,1)):INDIRECT(ADDRESS(22,ROW()-31,1)),AP$3:AP$22),"")</f>
        <v/>
      </c>
      <c r="AQ51" t="str">
        <f ca="1">IF(AND(((COLUMN()-10)&lt;=playercnt),((ROW()-41)&lt;=playercnt)),SUMPRODUCT(INDIRECT(ADDRESS(3,ROW()-31,1)):INDIRECT(ADDRESS(22,ROW()-31,1)),AQ$3:AQ$22),"")</f>
        <v/>
      </c>
      <c r="AR51" t="str">
        <f ca="1">IF(AND(((COLUMN()-10)&lt;=playercnt),((ROW()-41)&lt;=playercnt)),SUMPRODUCT(INDIRECT(ADDRESS(3,ROW()-31,1)):INDIRECT(ADDRESS(22,ROW()-31,1)),AR$3:AR$22),"")</f>
        <v/>
      </c>
      <c r="AS51" t="str">
        <f ca="1">IF(AND(((COLUMN()-10)&lt;=playercnt),((ROW()-41)&lt;=playercnt)),SUMPRODUCT(INDIRECT(ADDRESS(3,ROW()-31,1)):INDIRECT(ADDRESS(22,ROW()-31,1)),AS$3:AS$22),"")</f>
        <v/>
      </c>
      <c r="AT51" t="str">
        <f ca="1">IF(AND(((COLUMN()-10)&lt;=playercnt),((ROW()-41)&lt;=playercnt)),SUMPRODUCT(INDIRECT(ADDRESS(3,ROW()-31,1)):INDIRECT(ADDRESS(22,ROW()-31,1)),AT$3:AT$22),"")</f>
        <v/>
      </c>
      <c r="AU51" t="str">
        <f ca="1">IF(AND(((COLUMN()-10)&lt;=playercnt),((ROW()-41)&lt;=playercnt)),SUMPRODUCT(INDIRECT(ADDRESS(3,ROW()-31,1)):INDIRECT(ADDRESS(22,ROW()-31,1)),AU$3:AU$22),"")</f>
        <v/>
      </c>
      <c r="AV51" t="str">
        <f ca="1">IF(AND(((COLUMN()-10)&lt;=playercnt),((ROW()-41)&lt;=playercnt)),SUMPRODUCT(INDIRECT(ADDRESS(3,ROW()-31,1)):INDIRECT(ADDRESS(22,ROW()-31,1)),AV$3:AV$22),"")</f>
        <v/>
      </c>
      <c r="AW51" t="str">
        <f ca="1">IF(AND(((COLUMN()-10)&lt;=playercnt),((ROW()-41)&lt;=playercnt)),SUMPRODUCT(INDIRECT(ADDRESS(3,ROW()-31,1)):INDIRECT(ADDRESS(22,ROW()-31,1)),AW$3:AW$22),"")</f>
        <v/>
      </c>
      <c r="AX51" t="str">
        <f ca="1">IF(AND(((COLUMN()-10)&lt;=playercnt),((ROW()-41)&lt;=playercnt)),SUMPRODUCT(INDIRECT(ADDRESS(3,ROW()-31,1)):INDIRECT(ADDRESS(22,ROW()-31,1)),AX$3:AX$22),"")</f>
        <v/>
      </c>
      <c r="AY51" t="str">
        <f ca="1">IF(AND(((COLUMN()-10)&lt;=playercnt),((ROW()-41)&lt;=playercnt)),SUMPRODUCT(INDIRECT(ADDRESS(3,ROW()-31,1)):INDIRECT(ADDRESS(22,ROW()-31,1)),AY$3:AY$22),"")</f>
        <v/>
      </c>
      <c r="AZ51" t="str">
        <f ca="1">IF(AND(((COLUMN()-10)&lt;=playercnt),((ROW()-41)&lt;=playercnt)),SUMPRODUCT(INDIRECT(ADDRESS(3,ROW()-31,1)):INDIRECT(ADDRESS(22,ROW()-31,1)),AZ$3:AZ$22),"")</f>
        <v/>
      </c>
      <c r="BA51" t="str">
        <f ca="1">IF(AND(((COLUMN()-10)&lt;=playercnt),((ROW()-41)&lt;=playercnt)),SUMPRODUCT(INDIRECT(ADDRESS(3,ROW()-31,1)):INDIRECT(ADDRESS(22,ROW()-31,1)),BA$3:BA$22),"")</f>
        <v/>
      </c>
      <c r="BB51" t="str">
        <f ca="1">IF(AND(((COLUMN()-10)&lt;=playercnt),((ROW()-41)&lt;=playercnt)),SUMPRODUCT(INDIRECT(ADDRESS(3,ROW()-31,1)):INDIRECT(ADDRESS(22,ROW()-31,1)),BB$3:BB$22),"")</f>
        <v/>
      </c>
      <c r="BC51" t="str">
        <f ca="1">IF(AND(((COLUMN()-10)&lt;=playercnt),((ROW()-41)&lt;=playercnt)),SUMPRODUCT(INDIRECT(ADDRESS(3,ROW()-31,1)):INDIRECT(ADDRESS(22,ROW()-31,1)),BC$3:BC$22),"")</f>
        <v/>
      </c>
      <c r="BD51" t="str">
        <f ca="1">IF(AND(((COLUMN()-10)&lt;=playercnt),((ROW()-41)&lt;=playercnt)),SUMPRODUCT(INDIRECT(ADDRESS(3,ROW()-31,1)):INDIRECT(ADDRESS(22,ROW()-31,1)),BD$3:BD$22),"")</f>
        <v/>
      </c>
      <c r="BE51" t="str">
        <f ca="1">IF(AND(((COLUMN()-10)&lt;=playercnt),((ROW()-41)&lt;=playercnt)),SUMPRODUCT(INDIRECT(ADDRESS(3,ROW()-31,1)):INDIRECT(ADDRESS(22,ROW()-31,1)),BE$3:BE$22),"")</f>
        <v/>
      </c>
      <c r="BF51" t="str">
        <f ca="1">IF(AND(((COLUMN()-10)&lt;=playercnt),((ROW()-41)&lt;=playercnt)),SUMPRODUCT(INDIRECT(ADDRESS(3,ROW()-31,1)):INDIRECT(ADDRESS(22,ROW()-31,1)),BF$3:BF$22),"")</f>
        <v/>
      </c>
      <c r="BG51" t="str">
        <f ca="1">IF(AND(((COLUMN()-10)&lt;=playercnt),((ROW()-41)&lt;=playercnt)),SUMPRODUCT(INDIRECT(ADDRESS(3,ROW()-31,1)):INDIRECT(ADDRESS(22,ROW()-31,1)),BG$3:BG$22),"")</f>
        <v/>
      </c>
      <c r="BH51" t="str">
        <f ca="1">IF(AND(((COLUMN()-10)&lt;=playercnt),((ROW()-41)&lt;=playercnt)),SUMPRODUCT(INDIRECT(ADDRESS(3,ROW()-31,1)):INDIRECT(ADDRESS(22,ROW()-31,1)),BH$3:BH$22),"")</f>
        <v/>
      </c>
      <c r="BI51" t="str">
        <f ca="1">IF(AND(((COLUMN()-10)&lt;=playercnt),((ROW()-41)&lt;=playercnt)),SUMPRODUCT(INDIRECT(ADDRESS(3,ROW()-31,1)):INDIRECT(ADDRESS(22,ROW()-31,1)),BI$3:BI$22),"")</f>
        <v/>
      </c>
      <c r="BJ51" t="str">
        <f ca="1">IF(AND(((COLUMN()-10)&lt;=playercnt),((ROW()-41)&lt;=playercnt)),SUMPRODUCT(INDIRECT(ADDRESS(3,ROW()-31,1)):INDIRECT(ADDRESS(22,ROW()-31,1)),BJ$3:BJ$22),"")</f>
        <v/>
      </c>
      <c r="BK51" t="str">
        <f ca="1">IF(AND(((COLUMN()-10)&lt;=playercnt),((ROW()-41)&lt;=playercnt)),SUMPRODUCT(INDIRECT(ADDRESS(3,ROW()-31,1)):INDIRECT(ADDRESS(22,ROW()-31,1)),BK$3:BK$22),"")</f>
        <v/>
      </c>
      <c r="BL51" t="str">
        <f ca="1">IF(AND(((COLUMN()-10)&lt;=playercnt),((ROW()-41)&lt;=playercnt)),SUMPRODUCT(INDIRECT(ADDRESS(3,ROW()-31,1)):INDIRECT(ADDRESS(22,ROW()-31,1)),BL$3:BL$22),"")</f>
        <v/>
      </c>
      <c r="BM51" t="str">
        <f ca="1">IF(AND(((COLUMN()-10)&lt;=playercnt),((ROW()-41)&lt;=playercnt)),SUMPRODUCT(INDIRECT(ADDRESS(3,ROW()-31,1)):INDIRECT(ADDRESS(22,ROW()-31,1)),BM$3:BM$22),"")</f>
        <v/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 t="str">
        <f ca="1">IF(AND(((COLUMN()-10)&lt;=playercnt),((ROW()-41)&lt;=playercnt)),SUMPRODUCT(INDIRECT(ADDRESS(3,ROW()-31,1)):INDIRECT(ADDRESS(22,ROW()-31,1)),AC$3:AC$22),"")</f>
        <v/>
      </c>
      <c r="AD52" t="str">
        <f ca="1">IF(AND(((COLUMN()-10)&lt;=playercnt),((ROW()-41)&lt;=playercnt)),SUMPRODUCT(INDIRECT(ADDRESS(3,ROW()-31,1)):INDIRECT(ADDRESS(22,ROW()-31,1)),AD$3:AD$22),"")</f>
        <v/>
      </c>
      <c r="AE52" t="str">
        <f ca="1">IF(AND(((COLUMN()-10)&lt;=playercnt),((ROW()-41)&lt;=playercnt)),SUMPRODUCT(INDIRECT(ADDRESS(3,ROW()-31,1)):INDIRECT(ADDRESS(22,ROW()-31,1)),AE$3:AE$22),"")</f>
        <v/>
      </c>
      <c r="AF52" t="str">
        <f ca="1">IF(AND(((COLUMN()-10)&lt;=playercnt),((ROW()-41)&lt;=playercnt)),SUMPRODUCT(INDIRECT(ADDRESS(3,ROW()-31,1)):INDIRECT(ADDRESS(22,ROW()-31,1)),AF$3:AF$22),"")</f>
        <v/>
      </c>
      <c r="AG52" t="str">
        <f ca="1">IF(AND(((COLUMN()-10)&lt;=playercnt),((ROW()-41)&lt;=playercnt)),SUMPRODUCT(INDIRECT(ADDRESS(3,ROW()-31,1)):INDIRECT(ADDRESS(22,ROW()-31,1)),AG$3:AG$22),"")</f>
        <v/>
      </c>
      <c r="AH52" t="str">
        <f ca="1">IF(AND(((COLUMN()-10)&lt;=playercnt),((ROW()-41)&lt;=playercnt)),SUMPRODUCT(INDIRECT(ADDRESS(3,ROW()-31,1)):INDIRECT(ADDRESS(22,ROW()-31,1)),AH$3:AH$22),"")</f>
        <v/>
      </c>
      <c r="AI52" t="str">
        <f ca="1">IF(AND(((COLUMN()-10)&lt;=playercnt),((ROW()-41)&lt;=playercnt)),SUMPRODUCT(INDIRECT(ADDRESS(3,ROW()-31,1)):INDIRECT(ADDRESS(22,ROW()-31,1)),AI$3:AI$22),"")</f>
        <v/>
      </c>
      <c r="AJ52" t="str">
        <f ca="1">IF(AND(((COLUMN()-10)&lt;=playercnt),((ROW()-41)&lt;=playercnt)),SUMPRODUCT(INDIRECT(ADDRESS(3,ROW()-31,1)):INDIRECT(ADDRESS(22,ROW()-31,1)),AJ$3:AJ$22),"")</f>
        <v/>
      </c>
      <c r="AK52" t="str">
        <f ca="1">IF(AND(((COLUMN()-10)&lt;=playercnt),((ROW()-41)&lt;=playercnt)),SUMPRODUCT(INDIRECT(ADDRESS(3,ROW()-31,1)):INDIRECT(ADDRESS(22,ROW()-31,1)),AK$3:AK$22),"")</f>
        <v/>
      </c>
      <c r="AL52" t="str">
        <f ca="1">IF(AND(((COLUMN()-10)&lt;=playercnt),((ROW()-41)&lt;=playercnt)),SUMPRODUCT(INDIRECT(ADDRESS(3,ROW()-31,1)):INDIRECT(ADDRESS(22,ROW()-31,1)),AL$3:AL$22),"")</f>
        <v/>
      </c>
      <c r="AM52" t="str">
        <f ca="1">IF(AND(((COLUMN()-10)&lt;=playercnt),((ROW()-41)&lt;=playercnt)),SUMPRODUCT(INDIRECT(ADDRESS(3,ROW()-31,1)):INDIRECT(ADDRESS(22,ROW()-31,1)),AM$3:AM$22),"")</f>
        <v/>
      </c>
      <c r="AN52" t="str">
        <f ca="1">IF(AND(((COLUMN()-10)&lt;=playercnt),((ROW()-41)&lt;=playercnt)),SUMPRODUCT(INDIRECT(ADDRESS(3,ROW()-31,1)):INDIRECT(ADDRESS(22,ROW()-31,1)),AN$3:AN$22),"")</f>
        <v/>
      </c>
      <c r="AO52" t="str">
        <f ca="1">IF(AND(((COLUMN()-10)&lt;=playercnt),((ROW()-41)&lt;=playercnt)),SUMPRODUCT(INDIRECT(ADDRESS(3,ROW()-31,1)):INDIRECT(ADDRESS(22,ROW()-31,1)),AO$3:AO$22),"")</f>
        <v/>
      </c>
      <c r="AP52" t="str">
        <f ca="1">IF(AND(((COLUMN()-10)&lt;=playercnt),((ROW()-41)&lt;=playercnt)),SUMPRODUCT(INDIRECT(ADDRESS(3,ROW()-31,1)):INDIRECT(ADDRESS(22,ROW()-31,1)),AP$3:AP$22),"")</f>
        <v/>
      </c>
      <c r="AQ52" t="str">
        <f ca="1">IF(AND(((COLUMN()-10)&lt;=playercnt),((ROW()-41)&lt;=playercnt)),SUMPRODUCT(INDIRECT(ADDRESS(3,ROW()-31,1)):INDIRECT(ADDRESS(22,ROW()-31,1)),AQ$3:AQ$22),"")</f>
        <v/>
      </c>
      <c r="AR52" t="str">
        <f ca="1">IF(AND(((COLUMN()-10)&lt;=playercnt),((ROW()-41)&lt;=playercnt)),SUMPRODUCT(INDIRECT(ADDRESS(3,ROW()-31,1)):INDIRECT(ADDRESS(22,ROW()-31,1)),AR$3:AR$22),"")</f>
        <v/>
      </c>
      <c r="AS52" t="str">
        <f ca="1">IF(AND(((COLUMN()-10)&lt;=playercnt),((ROW()-41)&lt;=playercnt)),SUMPRODUCT(INDIRECT(ADDRESS(3,ROW()-31,1)):INDIRECT(ADDRESS(22,ROW()-31,1)),AS$3:AS$22),"")</f>
        <v/>
      </c>
      <c r="AT52" t="str">
        <f ca="1">IF(AND(((COLUMN()-10)&lt;=playercnt),((ROW()-41)&lt;=playercnt)),SUMPRODUCT(INDIRECT(ADDRESS(3,ROW()-31,1)):INDIRECT(ADDRESS(22,ROW()-31,1)),AT$3:AT$22),"")</f>
        <v/>
      </c>
      <c r="AU52" t="str">
        <f ca="1">IF(AND(((COLUMN()-10)&lt;=playercnt),((ROW()-41)&lt;=playercnt)),SUMPRODUCT(INDIRECT(ADDRESS(3,ROW()-31,1)):INDIRECT(ADDRESS(22,ROW()-31,1)),AU$3:AU$22),"")</f>
        <v/>
      </c>
      <c r="AV52" t="str">
        <f ca="1">IF(AND(((COLUMN()-10)&lt;=playercnt),((ROW()-41)&lt;=playercnt)),SUMPRODUCT(INDIRECT(ADDRESS(3,ROW()-31,1)):INDIRECT(ADDRESS(22,ROW()-31,1)),AV$3:AV$22),"")</f>
        <v/>
      </c>
      <c r="AW52" t="str">
        <f ca="1">IF(AND(((COLUMN()-10)&lt;=playercnt),((ROW()-41)&lt;=playercnt)),SUMPRODUCT(INDIRECT(ADDRESS(3,ROW()-31,1)):INDIRECT(ADDRESS(22,ROW()-31,1)),AW$3:AW$22),"")</f>
        <v/>
      </c>
      <c r="AX52" t="str">
        <f ca="1">IF(AND(((COLUMN()-10)&lt;=playercnt),((ROW()-41)&lt;=playercnt)),SUMPRODUCT(INDIRECT(ADDRESS(3,ROW()-31,1)):INDIRECT(ADDRESS(22,ROW()-31,1)),AX$3:AX$22),"")</f>
        <v/>
      </c>
      <c r="AY52" t="str">
        <f ca="1">IF(AND(((COLUMN()-10)&lt;=playercnt),((ROW()-41)&lt;=playercnt)),SUMPRODUCT(INDIRECT(ADDRESS(3,ROW()-31,1)):INDIRECT(ADDRESS(22,ROW()-31,1)),AY$3:AY$22),"")</f>
        <v/>
      </c>
      <c r="AZ52" t="str">
        <f ca="1">IF(AND(((COLUMN()-10)&lt;=playercnt),((ROW()-41)&lt;=playercnt)),SUMPRODUCT(INDIRECT(ADDRESS(3,ROW()-31,1)):INDIRECT(ADDRESS(22,ROW()-31,1)),AZ$3:AZ$22),"")</f>
        <v/>
      </c>
      <c r="BA52" t="str">
        <f ca="1">IF(AND(((COLUMN()-10)&lt;=playercnt),((ROW()-41)&lt;=playercnt)),SUMPRODUCT(INDIRECT(ADDRESS(3,ROW()-31,1)):INDIRECT(ADDRESS(22,ROW()-31,1)),BA$3:BA$22),"")</f>
        <v/>
      </c>
      <c r="BB52" t="str">
        <f ca="1">IF(AND(((COLUMN()-10)&lt;=playercnt),((ROW()-41)&lt;=playercnt)),SUMPRODUCT(INDIRECT(ADDRESS(3,ROW()-31,1)):INDIRECT(ADDRESS(22,ROW()-31,1)),BB$3:BB$22),"")</f>
        <v/>
      </c>
      <c r="BC52" t="str">
        <f ca="1">IF(AND(((COLUMN()-10)&lt;=playercnt),((ROW()-41)&lt;=playercnt)),SUMPRODUCT(INDIRECT(ADDRESS(3,ROW()-31,1)):INDIRECT(ADDRESS(22,ROW()-31,1)),BC$3:BC$22),"")</f>
        <v/>
      </c>
      <c r="BD52" t="str">
        <f ca="1">IF(AND(((COLUMN()-10)&lt;=playercnt),((ROW()-41)&lt;=playercnt)),SUMPRODUCT(INDIRECT(ADDRESS(3,ROW()-31,1)):INDIRECT(ADDRESS(22,ROW()-31,1)),BD$3:BD$22),"")</f>
        <v/>
      </c>
      <c r="BE52" t="str">
        <f ca="1">IF(AND(((COLUMN()-10)&lt;=playercnt),((ROW()-41)&lt;=playercnt)),SUMPRODUCT(INDIRECT(ADDRESS(3,ROW()-31,1)):INDIRECT(ADDRESS(22,ROW()-31,1)),BE$3:BE$22),"")</f>
        <v/>
      </c>
      <c r="BF52" t="str">
        <f ca="1">IF(AND(((COLUMN()-10)&lt;=playercnt),((ROW()-41)&lt;=playercnt)),SUMPRODUCT(INDIRECT(ADDRESS(3,ROW()-31,1)):INDIRECT(ADDRESS(22,ROW()-31,1)),BF$3:BF$22),"")</f>
        <v/>
      </c>
      <c r="BG52" t="str">
        <f ca="1">IF(AND(((COLUMN()-10)&lt;=playercnt),((ROW()-41)&lt;=playercnt)),SUMPRODUCT(INDIRECT(ADDRESS(3,ROW()-31,1)):INDIRECT(ADDRESS(22,ROW()-31,1)),BG$3:BG$22),"")</f>
        <v/>
      </c>
      <c r="BH52" t="str">
        <f ca="1">IF(AND(((COLUMN()-10)&lt;=playercnt),((ROW()-41)&lt;=playercnt)),SUMPRODUCT(INDIRECT(ADDRESS(3,ROW()-31,1)):INDIRECT(ADDRESS(22,ROW()-31,1)),BH$3:BH$22),"")</f>
        <v/>
      </c>
      <c r="BI52" t="str">
        <f ca="1">IF(AND(((COLUMN()-10)&lt;=playercnt),((ROW()-41)&lt;=playercnt)),SUMPRODUCT(INDIRECT(ADDRESS(3,ROW()-31,1)):INDIRECT(ADDRESS(22,ROW()-31,1)),BI$3:BI$22),"")</f>
        <v/>
      </c>
      <c r="BJ52" t="str">
        <f ca="1">IF(AND(((COLUMN()-10)&lt;=playercnt),((ROW()-41)&lt;=playercnt)),SUMPRODUCT(INDIRECT(ADDRESS(3,ROW()-31,1)):INDIRECT(ADDRESS(22,ROW()-31,1)),BJ$3:BJ$22),"")</f>
        <v/>
      </c>
      <c r="BK52" t="str">
        <f ca="1">IF(AND(((COLUMN()-10)&lt;=playercnt),((ROW()-41)&lt;=playercnt)),SUMPRODUCT(INDIRECT(ADDRESS(3,ROW()-31,1)):INDIRECT(ADDRESS(22,ROW()-31,1)),BK$3:BK$22),"")</f>
        <v/>
      </c>
      <c r="BL52" t="str">
        <f ca="1">IF(AND(((COLUMN()-10)&lt;=playercnt),((ROW()-41)&lt;=playercnt)),SUMPRODUCT(INDIRECT(ADDRESS(3,ROW()-31,1)):INDIRECT(ADDRESS(22,ROW()-31,1)),BL$3:BL$22),"")</f>
        <v/>
      </c>
      <c r="BM52" t="str">
        <f ca="1">IF(AND(((COLUMN()-10)&lt;=playercnt),((ROW()-41)&lt;=playercnt)),SUMPRODUCT(INDIRECT(ADDRESS(3,ROW()-31,1)):INDIRECT(ADDRESS(22,ROW()-31,1)),BM$3:BM$22),"")</f>
        <v/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 t="str">
        <f ca="1">IF(AND(((COLUMN()-10)&lt;=playercnt),((ROW()-41)&lt;=playercnt)),SUMPRODUCT(INDIRECT(ADDRESS(3,ROW()-31,1)):INDIRECT(ADDRESS(22,ROW()-31,1)),AC$3:AC$22),"")</f>
        <v/>
      </c>
      <c r="AD53" t="str">
        <f ca="1">IF(AND(((COLUMN()-10)&lt;=playercnt),((ROW()-41)&lt;=playercnt)),SUMPRODUCT(INDIRECT(ADDRESS(3,ROW()-31,1)):INDIRECT(ADDRESS(22,ROW()-31,1)),AD$3:AD$22),"")</f>
        <v/>
      </c>
      <c r="AE53" t="str">
        <f ca="1">IF(AND(((COLUMN()-10)&lt;=playercnt),((ROW()-41)&lt;=playercnt)),SUMPRODUCT(INDIRECT(ADDRESS(3,ROW()-31,1)):INDIRECT(ADDRESS(22,ROW()-31,1)),AE$3:AE$22),"")</f>
        <v/>
      </c>
      <c r="AF53" t="str">
        <f ca="1">IF(AND(((COLUMN()-10)&lt;=playercnt),((ROW()-41)&lt;=playercnt)),SUMPRODUCT(INDIRECT(ADDRESS(3,ROW()-31,1)):INDIRECT(ADDRESS(22,ROW()-31,1)),AF$3:AF$22),"")</f>
        <v/>
      </c>
      <c r="AG53" t="str">
        <f ca="1">IF(AND(((COLUMN()-10)&lt;=playercnt),((ROW()-41)&lt;=playercnt)),SUMPRODUCT(INDIRECT(ADDRESS(3,ROW()-31,1)):INDIRECT(ADDRESS(22,ROW()-31,1)),AG$3:AG$22),"")</f>
        <v/>
      </c>
      <c r="AH53" t="str">
        <f ca="1">IF(AND(((COLUMN()-10)&lt;=playercnt),((ROW()-41)&lt;=playercnt)),SUMPRODUCT(INDIRECT(ADDRESS(3,ROW()-31,1)):INDIRECT(ADDRESS(22,ROW()-31,1)),AH$3:AH$22),"")</f>
        <v/>
      </c>
      <c r="AI53" t="str">
        <f ca="1">IF(AND(((COLUMN()-10)&lt;=playercnt),((ROW()-41)&lt;=playercnt)),SUMPRODUCT(INDIRECT(ADDRESS(3,ROW()-31,1)):INDIRECT(ADDRESS(22,ROW()-31,1)),AI$3:AI$22),"")</f>
        <v/>
      </c>
      <c r="AJ53" t="str">
        <f ca="1">IF(AND(((COLUMN()-10)&lt;=playercnt),((ROW()-41)&lt;=playercnt)),SUMPRODUCT(INDIRECT(ADDRESS(3,ROW()-31,1)):INDIRECT(ADDRESS(22,ROW()-31,1)),AJ$3:AJ$22),"")</f>
        <v/>
      </c>
      <c r="AK53" t="str">
        <f ca="1">IF(AND(((COLUMN()-10)&lt;=playercnt),((ROW()-41)&lt;=playercnt)),SUMPRODUCT(INDIRECT(ADDRESS(3,ROW()-31,1)):INDIRECT(ADDRESS(22,ROW()-31,1)),AK$3:AK$22),"")</f>
        <v/>
      </c>
      <c r="AL53" t="str">
        <f ca="1">IF(AND(((COLUMN()-10)&lt;=playercnt),((ROW()-41)&lt;=playercnt)),SUMPRODUCT(INDIRECT(ADDRESS(3,ROW()-31,1)):INDIRECT(ADDRESS(22,ROW()-31,1)),AL$3:AL$22),"")</f>
        <v/>
      </c>
      <c r="AM53" t="str">
        <f ca="1">IF(AND(((COLUMN()-10)&lt;=playercnt),((ROW()-41)&lt;=playercnt)),SUMPRODUCT(INDIRECT(ADDRESS(3,ROW()-31,1)):INDIRECT(ADDRESS(22,ROW()-31,1)),AM$3:AM$22),"")</f>
        <v/>
      </c>
      <c r="AN53" t="str">
        <f ca="1">IF(AND(((COLUMN()-10)&lt;=playercnt),((ROW()-41)&lt;=playercnt)),SUMPRODUCT(INDIRECT(ADDRESS(3,ROW()-31,1)):INDIRECT(ADDRESS(22,ROW()-31,1)),AN$3:AN$22),"")</f>
        <v/>
      </c>
      <c r="AO53" t="str">
        <f ca="1">IF(AND(((COLUMN()-10)&lt;=playercnt),((ROW()-41)&lt;=playercnt)),SUMPRODUCT(INDIRECT(ADDRESS(3,ROW()-31,1)):INDIRECT(ADDRESS(22,ROW()-31,1)),AO$3:AO$22),"")</f>
        <v/>
      </c>
      <c r="AP53" t="str">
        <f ca="1">IF(AND(((COLUMN()-10)&lt;=playercnt),((ROW()-41)&lt;=playercnt)),SUMPRODUCT(INDIRECT(ADDRESS(3,ROW()-31,1)):INDIRECT(ADDRESS(22,ROW()-31,1)),AP$3:AP$22),"")</f>
        <v/>
      </c>
      <c r="AQ53" t="str">
        <f ca="1">IF(AND(((COLUMN()-10)&lt;=playercnt),((ROW()-41)&lt;=playercnt)),SUMPRODUCT(INDIRECT(ADDRESS(3,ROW()-31,1)):INDIRECT(ADDRESS(22,ROW()-31,1)),AQ$3:AQ$22),"")</f>
        <v/>
      </c>
      <c r="AR53" t="str">
        <f ca="1">IF(AND(((COLUMN()-10)&lt;=playercnt),((ROW()-41)&lt;=playercnt)),SUMPRODUCT(INDIRECT(ADDRESS(3,ROW()-31,1)):INDIRECT(ADDRESS(22,ROW()-31,1)),AR$3:AR$22),"")</f>
        <v/>
      </c>
      <c r="AS53" t="str">
        <f ca="1">IF(AND(((COLUMN()-10)&lt;=playercnt),((ROW()-41)&lt;=playercnt)),SUMPRODUCT(INDIRECT(ADDRESS(3,ROW()-31,1)):INDIRECT(ADDRESS(22,ROW()-31,1)),AS$3:AS$22),"")</f>
        <v/>
      </c>
      <c r="AT53" t="str">
        <f ca="1">IF(AND(((COLUMN()-10)&lt;=playercnt),((ROW()-41)&lt;=playercnt)),SUMPRODUCT(INDIRECT(ADDRESS(3,ROW()-31,1)):INDIRECT(ADDRESS(22,ROW()-31,1)),AT$3:AT$22),"")</f>
        <v/>
      </c>
      <c r="AU53" t="str">
        <f ca="1">IF(AND(((COLUMN()-10)&lt;=playercnt),((ROW()-41)&lt;=playercnt)),SUMPRODUCT(INDIRECT(ADDRESS(3,ROW()-31,1)):INDIRECT(ADDRESS(22,ROW()-31,1)),AU$3:AU$22),"")</f>
        <v/>
      </c>
      <c r="AV53" t="str">
        <f ca="1">IF(AND(((COLUMN()-10)&lt;=playercnt),((ROW()-41)&lt;=playercnt)),SUMPRODUCT(INDIRECT(ADDRESS(3,ROW()-31,1)):INDIRECT(ADDRESS(22,ROW()-31,1)),AV$3:AV$22),"")</f>
        <v/>
      </c>
      <c r="AW53" t="str">
        <f ca="1">IF(AND(((COLUMN()-10)&lt;=playercnt),((ROW()-41)&lt;=playercnt)),SUMPRODUCT(INDIRECT(ADDRESS(3,ROW()-31,1)):INDIRECT(ADDRESS(22,ROW()-31,1)),AW$3:AW$22),"")</f>
        <v/>
      </c>
      <c r="AX53" t="str">
        <f ca="1">IF(AND(((COLUMN()-10)&lt;=playercnt),((ROW()-41)&lt;=playercnt)),SUMPRODUCT(INDIRECT(ADDRESS(3,ROW()-31,1)):INDIRECT(ADDRESS(22,ROW()-31,1)),AX$3:AX$22),"")</f>
        <v/>
      </c>
      <c r="AY53" t="str">
        <f ca="1">IF(AND(((COLUMN()-10)&lt;=playercnt),((ROW()-41)&lt;=playercnt)),SUMPRODUCT(INDIRECT(ADDRESS(3,ROW()-31,1)):INDIRECT(ADDRESS(22,ROW()-31,1)),AY$3:AY$22),"")</f>
        <v/>
      </c>
      <c r="AZ53" t="str">
        <f ca="1">IF(AND(((COLUMN()-10)&lt;=playercnt),((ROW()-41)&lt;=playercnt)),SUMPRODUCT(INDIRECT(ADDRESS(3,ROW()-31,1)):INDIRECT(ADDRESS(22,ROW()-31,1)),AZ$3:AZ$22),"")</f>
        <v/>
      </c>
      <c r="BA53" t="str">
        <f ca="1">IF(AND(((COLUMN()-10)&lt;=playercnt),((ROW()-41)&lt;=playercnt)),SUMPRODUCT(INDIRECT(ADDRESS(3,ROW()-31,1)):INDIRECT(ADDRESS(22,ROW()-31,1)),BA$3:BA$22),"")</f>
        <v/>
      </c>
      <c r="BB53" t="str">
        <f ca="1">IF(AND(((COLUMN()-10)&lt;=playercnt),((ROW()-41)&lt;=playercnt)),SUMPRODUCT(INDIRECT(ADDRESS(3,ROW()-31,1)):INDIRECT(ADDRESS(22,ROW()-31,1)),BB$3:BB$22),"")</f>
        <v/>
      </c>
      <c r="BC53" t="str">
        <f ca="1">IF(AND(((COLUMN()-10)&lt;=playercnt),((ROW()-41)&lt;=playercnt)),SUMPRODUCT(INDIRECT(ADDRESS(3,ROW()-31,1)):INDIRECT(ADDRESS(22,ROW()-31,1)),BC$3:BC$22),"")</f>
        <v/>
      </c>
      <c r="BD53" t="str">
        <f ca="1">IF(AND(((COLUMN()-10)&lt;=playercnt),((ROW()-41)&lt;=playercnt)),SUMPRODUCT(INDIRECT(ADDRESS(3,ROW()-31,1)):INDIRECT(ADDRESS(22,ROW()-31,1)),BD$3:BD$22),"")</f>
        <v/>
      </c>
      <c r="BE53" t="str">
        <f ca="1">IF(AND(((COLUMN()-10)&lt;=playercnt),((ROW()-41)&lt;=playercnt)),SUMPRODUCT(INDIRECT(ADDRESS(3,ROW()-31,1)):INDIRECT(ADDRESS(22,ROW()-31,1)),BE$3:BE$22),"")</f>
        <v/>
      </c>
      <c r="BF53" t="str">
        <f ca="1">IF(AND(((COLUMN()-10)&lt;=playercnt),((ROW()-41)&lt;=playercnt)),SUMPRODUCT(INDIRECT(ADDRESS(3,ROW()-31,1)):INDIRECT(ADDRESS(22,ROW()-31,1)),BF$3:BF$22),"")</f>
        <v/>
      </c>
      <c r="BG53" t="str">
        <f ca="1">IF(AND(((COLUMN()-10)&lt;=playercnt),((ROW()-41)&lt;=playercnt)),SUMPRODUCT(INDIRECT(ADDRESS(3,ROW()-31,1)):INDIRECT(ADDRESS(22,ROW()-31,1)),BG$3:BG$22),"")</f>
        <v/>
      </c>
      <c r="BH53" t="str">
        <f ca="1">IF(AND(((COLUMN()-10)&lt;=playercnt),((ROW()-41)&lt;=playercnt)),SUMPRODUCT(INDIRECT(ADDRESS(3,ROW()-31,1)):INDIRECT(ADDRESS(22,ROW()-31,1)),BH$3:BH$22),"")</f>
        <v/>
      </c>
      <c r="BI53" t="str">
        <f ca="1">IF(AND(((COLUMN()-10)&lt;=playercnt),((ROW()-41)&lt;=playercnt)),SUMPRODUCT(INDIRECT(ADDRESS(3,ROW()-31,1)):INDIRECT(ADDRESS(22,ROW()-31,1)),BI$3:BI$22),"")</f>
        <v/>
      </c>
      <c r="BJ53" t="str">
        <f ca="1">IF(AND(((COLUMN()-10)&lt;=playercnt),((ROW()-41)&lt;=playercnt)),SUMPRODUCT(INDIRECT(ADDRESS(3,ROW()-31,1)):INDIRECT(ADDRESS(22,ROW()-31,1)),BJ$3:BJ$22),"")</f>
        <v/>
      </c>
      <c r="BK53" t="str">
        <f ca="1">IF(AND(((COLUMN()-10)&lt;=playercnt),((ROW()-41)&lt;=playercnt)),SUMPRODUCT(INDIRECT(ADDRESS(3,ROW()-31,1)):INDIRECT(ADDRESS(22,ROW()-31,1)),BK$3:BK$22),"")</f>
        <v/>
      </c>
      <c r="BL53" t="str">
        <f ca="1">IF(AND(((COLUMN()-10)&lt;=playercnt),((ROW()-41)&lt;=playercnt)),SUMPRODUCT(INDIRECT(ADDRESS(3,ROW()-31,1)):INDIRECT(ADDRESS(22,ROW()-31,1)),BL$3:BL$22),"")</f>
        <v/>
      </c>
      <c r="BM53" t="str">
        <f ca="1">IF(AND(((COLUMN()-10)&lt;=playercnt),((ROW()-41)&lt;=playercnt)),SUMPRODUCT(INDIRECT(ADDRESS(3,ROW()-31,1)):INDIRECT(ADDRESS(22,ROW()-31,1)),BM$3:BM$22),"")</f>
        <v/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 t="str">
        <f ca="1">IF(AND(((COLUMN()-10)&lt;=playercnt),((ROW()-41)&lt;=playercnt)),SUMPRODUCT(INDIRECT(ADDRESS(3,ROW()-31,1)):INDIRECT(ADDRESS(22,ROW()-31,1)),AC$3:AC$22),"")</f>
        <v/>
      </c>
      <c r="AD54" t="str">
        <f ca="1">IF(AND(((COLUMN()-10)&lt;=playercnt),((ROW()-41)&lt;=playercnt)),SUMPRODUCT(INDIRECT(ADDRESS(3,ROW()-31,1)):INDIRECT(ADDRESS(22,ROW()-31,1)),AD$3:AD$22),"")</f>
        <v/>
      </c>
      <c r="AE54" t="str">
        <f ca="1">IF(AND(((COLUMN()-10)&lt;=playercnt),((ROW()-41)&lt;=playercnt)),SUMPRODUCT(INDIRECT(ADDRESS(3,ROW()-31,1)):INDIRECT(ADDRESS(22,ROW()-31,1)),AE$3:AE$22),"")</f>
        <v/>
      </c>
      <c r="AF54" t="str">
        <f ca="1">IF(AND(((COLUMN()-10)&lt;=playercnt),((ROW()-41)&lt;=playercnt)),SUMPRODUCT(INDIRECT(ADDRESS(3,ROW()-31,1)):INDIRECT(ADDRESS(22,ROW()-31,1)),AF$3:AF$22),"")</f>
        <v/>
      </c>
      <c r="AG54" t="str">
        <f ca="1">IF(AND(((COLUMN()-10)&lt;=playercnt),((ROW()-41)&lt;=playercnt)),SUMPRODUCT(INDIRECT(ADDRESS(3,ROW()-31,1)):INDIRECT(ADDRESS(22,ROW()-31,1)),AG$3:AG$22),"")</f>
        <v/>
      </c>
      <c r="AH54" t="str">
        <f ca="1">IF(AND(((COLUMN()-10)&lt;=playercnt),((ROW()-41)&lt;=playercnt)),SUMPRODUCT(INDIRECT(ADDRESS(3,ROW()-31,1)):INDIRECT(ADDRESS(22,ROW()-31,1)),AH$3:AH$22),"")</f>
        <v/>
      </c>
      <c r="AI54" t="str">
        <f ca="1">IF(AND(((COLUMN()-10)&lt;=playercnt),((ROW()-41)&lt;=playercnt)),SUMPRODUCT(INDIRECT(ADDRESS(3,ROW()-31,1)):INDIRECT(ADDRESS(22,ROW()-31,1)),AI$3:AI$22),"")</f>
        <v/>
      </c>
      <c r="AJ54" t="str">
        <f ca="1">IF(AND(((COLUMN()-10)&lt;=playercnt),((ROW()-41)&lt;=playercnt)),SUMPRODUCT(INDIRECT(ADDRESS(3,ROW()-31,1)):INDIRECT(ADDRESS(22,ROW()-31,1)),AJ$3:AJ$22),"")</f>
        <v/>
      </c>
      <c r="AK54" t="str">
        <f ca="1">IF(AND(((COLUMN()-10)&lt;=playercnt),((ROW()-41)&lt;=playercnt)),SUMPRODUCT(INDIRECT(ADDRESS(3,ROW()-31,1)):INDIRECT(ADDRESS(22,ROW()-31,1)),AK$3:AK$22),"")</f>
        <v/>
      </c>
      <c r="AL54" t="str">
        <f ca="1">IF(AND(((COLUMN()-10)&lt;=playercnt),((ROW()-41)&lt;=playercnt)),SUMPRODUCT(INDIRECT(ADDRESS(3,ROW()-31,1)):INDIRECT(ADDRESS(22,ROW()-31,1)),AL$3:AL$22),"")</f>
        <v/>
      </c>
      <c r="AM54" t="str">
        <f ca="1">IF(AND(((COLUMN()-10)&lt;=playercnt),((ROW()-41)&lt;=playercnt)),SUMPRODUCT(INDIRECT(ADDRESS(3,ROW()-31,1)):INDIRECT(ADDRESS(22,ROW()-31,1)),AM$3:AM$22),"")</f>
        <v/>
      </c>
      <c r="AN54" t="str">
        <f ca="1">IF(AND(((COLUMN()-10)&lt;=playercnt),((ROW()-41)&lt;=playercnt)),SUMPRODUCT(INDIRECT(ADDRESS(3,ROW()-31,1)):INDIRECT(ADDRESS(22,ROW()-31,1)),AN$3:AN$22),"")</f>
        <v/>
      </c>
      <c r="AO54" t="str">
        <f ca="1">IF(AND(((COLUMN()-10)&lt;=playercnt),((ROW()-41)&lt;=playercnt)),SUMPRODUCT(INDIRECT(ADDRESS(3,ROW()-31,1)):INDIRECT(ADDRESS(22,ROW()-31,1)),AO$3:AO$22),"")</f>
        <v/>
      </c>
      <c r="AP54" t="str">
        <f ca="1">IF(AND(((COLUMN()-10)&lt;=playercnt),((ROW()-41)&lt;=playercnt)),SUMPRODUCT(INDIRECT(ADDRESS(3,ROW()-31,1)):INDIRECT(ADDRESS(22,ROW()-31,1)),AP$3:AP$22),"")</f>
        <v/>
      </c>
      <c r="AQ54" t="str">
        <f ca="1">IF(AND(((COLUMN()-10)&lt;=playercnt),((ROW()-41)&lt;=playercnt)),SUMPRODUCT(INDIRECT(ADDRESS(3,ROW()-31,1)):INDIRECT(ADDRESS(22,ROW()-31,1)),AQ$3:AQ$22),"")</f>
        <v/>
      </c>
      <c r="AR54" t="str">
        <f ca="1">IF(AND(((COLUMN()-10)&lt;=playercnt),((ROW()-41)&lt;=playercnt)),SUMPRODUCT(INDIRECT(ADDRESS(3,ROW()-31,1)):INDIRECT(ADDRESS(22,ROW()-31,1)),AR$3:AR$22),"")</f>
        <v/>
      </c>
      <c r="AS54" t="str">
        <f ca="1">IF(AND(((COLUMN()-10)&lt;=playercnt),((ROW()-41)&lt;=playercnt)),SUMPRODUCT(INDIRECT(ADDRESS(3,ROW()-31,1)):INDIRECT(ADDRESS(22,ROW()-31,1)),AS$3:AS$22),"")</f>
        <v/>
      </c>
      <c r="AT54" t="str">
        <f ca="1">IF(AND(((COLUMN()-10)&lt;=playercnt),((ROW()-41)&lt;=playercnt)),SUMPRODUCT(INDIRECT(ADDRESS(3,ROW()-31,1)):INDIRECT(ADDRESS(22,ROW()-31,1)),AT$3:AT$22),"")</f>
        <v/>
      </c>
      <c r="AU54" t="str">
        <f ca="1">IF(AND(((COLUMN()-10)&lt;=playercnt),((ROW()-41)&lt;=playercnt)),SUMPRODUCT(INDIRECT(ADDRESS(3,ROW()-31,1)):INDIRECT(ADDRESS(22,ROW()-31,1)),AU$3:AU$22),"")</f>
        <v/>
      </c>
      <c r="AV54" t="str">
        <f ca="1">IF(AND(((COLUMN()-10)&lt;=playercnt),((ROW()-41)&lt;=playercnt)),SUMPRODUCT(INDIRECT(ADDRESS(3,ROW()-31,1)):INDIRECT(ADDRESS(22,ROW()-31,1)),AV$3:AV$22),"")</f>
        <v/>
      </c>
      <c r="AW54" t="str">
        <f ca="1">IF(AND(((COLUMN()-10)&lt;=playercnt),((ROW()-41)&lt;=playercnt)),SUMPRODUCT(INDIRECT(ADDRESS(3,ROW()-31,1)):INDIRECT(ADDRESS(22,ROW()-31,1)),AW$3:AW$22),"")</f>
        <v/>
      </c>
      <c r="AX54" t="str">
        <f ca="1">IF(AND(((COLUMN()-10)&lt;=playercnt),((ROW()-41)&lt;=playercnt)),SUMPRODUCT(INDIRECT(ADDRESS(3,ROW()-31,1)):INDIRECT(ADDRESS(22,ROW()-31,1)),AX$3:AX$22),"")</f>
        <v/>
      </c>
      <c r="AY54" t="str">
        <f ca="1">IF(AND(((COLUMN()-10)&lt;=playercnt),((ROW()-41)&lt;=playercnt)),SUMPRODUCT(INDIRECT(ADDRESS(3,ROW()-31,1)):INDIRECT(ADDRESS(22,ROW()-31,1)),AY$3:AY$22),"")</f>
        <v/>
      </c>
      <c r="AZ54" t="str">
        <f ca="1">IF(AND(((COLUMN()-10)&lt;=playercnt),((ROW()-41)&lt;=playercnt)),SUMPRODUCT(INDIRECT(ADDRESS(3,ROW()-31,1)):INDIRECT(ADDRESS(22,ROW()-31,1)),AZ$3:AZ$22),"")</f>
        <v/>
      </c>
      <c r="BA54" t="str">
        <f ca="1">IF(AND(((COLUMN()-10)&lt;=playercnt),((ROW()-41)&lt;=playercnt)),SUMPRODUCT(INDIRECT(ADDRESS(3,ROW()-31,1)):INDIRECT(ADDRESS(22,ROW()-31,1)),BA$3:BA$22),"")</f>
        <v/>
      </c>
      <c r="BB54" t="str">
        <f ca="1">IF(AND(((COLUMN()-10)&lt;=playercnt),((ROW()-41)&lt;=playercnt)),SUMPRODUCT(INDIRECT(ADDRESS(3,ROW()-31,1)):INDIRECT(ADDRESS(22,ROW()-31,1)),BB$3:BB$22),"")</f>
        <v/>
      </c>
      <c r="BC54" t="str">
        <f ca="1">IF(AND(((COLUMN()-10)&lt;=playercnt),((ROW()-41)&lt;=playercnt)),SUMPRODUCT(INDIRECT(ADDRESS(3,ROW()-31,1)):INDIRECT(ADDRESS(22,ROW()-31,1)),BC$3:BC$22),"")</f>
        <v/>
      </c>
      <c r="BD54" t="str">
        <f ca="1">IF(AND(((COLUMN()-10)&lt;=playercnt),((ROW()-41)&lt;=playercnt)),SUMPRODUCT(INDIRECT(ADDRESS(3,ROW()-31,1)):INDIRECT(ADDRESS(22,ROW()-31,1)),BD$3:BD$22),"")</f>
        <v/>
      </c>
      <c r="BE54" t="str">
        <f ca="1">IF(AND(((COLUMN()-10)&lt;=playercnt),((ROW()-41)&lt;=playercnt)),SUMPRODUCT(INDIRECT(ADDRESS(3,ROW()-31,1)):INDIRECT(ADDRESS(22,ROW()-31,1)),BE$3:BE$22),"")</f>
        <v/>
      </c>
      <c r="BF54" t="str">
        <f ca="1">IF(AND(((COLUMN()-10)&lt;=playercnt),((ROW()-41)&lt;=playercnt)),SUMPRODUCT(INDIRECT(ADDRESS(3,ROW()-31,1)):INDIRECT(ADDRESS(22,ROW()-31,1)),BF$3:BF$22),"")</f>
        <v/>
      </c>
      <c r="BG54" t="str">
        <f ca="1">IF(AND(((COLUMN()-10)&lt;=playercnt),((ROW()-41)&lt;=playercnt)),SUMPRODUCT(INDIRECT(ADDRESS(3,ROW()-31,1)):INDIRECT(ADDRESS(22,ROW()-31,1)),BG$3:BG$22),"")</f>
        <v/>
      </c>
      <c r="BH54" t="str">
        <f ca="1">IF(AND(((COLUMN()-10)&lt;=playercnt),((ROW()-41)&lt;=playercnt)),SUMPRODUCT(INDIRECT(ADDRESS(3,ROW()-31,1)):INDIRECT(ADDRESS(22,ROW()-31,1)),BH$3:BH$22),"")</f>
        <v/>
      </c>
      <c r="BI54" t="str">
        <f ca="1">IF(AND(((COLUMN()-10)&lt;=playercnt),((ROW()-41)&lt;=playercnt)),SUMPRODUCT(INDIRECT(ADDRESS(3,ROW()-31,1)):INDIRECT(ADDRESS(22,ROW()-31,1)),BI$3:BI$22),"")</f>
        <v/>
      </c>
      <c r="BJ54" t="str">
        <f ca="1">IF(AND(((COLUMN()-10)&lt;=playercnt),((ROW()-41)&lt;=playercnt)),SUMPRODUCT(INDIRECT(ADDRESS(3,ROW()-31,1)):INDIRECT(ADDRESS(22,ROW()-31,1)),BJ$3:BJ$22),"")</f>
        <v/>
      </c>
      <c r="BK54" t="str">
        <f ca="1">IF(AND(((COLUMN()-10)&lt;=playercnt),((ROW()-41)&lt;=playercnt)),SUMPRODUCT(INDIRECT(ADDRESS(3,ROW()-31,1)):INDIRECT(ADDRESS(22,ROW()-31,1)),BK$3:BK$22),"")</f>
        <v/>
      </c>
      <c r="BL54" t="str">
        <f ca="1">IF(AND(((COLUMN()-10)&lt;=playercnt),((ROW()-41)&lt;=playercnt)),SUMPRODUCT(INDIRECT(ADDRESS(3,ROW()-31,1)):INDIRECT(ADDRESS(22,ROW()-31,1)),BL$3:BL$22),"")</f>
        <v/>
      </c>
      <c r="BM54" t="str">
        <f ca="1">IF(AND(((COLUMN()-10)&lt;=playercnt),((ROW()-41)&lt;=playercnt)),SUMPRODUCT(INDIRECT(ADDRESS(3,ROW()-31,1)):INDIRECT(ADDRESS(22,ROW()-31,1)),BM$3:BM$22),"")</f>
        <v/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 t="str">
        <f ca="1">IF(AND(((COLUMN()-10)&lt;=playercnt),((ROW()-41)&lt;=playercnt)),SUMPRODUCT(INDIRECT(ADDRESS(3,ROW()-31,1)):INDIRECT(ADDRESS(22,ROW()-31,1)),AC$3:AC$22),"")</f>
        <v/>
      </c>
      <c r="AD55" t="str">
        <f ca="1">IF(AND(((COLUMN()-10)&lt;=playercnt),((ROW()-41)&lt;=playercnt)),SUMPRODUCT(INDIRECT(ADDRESS(3,ROW()-31,1)):INDIRECT(ADDRESS(22,ROW()-31,1)),AD$3:AD$22),"")</f>
        <v/>
      </c>
      <c r="AE55" t="str">
        <f ca="1">IF(AND(((COLUMN()-10)&lt;=playercnt),((ROW()-41)&lt;=playercnt)),SUMPRODUCT(INDIRECT(ADDRESS(3,ROW()-31,1)):INDIRECT(ADDRESS(22,ROW()-31,1)),AE$3:AE$22),"")</f>
        <v/>
      </c>
      <c r="AF55" t="str">
        <f ca="1">IF(AND(((COLUMN()-10)&lt;=playercnt),((ROW()-41)&lt;=playercnt)),SUMPRODUCT(INDIRECT(ADDRESS(3,ROW()-31,1)):INDIRECT(ADDRESS(22,ROW()-31,1)),AF$3:AF$22),"")</f>
        <v/>
      </c>
      <c r="AG55" t="str">
        <f ca="1">IF(AND(((COLUMN()-10)&lt;=playercnt),((ROW()-41)&lt;=playercnt)),SUMPRODUCT(INDIRECT(ADDRESS(3,ROW()-31,1)):INDIRECT(ADDRESS(22,ROW()-31,1)),AG$3:AG$22),"")</f>
        <v/>
      </c>
      <c r="AH55" t="str">
        <f ca="1">IF(AND(((COLUMN()-10)&lt;=playercnt),((ROW()-41)&lt;=playercnt)),SUMPRODUCT(INDIRECT(ADDRESS(3,ROW()-31,1)):INDIRECT(ADDRESS(22,ROW()-31,1)),AH$3:AH$22),"")</f>
        <v/>
      </c>
      <c r="AI55" t="str">
        <f ca="1">IF(AND(((COLUMN()-10)&lt;=playercnt),((ROW()-41)&lt;=playercnt)),SUMPRODUCT(INDIRECT(ADDRESS(3,ROW()-31,1)):INDIRECT(ADDRESS(22,ROW()-31,1)),AI$3:AI$22),"")</f>
        <v/>
      </c>
      <c r="AJ55" t="str">
        <f ca="1">IF(AND(((COLUMN()-10)&lt;=playercnt),((ROW()-41)&lt;=playercnt)),SUMPRODUCT(INDIRECT(ADDRESS(3,ROW()-31,1)):INDIRECT(ADDRESS(22,ROW()-31,1)),AJ$3:AJ$22),"")</f>
        <v/>
      </c>
      <c r="AK55" t="str">
        <f ca="1">IF(AND(((COLUMN()-10)&lt;=playercnt),((ROW()-41)&lt;=playercnt)),SUMPRODUCT(INDIRECT(ADDRESS(3,ROW()-31,1)):INDIRECT(ADDRESS(22,ROW()-31,1)),AK$3:AK$22),"")</f>
        <v/>
      </c>
      <c r="AL55" t="str">
        <f ca="1">IF(AND(((COLUMN()-10)&lt;=playercnt),((ROW()-41)&lt;=playercnt)),SUMPRODUCT(INDIRECT(ADDRESS(3,ROW()-31,1)):INDIRECT(ADDRESS(22,ROW()-31,1)),AL$3:AL$22),"")</f>
        <v/>
      </c>
      <c r="AM55" t="str">
        <f ca="1">IF(AND(((COLUMN()-10)&lt;=playercnt),((ROW()-41)&lt;=playercnt)),SUMPRODUCT(INDIRECT(ADDRESS(3,ROW()-31,1)):INDIRECT(ADDRESS(22,ROW()-31,1)),AM$3:AM$22),"")</f>
        <v/>
      </c>
      <c r="AN55" t="str">
        <f ca="1">IF(AND(((COLUMN()-10)&lt;=playercnt),((ROW()-41)&lt;=playercnt)),SUMPRODUCT(INDIRECT(ADDRESS(3,ROW()-31,1)):INDIRECT(ADDRESS(22,ROW()-31,1)),AN$3:AN$22),"")</f>
        <v/>
      </c>
      <c r="AO55" t="str">
        <f ca="1">IF(AND(((COLUMN()-10)&lt;=playercnt),((ROW()-41)&lt;=playercnt)),SUMPRODUCT(INDIRECT(ADDRESS(3,ROW()-31,1)):INDIRECT(ADDRESS(22,ROW()-31,1)),AO$3:AO$22),"")</f>
        <v/>
      </c>
      <c r="AP55" t="str">
        <f ca="1">IF(AND(((COLUMN()-10)&lt;=playercnt),((ROW()-41)&lt;=playercnt)),SUMPRODUCT(INDIRECT(ADDRESS(3,ROW()-31,1)):INDIRECT(ADDRESS(22,ROW()-31,1)),AP$3:AP$22),"")</f>
        <v/>
      </c>
      <c r="AQ55" t="str">
        <f ca="1">IF(AND(((COLUMN()-10)&lt;=playercnt),((ROW()-41)&lt;=playercnt)),SUMPRODUCT(INDIRECT(ADDRESS(3,ROW()-31,1)):INDIRECT(ADDRESS(22,ROW()-31,1)),AQ$3:AQ$22),"")</f>
        <v/>
      </c>
      <c r="AR55" t="str">
        <f ca="1">IF(AND(((COLUMN()-10)&lt;=playercnt),((ROW()-41)&lt;=playercnt)),SUMPRODUCT(INDIRECT(ADDRESS(3,ROW()-31,1)):INDIRECT(ADDRESS(22,ROW()-31,1)),AR$3:AR$22),"")</f>
        <v/>
      </c>
      <c r="AS55" t="str">
        <f ca="1">IF(AND(((COLUMN()-10)&lt;=playercnt),((ROW()-41)&lt;=playercnt)),SUMPRODUCT(INDIRECT(ADDRESS(3,ROW()-31,1)):INDIRECT(ADDRESS(22,ROW()-31,1)),AS$3:AS$22),"")</f>
        <v/>
      </c>
      <c r="AT55" t="str">
        <f ca="1">IF(AND(((COLUMN()-10)&lt;=playercnt),((ROW()-41)&lt;=playercnt)),SUMPRODUCT(INDIRECT(ADDRESS(3,ROW()-31,1)):INDIRECT(ADDRESS(22,ROW()-31,1)),AT$3:AT$22),"")</f>
        <v/>
      </c>
      <c r="AU55" t="str">
        <f ca="1">IF(AND(((COLUMN()-10)&lt;=playercnt),((ROW()-41)&lt;=playercnt)),SUMPRODUCT(INDIRECT(ADDRESS(3,ROW()-31,1)):INDIRECT(ADDRESS(22,ROW()-31,1)),AU$3:AU$22),"")</f>
        <v/>
      </c>
      <c r="AV55" t="str">
        <f ca="1">IF(AND(((COLUMN()-10)&lt;=playercnt),((ROW()-41)&lt;=playercnt)),SUMPRODUCT(INDIRECT(ADDRESS(3,ROW()-31,1)):INDIRECT(ADDRESS(22,ROW()-31,1)),AV$3:AV$22),"")</f>
        <v/>
      </c>
      <c r="AW55" t="str">
        <f ca="1">IF(AND(((COLUMN()-10)&lt;=playercnt),((ROW()-41)&lt;=playercnt)),SUMPRODUCT(INDIRECT(ADDRESS(3,ROW()-31,1)):INDIRECT(ADDRESS(22,ROW()-31,1)),AW$3:AW$22),"")</f>
        <v/>
      </c>
      <c r="AX55" t="str">
        <f ca="1">IF(AND(((COLUMN()-10)&lt;=playercnt),((ROW()-41)&lt;=playercnt)),SUMPRODUCT(INDIRECT(ADDRESS(3,ROW()-31,1)):INDIRECT(ADDRESS(22,ROW()-31,1)),AX$3:AX$22),"")</f>
        <v/>
      </c>
      <c r="AY55" t="str">
        <f ca="1">IF(AND(((COLUMN()-10)&lt;=playercnt),((ROW()-41)&lt;=playercnt)),SUMPRODUCT(INDIRECT(ADDRESS(3,ROW()-31,1)):INDIRECT(ADDRESS(22,ROW()-31,1)),AY$3:AY$22),"")</f>
        <v/>
      </c>
      <c r="AZ55" t="str">
        <f ca="1">IF(AND(((COLUMN()-10)&lt;=playercnt),((ROW()-41)&lt;=playercnt)),SUMPRODUCT(INDIRECT(ADDRESS(3,ROW()-31,1)):INDIRECT(ADDRESS(22,ROW()-31,1)),AZ$3:AZ$22),"")</f>
        <v/>
      </c>
      <c r="BA55" t="str">
        <f ca="1">IF(AND(((COLUMN()-10)&lt;=playercnt),((ROW()-41)&lt;=playercnt)),SUMPRODUCT(INDIRECT(ADDRESS(3,ROW()-31,1)):INDIRECT(ADDRESS(22,ROW()-31,1)),BA$3:BA$22),"")</f>
        <v/>
      </c>
      <c r="BB55" t="str">
        <f ca="1">IF(AND(((COLUMN()-10)&lt;=playercnt),((ROW()-41)&lt;=playercnt)),SUMPRODUCT(INDIRECT(ADDRESS(3,ROW()-31,1)):INDIRECT(ADDRESS(22,ROW()-31,1)),BB$3:BB$22),"")</f>
        <v/>
      </c>
      <c r="BC55" t="str">
        <f ca="1">IF(AND(((COLUMN()-10)&lt;=playercnt),((ROW()-41)&lt;=playercnt)),SUMPRODUCT(INDIRECT(ADDRESS(3,ROW()-31,1)):INDIRECT(ADDRESS(22,ROW()-31,1)),BC$3:BC$22),"")</f>
        <v/>
      </c>
      <c r="BD55" t="str">
        <f ca="1">IF(AND(((COLUMN()-10)&lt;=playercnt),((ROW()-41)&lt;=playercnt)),SUMPRODUCT(INDIRECT(ADDRESS(3,ROW()-31,1)):INDIRECT(ADDRESS(22,ROW()-31,1)),BD$3:BD$22),"")</f>
        <v/>
      </c>
      <c r="BE55" t="str">
        <f ca="1">IF(AND(((COLUMN()-10)&lt;=playercnt),((ROW()-41)&lt;=playercnt)),SUMPRODUCT(INDIRECT(ADDRESS(3,ROW()-31,1)):INDIRECT(ADDRESS(22,ROW()-31,1)),BE$3:BE$22),"")</f>
        <v/>
      </c>
      <c r="BF55" t="str">
        <f ca="1">IF(AND(((COLUMN()-10)&lt;=playercnt),((ROW()-41)&lt;=playercnt)),SUMPRODUCT(INDIRECT(ADDRESS(3,ROW()-31,1)):INDIRECT(ADDRESS(22,ROW()-31,1)),BF$3:BF$22),"")</f>
        <v/>
      </c>
      <c r="BG55" t="str">
        <f ca="1">IF(AND(((COLUMN()-10)&lt;=playercnt),((ROW()-41)&lt;=playercnt)),SUMPRODUCT(INDIRECT(ADDRESS(3,ROW()-31,1)):INDIRECT(ADDRESS(22,ROW()-31,1)),BG$3:BG$22),"")</f>
        <v/>
      </c>
      <c r="BH55" t="str">
        <f ca="1">IF(AND(((COLUMN()-10)&lt;=playercnt),((ROW()-41)&lt;=playercnt)),SUMPRODUCT(INDIRECT(ADDRESS(3,ROW()-31,1)):INDIRECT(ADDRESS(22,ROW()-31,1)),BH$3:BH$22),"")</f>
        <v/>
      </c>
      <c r="BI55" t="str">
        <f ca="1">IF(AND(((COLUMN()-10)&lt;=playercnt),((ROW()-41)&lt;=playercnt)),SUMPRODUCT(INDIRECT(ADDRESS(3,ROW()-31,1)):INDIRECT(ADDRESS(22,ROW()-31,1)),BI$3:BI$22),"")</f>
        <v/>
      </c>
      <c r="BJ55" t="str">
        <f ca="1">IF(AND(((COLUMN()-10)&lt;=playercnt),((ROW()-41)&lt;=playercnt)),SUMPRODUCT(INDIRECT(ADDRESS(3,ROW()-31,1)):INDIRECT(ADDRESS(22,ROW()-31,1)),BJ$3:BJ$22),"")</f>
        <v/>
      </c>
      <c r="BK55" t="str">
        <f ca="1">IF(AND(((COLUMN()-10)&lt;=playercnt),((ROW()-41)&lt;=playercnt)),SUMPRODUCT(INDIRECT(ADDRESS(3,ROW()-31,1)):INDIRECT(ADDRESS(22,ROW()-31,1)),BK$3:BK$22),"")</f>
        <v/>
      </c>
      <c r="BL55" t="str">
        <f ca="1">IF(AND(((COLUMN()-10)&lt;=playercnt),((ROW()-41)&lt;=playercnt)),SUMPRODUCT(INDIRECT(ADDRESS(3,ROW()-31,1)):INDIRECT(ADDRESS(22,ROW()-31,1)),BL$3:BL$22),"")</f>
        <v/>
      </c>
      <c r="BM55" t="str">
        <f ca="1">IF(AND(((COLUMN()-10)&lt;=playercnt),((ROW()-41)&lt;=playercnt)),SUMPRODUCT(INDIRECT(ADDRESS(3,ROW()-31,1)):INDIRECT(ADDRESS(22,ROW()-31,1)),BM$3:BM$22),"")</f>
        <v/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 t="str">
        <f ca="1">IF(AND(((COLUMN()-10)&lt;=playercnt),((ROW()-41)&lt;=playercnt)),SUMPRODUCT(INDIRECT(ADDRESS(3,ROW()-31,1)):INDIRECT(ADDRESS(22,ROW()-31,1)),AC$3:AC$22),"")</f>
        <v/>
      </c>
      <c r="AD56" t="str">
        <f ca="1">IF(AND(((COLUMN()-10)&lt;=playercnt),((ROW()-41)&lt;=playercnt)),SUMPRODUCT(INDIRECT(ADDRESS(3,ROW()-31,1)):INDIRECT(ADDRESS(22,ROW()-31,1)),AD$3:AD$22),"")</f>
        <v/>
      </c>
      <c r="AE56" t="str">
        <f ca="1">IF(AND(((COLUMN()-10)&lt;=playercnt),((ROW()-41)&lt;=playercnt)),SUMPRODUCT(INDIRECT(ADDRESS(3,ROW()-31,1)):INDIRECT(ADDRESS(22,ROW()-31,1)),AE$3:AE$22),"")</f>
        <v/>
      </c>
      <c r="AF56" t="str">
        <f ca="1">IF(AND(((COLUMN()-10)&lt;=playercnt),((ROW()-41)&lt;=playercnt)),SUMPRODUCT(INDIRECT(ADDRESS(3,ROW()-31,1)):INDIRECT(ADDRESS(22,ROW()-31,1)),AF$3:AF$22),"")</f>
        <v/>
      </c>
      <c r="AG56" t="str">
        <f ca="1">IF(AND(((COLUMN()-10)&lt;=playercnt),((ROW()-41)&lt;=playercnt)),SUMPRODUCT(INDIRECT(ADDRESS(3,ROW()-31,1)):INDIRECT(ADDRESS(22,ROW()-31,1)),AG$3:AG$22),"")</f>
        <v/>
      </c>
      <c r="AH56" t="str">
        <f ca="1">IF(AND(((COLUMN()-10)&lt;=playercnt),((ROW()-41)&lt;=playercnt)),SUMPRODUCT(INDIRECT(ADDRESS(3,ROW()-31,1)):INDIRECT(ADDRESS(22,ROW()-31,1)),AH$3:AH$22),"")</f>
        <v/>
      </c>
      <c r="AI56" t="str">
        <f ca="1">IF(AND(((COLUMN()-10)&lt;=playercnt),((ROW()-41)&lt;=playercnt)),SUMPRODUCT(INDIRECT(ADDRESS(3,ROW()-31,1)):INDIRECT(ADDRESS(22,ROW()-31,1)),AI$3:AI$22),"")</f>
        <v/>
      </c>
      <c r="AJ56" t="str">
        <f ca="1">IF(AND(((COLUMN()-10)&lt;=playercnt),((ROW()-41)&lt;=playercnt)),SUMPRODUCT(INDIRECT(ADDRESS(3,ROW()-31,1)):INDIRECT(ADDRESS(22,ROW()-31,1)),AJ$3:AJ$22),"")</f>
        <v/>
      </c>
      <c r="AK56" t="str">
        <f ca="1">IF(AND(((COLUMN()-10)&lt;=playercnt),((ROW()-41)&lt;=playercnt)),SUMPRODUCT(INDIRECT(ADDRESS(3,ROW()-31,1)):INDIRECT(ADDRESS(22,ROW()-31,1)),AK$3:AK$22),"")</f>
        <v/>
      </c>
      <c r="AL56" t="str">
        <f ca="1">IF(AND(((COLUMN()-10)&lt;=playercnt),((ROW()-41)&lt;=playercnt)),SUMPRODUCT(INDIRECT(ADDRESS(3,ROW()-31,1)):INDIRECT(ADDRESS(22,ROW()-31,1)),AL$3:AL$22),"")</f>
        <v/>
      </c>
      <c r="AM56" t="str">
        <f ca="1">IF(AND(((COLUMN()-10)&lt;=playercnt),((ROW()-41)&lt;=playercnt)),SUMPRODUCT(INDIRECT(ADDRESS(3,ROW()-31,1)):INDIRECT(ADDRESS(22,ROW()-31,1)),AM$3:AM$22),"")</f>
        <v/>
      </c>
      <c r="AN56" t="str">
        <f ca="1">IF(AND(((COLUMN()-10)&lt;=playercnt),((ROW()-41)&lt;=playercnt)),SUMPRODUCT(INDIRECT(ADDRESS(3,ROW()-31,1)):INDIRECT(ADDRESS(22,ROW()-31,1)),AN$3:AN$22),"")</f>
        <v/>
      </c>
      <c r="AO56" t="str">
        <f ca="1">IF(AND(((COLUMN()-10)&lt;=playercnt),((ROW()-41)&lt;=playercnt)),SUMPRODUCT(INDIRECT(ADDRESS(3,ROW()-31,1)):INDIRECT(ADDRESS(22,ROW()-31,1)),AO$3:AO$22),"")</f>
        <v/>
      </c>
      <c r="AP56" t="str">
        <f ca="1">IF(AND(((COLUMN()-10)&lt;=playercnt),((ROW()-41)&lt;=playercnt)),SUMPRODUCT(INDIRECT(ADDRESS(3,ROW()-31,1)):INDIRECT(ADDRESS(22,ROW()-31,1)),AP$3:AP$22),"")</f>
        <v/>
      </c>
      <c r="AQ56" t="str">
        <f ca="1">IF(AND(((COLUMN()-10)&lt;=playercnt),((ROW()-41)&lt;=playercnt)),SUMPRODUCT(INDIRECT(ADDRESS(3,ROW()-31,1)):INDIRECT(ADDRESS(22,ROW()-31,1)),AQ$3:AQ$22),"")</f>
        <v/>
      </c>
      <c r="AR56" t="str">
        <f ca="1">IF(AND(((COLUMN()-10)&lt;=playercnt),((ROW()-41)&lt;=playercnt)),SUMPRODUCT(INDIRECT(ADDRESS(3,ROW()-31,1)):INDIRECT(ADDRESS(22,ROW()-31,1)),AR$3:AR$22),"")</f>
        <v/>
      </c>
      <c r="AS56" t="str">
        <f ca="1">IF(AND(((COLUMN()-10)&lt;=playercnt),((ROW()-41)&lt;=playercnt)),SUMPRODUCT(INDIRECT(ADDRESS(3,ROW()-31,1)):INDIRECT(ADDRESS(22,ROW()-31,1)),AS$3:AS$22),"")</f>
        <v/>
      </c>
      <c r="AT56" t="str">
        <f ca="1">IF(AND(((COLUMN()-10)&lt;=playercnt),((ROW()-41)&lt;=playercnt)),SUMPRODUCT(INDIRECT(ADDRESS(3,ROW()-31,1)):INDIRECT(ADDRESS(22,ROW()-31,1)),AT$3:AT$22),"")</f>
        <v/>
      </c>
      <c r="AU56" t="str">
        <f ca="1">IF(AND(((COLUMN()-10)&lt;=playercnt),((ROW()-41)&lt;=playercnt)),SUMPRODUCT(INDIRECT(ADDRESS(3,ROW()-31,1)):INDIRECT(ADDRESS(22,ROW()-31,1)),AU$3:AU$22),"")</f>
        <v/>
      </c>
      <c r="AV56" t="str">
        <f ca="1">IF(AND(((COLUMN()-10)&lt;=playercnt),((ROW()-41)&lt;=playercnt)),SUMPRODUCT(INDIRECT(ADDRESS(3,ROW()-31,1)):INDIRECT(ADDRESS(22,ROW()-31,1)),AV$3:AV$22),"")</f>
        <v/>
      </c>
      <c r="AW56" t="str">
        <f ca="1">IF(AND(((COLUMN()-10)&lt;=playercnt),((ROW()-41)&lt;=playercnt)),SUMPRODUCT(INDIRECT(ADDRESS(3,ROW()-31,1)):INDIRECT(ADDRESS(22,ROW()-31,1)),AW$3:AW$22),"")</f>
        <v/>
      </c>
      <c r="AX56" t="str">
        <f ca="1">IF(AND(((COLUMN()-10)&lt;=playercnt),((ROW()-41)&lt;=playercnt)),SUMPRODUCT(INDIRECT(ADDRESS(3,ROW()-31,1)):INDIRECT(ADDRESS(22,ROW()-31,1)),AX$3:AX$22),"")</f>
        <v/>
      </c>
      <c r="AY56" t="str">
        <f ca="1">IF(AND(((COLUMN()-10)&lt;=playercnt),((ROW()-41)&lt;=playercnt)),SUMPRODUCT(INDIRECT(ADDRESS(3,ROW()-31,1)):INDIRECT(ADDRESS(22,ROW()-31,1)),AY$3:AY$22),"")</f>
        <v/>
      </c>
      <c r="AZ56" t="str">
        <f ca="1">IF(AND(((COLUMN()-10)&lt;=playercnt),((ROW()-41)&lt;=playercnt)),SUMPRODUCT(INDIRECT(ADDRESS(3,ROW()-31,1)):INDIRECT(ADDRESS(22,ROW()-31,1)),AZ$3:AZ$22),"")</f>
        <v/>
      </c>
      <c r="BA56" t="str">
        <f ca="1">IF(AND(((COLUMN()-10)&lt;=playercnt),((ROW()-41)&lt;=playercnt)),SUMPRODUCT(INDIRECT(ADDRESS(3,ROW()-31,1)):INDIRECT(ADDRESS(22,ROW()-31,1)),BA$3:BA$22),"")</f>
        <v/>
      </c>
      <c r="BB56" t="str">
        <f ca="1">IF(AND(((COLUMN()-10)&lt;=playercnt),((ROW()-41)&lt;=playercnt)),SUMPRODUCT(INDIRECT(ADDRESS(3,ROW()-31,1)):INDIRECT(ADDRESS(22,ROW()-31,1)),BB$3:BB$22),"")</f>
        <v/>
      </c>
      <c r="BC56" t="str">
        <f ca="1">IF(AND(((COLUMN()-10)&lt;=playercnt),((ROW()-41)&lt;=playercnt)),SUMPRODUCT(INDIRECT(ADDRESS(3,ROW()-31,1)):INDIRECT(ADDRESS(22,ROW()-31,1)),BC$3:BC$22),"")</f>
        <v/>
      </c>
      <c r="BD56" t="str">
        <f ca="1">IF(AND(((COLUMN()-10)&lt;=playercnt),((ROW()-41)&lt;=playercnt)),SUMPRODUCT(INDIRECT(ADDRESS(3,ROW()-31,1)):INDIRECT(ADDRESS(22,ROW()-31,1)),BD$3:BD$22),"")</f>
        <v/>
      </c>
      <c r="BE56" t="str">
        <f ca="1">IF(AND(((COLUMN()-10)&lt;=playercnt),((ROW()-41)&lt;=playercnt)),SUMPRODUCT(INDIRECT(ADDRESS(3,ROW()-31,1)):INDIRECT(ADDRESS(22,ROW()-31,1)),BE$3:BE$22),"")</f>
        <v/>
      </c>
      <c r="BF56" t="str">
        <f ca="1">IF(AND(((COLUMN()-10)&lt;=playercnt),((ROW()-41)&lt;=playercnt)),SUMPRODUCT(INDIRECT(ADDRESS(3,ROW()-31,1)):INDIRECT(ADDRESS(22,ROW()-31,1)),BF$3:BF$22),"")</f>
        <v/>
      </c>
      <c r="BG56" t="str">
        <f ca="1">IF(AND(((COLUMN()-10)&lt;=playercnt),((ROW()-41)&lt;=playercnt)),SUMPRODUCT(INDIRECT(ADDRESS(3,ROW()-31,1)):INDIRECT(ADDRESS(22,ROW()-31,1)),BG$3:BG$22),"")</f>
        <v/>
      </c>
      <c r="BH56" t="str">
        <f ca="1">IF(AND(((COLUMN()-10)&lt;=playercnt),((ROW()-41)&lt;=playercnt)),SUMPRODUCT(INDIRECT(ADDRESS(3,ROW()-31,1)):INDIRECT(ADDRESS(22,ROW()-31,1)),BH$3:BH$22),"")</f>
        <v/>
      </c>
      <c r="BI56" t="str">
        <f ca="1">IF(AND(((COLUMN()-10)&lt;=playercnt),((ROW()-41)&lt;=playercnt)),SUMPRODUCT(INDIRECT(ADDRESS(3,ROW()-31,1)):INDIRECT(ADDRESS(22,ROW()-31,1)),BI$3:BI$22),"")</f>
        <v/>
      </c>
      <c r="BJ56" t="str">
        <f ca="1">IF(AND(((COLUMN()-10)&lt;=playercnt),((ROW()-41)&lt;=playercnt)),SUMPRODUCT(INDIRECT(ADDRESS(3,ROW()-31,1)):INDIRECT(ADDRESS(22,ROW()-31,1)),BJ$3:BJ$22),"")</f>
        <v/>
      </c>
      <c r="BK56" t="str">
        <f ca="1">IF(AND(((COLUMN()-10)&lt;=playercnt),((ROW()-41)&lt;=playercnt)),SUMPRODUCT(INDIRECT(ADDRESS(3,ROW()-31,1)):INDIRECT(ADDRESS(22,ROW()-31,1)),BK$3:BK$22),"")</f>
        <v/>
      </c>
      <c r="BL56" t="str">
        <f ca="1">IF(AND(((COLUMN()-10)&lt;=playercnt),((ROW()-41)&lt;=playercnt)),SUMPRODUCT(INDIRECT(ADDRESS(3,ROW()-31,1)):INDIRECT(ADDRESS(22,ROW()-31,1)),BL$3:BL$22),"")</f>
        <v/>
      </c>
      <c r="BM56" t="str">
        <f ca="1">IF(AND(((COLUMN()-10)&lt;=playercnt),((ROW()-41)&lt;=playercnt)),SUMPRODUCT(INDIRECT(ADDRESS(3,ROW()-31,1)):INDIRECT(ADDRESS(22,ROW()-31,1)),BM$3:BM$22),"")</f>
        <v/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 t="str">
        <f ca="1">IF(AND(((COLUMN()-10)&lt;=playercnt),((ROW()-41)&lt;=playercnt)),SUMPRODUCT(INDIRECT(ADDRESS(3,ROW()-31,1)):INDIRECT(ADDRESS(22,ROW()-31,1)),AC$3:AC$22),"")</f>
        <v/>
      </c>
      <c r="AD57" t="str">
        <f ca="1">IF(AND(((COLUMN()-10)&lt;=playercnt),((ROW()-41)&lt;=playercnt)),SUMPRODUCT(INDIRECT(ADDRESS(3,ROW()-31,1)):INDIRECT(ADDRESS(22,ROW()-31,1)),AD$3:AD$22),"")</f>
        <v/>
      </c>
      <c r="AE57" t="str">
        <f ca="1">IF(AND(((COLUMN()-10)&lt;=playercnt),((ROW()-41)&lt;=playercnt)),SUMPRODUCT(INDIRECT(ADDRESS(3,ROW()-31,1)):INDIRECT(ADDRESS(22,ROW()-31,1)),AE$3:AE$22),"")</f>
        <v/>
      </c>
      <c r="AF57" t="str">
        <f ca="1">IF(AND(((COLUMN()-10)&lt;=playercnt),((ROW()-41)&lt;=playercnt)),SUMPRODUCT(INDIRECT(ADDRESS(3,ROW()-31,1)):INDIRECT(ADDRESS(22,ROW()-31,1)),AF$3:AF$22),"")</f>
        <v/>
      </c>
      <c r="AG57" t="str">
        <f ca="1">IF(AND(((COLUMN()-10)&lt;=playercnt),((ROW()-41)&lt;=playercnt)),SUMPRODUCT(INDIRECT(ADDRESS(3,ROW()-31,1)):INDIRECT(ADDRESS(22,ROW()-31,1)),AG$3:AG$22),"")</f>
        <v/>
      </c>
      <c r="AH57" t="str">
        <f ca="1">IF(AND(((COLUMN()-10)&lt;=playercnt),((ROW()-41)&lt;=playercnt)),SUMPRODUCT(INDIRECT(ADDRESS(3,ROW()-31,1)):INDIRECT(ADDRESS(22,ROW()-31,1)),AH$3:AH$22),"")</f>
        <v/>
      </c>
      <c r="AI57" t="str">
        <f ca="1">IF(AND(((COLUMN()-10)&lt;=playercnt),((ROW()-41)&lt;=playercnt)),SUMPRODUCT(INDIRECT(ADDRESS(3,ROW()-31,1)):INDIRECT(ADDRESS(22,ROW()-31,1)),AI$3:AI$22),"")</f>
        <v/>
      </c>
      <c r="AJ57" t="str">
        <f ca="1">IF(AND(((COLUMN()-10)&lt;=playercnt),((ROW()-41)&lt;=playercnt)),SUMPRODUCT(INDIRECT(ADDRESS(3,ROW()-31,1)):INDIRECT(ADDRESS(22,ROW()-31,1)),AJ$3:AJ$22),"")</f>
        <v/>
      </c>
      <c r="AK57" t="str">
        <f ca="1">IF(AND(((COLUMN()-10)&lt;=playercnt),((ROW()-41)&lt;=playercnt)),SUMPRODUCT(INDIRECT(ADDRESS(3,ROW()-31,1)):INDIRECT(ADDRESS(22,ROW()-31,1)),AK$3:AK$22),"")</f>
        <v/>
      </c>
      <c r="AL57" t="str">
        <f ca="1">IF(AND(((COLUMN()-10)&lt;=playercnt),((ROW()-41)&lt;=playercnt)),SUMPRODUCT(INDIRECT(ADDRESS(3,ROW()-31,1)):INDIRECT(ADDRESS(22,ROW()-31,1)),AL$3:AL$22),"")</f>
        <v/>
      </c>
      <c r="AM57" t="str">
        <f ca="1">IF(AND(((COLUMN()-10)&lt;=playercnt),((ROW()-41)&lt;=playercnt)),SUMPRODUCT(INDIRECT(ADDRESS(3,ROW()-31,1)):INDIRECT(ADDRESS(22,ROW()-31,1)),AM$3:AM$22),"")</f>
        <v/>
      </c>
      <c r="AN57" t="str">
        <f ca="1">IF(AND(((COLUMN()-10)&lt;=playercnt),((ROW()-41)&lt;=playercnt)),SUMPRODUCT(INDIRECT(ADDRESS(3,ROW()-31,1)):INDIRECT(ADDRESS(22,ROW()-31,1)),AN$3:AN$22),"")</f>
        <v/>
      </c>
      <c r="AO57" t="str">
        <f ca="1">IF(AND(((COLUMN()-10)&lt;=playercnt),((ROW()-41)&lt;=playercnt)),SUMPRODUCT(INDIRECT(ADDRESS(3,ROW()-31,1)):INDIRECT(ADDRESS(22,ROW()-31,1)),AO$3:AO$22),"")</f>
        <v/>
      </c>
      <c r="AP57" t="str">
        <f ca="1">IF(AND(((COLUMN()-10)&lt;=playercnt),((ROW()-41)&lt;=playercnt)),SUMPRODUCT(INDIRECT(ADDRESS(3,ROW()-31,1)):INDIRECT(ADDRESS(22,ROW()-31,1)),AP$3:AP$22),"")</f>
        <v/>
      </c>
      <c r="AQ57" t="str">
        <f ca="1">IF(AND(((COLUMN()-10)&lt;=playercnt),((ROW()-41)&lt;=playercnt)),SUMPRODUCT(INDIRECT(ADDRESS(3,ROW()-31,1)):INDIRECT(ADDRESS(22,ROW()-31,1)),AQ$3:AQ$22),"")</f>
        <v/>
      </c>
      <c r="AR57" t="str">
        <f ca="1">IF(AND(((COLUMN()-10)&lt;=playercnt),((ROW()-41)&lt;=playercnt)),SUMPRODUCT(INDIRECT(ADDRESS(3,ROW()-31,1)):INDIRECT(ADDRESS(22,ROW()-31,1)),AR$3:AR$22),"")</f>
        <v/>
      </c>
      <c r="AS57" t="str">
        <f ca="1">IF(AND(((COLUMN()-10)&lt;=playercnt),((ROW()-41)&lt;=playercnt)),SUMPRODUCT(INDIRECT(ADDRESS(3,ROW()-31,1)):INDIRECT(ADDRESS(22,ROW()-31,1)),AS$3:AS$22),"")</f>
        <v/>
      </c>
      <c r="AT57" t="str">
        <f ca="1">IF(AND(((COLUMN()-10)&lt;=playercnt),((ROW()-41)&lt;=playercnt)),SUMPRODUCT(INDIRECT(ADDRESS(3,ROW()-31,1)):INDIRECT(ADDRESS(22,ROW()-31,1)),AT$3:AT$22),"")</f>
        <v/>
      </c>
      <c r="AU57" t="str">
        <f ca="1">IF(AND(((COLUMN()-10)&lt;=playercnt),((ROW()-41)&lt;=playercnt)),SUMPRODUCT(INDIRECT(ADDRESS(3,ROW()-31,1)):INDIRECT(ADDRESS(22,ROW()-31,1)),AU$3:AU$22),"")</f>
        <v/>
      </c>
      <c r="AV57" t="str">
        <f ca="1">IF(AND(((COLUMN()-10)&lt;=playercnt),((ROW()-41)&lt;=playercnt)),SUMPRODUCT(INDIRECT(ADDRESS(3,ROW()-31,1)):INDIRECT(ADDRESS(22,ROW()-31,1)),AV$3:AV$22),"")</f>
        <v/>
      </c>
      <c r="AW57" t="str">
        <f ca="1">IF(AND(((COLUMN()-10)&lt;=playercnt),((ROW()-41)&lt;=playercnt)),SUMPRODUCT(INDIRECT(ADDRESS(3,ROW()-31,1)):INDIRECT(ADDRESS(22,ROW()-31,1)),AW$3:AW$22),"")</f>
        <v/>
      </c>
      <c r="AX57" t="str">
        <f ca="1">IF(AND(((COLUMN()-10)&lt;=playercnt),((ROW()-41)&lt;=playercnt)),SUMPRODUCT(INDIRECT(ADDRESS(3,ROW()-31,1)):INDIRECT(ADDRESS(22,ROW()-31,1)),AX$3:AX$22),"")</f>
        <v/>
      </c>
      <c r="AY57" t="str">
        <f ca="1">IF(AND(((COLUMN()-10)&lt;=playercnt),((ROW()-41)&lt;=playercnt)),SUMPRODUCT(INDIRECT(ADDRESS(3,ROW()-31,1)):INDIRECT(ADDRESS(22,ROW()-31,1)),AY$3:AY$22),"")</f>
        <v/>
      </c>
      <c r="AZ57" t="str">
        <f ca="1">IF(AND(((COLUMN()-10)&lt;=playercnt),((ROW()-41)&lt;=playercnt)),SUMPRODUCT(INDIRECT(ADDRESS(3,ROW()-31,1)):INDIRECT(ADDRESS(22,ROW()-31,1)),AZ$3:AZ$22),"")</f>
        <v/>
      </c>
      <c r="BA57" t="str">
        <f ca="1">IF(AND(((COLUMN()-10)&lt;=playercnt),((ROW()-41)&lt;=playercnt)),SUMPRODUCT(INDIRECT(ADDRESS(3,ROW()-31,1)):INDIRECT(ADDRESS(22,ROW()-31,1)),BA$3:BA$22),"")</f>
        <v/>
      </c>
      <c r="BB57" t="str">
        <f ca="1">IF(AND(((COLUMN()-10)&lt;=playercnt),((ROW()-41)&lt;=playercnt)),SUMPRODUCT(INDIRECT(ADDRESS(3,ROW()-31,1)):INDIRECT(ADDRESS(22,ROW()-31,1)),BB$3:BB$22),"")</f>
        <v/>
      </c>
      <c r="BC57" t="str">
        <f ca="1">IF(AND(((COLUMN()-10)&lt;=playercnt),((ROW()-41)&lt;=playercnt)),SUMPRODUCT(INDIRECT(ADDRESS(3,ROW()-31,1)):INDIRECT(ADDRESS(22,ROW()-31,1)),BC$3:BC$22),"")</f>
        <v/>
      </c>
      <c r="BD57" t="str">
        <f ca="1">IF(AND(((COLUMN()-10)&lt;=playercnt),((ROW()-41)&lt;=playercnt)),SUMPRODUCT(INDIRECT(ADDRESS(3,ROW()-31,1)):INDIRECT(ADDRESS(22,ROW()-31,1)),BD$3:BD$22),"")</f>
        <v/>
      </c>
      <c r="BE57" t="str">
        <f ca="1">IF(AND(((COLUMN()-10)&lt;=playercnt),((ROW()-41)&lt;=playercnt)),SUMPRODUCT(INDIRECT(ADDRESS(3,ROW()-31,1)):INDIRECT(ADDRESS(22,ROW()-31,1)),BE$3:BE$22),"")</f>
        <v/>
      </c>
      <c r="BF57" t="str">
        <f ca="1">IF(AND(((COLUMN()-10)&lt;=playercnt),((ROW()-41)&lt;=playercnt)),SUMPRODUCT(INDIRECT(ADDRESS(3,ROW()-31,1)):INDIRECT(ADDRESS(22,ROW()-31,1)),BF$3:BF$22),"")</f>
        <v/>
      </c>
      <c r="BG57" t="str">
        <f ca="1">IF(AND(((COLUMN()-10)&lt;=playercnt),((ROW()-41)&lt;=playercnt)),SUMPRODUCT(INDIRECT(ADDRESS(3,ROW()-31,1)):INDIRECT(ADDRESS(22,ROW()-31,1)),BG$3:BG$22),"")</f>
        <v/>
      </c>
      <c r="BH57" t="str">
        <f ca="1">IF(AND(((COLUMN()-10)&lt;=playercnt),((ROW()-41)&lt;=playercnt)),SUMPRODUCT(INDIRECT(ADDRESS(3,ROW()-31,1)):INDIRECT(ADDRESS(22,ROW()-31,1)),BH$3:BH$22),"")</f>
        <v/>
      </c>
      <c r="BI57" t="str">
        <f ca="1">IF(AND(((COLUMN()-10)&lt;=playercnt),((ROW()-41)&lt;=playercnt)),SUMPRODUCT(INDIRECT(ADDRESS(3,ROW()-31,1)):INDIRECT(ADDRESS(22,ROW()-31,1)),BI$3:BI$22),"")</f>
        <v/>
      </c>
      <c r="BJ57" t="str">
        <f ca="1">IF(AND(((COLUMN()-10)&lt;=playercnt),((ROW()-41)&lt;=playercnt)),SUMPRODUCT(INDIRECT(ADDRESS(3,ROW()-31,1)):INDIRECT(ADDRESS(22,ROW()-31,1)),BJ$3:BJ$22),"")</f>
        <v/>
      </c>
      <c r="BK57" t="str">
        <f ca="1">IF(AND(((COLUMN()-10)&lt;=playercnt),((ROW()-41)&lt;=playercnt)),SUMPRODUCT(INDIRECT(ADDRESS(3,ROW()-31,1)):INDIRECT(ADDRESS(22,ROW()-31,1)),BK$3:BK$22),"")</f>
        <v/>
      </c>
      <c r="BL57" t="str">
        <f ca="1">IF(AND(((COLUMN()-10)&lt;=playercnt),((ROW()-41)&lt;=playercnt)),SUMPRODUCT(INDIRECT(ADDRESS(3,ROW()-31,1)):INDIRECT(ADDRESS(22,ROW()-31,1)),BL$3:BL$22),"")</f>
        <v/>
      </c>
      <c r="BM57" t="str">
        <f ca="1">IF(AND(((COLUMN()-10)&lt;=playercnt),((ROW()-41)&lt;=playercnt)),SUMPRODUCT(INDIRECT(ADDRESS(3,ROW()-31,1)):INDIRECT(ADDRESS(22,ROW()-31,1)),BM$3:BM$22),"")</f>
        <v/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 t="str">
        <f ca="1">IF(AND(((COLUMN()-10)&lt;=playercnt),((ROW()-41)&lt;=playercnt)),SUMPRODUCT(INDIRECT(ADDRESS(3,ROW()-31,1)):INDIRECT(ADDRESS(22,ROW()-31,1)),AC$3:AC$22),"")</f>
        <v/>
      </c>
      <c r="AD58" t="str">
        <f ca="1">IF(AND(((COLUMN()-10)&lt;=playercnt),((ROW()-41)&lt;=playercnt)),SUMPRODUCT(INDIRECT(ADDRESS(3,ROW()-31,1)):INDIRECT(ADDRESS(22,ROW()-31,1)),AD$3:AD$22),"")</f>
        <v/>
      </c>
      <c r="AE58" t="str">
        <f ca="1">IF(AND(((COLUMN()-10)&lt;=playercnt),((ROW()-41)&lt;=playercnt)),SUMPRODUCT(INDIRECT(ADDRESS(3,ROW()-31,1)):INDIRECT(ADDRESS(22,ROW()-31,1)),AE$3:AE$22),"")</f>
        <v/>
      </c>
      <c r="AF58" t="str">
        <f ca="1">IF(AND(((COLUMN()-10)&lt;=playercnt),((ROW()-41)&lt;=playercnt)),SUMPRODUCT(INDIRECT(ADDRESS(3,ROW()-31,1)):INDIRECT(ADDRESS(22,ROW()-31,1)),AF$3:AF$22),"")</f>
        <v/>
      </c>
      <c r="AG58" t="str">
        <f ca="1">IF(AND(((COLUMN()-10)&lt;=playercnt),((ROW()-41)&lt;=playercnt)),SUMPRODUCT(INDIRECT(ADDRESS(3,ROW()-31,1)):INDIRECT(ADDRESS(22,ROW()-31,1)),AG$3:AG$22),"")</f>
        <v/>
      </c>
      <c r="AH58" t="str">
        <f ca="1">IF(AND(((COLUMN()-10)&lt;=playercnt),((ROW()-41)&lt;=playercnt)),SUMPRODUCT(INDIRECT(ADDRESS(3,ROW()-31,1)):INDIRECT(ADDRESS(22,ROW()-31,1)),AH$3:AH$22),"")</f>
        <v/>
      </c>
      <c r="AI58" t="str">
        <f ca="1">IF(AND(((COLUMN()-10)&lt;=playercnt),((ROW()-41)&lt;=playercnt)),SUMPRODUCT(INDIRECT(ADDRESS(3,ROW()-31,1)):INDIRECT(ADDRESS(22,ROW()-31,1)),AI$3:AI$22),"")</f>
        <v/>
      </c>
      <c r="AJ58" t="str">
        <f ca="1">IF(AND(((COLUMN()-10)&lt;=playercnt),((ROW()-41)&lt;=playercnt)),SUMPRODUCT(INDIRECT(ADDRESS(3,ROW()-31,1)):INDIRECT(ADDRESS(22,ROW()-31,1)),AJ$3:AJ$22),"")</f>
        <v/>
      </c>
      <c r="AK58" t="str">
        <f ca="1">IF(AND(((COLUMN()-10)&lt;=playercnt),((ROW()-41)&lt;=playercnt)),SUMPRODUCT(INDIRECT(ADDRESS(3,ROW()-31,1)):INDIRECT(ADDRESS(22,ROW()-31,1)),AK$3:AK$22),"")</f>
        <v/>
      </c>
      <c r="AL58" t="str">
        <f ca="1">IF(AND(((COLUMN()-10)&lt;=playercnt),((ROW()-41)&lt;=playercnt)),SUMPRODUCT(INDIRECT(ADDRESS(3,ROW()-31,1)):INDIRECT(ADDRESS(22,ROW()-31,1)),AL$3:AL$22),"")</f>
        <v/>
      </c>
      <c r="AM58" t="str">
        <f ca="1">IF(AND(((COLUMN()-10)&lt;=playercnt),((ROW()-41)&lt;=playercnt)),SUMPRODUCT(INDIRECT(ADDRESS(3,ROW()-31,1)):INDIRECT(ADDRESS(22,ROW()-31,1)),AM$3:AM$22),"")</f>
        <v/>
      </c>
      <c r="AN58" t="str">
        <f ca="1">IF(AND(((COLUMN()-10)&lt;=playercnt),((ROW()-41)&lt;=playercnt)),SUMPRODUCT(INDIRECT(ADDRESS(3,ROW()-31,1)):INDIRECT(ADDRESS(22,ROW()-31,1)),AN$3:AN$22),"")</f>
        <v/>
      </c>
      <c r="AO58" t="str">
        <f ca="1">IF(AND(((COLUMN()-10)&lt;=playercnt),((ROW()-41)&lt;=playercnt)),SUMPRODUCT(INDIRECT(ADDRESS(3,ROW()-31,1)):INDIRECT(ADDRESS(22,ROW()-31,1)),AO$3:AO$22),"")</f>
        <v/>
      </c>
      <c r="AP58" t="str">
        <f ca="1">IF(AND(((COLUMN()-10)&lt;=playercnt),((ROW()-41)&lt;=playercnt)),SUMPRODUCT(INDIRECT(ADDRESS(3,ROW()-31,1)):INDIRECT(ADDRESS(22,ROW()-31,1)),AP$3:AP$22),"")</f>
        <v/>
      </c>
      <c r="AQ58" t="str">
        <f ca="1">IF(AND(((COLUMN()-10)&lt;=playercnt),((ROW()-41)&lt;=playercnt)),SUMPRODUCT(INDIRECT(ADDRESS(3,ROW()-31,1)):INDIRECT(ADDRESS(22,ROW()-31,1)),AQ$3:AQ$22),"")</f>
        <v/>
      </c>
      <c r="AR58" t="str">
        <f ca="1">IF(AND(((COLUMN()-10)&lt;=playercnt),((ROW()-41)&lt;=playercnt)),SUMPRODUCT(INDIRECT(ADDRESS(3,ROW()-31,1)):INDIRECT(ADDRESS(22,ROW()-31,1)),AR$3:AR$22),"")</f>
        <v/>
      </c>
      <c r="AS58" t="str">
        <f ca="1">IF(AND(((COLUMN()-10)&lt;=playercnt),((ROW()-41)&lt;=playercnt)),SUMPRODUCT(INDIRECT(ADDRESS(3,ROW()-31,1)):INDIRECT(ADDRESS(22,ROW()-31,1)),AS$3:AS$22),"")</f>
        <v/>
      </c>
      <c r="AT58" t="str">
        <f ca="1">IF(AND(((COLUMN()-10)&lt;=playercnt),((ROW()-41)&lt;=playercnt)),SUMPRODUCT(INDIRECT(ADDRESS(3,ROW()-31,1)):INDIRECT(ADDRESS(22,ROW()-31,1)),AT$3:AT$22),"")</f>
        <v/>
      </c>
      <c r="AU58" t="str">
        <f ca="1">IF(AND(((COLUMN()-10)&lt;=playercnt),((ROW()-41)&lt;=playercnt)),SUMPRODUCT(INDIRECT(ADDRESS(3,ROW()-31,1)):INDIRECT(ADDRESS(22,ROW()-31,1)),AU$3:AU$22),"")</f>
        <v/>
      </c>
      <c r="AV58" t="str">
        <f ca="1">IF(AND(((COLUMN()-10)&lt;=playercnt),((ROW()-41)&lt;=playercnt)),SUMPRODUCT(INDIRECT(ADDRESS(3,ROW()-31,1)):INDIRECT(ADDRESS(22,ROW()-31,1)),AV$3:AV$22),"")</f>
        <v/>
      </c>
      <c r="AW58" t="str">
        <f ca="1">IF(AND(((COLUMN()-10)&lt;=playercnt),((ROW()-41)&lt;=playercnt)),SUMPRODUCT(INDIRECT(ADDRESS(3,ROW()-31,1)):INDIRECT(ADDRESS(22,ROW()-31,1)),AW$3:AW$22),"")</f>
        <v/>
      </c>
      <c r="AX58" t="str">
        <f ca="1">IF(AND(((COLUMN()-10)&lt;=playercnt),((ROW()-41)&lt;=playercnt)),SUMPRODUCT(INDIRECT(ADDRESS(3,ROW()-31,1)):INDIRECT(ADDRESS(22,ROW()-31,1)),AX$3:AX$22),"")</f>
        <v/>
      </c>
      <c r="AY58" t="str">
        <f ca="1">IF(AND(((COLUMN()-10)&lt;=playercnt),((ROW()-41)&lt;=playercnt)),SUMPRODUCT(INDIRECT(ADDRESS(3,ROW()-31,1)):INDIRECT(ADDRESS(22,ROW()-31,1)),AY$3:AY$22),"")</f>
        <v/>
      </c>
      <c r="AZ58" t="str">
        <f ca="1">IF(AND(((COLUMN()-10)&lt;=playercnt),((ROW()-41)&lt;=playercnt)),SUMPRODUCT(INDIRECT(ADDRESS(3,ROW()-31,1)):INDIRECT(ADDRESS(22,ROW()-31,1)),AZ$3:AZ$22),"")</f>
        <v/>
      </c>
      <c r="BA58" t="str">
        <f ca="1">IF(AND(((COLUMN()-10)&lt;=playercnt),((ROW()-41)&lt;=playercnt)),SUMPRODUCT(INDIRECT(ADDRESS(3,ROW()-31,1)):INDIRECT(ADDRESS(22,ROW()-31,1)),BA$3:BA$22),"")</f>
        <v/>
      </c>
      <c r="BB58" t="str">
        <f ca="1">IF(AND(((COLUMN()-10)&lt;=playercnt),((ROW()-41)&lt;=playercnt)),SUMPRODUCT(INDIRECT(ADDRESS(3,ROW()-31,1)):INDIRECT(ADDRESS(22,ROW()-31,1)),BB$3:BB$22),"")</f>
        <v/>
      </c>
      <c r="BC58" t="str">
        <f ca="1">IF(AND(((COLUMN()-10)&lt;=playercnt),((ROW()-41)&lt;=playercnt)),SUMPRODUCT(INDIRECT(ADDRESS(3,ROW()-31,1)):INDIRECT(ADDRESS(22,ROW()-31,1)),BC$3:BC$22),"")</f>
        <v/>
      </c>
      <c r="BD58" t="str">
        <f ca="1">IF(AND(((COLUMN()-10)&lt;=playercnt),((ROW()-41)&lt;=playercnt)),SUMPRODUCT(INDIRECT(ADDRESS(3,ROW()-31,1)):INDIRECT(ADDRESS(22,ROW()-31,1)),BD$3:BD$22),"")</f>
        <v/>
      </c>
      <c r="BE58" t="str">
        <f ca="1">IF(AND(((COLUMN()-10)&lt;=playercnt),((ROW()-41)&lt;=playercnt)),SUMPRODUCT(INDIRECT(ADDRESS(3,ROW()-31,1)):INDIRECT(ADDRESS(22,ROW()-31,1)),BE$3:BE$22),"")</f>
        <v/>
      </c>
      <c r="BF58" t="str">
        <f ca="1">IF(AND(((COLUMN()-10)&lt;=playercnt),((ROW()-41)&lt;=playercnt)),SUMPRODUCT(INDIRECT(ADDRESS(3,ROW()-31,1)):INDIRECT(ADDRESS(22,ROW()-31,1)),BF$3:BF$22),"")</f>
        <v/>
      </c>
      <c r="BG58" t="str">
        <f ca="1">IF(AND(((COLUMN()-10)&lt;=playercnt),((ROW()-41)&lt;=playercnt)),SUMPRODUCT(INDIRECT(ADDRESS(3,ROW()-31,1)):INDIRECT(ADDRESS(22,ROW()-31,1)),BG$3:BG$22),"")</f>
        <v/>
      </c>
      <c r="BH58" t="str">
        <f ca="1">IF(AND(((COLUMN()-10)&lt;=playercnt),((ROW()-41)&lt;=playercnt)),SUMPRODUCT(INDIRECT(ADDRESS(3,ROW()-31,1)):INDIRECT(ADDRESS(22,ROW()-31,1)),BH$3:BH$22),"")</f>
        <v/>
      </c>
      <c r="BI58" t="str">
        <f ca="1">IF(AND(((COLUMN()-10)&lt;=playercnt),((ROW()-41)&lt;=playercnt)),SUMPRODUCT(INDIRECT(ADDRESS(3,ROW()-31,1)):INDIRECT(ADDRESS(22,ROW()-31,1)),BI$3:BI$22),"")</f>
        <v/>
      </c>
      <c r="BJ58" t="str">
        <f ca="1">IF(AND(((COLUMN()-10)&lt;=playercnt),((ROW()-41)&lt;=playercnt)),SUMPRODUCT(INDIRECT(ADDRESS(3,ROW()-31,1)):INDIRECT(ADDRESS(22,ROW()-31,1)),BJ$3:BJ$22),"")</f>
        <v/>
      </c>
      <c r="BK58" t="str">
        <f ca="1">IF(AND(((COLUMN()-10)&lt;=playercnt),((ROW()-41)&lt;=playercnt)),SUMPRODUCT(INDIRECT(ADDRESS(3,ROW()-31,1)):INDIRECT(ADDRESS(22,ROW()-31,1)),BK$3:BK$22),"")</f>
        <v/>
      </c>
      <c r="BL58" t="str">
        <f ca="1">IF(AND(((COLUMN()-10)&lt;=playercnt),((ROW()-41)&lt;=playercnt)),SUMPRODUCT(INDIRECT(ADDRESS(3,ROW()-31,1)):INDIRECT(ADDRESS(22,ROW()-31,1)),BL$3:BL$22),"")</f>
        <v/>
      </c>
      <c r="BM58" t="str">
        <f ca="1">IF(AND(((COLUMN()-10)&lt;=playercnt),((ROW()-41)&lt;=playercnt)),SUMPRODUCT(INDIRECT(ADDRESS(3,ROW()-31,1)):INDIRECT(ADDRESS(22,ROW()-31,1)),BM$3:BM$22),"")</f>
        <v/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 t="str">
        <f ca="1">IF(AND(((COLUMN()-10)&lt;=playercnt),((ROW()-41)&lt;=playercnt)),SUMPRODUCT(INDIRECT(ADDRESS(3,ROW()-31,1)):INDIRECT(ADDRESS(22,ROW()-31,1)),AC$3:AC$22),"")</f>
        <v/>
      </c>
      <c r="AD59" t="str">
        <f ca="1">IF(AND(((COLUMN()-10)&lt;=playercnt),((ROW()-41)&lt;=playercnt)),SUMPRODUCT(INDIRECT(ADDRESS(3,ROW()-31,1)):INDIRECT(ADDRESS(22,ROW()-31,1)),AD$3:AD$22),"")</f>
        <v/>
      </c>
      <c r="AE59" t="str">
        <f ca="1">IF(AND(((COLUMN()-10)&lt;=playercnt),((ROW()-41)&lt;=playercnt)),SUMPRODUCT(INDIRECT(ADDRESS(3,ROW()-31,1)):INDIRECT(ADDRESS(22,ROW()-31,1)),AE$3:AE$22),"")</f>
        <v/>
      </c>
      <c r="AF59" t="str">
        <f ca="1">IF(AND(((COLUMN()-10)&lt;=playercnt),((ROW()-41)&lt;=playercnt)),SUMPRODUCT(INDIRECT(ADDRESS(3,ROW()-31,1)):INDIRECT(ADDRESS(22,ROW()-31,1)),AF$3:AF$22),"")</f>
        <v/>
      </c>
      <c r="AG59" t="str">
        <f ca="1">IF(AND(((COLUMN()-10)&lt;=playercnt),((ROW()-41)&lt;=playercnt)),SUMPRODUCT(INDIRECT(ADDRESS(3,ROW()-31,1)):INDIRECT(ADDRESS(22,ROW()-31,1)),AG$3:AG$22),"")</f>
        <v/>
      </c>
      <c r="AH59" t="str">
        <f ca="1">IF(AND(((COLUMN()-10)&lt;=playercnt),((ROW()-41)&lt;=playercnt)),SUMPRODUCT(INDIRECT(ADDRESS(3,ROW()-31,1)):INDIRECT(ADDRESS(22,ROW()-31,1)),AH$3:AH$22),"")</f>
        <v/>
      </c>
      <c r="AI59" t="str">
        <f ca="1">IF(AND(((COLUMN()-10)&lt;=playercnt),((ROW()-41)&lt;=playercnt)),SUMPRODUCT(INDIRECT(ADDRESS(3,ROW()-31,1)):INDIRECT(ADDRESS(22,ROW()-31,1)),AI$3:AI$22),"")</f>
        <v/>
      </c>
      <c r="AJ59" t="str">
        <f ca="1">IF(AND(((COLUMN()-10)&lt;=playercnt),((ROW()-41)&lt;=playercnt)),SUMPRODUCT(INDIRECT(ADDRESS(3,ROW()-31,1)):INDIRECT(ADDRESS(22,ROW()-31,1)),AJ$3:AJ$22),"")</f>
        <v/>
      </c>
      <c r="AK59" t="str">
        <f ca="1">IF(AND(((COLUMN()-10)&lt;=playercnt),((ROW()-41)&lt;=playercnt)),SUMPRODUCT(INDIRECT(ADDRESS(3,ROW()-31,1)):INDIRECT(ADDRESS(22,ROW()-31,1)),AK$3:AK$22),"")</f>
        <v/>
      </c>
      <c r="AL59" t="str">
        <f ca="1">IF(AND(((COLUMN()-10)&lt;=playercnt),((ROW()-41)&lt;=playercnt)),SUMPRODUCT(INDIRECT(ADDRESS(3,ROW()-31,1)):INDIRECT(ADDRESS(22,ROW()-31,1)),AL$3:AL$22),"")</f>
        <v/>
      </c>
      <c r="AM59" t="str">
        <f ca="1">IF(AND(((COLUMN()-10)&lt;=playercnt),((ROW()-41)&lt;=playercnt)),SUMPRODUCT(INDIRECT(ADDRESS(3,ROW()-31,1)):INDIRECT(ADDRESS(22,ROW()-31,1)),AM$3:AM$22),"")</f>
        <v/>
      </c>
      <c r="AN59" t="str">
        <f ca="1">IF(AND(((COLUMN()-10)&lt;=playercnt),((ROW()-41)&lt;=playercnt)),SUMPRODUCT(INDIRECT(ADDRESS(3,ROW()-31,1)):INDIRECT(ADDRESS(22,ROW()-31,1)),AN$3:AN$22),"")</f>
        <v/>
      </c>
      <c r="AO59" t="str">
        <f ca="1">IF(AND(((COLUMN()-10)&lt;=playercnt),((ROW()-41)&lt;=playercnt)),SUMPRODUCT(INDIRECT(ADDRESS(3,ROW()-31,1)):INDIRECT(ADDRESS(22,ROW()-31,1)),AO$3:AO$22),"")</f>
        <v/>
      </c>
      <c r="AP59" t="str">
        <f ca="1">IF(AND(((COLUMN()-10)&lt;=playercnt),((ROW()-41)&lt;=playercnt)),SUMPRODUCT(INDIRECT(ADDRESS(3,ROW()-31,1)):INDIRECT(ADDRESS(22,ROW()-31,1)),AP$3:AP$22),"")</f>
        <v/>
      </c>
      <c r="AQ59" t="str">
        <f ca="1">IF(AND(((COLUMN()-10)&lt;=playercnt),((ROW()-41)&lt;=playercnt)),SUMPRODUCT(INDIRECT(ADDRESS(3,ROW()-31,1)):INDIRECT(ADDRESS(22,ROW()-31,1)),AQ$3:AQ$22),"")</f>
        <v/>
      </c>
      <c r="AR59" t="str">
        <f ca="1">IF(AND(((COLUMN()-10)&lt;=playercnt),((ROW()-41)&lt;=playercnt)),SUMPRODUCT(INDIRECT(ADDRESS(3,ROW()-31,1)):INDIRECT(ADDRESS(22,ROW()-31,1)),AR$3:AR$22),"")</f>
        <v/>
      </c>
      <c r="AS59" t="str">
        <f ca="1">IF(AND(((COLUMN()-10)&lt;=playercnt),((ROW()-41)&lt;=playercnt)),SUMPRODUCT(INDIRECT(ADDRESS(3,ROW()-31,1)):INDIRECT(ADDRESS(22,ROW()-31,1)),AS$3:AS$22),"")</f>
        <v/>
      </c>
      <c r="AT59" t="str">
        <f ca="1">IF(AND(((COLUMN()-10)&lt;=playercnt),((ROW()-41)&lt;=playercnt)),SUMPRODUCT(INDIRECT(ADDRESS(3,ROW()-31,1)):INDIRECT(ADDRESS(22,ROW()-31,1)),AT$3:AT$22),"")</f>
        <v/>
      </c>
      <c r="AU59" t="str">
        <f ca="1">IF(AND(((COLUMN()-10)&lt;=playercnt),((ROW()-41)&lt;=playercnt)),SUMPRODUCT(INDIRECT(ADDRESS(3,ROW()-31,1)):INDIRECT(ADDRESS(22,ROW()-31,1)),AU$3:AU$22),"")</f>
        <v/>
      </c>
      <c r="AV59" t="str">
        <f ca="1">IF(AND(((COLUMN()-10)&lt;=playercnt),((ROW()-41)&lt;=playercnt)),SUMPRODUCT(INDIRECT(ADDRESS(3,ROW()-31,1)):INDIRECT(ADDRESS(22,ROW()-31,1)),AV$3:AV$22),"")</f>
        <v/>
      </c>
      <c r="AW59" t="str">
        <f ca="1">IF(AND(((COLUMN()-10)&lt;=playercnt),((ROW()-41)&lt;=playercnt)),SUMPRODUCT(INDIRECT(ADDRESS(3,ROW()-31,1)):INDIRECT(ADDRESS(22,ROW()-31,1)),AW$3:AW$22),"")</f>
        <v/>
      </c>
      <c r="AX59" t="str">
        <f ca="1">IF(AND(((COLUMN()-10)&lt;=playercnt),((ROW()-41)&lt;=playercnt)),SUMPRODUCT(INDIRECT(ADDRESS(3,ROW()-31,1)):INDIRECT(ADDRESS(22,ROW()-31,1)),AX$3:AX$22),"")</f>
        <v/>
      </c>
      <c r="AY59" t="str">
        <f ca="1">IF(AND(((COLUMN()-10)&lt;=playercnt),((ROW()-41)&lt;=playercnt)),SUMPRODUCT(INDIRECT(ADDRESS(3,ROW()-31,1)):INDIRECT(ADDRESS(22,ROW()-31,1)),AY$3:AY$22),"")</f>
        <v/>
      </c>
      <c r="AZ59" t="str">
        <f ca="1">IF(AND(((COLUMN()-10)&lt;=playercnt),((ROW()-41)&lt;=playercnt)),SUMPRODUCT(INDIRECT(ADDRESS(3,ROW()-31,1)):INDIRECT(ADDRESS(22,ROW()-31,1)),AZ$3:AZ$22),"")</f>
        <v/>
      </c>
      <c r="BA59" t="str">
        <f ca="1">IF(AND(((COLUMN()-10)&lt;=playercnt),((ROW()-41)&lt;=playercnt)),SUMPRODUCT(INDIRECT(ADDRESS(3,ROW()-31,1)):INDIRECT(ADDRESS(22,ROW()-31,1)),BA$3:BA$22),"")</f>
        <v/>
      </c>
      <c r="BB59" t="str">
        <f ca="1">IF(AND(((COLUMN()-10)&lt;=playercnt),((ROW()-41)&lt;=playercnt)),SUMPRODUCT(INDIRECT(ADDRESS(3,ROW()-31,1)):INDIRECT(ADDRESS(22,ROW()-31,1)),BB$3:BB$22),"")</f>
        <v/>
      </c>
      <c r="BC59" t="str">
        <f ca="1">IF(AND(((COLUMN()-10)&lt;=playercnt),((ROW()-41)&lt;=playercnt)),SUMPRODUCT(INDIRECT(ADDRESS(3,ROW()-31,1)):INDIRECT(ADDRESS(22,ROW()-31,1)),BC$3:BC$22),"")</f>
        <v/>
      </c>
      <c r="BD59" t="str">
        <f ca="1">IF(AND(((COLUMN()-10)&lt;=playercnt),((ROW()-41)&lt;=playercnt)),SUMPRODUCT(INDIRECT(ADDRESS(3,ROW()-31,1)):INDIRECT(ADDRESS(22,ROW()-31,1)),BD$3:BD$22),"")</f>
        <v/>
      </c>
      <c r="BE59" t="str">
        <f ca="1">IF(AND(((COLUMN()-10)&lt;=playercnt),((ROW()-41)&lt;=playercnt)),SUMPRODUCT(INDIRECT(ADDRESS(3,ROW()-31,1)):INDIRECT(ADDRESS(22,ROW()-31,1)),BE$3:BE$22),"")</f>
        <v/>
      </c>
      <c r="BF59" t="str">
        <f ca="1">IF(AND(((COLUMN()-10)&lt;=playercnt),((ROW()-41)&lt;=playercnt)),SUMPRODUCT(INDIRECT(ADDRESS(3,ROW()-31,1)):INDIRECT(ADDRESS(22,ROW()-31,1)),BF$3:BF$22),"")</f>
        <v/>
      </c>
      <c r="BG59" t="str">
        <f ca="1">IF(AND(((COLUMN()-10)&lt;=playercnt),((ROW()-41)&lt;=playercnt)),SUMPRODUCT(INDIRECT(ADDRESS(3,ROW()-31,1)):INDIRECT(ADDRESS(22,ROW()-31,1)),BG$3:BG$22),"")</f>
        <v/>
      </c>
      <c r="BH59" t="str">
        <f ca="1">IF(AND(((COLUMN()-10)&lt;=playercnt),((ROW()-41)&lt;=playercnt)),SUMPRODUCT(INDIRECT(ADDRESS(3,ROW()-31,1)):INDIRECT(ADDRESS(22,ROW()-31,1)),BH$3:BH$22),"")</f>
        <v/>
      </c>
      <c r="BI59" t="str">
        <f ca="1">IF(AND(((COLUMN()-10)&lt;=playercnt),((ROW()-41)&lt;=playercnt)),SUMPRODUCT(INDIRECT(ADDRESS(3,ROW()-31,1)):INDIRECT(ADDRESS(22,ROW()-31,1)),BI$3:BI$22),"")</f>
        <v/>
      </c>
      <c r="BJ59" t="str">
        <f ca="1">IF(AND(((COLUMN()-10)&lt;=playercnt),((ROW()-41)&lt;=playercnt)),SUMPRODUCT(INDIRECT(ADDRESS(3,ROW()-31,1)):INDIRECT(ADDRESS(22,ROW()-31,1)),BJ$3:BJ$22),"")</f>
        <v/>
      </c>
      <c r="BK59" t="str">
        <f ca="1">IF(AND(((COLUMN()-10)&lt;=playercnt),((ROW()-41)&lt;=playercnt)),SUMPRODUCT(INDIRECT(ADDRESS(3,ROW()-31,1)):INDIRECT(ADDRESS(22,ROW()-31,1)),BK$3:BK$22),"")</f>
        <v/>
      </c>
      <c r="BL59" t="str">
        <f ca="1">IF(AND(((COLUMN()-10)&lt;=playercnt),((ROW()-41)&lt;=playercnt)),SUMPRODUCT(INDIRECT(ADDRESS(3,ROW()-31,1)):INDIRECT(ADDRESS(22,ROW()-31,1)),BL$3:BL$22),"")</f>
        <v/>
      </c>
      <c r="BM59" t="str">
        <f ca="1">IF(AND(((COLUMN()-10)&lt;=playercnt),((ROW()-41)&lt;=playercnt)),SUMPRODUCT(INDIRECT(ADDRESS(3,ROW()-31,1)):INDIRECT(ADDRESS(22,ROW()-31,1)),BM$3:BM$22),"")</f>
        <v/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>
      <c r="B60" s="27" t="str">
        <f t="shared" ca="1" si="29"/>
        <v/>
      </c>
      <c r="C60" t="str">
        <f t="shared" ca="1" si="30"/>
        <v/>
      </c>
      <c r="G60" t="str">
        <f ca="1">IF(AND(((COLUMN()-10)&lt;=playercnt),((ROW()-41)&lt;=playercnt)),SUMPRODUCT(INDIRECT(ADDRESS(3,ROW()-31,1)):INDIRECT(ADDRESS(22,ROW()-31,1)),G$3:G$22),"")</f>
        <v/>
      </c>
      <c r="H60" t="str">
        <f ca="1">IF(AND(((COLUMN()-10)&lt;=playercnt),((ROW()-41)&lt;=playercnt)),SUMPRODUCT(INDIRECT(ADDRESS(3,ROW()-31,1)):INDIRECT(ADDRESS(22,ROW()-31,1)),H$3:H$22),"")</f>
        <v/>
      </c>
      <c r="I60" t="str">
        <f ca="1">IF(AND(((COLUMN()-10)&lt;=playercnt),((ROW()-41)&lt;=playercnt)),SUMPRODUCT(INDIRECT(ADDRESS(3,ROW()-31,1)):INDIRECT(ADDRESS(22,ROW()-31,1)),I$3:I$22),"")</f>
        <v/>
      </c>
      <c r="J60" t="str">
        <f ca="1">IF(AND(((COLUMN()-10)&lt;=playercnt),((ROW()-41)&lt;=playercnt)),SUMPRODUCT(INDIRECT(ADDRESS(3,ROW()-31,1)):INDIRECT(ADDRESS(22,ROW()-31,1)),J$3:J$22),"")</f>
        <v/>
      </c>
      <c r="K60" t="str">
        <f ca="1">IF(AND(((COLUMN()-10)&lt;=playercnt),((ROW()-41)&lt;=playercnt)),SUMPRODUCT(INDIRECT(ADDRESS(3,ROW()-31,1)):INDIRECT(ADDRESS(22,ROW()-31,1)),K$3:K$22),"")</f>
        <v/>
      </c>
      <c r="L60" t="str">
        <f ca="1">IF(AND(((COLUMN()-10)&lt;=playercnt),((ROW()-41)&lt;=playercnt)),SUMPRODUCT(INDIRECT(ADDRESS(3,ROW()-31,1)):INDIRECT(ADDRESS(22,ROW()-31,1)),L$3:L$22),"")</f>
        <v/>
      </c>
      <c r="M60" t="str">
        <f ca="1">IF(AND(((COLUMN()-10)&lt;=playercnt),((ROW()-41)&lt;=playercnt)),SUMPRODUCT(INDIRECT(ADDRESS(3,ROW()-31,1)):INDIRECT(ADDRESS(22,ROW()-31,1)),M$3:M$22),"")</f>
        <v/>
      </c>
      <c r="N60" t="str">
        <f ca="1">IF(AND(((COLUMN()-10)&lt;=playercnt),((ROW()-41)&lt;=playercnt)),SUMPRODUCT(INDIRECT(ADDRESS(3,ROW()-31,1)):INDIRECT(ADDRESS(22,ROW()-31,1)),N$3:N$22),"")</f>
        <v/>
      </c>
      <c r="O60" t="str">
        <f ca="1">IF(AND(((COLUMN()-10)&lt;=playercnt),((ROW()-41)&lt;=playercnt)),SUMPRODUCT(INDIRECT(ADDRESS(3,ROW()-31,1)):INDIRECT(ADDRESS(22,ROW()-31,1)),O$3:O$22),"")</f>
        <v/>
      </c>
      <c r="P60" t="str">
        <f ca="1">IF(AND(((COLUMN()-10)&lt;=playercnt),((ROW()-41)&lt;=playercnt)),SUMPRODUCT(INDIRECT(ADDRESS(3,ROW()-31,1)):INDIRECT(ADDRESS(22,ROW()-31,1)),P$3:P$22),"")</f>
        <v/>
      </c>
      <c r="Q60" t="str">
        <f ca="1">IF(AND(((COLUMN()-10)&lt;=playercnt),((ROW()-41)&lt;=playercnt)),SUMPRODUCT(INDIRECT(ADDRESS(3,ROW()-31,1)):INDIRECT(ADDRESS(22,ROW()-31,1)),Q$3:Q$22),"")</f>
        <v/>
      </c>
      <c r="R60" t="str">
        <f ca="1">IF(AND(((COLUMN()-10)&lt;=playercnt),((ROW()-41)&lt;=playercnt)),SUMPRODUCT(INDIRECT(ADDRESS(3,ROW()-31,1)):INDIRECT(ADDRESS(22,ROW()-31,1)),R$3:R$22),"")</f>
        <v/>
      </c>
      <c r="S60" t="str">
        <f ca="1">IF(AND(((COLUMN()-10)&lt;=playercnt),((ROW()-41)&lt;=playercnt)),SUMPRODUCT(INDIRECT(ADDRESS(3,ROW()-31,1)):INDIRECT(ADDRESS(22,ROW()-31,1)),S$3:S$22),"")</f>
        <v/>
      </c>
      <c r="T60" t="str">
        <f ca="1">IF(AND(((COLUMN()-10)&lt;=playercnt),((ROW()-41)&lt;=playercnt)),SUMPRODUCT(INDIRECT(ADDRESS(3,ROW()-31,1)):INDIRECT(ADDRESS(22,ROW()-31,1)),T$3:T$22),"")</f>
        <v/>
      </c>
      <c r="U60" t="str">
        <f ca="1">IF(AND(((COLUMN()-10)&lt;=playercnt),((ROW()-41)&lt;=playercnt)),SUMPRODUCT(INDIRECT(ADDRESS(3,ROW()-31,1)):INDIRECT(ADDRESS(22,ROW()-31,1)),U$3:U$22),"")</f>
        <v/>
      </c>
      <c r="V60" t="str">
        <f ca="1">IF(AND(((COLUMN()-10)&lt;=playercnt),((ROW()-41)&lt;=playercnt)),SUMPRODUCT(INDIRECT(ADDRESS(3,ROW()-31,1)):INDIRECT(ADDRESS(22,ROW()-31,1)),V$3:V$22),"")</f>
        <v/>
      </c>
      <c r="W60" t="str">
        <f ca="1">IF(AND(((COLUMN()-10)&lt;=playercnt),((ROW()-41)&lt;=playercnt)),SUMPRODUCT(INDIRECT(ADDRESS(3,ROW()-31,1)):INDIRECT(ADDRESS(22,ROW()-31,1)),W$3:W$22),"")</f>
        <v/>
      </c>
      <c r="X60" t="str">
        <f ca="1">IF(AND(((COLUMN()-10)&lt;=playercnt),((ROW()-41)&lt;=playercnt)),SUMPRODUCT(INDIRECT(ADDRESS(3,ROW()-31,1)):INDIRECT(ADDRESS(22,ROW()-31,1)),X$3:X$22),"")</f>
        <v/>
      </c>
      <c r="Y60" t="str">
        <f ca="1">IF(AND(((COLUMN()-10)&lt;=playercnt),((ROW()-41)&lt;=playercnt)),SUMPRODUCT(INDIRECT(ADDRESS(3,ROW()-31,1)):INDIRECT(ADDRESS(22,ROW()-31,1)),Y$3:Y$22),"")</f>
        <v/>
      </c>
      <c r="Z60" t="str">
        <f ca="1">IF(AND(((COLUMN()-10)&lt;=playercnt),((ROW()-41)&lt;=playercnt)),SUMPRODUCT(INDIRECT(ADDRESS(3,ROW()-31,1)):INDIRECT(ADDRESS(22,ROW()-31,1)),Z$3:Z$22),"")</f>
        <v/>
      </c>
      <c r="AA60" t="str">
        <f ca="1">IF(AND(((COLUMN()-10)&lt;=playercnt),((ROW()-41)&lt;=playercnt)),SUMPRODUCT(INDIRECT(ADDRESS(3,ROW()-31,1)):INDIRECT(ADDRESS(22,ROW()-31,1)),AA$3:AA$22),"")</f>
        <v/>
      </c>
      <c r="AB60" t="str">
        <f ca="1">IF(AND(((COLUMN()-10)&lt;=playercnt),((ROW()-41)&lt;=playercnt)),SUMPRODUCT(INDIRECT(ADDRESS(3,ROW()-31,1)):INDIRECT(ADDRESS(22,ROW()-31,1)),AB$3:AB$22),"")</f>
        <v/>
      </c>
      <c r="AC60" t="str">
        <f ca="1">IF(AND(((COLUMN()-10)&lt;=playercnt),((ROW()-41)&lt;=playercnt)),SUMPRODUCT(INDIRECT(ADDRESS(3,ROW()-31,1)):INDIRECT(ADDRESS(22,ROW()-31,1)),AC$3:AC$22),"")</f>
        <v/>
      </c>
      <c r="AD60" t="str">
        <f ca="1">IF(AND(((COLUMN()-10)&lt;=playercnt),((ROW()-41)&lt;=playercnt)),SUMPRODUCT(INDIRECT(ADDRESS(3,ROW()-31,1)):INDIRECT(ADDRESS(22,ROW()-31,1)),AD$3:AD$22),"")</f>
        <v/>
      </c>
      <c r="AE60" t="str">
        <f ca="1">IF(AND(((COLUMN()-10)&lt;=playercnt),((ROW()-41)&lt;=playercnt)),SUMPRODUCT(INDIRECT(ADDRESS(3,ROW()-31,1)):INDIRECT(ADDRESS(22,ROW()-31,1)),AE$3:AE$22),"")</f>
        <v/>
      </c>
      <c r="AF60" t="str">
        <f ca="1">IF(AND(((COLUMN()-10)&lt;=playercnt),((ROW()-41)&lt;=playercnt)),SUMPRODUCT(INDIRECT(ADDRESS(3,ROW()-31,1)):INDIRECT(ADDRESS(22,ROW()-31,1)),AF$3:AF$22),"")</f>
        <v/>
      </c>
      <c r="AG60" t="str">
        <f ca="1">IF(AND(((COLUMN()-10)&lt;=playercnt),((ROW()-41)&lt;=playercnt)),SUMPRODUCT(INDIRECT(ADDRESS(3,ROW()-31,1)):INDIRECT(ADDRESS(22,ROW()-31,1)),AG$3:AG$22),"")</f>
        <v/>
      </c>
      <c r="AH60" t="str">
        <f ca="1">IF(AND(((COLUMN()-10)&lt;=playercnt),((ROW()-41)&lt;=playercnt)),SUMPRODUCT(INDIRECT(ADDRESS(3,ROW()-31,1)):INDIRECT(ADDRESS(22,ROW()-31,1)),AH$3:AH$22),"")</f>
        <v/>
      </c>
      <c r="AI60" t="str">
        <f ca="1">IF(AND(((COLUMN()-10)&lt;=playercnt),((ROW()-41)&lt;=playercnt)),SUMPRODUCT(INDIRECT(ADDRESS(3,ROW()-31,1)):INDIRECT(ADDRESS(22,ROW()-31,1)),AI$3:AI$22),"")</f>
        <v/>
      </c>
      <c r="AJ60" t="str">
        <f ca="1">IF(AND(((COLUMN()-10)&lt;=playercnt),((ROW()-41)&lt;=playercnt)),SUMPRODUCT(INDIRECT(ADDRESS(3,ROW()-31,1)):INDIRECT(ADDRESS(22,ROW()-31,1)),AJ$3:AJ$22),"")</f>
        <v/>
      </c>
      <c r="AK60" t="str">
        <f ca="1">IF(AND(((COLUMN()-10)&lt;=playercnt),((ROW()-41)&lt;=playercnt)),SUMPRODUCT(INDIRECT(ADDRESS(3,ROW()-31,1)):INDIRECT(ADDRESS(22,ROW()-31,1)),AK$3:AK$22),"")</f>
        <v/>
      </c>
      <c r="AL60" t="str">
        <f ca="1">IF(AND(((COLUMN()-10)&lt;=playercnt),((ROW()-41)&lt;=playercnt)),SUMPRODUCT(INDIRECT(ADDRESS(3,ROW()-31,1)):INDIRECT(ADDRESS(22,ROW()-31,1)),AL$3:AL$22),"")</f>
        <v/>
      </c>
      <c r="AM60" t="str">
        <f ca="1">IF(AND(((COLUMN()-10)&lt;=playercnt),((ROW()-41)&lt;=playercnt)),SUMPRODUCT(INDIRECT(ADDRESS(3,ROW()-31,1)):INDIRECT(ADDRESS(22,ROW()-31,1)),AM$3:AM$22),"")</f>
        <v/>
      </c>
      <c r="AN60" t="str">
        <f ca="1">IF(AND(((COLUMN()-10)&lt;=playercnt),((ROW()-41)&lt;=playercnt)),SUMPRODUCT(INDIRECT(ADDRESS(3,ROW()-31,1)):INDIRECT(ADDRESS(22,ROW()-31,1)),AN$3:AN$22),"")</f>
        <v/>
      </c>
      <c r="AO60" t="str">
        <f ca="1">IF(AND(((COLUMN()-10)&lt;=playercnt),((ROW()-41)&lt;=playercnt)),SUMPRODUCT(INDIRECT(ADDRESS(3,ROW()-31,1)):INDIRECT(ADDRESS(22,ROW()-31,1)),AO$3:AO$22),"")</f>
        <v/>
      </c>
      <c r="AP60" t="str">
        <f ca="1">IF(AND(((COLUMN()-10)&lt;=playercnt),((ROW()-41)&lt;=playercnt)),SUMPRODUCT(INDIRECT(ADDRESS(3,ROW()-31,1)):INDIRECT(ADDRESS(22,ROW()-31,1)),AP$3:AP$22),"")</f>
        <v/>
      </c>
      <c r="AQ60" t="str">
        <f ca="1">IF(AND(((COLUMN()-10)&lt;=playercnt),((ROW()-41)&lt;=playercnt)),SUMPRODUCT(INDIRECT(ADDRESS(3,ROW()-31,1)):INDIRECT(ADDRESS(22,ROW()-31,1)),AQ$3:AQ$22),"")</f>
        <v/>
      </c>
      <c r="AR60" t="str">
        <f ca="1">IF(AND(((COLUMN()-10)&lt;=playercnt),((ROW()-41)&lt;=playercnt)),SUMPRODUCT(INDIRECT(ADDRESS(3,ROW()-31,1)):INDIRECT(ADDRESS(22,ROW()-31,1)),AR$3:AR$22),"")</f>
        <v/>
      </c>
      <c r="AS60" t="str">
        <f ca="1">IF(AND(((COLUMN()-10)&lt;=playercnt),((ROW()-41)&lt;=playercnt)),SUMPRODUCT(INDIRECT(ADDRESS(3,ROW()-31,1)):INDIRECT(ADDRESS(22,ROW()-31,1)),AS$3:AS$22),"")</f>
        <v/>
      </c>
      <c r="AT60" t="str">
        <f ca="1">IF(AND(((COLUMN()-10)&lt;=playercnt),((ROW()-41)&lt;=playercnt)),SUMPRODUCT(INDIRECT(ADDRESS(3,ROW()-31,1)):INDIRECT(ADDRESS(22,ROW()-31,1)),AT$3:AT$22),"")</f>
        <v/>
      </c>
      <c r="AU60" t="str">
        <f ca="1">IF(AND(((COLUMN()-10)&lt;=playercnt),((ROW()-41)&lt;=playercnt)),SUMPRODUCT(INDIRECT(ADDRESS(3,ROW()-31,1)):INDIRECT(ADDRESS(22,ROW()-31,1)),AU$3:AU$22),"")</f>
        <v/>
      </c>
      <c r="AV60" t="str">
        <f ca="1">IF(AND(((COLUMN()-10)&lt;=playercnt),((ROW()-41)&lt;=playercnt)),SUMPRODUCT(INDIRECT(ADDRESS(3,ROW()-31,1)):INDIRECT(ADDRESS(22,ROW()-31,1)),AV$3:AV$22),"")</f>
        <v/>
      </c>
      <c r="AW60" t="str">
        <f ca="1">IF(AND(((COLUMN()-10)&lt;=playercnt),((ROW()-41)&lt;=playercnt)),SUMPRODUCT(INDIRECT(ADDRESS(3,ROW()-31,1)):INDIRECT(ADDRESS(22,ROW()-31,1)),AW$3:AW$22),"")</f>
        <v/>
      </c>
      <c r="AX60" t="str">
        <f ca="1">IF(AND(((COLUMN()-10)&lt;=playercnt),((ROW()-41)&lt;=playercnt)),SUMPRODUCT(INDIRECT(ADDRESS(3,ROW()-31,1)):INDIRECT(ADDRESS(22,ROW()-31,1)),AX$3:AX$22),"")</f>
        <v/>
      </c>
      <c r="AY60" t="str">
        <f ca="1">IF(AND(((COLUMN()-10)&lt;=playercnt),((ROW()-41)&lt;=playercnt)),SUMPRODUCT(INDIRECT(ADDRESS(3,ROW()-31,1)):INDIRECT(ADDRESS(22,ROW()-31,1)),AY$3:AY$22),"")</f>
        <v/>
      </c>
      <c r="AZ60" t="str">
        <f ca="1">IF(AND(((COLUMN()-10)&lt;=playercnt),((ROW()-41)&lt;=playercnt)),SUMPRODUCT(INDIRECT(ADDRESS(3,ROW()-31,1)):INDIRECT(ADDRESS(22,ROW()-31,1)),AZ$3:AZ$22),"")</f>
        <v/>
      </c>
      <c r="BA60" t="str">
        <f ca="1">IF(AND(((COLUMN()-10)&lt;=playercnt),((ROW()-41)&lt;=playercnt)),SUMPRODUCT(INDIRECT(ADDRESS(3,ROW()-31,1)):INDIRECT(ADDRESS(22,ROW()-31,1)),BA$3:BA$22),"")</f>
        <v/>
      </c>
      <c r="BB60" t="str">
        <f ca="1">IF(AND(((COLUMN()-10)&lt;=playercnt),((ROW()-41)&lt;=playercnt)),SUMPRODUCT(INDIRECT(ADDRESS(3,ROW()-31,1)):INDIRECT(ADDRESS(22,ROW()-31,1)),BB$3:BB$22),"")</f>
        <v/>
      </c>
      <c r="BC60" t="str">
        <f ca="1">IF(AND(((COLUMN()-10)&lt;=playercnt),((ROW()-41)&lt;=playercnt)),SUMPRODUCT(INDIRECT(ADDRESS(3,ROW()-31,1)):INDIRECT(ADDRESS(22,ROW()-31,1)),BC$3:BC$22),"")</f>
        <v/>
      </c>
      <c r="BD60" t="str">
        <f ca="1">IF(AND(((COLUMN()-10)&lt;=playercnt),((ROW()-41)&lt;=playercnt)),SUMPRODUCT(INDIRECT(ADDRESS(3,ROW()-31,1)):INDIRECT(ADDRESS(22,ROW()-31,1)),BD$3:BD$22),"")</f>
        <v/>
      </c>
      <c r="BE60" t="str">
        <f ca="1">IF(AND(((COLUMN()-10)&lt;=playercnt),((ROW()-41)&lt;=playercnt)),SUMPRODUCT(INDIRECT(ADDRESS(3,ROW()-31,1)):INDIRECT(ADDRESS(22,ROW()-31,1)),BE$3:BE$22),"")</f>
        <v/>
      </c>
      <c r="BF60" t="str">
        <f ca="1">IF(AND(((COLUMN()-10)&lt;=playercnt),((ROW()-41)&lt;=playercnt)),SUMPRODUCT(INDIRECT(ADDRESS(3,ROW()-31,1)):INDIRECT(ADDRESS(22,ROW()-31,1)),BF$3:BF$22),"")</f>
        <v/>
      </c>
      <c r="BG60" t="str">
        <f ca="1">IF(AND(((COLUMN()-10)&lt;=playercnt),((ROW()-41)&lt;=playercnt)),SUMPRODUCT(INDIRECT(ADDRESS(3,ROW()-31,1)):INDIRECT(ADDRESS(22,ROW()-31,1)),BG$3:BG$22),"")</f>
        <v/>
      </c>
      <c r="BH60" t="str">
        <f ca="1">IF(AND(((COLUMN()-10)&lt;=playercnt),((ROW()-41)&lt;=playercnt)),SUMPRODUCT(INDIRECT(ADDRESS(3,ROW()-31,1)):INDIRECT(ADDRESS(22,ROW()-31,1)),BH$3:BH$22),"")</f>
        <v/>
      </c>
      <c r="BI60" t="str">
        <f ca="1">IF(AND(((COLUMN()-10)&lt;=playercnt),((ROW()-41)&lt;=playercnt)),SUMPRODUCT(INDIRECT(ADDRESS(3,ROW()-31,1)):INDIRECT(ADDRESS(22,ROW()-31,1)),BI$3:BI$22),"")</f>
        <v/>
      </c>
      <c r="BJ60" t="str">
        <f ca="1">IF(AND(((COLUMN()-10)&lt;=playercnt),((ROW()-41)&lt;=playercnt)),SUMPRODUCT(INDIRECT(ADDRESS(3,ROW()-31,1)):INDIRECT(ADDRESS(22,ROW()-31,1)),BJ$3:BJ$22),"")</f>
        <v/>
      </c>
      <c r="BK60" t="str">
        <f ca="1">IF(AND(((COLUMN()-10)&lt;=playercnt),((ROW()-41)&lt;=playercnt)),SUMPRODUCT(INDIRECT(ADDRESS(3,ROW()-31,1)):INDIRECT(ADDRESS(22,ROW()-31,1)),BK$3:BK$22),"")</f>
        <v/>
      </c>
      <c r="BL60" t="str">
        <f ca="1">IF(AND(((COLUMN()-10)&lt;=playercnt),((ROW()-41)&lt;=playercnt)),SUMPRODUCT(INDIRECT(ADDRESS(3,ROW()-31,1)):INDIRECT(ADDRESS(22,ROW()-31,1)),BL$3:BL$22),"")</f>
        <v/>
      </c>
      <c r="BM60" t="str">
        <f ca="1">IF(AND(((COLUMN()-10)&lt;=playercnt),((ROW()-41)&lt;=playercnt)),SUMPRODUCT(INDIRECT(ADDRESS(3,ROW()-31,1)):INDIRECT(ADDRESS(22,ROW()-31,1)),BM$3:BM$22),"")</f>
        <v/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>
      <c r="B61" s="27" t="str">
        <f t="shared" ca="1" si="29"/>
        <v/>
      </c>
      <c r="C61" t="str">
        <f t="shared" ca="1" si="30"/>
        <v/>
      </c>
      <c r="G61" t="str">
        <f ca="1">IF(AND(((COLUMN()-10)&lt;=playercnt),((ROW()-41)&lt;=playercnt)),SUMPRODUCT(INDIRECT(ADDRESS(3,ROW()-31,1)):INDIRECT(ADDRESS(22,ROW()-31,1)),G$3:G$22),"")</f>
        <v/>
      </c>
      <c r="H61" t="str">
        <f ca="1">IF(AND(((COLUMN()-10)&lt;=playercnt),((ROW()-41)&lt;=playercnt)),SUMPRODUCT(INDIRECT(ADDRESS(3,ROW()-31,1)):INDIRECT(ADDRESS(22,ROW()-31,1)),H$3:H$22),"")</f>
        <v/>
      </c>
      <c r="I61" t="str">
        <f ca="1">IF(AND(((COLUMN()-10)&lt;=playercnt),((ROW()-41)&lt;=playercnt)),SUMPRODUCT(INDIRECT(ADDRESS(3,ROW()-31,1)):INDIRECT(ADDRESS(22,ROW()-31,1)),I$3:I$22),"")</f>
        <v/>
      </c>
      <c r="J61" t="str">
        <f ca="1">IF(AND(((COLUMN()-10)&lt;=playercnt),((ROW()-41)&lt;=playercnt)),SUMPRODUCT(INDIRECT(ADDRESS(3,ROW()-31,1)):INDIRECT(ADDRESS(22,ROW()-31,1)),J$3:J$22),"")</f>
        <v/>
      </c>
      <c r="K61" t="str">
        <f ca="1">IF(AND(((COLUMN()-10)&lt;=playercnt),((ROW()-41)&lt;=playercnt)),SUMPRODUCT(INDIRECT(ADDRESS(3,ROW()-31,1)):INDIRECT(ADDRESS(22,ROW()-31,1)),K$3:K$22),"")</f>
        <v/>
      </c>
      <c r="L61" t="str">
        <f ca="1">IF(AND(((COLUMN()-10)&lt;=playercnt),((ROW()-41)&lt;=playercnt)),SUMPRODUCT(INDIRECT(ADDRESS(3,ROW()-31,1)):INDIRECT(ADDRESS(22,ROW()-31,1)),L$3:L$22),"")</f>
        <v/>
      </c>
      <c r="M61" t="str">
        <f ca="1">IF(AND(((COLUMN()-10)&lt;=playercnt),((ROW()-41)&lt;=playercnt)),SUMPRODUCT(INDIRECT(ADDRESS(3,ROW()-31,1)):INDIRECT(ADDRESS(22,ROW()-31,1)),M$3:M$22),"")</f>
        <v/>
      </c>
      <c r="N61" t="str">
        <f ca="1">IF(AND(((COLUMN()-10)&lt;=playercnt),((ROW()-41)&lt;=playercnt)),SUMPRODUCT(INDIRECT(ADDRESS(3,ROW()-31,1)):INDIRECT(ADDRESS(22,ROW()-31,1)),N$3:N$22),"")</f>
        <v/>
      </c>
      <c r="O61" t="str">
        <f ca="1">IF(AND(((COLUMN()-10)&lt;=playercnt),((ROW()-41)&lt;=playercnt)),SUMPRODUCT(INDIRECT(ADDRESS(3,ROW()-31,1)):INDIRECT(ADDRESS(22,ROW()-31,1)),O$3:O$22),"")</f>
        <v/>
      </c>
      <c r="P61" t="str">
        <f ca="1">IF(AND(((COLUMN()-10)&lt;=playercnt),((ROW()-41)&lt;=playercnt)),SUMPRODUCT(INDIRECT(ADDRESS(3,ROW()-31,1)):INDIRECT(ADDRESS(22,ROW()-31,1)),P$3:P$22),"")</f>
        <v/>
      </c>
      <c r="Q61" t="str">
        <f ca="1">IF(AND(((COLUMN()-10)&lt;=playercnt),((ROW()-41)&lt;=playercnt)),SUMPRODUCT(INDIRECT(ADDRESS(3,ROW()-31,1)):INDIRECT(ADDRESS(22,ROW()-31,1)),Q$3:Q$22),"")</f>
        <v/>
      </c>
      <c r="R61" t="str">
        <f ca="1">IF(AND(((COLUMN()-10)&lt;=playercnt),((ROW()-41)&lt;=playercnt)),SUMPRODUCT(INDIRECT(ADDRESS(3,ROW()-31,1)):INDIRECT(ADDRESS(22,ROW()-31,1)),R$3:R$22),"")</f>
        <v/>
      </c>
      <c r="S61" t="str">
        <f ca="1">IF(AND(((COLUMN()-10)&lt;=playercnt),((ROW()-41)&lt;=playercnt)),SUMPRODUCT(INDIRECT(ADDRESS(3,ROW()-31,1)):INDIRECT(ADDRESS(22,ROW()-31,1)),S$3:S$22),"")</f>
        <v/>
      </c>
      <c r="T61" t="str">
        <f ca="1">IF(AND(((COLUMN()-10)&lt;=playercnt),((ROW()-41)&lt;=playercnt)),SUMPRODUCT(INDIRECT(ADDRESS(3,ROW()-31,1)):INDIRECT(ADDRESS(22,ROW()-31,1)),T$3:T$22),"")</f>
        <v/>
      </c>
      <c r="U61" t="str">
        <f ca="1">IF(AND(((COLUMN()-10)&lt;=playercnt),((ROW()-41)&lt;=playercnt)),SUMPRODUCT(INDIRECT(ADDRESS(3,ROW()-31,1)):INDIRECT(ADDRESS(22,ROW()-31,1)),U$3:U$22),"")</f>
        <v/>
      </c>
      <c r="V61" t="str">
        <f ca="1">IF(AND(((COLUMN()-10)&lt;=playercnt),((ROW()-41)&lt;=playercnt)),SUMPRODUCT(INDIRECT(ADDRESS(3,ROW()-31,1)):INDIRECT(ADDRESS(22,ROW()-31,1)),V$3:V$22),"")</f>
        <v/>
      </c>
      <c r="W61" t="str">
        <f ca="1">IF(AND(((COLUMN()-10)&lt;=playercnt),((ROW()-41)&lt;=playercnt)),SUMPRODUCT(INDIRECT(ADDRESS(3,ROW()-31,1)):INDIRECT(ADDRESS(22,ROW()-31,1)),W$3:W$22),"")</f>
        <v/>
      </c>
      <c r="X61" t="str">
        <f ca="1">IF(AND(((COLUMN()-10)&lt;=playercnt),((ROW()-41)&lt;=playercnt)),SUMPRODUCT(INDIRECT(ADDRESS(3,ROW()-31,1)):INDIRECT(ADDRESS(22,ROW()-31,1)),X$3:X$22),"")</f>
        <v/>
      </c>
      <c r="Y61" t="str">
        <f ca="1">IF(AND(((COLUMN()-10)&lt;=playercnt),((ROW()-41)&lt;=playercnt)),SUMPRODUCT(INDIRECT(ADDRESS(3,ROW()-31,1)):INDIRECT(ADDRESS(22,ROW()-31,1)),Y$3:Y$22),"")</f>
        <v/>
      </c>
      <c r="Z61" t="str">
        <f ca="1">IF(AND(((COLUMN()-10)&lt;=playercnt),((ROW()-41)&lt;=playercnt)),SUMPRODUCT(INDIRECT(ADDRESS(3,ROW()-31,1)):INDIRECT(ADDRESS(22,ROW()-31,1)),Z$3:Z$22),"")</f>
        <v/>
      </c>
      <c r="AA61" t="str">
        <f ca="1">IF(AND(((COLUMN()-10)&lt;=playercnt),((ROW()-41)&lt;=playercnt)),SUMPRODUCT(INDIRECT(ADDRESS(3,ROW()-31,1)):INDIRECT(ADDRESS(22,ROW()-31,1)),AA$3:AA$22),"")</f>
        <v/>
      </c>
      <c r="AB61" t="str">
        <f ca="1">IF(AND(((COLUMN()-10)&lt;=playercnt),((ROW()-41)&lt;=playercnt)),SUMPRODUCT(INDIRECT(ADDRESS(3,ROW()-31,1)):INDIRECT(ADDRESS(22,ROW()-31,1)),AB$3:AB$22),"")</f>
        <v/>
      </c>
      <c r="AC61" t="str">
        <f ca="1">IF(AND(((COLUMN()-10)&lt;=playercnt),((ROW()-41)&lt;=playercnt)),SUMPRODUCT(INDIRECT(ADDRESS(3,ROW()-31,1)):INDIRECT(ADDRESS(22,ROW()-31,1)),AC$3:AC$22),"")</f>
        <v/>
      </c>
      <c r="AD61" t="str">
        <f ca="1">IF(AND(((COLUMN()-10)&lt;=playercnt),((ROW()-41)&lt;=playercnt)),SUMPRODUCT(INDIRECT(ADDRESS(3,ROW()-31,1)):INDIRECT(ADDRESS(22,ROW()-31,1)),AD$3:AD$22),"")</f>
        <v/>
      </c>
      <c r="AE61" t="str">
        <f ca="1">IF(AND(((COLUMN()-10)&lt;=playercnt),((ROW()-41)&lt;=playercnt)),SUMPRODUCT(INDIRECT(ADDRESS(3,ROW()-31,1)):INDIRECT(ADDRESS(22,ROW()-31,1)),AE$3:AE$22),"")</f>
        <v/>
      </c>
      <c r="AF61" t="str">
        <f ca="1">IF(AND(((COLUMN()-10)&lt;=playercnt),((ROW()-41)&lt;=playercnt)),SUMPRODUCT(INDIRECT(ADDRESS(3,ROW()-31,1)):INDIRECT(ADDRESS(22,ROW()-31,1)),AF$3:AF$22),"")</f>
        <v/>
      </c>
      <c r="AG61" t="str">
        <f ca="1">IF(AND(((COLUMN()-10)&lt;=playercnt),((ROW()-41)&lt;=playercnt)),SUMPRODUCT(INDIRECT(ADDRESS(3,ROW()-31,1)):INDIRECT(ADDRESS(22,ROW()-31,1)),AG$3:AG$22),"")</f>
        <v/>
      </c>
      <c r="AH61" t="str">
        <f ca="1">IF(AND(((COLUMN()-10)&lt;=playercnt),((ROW()-41)&lt;=playercnt)),SUMPRODUCT(INDIRECT(ADDRESS(3,ROW()-31,1)):INDIRECT(ADDRESS(22,ROW()-31,1)),AH$3:AH$22),"")</f>
        <v/>
      </c>
      <c r="AI61" t="str">
        <f ca="1">IF(AND(((COLUMN()-10)&lt;=playercnt),((ROW()-41)&lt;=playercnt)),SUMPRODUCT(INDIRECT(ADDRESS(3,ROW()-31,1)):INDIRECT(ADDRESS(22,ROW()-31,1)),AI$3:AI$22),"")</f>
        <v/>
      </c>
      <c r="AJ61" t="str">
        <f ca="1">IF(AND(((COLUMN()-10)&lt;=playercnt),((ROW()-41)&lt;=playercnt)),SUMPRODUCT(INDIRECT(ADDRESS(3,ROW()-31,1)):INDIRECT(ADDRESS(22,ROW()-31,1)),AJ$3:AJ$22),"")</f>
        <v/>
      </c>
      <c r="AK61" t="str">
        <f ca="1">IF(AND(((COLUMN()-10)&lt;=playercnt),((ROW()-41)&lt;=playercnt)),SUMPRODUCT(INDIRECT(ADDRESS(3,ROW()-31,1)):INDIRECT(ADDRESS(22,ROW()-31,1)),AK$3:AK$22),"")</f>
        <v/>
      </c>
      <c r="AL61" t="str">
        <f ca="1">IF(AND(((COLUMN()-10)&lt;=playercnt),((ROW()-41)&lt;=playercnt)),SUMPRODUCT(INDIRECT(ADDRESS(3,ROW()-31,1)):INDIRECT(ADDRESS(22,ROW()-31,1)),AL$3:AL$22),"")</f>
        <v/>
      </c>
      <c r="AM61" t="str">
        <f ca="1">IF(AND(((COLUMN()-10)&lt;=playercnt),((ROW()-41)&lt;=playercnt)),SUMPRODUCT(INDIRECT(ADDRESS(3,ROW()-31,1)):INDIRECT(ADDRESS(22,ROW()-31,1)),AM$3:AM$22),"")</f>
        <v/>
      </c>
      <c r="AN61" t="str">
        <f ca="1">IF(AND(((COLUMN()-10)&lt;=playercnt),((ROW()-41)&lt;=playercnt)),SUMPRODUCT(INDIRECT(ADDRESS(3,ROW()-31,1)):INDIRECT(ADDRESS(22,ROW()-31,1)),AN$3:AN$22),"")</f>
        <v/>
      </c>
      <c r="AO61" t="str">
        <f ca="1">IF(AND(((COLUMN()-10)&lt;=playercnt),((ROW()-41)&lt;=playercnt)),SUMPRODUCT(INDIRECT(ADDRESS(3,ROW()-31,1)):INDIRECT(ADDRESS(22,ROW()-31,1)),AO$3:AO$22),"")</f>
        <v/>
      </c>
      <c r="AP61" t="str">
        <f ca="1">IF(AND(((COLUMN()-10)&lt;=playercnt),((ROW()-41)&lt;=playercnt)),SUMPRODUCT(INDIRECT(ADDRESS(3,ROW()-31,1)):INDIRECT(ADDRESS(22,ROW()-31,1)),AP$3:AP$22),"")</f>
        <v/>
      </c>
      <c r="AQ61" t="str">
        <f ca="1">IF(AND(((COLUMN()-10)&lt;=playercnt),((ROW()-41)&lt;=playercnt)),SUMPRODUCT(INDIRECT(ADDRESS(3,ROW()-31,1)):INDIRECT(ADDRESS(22,ROW()-31,1)),AQ$3:AQ$22),"")</f>
        <v/>
      </c>
      <c r="AR61" t="str">
        <f ca="1">IF(AND(((COLUMN()-10)&lt;=playercnt),((ROW()-41)&lt;=playercnt)),SUMPRODUCT(INDIRECT(ADDRESS(3,ROW()-31,1)):INDIRECT(ADDRESS(22,ROW()-31,1)),AR$3:AR$22),"")</f>
        <v/>
      </c>
      <c r="AS61" t="str">
        <f ca="1">IF(AND(((COLUMN()-10)&lt;=playercnt),((ROW()-41)&lt;=playercnt)),SUMPRODUCT(INDIRECT(ADDRESS(3,ROW()-31,1)):INDIRECT(ADDRESS(22,ROW()-31,1)),AS$3:AS$22),"")</f>
        <v/>
      </c>
      <c r="AT61" t="str">
        <f ca="1">IF(AND(((COLUMN()-10)&lt;=playercnt),((ROW()-41)&lt;=playercnt)),SUMPRODUCT(INDIRECT(ADDRESS(3,ROW()-31,1)):INDIRECT(ADDRESS(22,ROW()-31,1)),AT$3:AT$22),"")</f>
        <v/>
      </c>
      <c r="AU61" t="str">
        <f ca="1">IF(AND(((COLUMN()-10)&lt;=playercnt),((ROW()-41)&lt;=playercnt)),SUMPRODUCT(INDIRECT(ADDRESS(3,ROW()-31,1)):INDIRECT(ADDRESS(22,ROW()-31,1)),AU$3:AU$22),"")</f>
        <v/>
      </c>
      <c r="AV61" t="str">
        <f ca="1">IF(AND(((COLUMN()-10)&lt;=playercnt),((ROW()-41)&lt;=playercnt)),SUMPRODUCT(INDIRECT(ADDRESS(3,ROW()-31,1)):INDIRECT(ADDRESS(22,ROW()-31,1)),AV$3:AV$22),"")</f>
        <v/>
      </c>
      <c r="AW61" t="str">
        <f ca="1">IF(AND(((COLUMN()-10)&lt;=playercnt),((ROW()-41)&lt;=playercnt)),SUMPRODUCT(INDIRECT(ADDRESS(3,ROW()-31,1)):INDIRECT(ADDRESS(22,ROW()-31,1)),AW$3:AW$22),"")</f>
        <v/>
      </c>
      <c r="AX61" t="str">
        <f ca="1">IF(AND(((COLUMN()-10)&lt;=playercnt),((ROW()-41)&lt;=playercnt)),SUMPRODUCT(INDIRECT(ADDRESS(3,ROW()-31,1)):INDIRECT(ADDRESS(22,ROW()-31,1)),AX$3:AX$22),"")</f>
        <v/>
      </c>
      <c r="AY61" t="str">
        <f ca="1">IF(AND(((COLUMN()-10)&lt;=playercnt),((ROW()-41)&lt;=playercnt)),SUMPRODUCT(INDIRECT(ADDRESS(3,ROW()-31,1)):INDIRECT(ADDRESS(22,ROW()-31,1)),AY$3:AY$22),"")</f>
        <v/>
      </c>
      <c r="AZ61" t="str">
        <f ca="1">IF(AND(((COLUMN()-10)&lt;=playercnt),((ROW()-41)&lt;=playercnt)),SUMPRODUCT(INDIRECT(ADDRESS(3,ROW()-31,1)):INDIRECT(ADDRESS(22,ROW()-31,1)),AZ$3:AZ$22),"")</f>
        <v/>
      </c>
      <c r="BA61" t="str">
        <f ca="1">IF(AND(((COLUMN()-10)&lt;=playercnt),((ROW()-41)&lt;=playercnt)),SUMPRODUCT(INDIRECT(ADDRESS(3,ROW()-31,1)):INDIRECT(ADDRESS(22,ROW()-31,1)),BA$3:BA$22),"")</f>
        <v/>
      </c>
      <c r="BB61" t="str">
        <f ca="1">IF(AND(((COLUMN()-10)&lt;=playercnt),((ROW()-41)&lt;=playercnt)),SUMPRODUCT(INDIRECT(ADDRESS(3,ROW()-31,1)):INDIRECT(ADDRESS(22,ROW()-31,1)),BB$3:BB$22),"")</f>
        <v/>
      </c>
      <c r="BC61" t="str">
        <f ca="1">IF(AND(((COLUMN()-10)&lt;=playercnt),((ROW()-41)&lt;=playercnt)),SUMPRODUCT(INDIRECT(ADDRESS(3,ROW()-31,1)):INDIRECT(ADDRESS(22,ROW()-31,1)),BC$3:BC$22),"")</f>
        <v/>
      </c>
      <c r="BD61" t="str">
        <f ca="1">IF(AND(((COLUMN()-10)&lt;=playercnt),((ROW()-41)&lt;=playercnt)),SUMPRODUCT(INDIRECT(ADDRESS(3,ROW()-31,1)):INDIRECT(ADDRESS(22,ROW()-31,1)),BD$3:BD$22),"")</f>
        <v/>
      </c>
      <c r="BE61" t="str">
        <f ca="1">IF(AND(((COLUMN()-10)&lt;=playercnt),((ROW()-41)&lt;=playercnt)),SUMPRODUCT(INDIRECT(ADDRESS(3,ROW()-31,1)):INDIRECT(ADDRESS(22,ROW()-31,1)),BE$3:BE$22),"")</f>
        <v/>
      </c>
      <c r="BF61" t="str">
        <f ca="1">IF(AND(((COLUMN()-10)&lt;=playercnt),((ROW()-41)&lt;=playercnt)),SUMPRODUCT(INDIRECT(ADDRESS(3,ROW()-31,1)):INDIRECT(ADDRESS(22,ROW()-31,1)),BF$3:BF$22),"")</f>
        <v/>
      </c>
      <c r="BG61" t="str">
        <f ca="1">IF(AND(((COLUMN()-10)&lt;=playercnt),((ROW()-41)&lt;=playercnt)),SUMPRODUCT(INDIRECT(ADDRESS(3,ROW()-31,1)):INDIRECT(ADDRESS(22,ROW()-31,1)),BG$3:BG$22),"")</f>
        <v/>
      </c>
      <c r="BH61" t="str">
        <f ca="1">IF(AND(((COLUMN()-10)&lt;=playercnt),((ROW()-41)&lt;=playercnt)),SUMPRODUCT(INDIRECT(ADDRESS(3,ROW()-31,1)):INDIRECT(ADDRESS(22,ROW()-31,1)),BH$3:BH$22),"")</f>
        <v/>
      </c>
      <c r="BI61" t="str">
        <f ca="1">IF(AND(((COLUMN()-10)&lt;=playercnt),((ROW()-41)&lt;=playercnt)),SUMPRODUCT(INDIRECT(ADDRESS(3,ROW()-31,1)):INDIRECT(ADDRESS(22,ROW()-31,1)),BI$3:BI$22),"")</f>
        <v/>
      </c>
      <c r="BJ61" t="str">
        <f ca="1">IF(AND(((COLUMN()-10)&lt;=playercnt),((ROW()-41)&lt;=playercnt)),SUMPRODUCT(INDIRECT(ADDRESS(3,ROW()-31,1)):INDIRECT(ADDRESS(22,ROW()-31,1)),BJ$3:BJ$22),"")</f>
        <v/>
      </c>
      <c r="BK61" t="str">
        <f ca="1">IF(AND(((COLUMN()-10)&lt;=playercnt),((ROW()-41)&lt;=playercnt)),SUMPRODUCT(INDIRECT(ADDRESS(3,ROW()-31,1)):INDIRECT(ADDRESS(22,ROW()-31,1)),BK$3:BK$22),"")</f>
        <v/>
      </c>
      <c r="BL61" t="str">
        <f ca="1">IF(AND(((COLUMN()-10)&lt;=playercnt),((ROW()-41)&lt;=playercnt)),SUMPRODUCT(INDIRECT(ADDRESS(3,ROW()-31,1)):INDIRECT(ADDRESS(22,ROW()-31,1)),BL$3:BL$22),"")</f>
        <v/>
      </c>
      <c r="BM61" t="str">
        <f ca="1">IF(AND(((COLUMN()-10)&lt;=playercnt),((ROW()-41)&lt;=playercnt)),SUMPRODUCT(INDIRECT(ADDRESS(3,ROW()-31,1)):INDIRECT(ADDRESS(22,ROW()-31,1)),BM$3:BM$22),"")</f>
        <v/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>
      <c r="B62" s="27" t="str">
        <f t="shared" ca="1" si="29"/>
        <v/>
      </c>
      <c r="C62" t="str">
        <f t="shared" ca="1" si="30"/>
        <v/>
      </c>
      <c r="G62" t="str">
        <f ca="1">IF(AND(((COLUMN()-10)&lt;=playercnt),((ROW()-41)&lt;=playercnt)),SUMPRODUCT(INDIRECT(ADDRESS(3,ROW()-31,1)):INDIRECT(ADDRESS(22,ROW()-31,1)),G$3:G$22),"")</f>
        <v/>
      </c>
      <c r="H62" t="str">
        <f ca="1">IF(AND(((COLUMN()-10)&lt;=playercnt),((ROW()-41)&lt;=playercnt)),SUMPRODUCT(INDIRECT(ADDRESS(3,ROW()-31,1)):INDIRECT(ADDRESS(22,ROW()-31,1)),H$3:H$22),"")</f>
        <v/>
      </c>
      <c r="I62" t="str">
        <f ca="1">IF(AND(((COLUMN()-10)&lt;=playercnt),((ROW()-41)&lt;=playercnt)),SUMPRODUCT(INDIRECT(ADDRESS(3,ROW()-31,1)):INDIRECT(ADDRESS(22,ROW()-31,1)),I$3:I$22),"")</f>
        <v/>
      </c>
      <c r="J62" t="str">
        <f ca="1">IF(AND(((COLUMN()-10)&lt;=playercnt),((ROW()-41)&lt;=playercnt)),SUMPRODUCT(INDIRECT(ADDRESS(3,ROW()-31,1)):INDIRECT(ADDRESS(22,ROW()-31,1)),J$3:J$22),"")</f>
        <v/>
      </c>
      <c r="K62" t="str">
        <f ca="1">IF(AND(((COLUMN()-10)&lt;=playercnt),((ROW()-41)&lt;=playercnt)),SUMPRODUCT(INDIRECT(ADDRESS(3,ROW()-31,1)):INDIRECT(ADDRESS(22,ROW()-31,1)),K$3:K$22),"")</f>
        <v/>
      </c>
      <c r="L62" t="str">
        <f ca="1">IF(AND(((COLUMN()-10)&lt;=playercnt),((ROW()-41)&lt;=playercnt)),SUMPRODUCT(INDIRECT(ADDRESS(3,ROW()-31,1)):INDIRECT(ADDRESS(22,ROW()-31,1)),L$3:L$22),"")</f>
        <v/>
      </c>
      <c r="M62" t="str">
        <f ca="1">IF(AND(((COLUMN()-10)&lt;=playercnt),((ROW()-41)&lt;=playercnt)),SUMPRODUCT(INDIRECT(ADDRESS(3,ROW()-31,1)):INDIRECT(ADDRESS(22,ROW()-31,1)),M$3:M$22),"")</f>
        <v/>
      </c>
      <c r="N62" t="str">
        <f ca="1">IF(AND(((COLUMN()-10)&lt;=playercnt),((ROW()-41)&lt;=playercnt)),SUMPRODUCT(INDIRECT(ADDRESS(3,ROW()-31,1)):INDIRECT(ADDRESS(22,ROW()-31,1)),N$3:N$22),"")</f>
        <v/>
      </c>
      <c r="O62" t="str">
        <f ca="1">IF(AND(((COLUMN()-10)&lt;=playercnt),((ROW()-41)&lt;=playercnt)),SUMPRODUCT(INDIRECT(ADDRESS(3,ROW()-31,1)):INDIRECT(ADDRESS(22,ROW()-31,1)),O$3:O$22),"")</f>
        <v/>
      </c>
      <c r="P62" t="str">
        <f ca="1">IF(AND(((COLUMN()-10)&lt;=playercnt),((ROW()-41)&lt;=playercnt)),SUMPRODUCT(INDIRECT(ADDRESS(3,ROW()-31,1)):INDIRECT(ADDRESS(22,ROW()-31,1)),P$3:P$22),"")</f>
        <v/>
      </c>
      <c r="Q62" t="str">
        <f ca="1">IF(AND(((COLUMN()-10)&lt;=playercnt),((ROW()-41)&lt;=playercnt)),SUMPRODUCT(INDIRECT(ADDRESS(3,ROW()-31,1)):INDIRECT(ADDRESS(22,ROW()-31,1)),Q$3:Q$22),"")</f>
        <v/>
      </c>
      <c r="R62" t="str">
        <f ca="1">IF(AND(((COLUMN()-10)&lt;=playercnt),((ROW()-41)&lt;=playercnt)),SUMPRODUCT(INDIRECT(ADDRESS(3,ROW()-31,1)):INDIRECT(ADDRESS(22,ROW()-31,1)),R$3:R$22),"")</f>
        <v/>
      </c>
      <c r="S62" t="str">
        <f ca="1">IF(AND(((COLUMN()-10)&lt;=playercnt),((ROW()-41)&lt;=playercnt)),SUMPRODUCT(INDIRECT(ADDRESS(3,ROW()-31,1)):INDIRECT(ADDRESS(22,ROW()-31,1)),S$3:S$22),"")</f>
        <v/>
      </c>
      <c r="T62" t="str">
        <f ca="1">IF(AND(((COLUMN()-10)&lt;=playercnt),((ROW()-41)&lt;=playercnt)),SUMPRODUCT(INDIRECT(ADDRESS(3,ROW()-31,1)):INDIRECT(ADDRESS(22,ROW()-31,1)),T$3:T$22),"")</f>
        <v/>
      </c>
      <c r="U62" t="str">
        <f ca="1">IF(AND(((COLUMN()-10)&lt;=playercnt),((ROW()-41)&lt;=playercnt)),SUMPRODUCT(INDIRECT(ADDRESS(3,ROW()-31,1)):INDIRECT(ADDRESS(22,ROW()-31,1)),U$3:U$22),"")</f>
        <v/>
      </c>
      <c r="V62" t="str">
        <f ca="1">IF(AND(((COLUMN()-10)&lt;=playercnt),((ROW()-41)&lt;=playercnt)),SUMPRODUCT(INDIRECT(ADDRESS(3,ROW()-31,1)):INDIRECT(ADDRESS(22,ROW()-31,1)),V$3:V$22),"")</f>
        <v/>
      </c>
      <c r="W62" t="str">
        <f ca="1">IF(AND(((COLUMN()-10)&lt;=playercnt),((ROW()-41)&lt;=playercnt)),SUMPRODUCT(INDIRECT(ADDRESS(3,ROW()-31,1)):INDIRECT(ADDRESS(22,ROW()-31,1)),W$3:W$22),"")</f>
        <v/>
      </c>
      <c r="X62" t="str">
        <f ca="1">IF(AND(((COLUMN()-10)&lt;=playercnt),((ROW()-41)&lt;=playercnt)),SUMPRODUCT(INDIRECT(ADDRESS(3,ROW()-31,1)):INDIRECT(ADDRESS(22,ROW()-31,1)),X$3:X$22),"")</f>
        <v/>
      </c>
      <c r="Y62" t="str">
        <f ca="1">IF(AND(((COLUMN()-10)&lt;=playercnt),((ROW()-41)&lt;=playercnt)),SUMPRODUCT(INDIRECT(ADDRESS(3,ROW()-31,1)):INDIRECT(ADDRESS(22,ROW()-31,1)),Y$3:Y$22),"")</f>
        <v/>
      </c>
      <c r="Z62" t="str">
        <f ca="1">IF(AND(((COLUMN()-10)&lt;=playercnt),((ROW()-41)&lt;=playercnt)),SUMPRODUCT(INDIRECT(ADDRESS(3,ROW()-31,1)):INDIRECT(ADDRESS(22,ROW()-31,1)),Z$3:Z$22),"")</f>
        <v/>
      </c>
      <c r="AA62" t="str">
        <f ca="1">IF(AND(((COLUMN()-10)&lt;=playercnt),((ROW()-41)&lt;=playercnt)),SUMPRODUCT(INDIRECT(ADDRESS(3,ROW()-31,1)):INDIRECT(ADDRESS(22,ROW()-31,1)),AA$3:AA$22),"")</f>
        <v/>
      </c>
      <c r="AB62" t="str">
        <f ca="1">IF(AND(((COLUMN()-10)&lt;=playercnt),((ROW()-41)&lt;=playercnt)),SUMPRODUCT(INDIRECT(ADDRESS(3,ROW()-31,1)):INDIRECT(ADDRESS(22,ROW()-31,1)),AB$3:AB$22),"")</f>
        <v/>
      </c>
      <c r="AC62" t="str">
        <f ca="1">IF(AND(((COLUMN()-10)&lt;=playercnt),((ROW()-41)&lt;=playercnt)),SUMPRODUCT(INDIRECT(ADDRESS(3,ROW()-31,1)):INDIRECT(ADDRESS(22,ROW()-31,1)),AC$3:AC$22),"")</f>
        <v/>
      </c>
      <c r="AD62" t="str">
        <f ca="1">IF(AND(((COLUMN()-10)&lt;=playercnt),((ROW()-41)&lt;=playercnt)),SUMPRODUCT(INDIRECT(ADDRESS(3,ROW()-31,1)):INDIRECT(ADDRESS(22,ROW()-31,1)),AD$3:AD$22),"")</f>
        <v/>
      </c>
      <c r="AE62" t="str">
        <f ca="1">IF(AND(((COLUMN()-10)&lt;=playercnt),((ROW()-41)&lt;=playercnt)),SUMPRODUCT(INDIRECT(ADDRESS(3,ROW()-31,1)):INDIRECT(ADDRESS(22,ROW()-31,1)),AE$3:AE$22),"")</f>
        <v/>
      </c>
      <c r="AF62" t="str">
        <f ca="1">IF(AND(((COLUMN()-10)&lt;=playercnt),((ROW()-41)&lt;=playercnt)),SUMPRODUCT(INDIRECT(ADDRESS(3,ROW()-31,1)):INDIRECT(ADDRESS(22,ROW()-31,1)),AF$3:AF$22),"")</f>
        <v/>
      </c>
      <c r="AG62" t="str">
        <f ca="1">IF(AND(((COLUMN()-10)&lt;=playercnt),((ROW()-41)&lt;=playercnt)),SUMPRODUCT(INDIRECT(ADDRESS(3,ROW()-31,1)):INDIRECT(ADDRESS(22,ROW()-31,1)),AG$3:AG$22),"")</f>
        <v/>
      </c>
      <c r="AH62" t="str">
        <f ca="1">IF(AND(((COLUMN()-10)&lt;=playercnt),((ROW()-41)&lt;=playercnt)),SUMPRODUCT(INDIRECT(ADDRESS(3,ROW()-31,1)):INDIRECT(ADDRESS(22,ROW()-31,1)),AH$3:AH$22),"")</f>
        <v/>
      </c>
      <c r="AI62" t="str">
        <f ca="1">IF(AND(((COLUMN()-10)&lt;=playercnt),((ROW()-41)&lt;=playercnt)),SUMPRODUCT(INDIRECT(ADDRESS(3,ROW()-31,1)):INDIRECT(ADDRESS(22,ROW()-31,1)),AI$3:AI$22),"")</f>
        <v/>
      </c>
      <c r="AJ62" t="str">
        <f ca="1">IF(AND(((COLUMN()-10)&lt;=playercnt),((ROW()-41)&lt;=playercnt)),SUMPRODUCT(INDIRECT(ADDRESS(3,ROW()-31,1)):INDIRECT(ADDRESS(22,ROW()-31,1)),AJ$3:AJ$22),"")</f>
        <v/>
      </c>
      <c r="AK62" t="str">
        <f ca="1">IF(AND(((COLUMN()-10)&lt;=playercnt),((ROW()-41)&lt;=playercnt)),SUMPRODUCT(INDIRECT(ADDRESS(3,ROW()-31,1)):INDIRECT(ADDRESS(22,ROW()-31,1)),AK$3:AK$22),"")</f>
        <v/>
      </c>
      <c r="AL62" t="str">
        <f ca="1">IF(AND(((COLUMN()-10)&lt;=playercnt),((ROW()-41)&lt;=playercnt)),SUMPRODUCT(INDIRECT(ADDRESS(3,ROW()-31,1)):INDIRECT(ADDRESS(22,ROW()-31,1)),AL$3:AL$22),"")</f>
        <v/>
      </c>
      <c r="AM62" t="str">
        <f ca="1">IF(AND(((COLUMN()-10)&lt;=playercnt),((ROW()-41)&lt;=playercnt)),SUMPRODUCT(INDIRECT(ADDRESS(3,ROW()-31,1)):INDIRECT(ADDRESS(22,ROW()-31,1)),AM$3:AM$22),"")</f>
        <v/>
      </c>
      <c r="AN62" t="str">
        <f ca="1">IF(AND(((COLUMN()-10)&lt;=playercnt),((ROW()-41)&lt;=playercnt)),SUMPRODUCT(INDIRECT(ADDRESS(3,ROW()-31,1)):INDIRECT(ADDRESS(22,ROW()-31,1)),AN$3:AN$22),"")</f>
        <v/>
      </c>
      <c r="AO62" t="str">
        <f ca="1">IF(AND(((COLUMN()-10)&lt;=playercnt),((ROW()-41)&lt;=playercnt)),SUMPRODUCT(INDIRECT(ADDRESS(3,ROW()-31,1)):INDIRECT(ADDRESS(22,ROW()-31,1)),AO$3:AO$22),"")</f>
        <v/>
      </c>
      <c r="AP62" t="str">
        <f ca="1">IF(AND(((COLUMN()-10)&lt;=playercnt),((ROW()-41)&lt;=playercnt)),SUMPRODUCT(INDIRECT(ADDRESS(3,ROW()-31,1)):INDIRECT(ADDRESS(22,ROW()-31,1)),AP$3:AP$22),"")</f>
        <v/>
      </c>
      <c r="AQ62" t="str">
        <f ca="1">IF(AND(((COLUMN()-10)&lt;=playercnt),((ROW()-41)&lt;=playercnt)),SUMPRODUCT(INDIRECT(ADDRESS(3,ROW()-31,1)):INDIRECT(ADDRESS(22,ROW()-31,1)),AQ$3:AQ$22),"")</f>
        <v/>
      </c>
      <c r="AR62" t="str">
        <f ca="1">IF(AND(((COLUMN()-10)&lt;=playercnt),((ROW()-41)&lt;=playercnt)),SUMPRODUCT(INDIRECT(ADDRESS(3,ROW()-31,1)):INDIRECT(ADDRESS(22,ROW()-31,1)),AR$3:AR$22),"")</f>
        <v/>
      </c>
      <c r="AS62" t="str">
        <f ca="1">IF(AND(((COLUMN()-10)&lt;=playercnt),((ROW()-41)&lt;=playercnt)),SUMPRODUCT(INDIRECT(ADDRESS(3,ROW()-31,1)):INDIRECT(ADDRESS(22,ROW()-31,1)),AS$3:AS$22),"")</f>
        <v/>
      </c>
      <c r="AT62" t="str">
        <f ca="1">IF(AND(((COLUMN()-10)&lt;=playercnt),((ROW()-41)&lt;=playercnt)),SUMPRODUCT(INDIRECT(ADDRESS(3,ROW()-31,1)):INDIRECT(ADDRESS(22,ROW()-31,1)),AT$3:AT$22),"")</f>
        <v/>
      </c>
      <c r="AU62" t="str">
        <f ca="1">IF(AND(((COLUMN()-10)&lt;=playercnt),((ROW()-41)&lt;=playercnt)),SUMPRODUCT(INDIRECT(ADDRESS(3,ROW()-31,1)):INDIRECT(ADDRESS(22,ROW()-31,1)),AU$3:AU$22),"")</f>
        <v/>
      </c>
      <c r="AV62" t="str">
        <f ca="1">IF(AND(((COLUMN()-10)&lt;=playercnt),((ROW()-41)&lt;=playercnt)),SUMPRODUCT(INDIRECT(ADDRESS(3,ROW()-31,1)):INDIRECT(ADDRESS(22,ROW()-31,1)),AV$3:AV$22),"")</f>
        <v/>
      </c>
      <c r="AW62" t="str">
        <f ca="1">IF(AND(((COLUMN()-10)&lt;=playercnt),((ROW()-41)&lt;=playercnt)),SUMPRODUCT(INDIRECT(ADDRESS(3,ROW()-31,1)):INDIRECT(ADDRESS(22,ROW()-31,1)),AW$3:AW$22),"")</f>
        <v/>
      </c>
      <c r="AX62" t="str">
        <f ca="1">IF(AND(((COLUMN()-10)&lt;=playercnt),((ROW()-41)&lt;=playercnt)),SUMPRODUCT(INDIRECT(ADDRESS(3,ROW()-31,1)):INDIRECT(ADDRESS(22,ROW()-31,1)),AX$3:AX$22),"")</f>
        <v/>
      </c>
      <c r="AY62" t="str">
        <f ca="1">IF(AND(((COLUMN()-10)&lt;=playercnt),((ROW()-41)&lt;=playercnt)),SUMPRODUCT(INDIRECT(ADDRESS(3,ROW()-31,1)):INDIRECT(ADDRESS(22,ROW()-31,1)),AY$3:AY$22),"")</f>
        <v/>
      </c>
      <c r="AZ62" t="str">
        <f ca="1">IF(AND(((COLUMN()-10)&lt;=playercnt),((ROW()-41)&lt;=playercnt)),SUMPRODUCT(INDIRECT(ADDRESS(3,ROW()-31,1)):INDIRECT(ADDRESS(22,ROW()-31,1)),AZ$3:AZ$22),"")</f>
        <v/>
      </c>
      <c r="BA62" t="str">
        <f ca="1">IF(AND(((COLUMN()-10)&lt;=playercnt),((ROW()-41)&lt;=playercnt)),SUMPRODUCT(INDIRECT(ADDRESS(3,ROW()-31,1)):INDIRECT(ADDRESS(22,ROW()-31,1)),BA$3:BA$22),"")</f>
        <v/>
      </c>
      <c r="BB62" t="str">
        <f ca="1">IF(AND(((COLUMN()-10)&lt;=playercnt),((ROW()-41)&lt;=playercnt)),SUMPRODUCT(INDIRECT(ADDRESS(3,ROW()-31,1)):INDIRECT(ADDRESS(22,ROW()-31,1)),BB$3:BB$22),"")</f>
        <v/>
      </c>
      <c r="BC62" t="str">
        <f ca="1">IF(AND(((COLUMN()-10)&lt;=playercnt),((ROW()-41)&lt;=playercnt)),SUMPRODUCT(INDIRECT(ADDRESS(3,ROW()-31,1)):INDIRECT(ADDRESS(22,ROW()-31,1)),BC$3:BC$22),"")</f>
        <v/>
      </c>
      <c r="BD62" t="str">
        <f ca="1">IF(AND(((COLUMN()-10)&lt;=playercnt),((ROW()-41)&lt;=playercnt)),SUMPRODUCT(INDIRECT(ADDRESS(3,ROW()-31,1)):INDIRECT(ADDRESS(22,ROW()-31,1)),BD$3:BD$22),"")</f>
        <v/>
      </c>
      <c r="BE62" t="str">
        <f ca="1">IF(AND(((COLUMN()-10)&lt;=playercnt),((ROW()-41)&lt;=playercnt)),SUMPRODUCT(INDIRECT(ADDRESS(3,ROW()-31,1)):INDIRECT(ADDRESS(22,ROW()-31,1)),BE$3:BE$22),"")</f>
        <v/>
      </c>
      <c r="BF62" t="str">
        <f ca="1">IF(AND(((COLUMN()-10)&lt;=playercnt),((ROW()-41)&lt;=playercnt)),SUMPRODUCT(INDIRECT(ADDRESS(3,ROW()-31,1)):INDIRECT(ADDRESS(22,ROW()-31,1)),BF$3:BF$22),"")</f>
        <v/>
      </c>
      <c r="BG62" t="str">
        <f ca="1">IF(AND(((COLUMN()-10)&lt;=playercnt),((ROW()-41)&lt;=playercnt)),SUMPRODUCT(INDIRECT(ADDRESS(3,ROW()-31,1)):INDIRECT(ADDRESS(22,ROW()-31,1)),BG$3:BG$22),"")</f>
        <v/>
      </c>
      <c r="BH62" t="str">
        <f ca="1">IF(AND(((COLUMN()-10)&lt;=playercnt),((ROW()-41)&lt;=playercnt)),SUMPRODUCT(INDIRECT(ADDRESS(3,ROW()-31,1)):INDIRECT(ADDRESS(22,ROW()-31,1)),BH$3:BH$22),"")</f>
        <v/>
      </c>
      <c r="BI62" t="str">
        <f ca="1">IF(AND(((COLUMN()-10)&lt;=playercnt),((ROW()-41)&lt;=playercnt)),SUMPRODUCT(INDIRECT(ADDRESS(3,ROW()-31,1)):INDIRECT(ADDRESS(22,ROW()-31,1)),BI$3:BI$22),"")</f>
        <v/>
      </c>
      <c r="BJ62" t="str">
        <f ca="1">IF(AND(((COLUMN()-10)&lt;=playercnt),((ROW()-41)&lt;=playercnt)),SUMPRODUCT(INDIRECT(ADDRESS(3,ROW()-31,1)):INDIRECT(ADDRESS(22,ROW()-31,1)),BJ$3:BJ$22),"")</f>
        <v/>
      </c>
      <c r="BK62" t="str">
        <f ca="1">IF(AND(((COLUMN()-10)&lt;=playercnt),((ROW()-41)&lt;=playercnt)),SUMPRODUCT(INDIRECT(ADDRESS(3,ROW()-31,1)):INDIRECT(ADDRESS(22,ROW()-31,1)),BK$3:BK$22),"")</f>
        <v/>
      </c>
      <c r="BL62" t="str">
        <f ca="1">IF(AND(((COLUMN()-10)&lt;=playercnt),((ROW()-41)&lt;=playercnt)),SUMPRODUCT(INDIRECT(ADDRESS(3,ROW()-31,1)):INDIRECT(ADDRESS(22,ROW()-31,1)),BL$3:BL$22),"")</f>
        <v/>
      </c>
      <c r="BM62" t="str">
        <f ca="1">IF(AND(((COLUMN()-10)&lt;=playercnt),((ROW()-41)&lt;=playercnt)),SUMPRODUCT(INDIRECT(ADDRESS(3,ROW()-31,1)):INDIRECT(ADDRESS(22,ROW()-31,1)),BM$3:BM$22),"")</f>
        <v/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>
      <c r="B63" s="27" t="str">
        <f t="shared" ca="1" si="29"/>
        <v/>
      </c>
      <c r="C63" t="str">
        <f t="shared" ca="1" si="30"/>
        <v/>
      </c>
      <c r="G63" t="str">
        <f ca="1">IF(AND(((COLUMN()-10)&lt;=playercnt),((ROW()-41)&lt;=playercnt)),SUMPRODUCT(INDIRECT(ADDRESS(3,ROW()-31,1)):INDIRECT(ADDRESS(22,ROW()-31,1)),G$3:G$22),"")</f>
        <v/>
      </c>
      <c r="H63" t="str">
        <f ca="1">IF(AND(((COLUMN()-10)&lt;=playercnt),((ROW()-41)&lt;=playercnt)),SUMPRODUCT(INDIRECT(ADDRESS(3,ROW()-31,1)):INDIRECT(ADDRESS(22,ROW()-31,1)),H$3:H$22),"")</f>
        <v/>
      </c>
      <c r="I63" t="str">
        <f ca="1">IF(AND(((COLUMN()-10)&lt;=playercnt),((ROW()-41)&lt;=playercnt)),SUMPRODUCT(INDIRECT(ADDRESS(3,ROW()-31,1)):INDIRECT(ADDRESS(22,ROW()-31,1)),I$3:I$22),"")</f>
        <v/>
      </c>
      <c r="J63" t="str">
        <f ca="1">IF(AND(((COLUMN()-10)&lt;=playercnt),((ROW()-41)&lt;=playercnt)),SUMPRODUCT(INDIRECT(ADDRESS(3,ROW()-31,1)):INDIRECT(ADDRESS(22,ROW()-31,1)),J$3:J$22),"")</f>
        <v/>
      </c>
      <c r="K63" t="str">
        <f ca="1">IF(AND(((COLUMN()-10)&lt;=playercnt),((ROW()-41)&lt;=playercnt)),SUMPRODUCT(INDIRECT(ADDRESS(3,ROW()-31,1)):INDIRECT(ADDRESS(22,ROW()-31,1)),K$3:K$22),"")</f>
        <v/>
      </c>
      <c r="L63" t="str">
        <f ca="1">IF(AND(((COLUMN()-10)&lt;=playercnt),((ROW()-41)&lt;=playercnt)),SUMPRODUCT(INDIRECT(ADDRESS(3,ROW()-31,1)):INDIRECT(ADDRESS(22,ROW()-31,1)),L$3:L$22),"")</f>
        <v/>
      </c>
      <c r="M63" t="str">
        <f ca="1">IF(AND(((COLUMN()-10)&lt;=playercnt),((ROW()-41)&lt;=playercnt)),SUMPRODUCT(INDIRECT(ADDRESS(3,ROW()-31,1)):INDIRECT(ADDRESS(22,ROW()-31,1)),M$3:M$22),"")</f>
        <v/>
      </c>
      <c r="N63" t="str">
        <f ca="1">IF(AND(((COLUMN()-10)&lt;=playercnt),((ROW()-41)&lt;=playercnt)),SUMPRODUCT(INDIRECT(ADDRESS(3,ROW()-31,1)):INDIRECT(ADDRESS(22,ROW()-31,1)),N$3:N$22),"")</f>
        <v/>
      </c>
      <c r="O63" t="str">
        <f ca="1">IF(AND(((COLUMN()-10)&lt;=playercnt),((ROW()-41)&lt;=playercnt)),SUMPRODUCT(INDIRECT(ADDRESS(3,ROW()-31,1)):INDIRECT(ADDRESS(22,ROW()-31,1)),O$3:O$22),"")</f>
        <v/>
      </c>
      <c r="P63" t="str">
        <f ca="1">IF(AND(((COLUMN()-10)&lt;=playercnt),((ROW()-41)&lt;=playercnt)),SUMPRODUCT(INDIRECT(ADDRESS(3,ROW()-31,1)):INDIRECT(ADDRESS(22,ROW()-31,1)),P$3:P$22),"")</f>
        <v/>
      </c>
      <c r="Q63" t="str">
        <f ca="1">IF(AND(((COLUMN()-10)&lt;=playercnt),((ROW()-41)&lt;=playercnt)),SUMPRODUCT(INDIRECT(ADDRESS(3,ROW()-31,1)):INDIRECT(ADDRESS(22,ROW()-31,1)),Q$3:Q$22),"")</f>
        <v/>
      </c>
      <c r="R63" t="str">
        <f ca="1">IF(AND(((COLUMN()-10)&lt;=playercnt),((ROW()-41)&lt;=playercnt)),SUMPRODUCT(INDIRECT(ADDRESS(3,ROW()-31,1)):INDIRECT(ADDRESS(22,ROW()-31,1)),R$3:R$22),"")</f>
        <v/>
      </c>
      <c r="S63" t="str">
        <f ca="1">IF(AND(((COLUMN()-10)&lt;=playercnt),((ROW()-41)&lt;=playercnt)),SUMPRODUCT(INDIRECT(ADDRESS(3,ROW()-31,1)):INDIRECT(ADDRESS(22,ROW()-31,1)),S$3:S$22),"")</f>
        <v/>
      </c>
      <c r="T63" t="str">
        <f ca="1">IF(AND(((COLUMN()-10)&lt;=playercnt),((ROW()-41)&lt;=playercnt)),SUMPRODUCT(INDIRECT(ADDRESS(3,ROW()-31,1)):INDIRECT(ADDRESS(22,ROW()-31,1)),T$3:T$22),"")</f>
        <v/>
      </c>
      <c r="U63" t="str">
        <f ca="1">IF(AND(((COLUMN()-10)&lt;=playercnt),((ROW()-41)&lt;=playercnt)),SUMPRODUCT(INDIRECT(ADDRESS(3,ROW()-31,1)):INDIRECT(ADDRESS(22,ROW()-31,1)),U$3:U$22),"")</f>
        <v/>
      </c>
      <c r="V63" t="str">
        <f ca="1">IF(AND(((COLUMN()-10)&lt;=playercnt),((ROW()-41)&lt;=playercnt)),SUMPRODUCT(INDIRECT(ADDRESS(3,ROW()-31,1)):INDIRECT(ADDRESS(22,ROW()-31,1)),V$3:V$22),"")</f>
        <v/>
      </c>
      <c r="W63" t="str">
        <f ca="1">IF(AND(((COLUMN()-10)&lt;=playercnt),((ROW()-41)&lt;=playercnt)),SUMPRODUCT(INDIRECT(ADDRESS(3,ROW()-31,1)):INDIRECT(ADDRESS(22,ROW()-31,1)),W$3:W$22),"")</f>
        <v/>
      </c>
      <c r="X63" t="str">
        <f ca="1">IF(AND(((COLUMN()-10)&lt;=playercnt),((ROW()-41)&lt;=playercnt)),SUMPRODUCT(INDIRECT(ADDRESS(3,ROW()-31,1)):INDIRECT(ADDRESS(22,ROW()-31,1)),X$3:X$22),"")</f>
        <v/>
      </c>
      <c r="Y63" t="str">
        <f ca="1">IF(AND(((COLUMN()-10)&lt;=playercnt),((ROW()-41)&lt;=playercnt)),SUMPRODUCT(INDIRECT(ADDRESS(3,ROW()-31,1)):INDIRECT(ADDRESS(22,ROW()-31,1)),Y$3:Y$22),"")</f>
        <v/>
      </c>
      <c r="Z63" t="str">
        <f ca="1">IF(AND(((COLUMN()-10)&lt;=playercnt),((ROW()-41)&lt;=playercnt)),SUMPRODUCT(INDIRECT(ADDRESS(3,ROW()-31,1)):INDIRECT(ADDRESS(22,ROW()-31,1)),Z$3:Z$22),"")</f>
        <v/>
      </c>
      <c r="AA63" t="str">
        <f ca="1">IF(AND(((COLUMN()-10)&lt;=playercnt),((ROW()-41)&lt;=playercnt)),SUMPRODUCT(INDIRECT(ADDRESS(3,ROW()-31,1)):INDIRECT(ADDRESS(22,ROW()-31,1)),AA$3:AA$22),"")</f>
        <v/>
      </c>
      <c r="AB63" t="str">
        <f ca="1">IF(AND(((COLUMN()-10)&lt;=playercnt),((ROW()-41)&lt;=playercnt)),SUMPRODUCT(INDIRECT(ADDRESS(3,ROW()-31,1)):INDIRECT(ADDRESS(22,ROW()-31,1)),AB$3:AB$22),"")</f>
        <v/>
      </c>
      <c r="AC63" t="str">
        <f ca="1">IF(AND(((COLUMN()-10)&lt;=playercnt),((ROW()-41)&lt;=playercnt)),SUMPRODUCT(INDIRECT(ADDRESS(3,ROW()-31,1)):INDIRECT(ADDRESS(22,ROW()-31,1)),AC$3:AC$22),"")</f>
        <v/>
      </c>
      <c r="AD63" t="str">
        <f ca="1">IF(AND(((COLUMN()-10)&lt;=playercnt),((ROW()-41)&lt;=playercnt)),SUMPRODUCT(INDIRECT(ADDRESS(3,ROW()-31,1)):INDIRECT(ADDRESS(22,ROW()-31,1)),AD$3:AD$22),"")</f>
        <v/>
      </c>
      <c r="AE63" t="str">
        <f ca="1">IF(AND(((COLUMN()-10)&lt;=playercnt),((ROW()-41)&lt;=playercnt)),SUMPRODUCT(INDIRECT(ADDRESS(3,ROW()-31,1)):INDIRECT(ADDRESS(22,ROW()-31,1)),AE$3:AE$22),"")</f>
        <v/>
      </c>
      <c r="AF63" t="str">
        <f ca="1">IF(AND(((COLUMN()-10)&lt;=playercnt),((ROW()-41)&lt;=playercnt)),SUMPRODUCT(INDIRECT(ADDRESS(3,ROW()-31,1)):INDIRECT(ADDRESS(22,ROW()-31,1)),AF$3:AF$22),"")</f>
        <v/>
      </c>
      <c r="AG63" t="str">
        <f ca="1">IF(AND(((COLUMN()-10)&lt;=playercnt),((ROW()-41)&lt;=playercnt)),SUMPRODUCT(INDIRECT(ADDRESS(3,ROW()-31,1)):INDIRECT(ADDRESS(22,ROW()-31,1)),AG$3:AG$22),"")</f>
        <v/>
      </c>
      <c r="AH63" t="str">
        <f ca="1">IF(AND(((COLUMN()-10)&lt;=playercnt),((ROW()-41)&lt;=playercnt)),SUMPRODUCT(INDIRECT(ADDRESS(3,ROW()-31,1)):INDIRECT(ADDRESS(22,ROW()-31,1)),AH$3:AH$22),"")</f>
        <v/>
      </c>
      <c r="AI63" t="str">
        <f ca="1">IF(AND(((COLUMN()-10)&lt;=playercnt),((ROW()-41)&lt;=playercnt)),SUMPRODUCT(INDIRECT(ADDRESS(3,ROW()-31,1)):INDIRECT(ADDRESS(22,ROW()-31,1)),AI$3:AI$22),"")</f>
        <v/>
      </c>
      <c r="AJ63" t="str">
        <f ca="1">IF(AND(((COLUMN()-10)&lt;=playercnt),((ROW()-41)&lt;=playercnt)),SUMPRODUCT(INDIRECT(ADDRESS(3,ROW()-31,1)):INDIRECT(ADDRESS(22,ROW()-31,1)),AJ$3:AJ$22),"")</f>
        <v/>
      </c>
      <c r="AK63" t="str">
        <f ca="1">IF(AND(((COLUMN()-10)&lt;=playercnt),((ROW()-41)&lt;=playercnt)),SUMPRODUCT(INDIRECT(ADDRESS(3,ROW()-31,1)):INDIRECT(ADDRESS(22,ROW()-31,1)),AK$3:AK$22),"")</f>
        <v/>
      </c>
      <c r="AL63" t="str">
        <f ca="1">IF(AND(((COLUMN()-10)&lt;=playercnt),((ROW()-41)&lt;=playercnt)),SUMPRODUCT(INDIRECT(ADDRESS(3,ROW()-31,1)):INDIRECT(ADDRESS(22,ROW()-31,1)),AL$3:AL$22),"")</f>
        <v/>
      </c>
      <c r="AM63" t="str">
        <f ca="1">IF(AND(((COLUMN()-10)&lt;=playercnt),((ROW()-41)&lt;=playercnt)),SUMPRODUCT(INDIRECT(ADDRESS(3,ROW()-31,1)):INDIRECT(ADDRESS(22,ROW()-31,1)),AM$3:AM$22),"")</f>
        <v/>
      </c>
      <c r="AN63" t="str">
        <f ca="1">IF(AND(((COLUMN()-10)&lt;=playercnt),((ROW()-41)&lt;=playercnt)),SUMPRODUCT(INDIRECT(ADDRESS(3,ROW()-31,1)):INDIRECT(ADDRESS(22,ROW()-31,1)),AN$3:AN$22),"")</f>
        <v/>
      </c>
      <c r="AO63" t="str">
        <f ca="1">IF(AND(((COLUMN()-10)&lt;=playercnt),((ROW()-41)&lt;=playercnt)),SUMPRODUCT(INDIRECT(ADDRESS(3,ROW()-31,1)):INDIRECT(ADDRESS(22,ROW()-31,1)),AO$3:AO$22),"")</f>
        <v/>
      </c>
      <c r="AP63" t="str">
        <f ca="1">IF(AND(((COLUMN()-10)&lt;=playercnt),((ROW()-41)&lt;=playercnt)),SUMPRODUCT(INDIRECT(ADDRESS(3,ROW()-31,1)):INDIRECT(ADDRESS(22,ROW()-31,1)),AP$3:AP$22),"")</f>
        <v/>
      </c>
      <c r="AQ63" t="str">
        <f ca="1">IF(AND(((COLUMN()-10)&lt;=playercnt),((ROW()-41)&lt;=playercnt)),SUMPRODUCT(INDIRECT(ADDRESS(3,ROW()-31,1)):INDIRECT(ADDRESS(22,ROW()-31,1)),AQ$3:AQ$22),"")</f>
        <v/>
      </c>
      <c r="AR63" t="str">
        <f ca="1">IF(AND(((COLUMN()-10)&lt;=playercnt),((ROW()-41)&lt;=playercnt)),SUMPRODUCT(INDIRECT(ADDRESS(3,ROW()-31,1)):INDIRECT(ADDRESS(22,ROW()-31,1)),AR$3:AR$22),"")</f>
        <v/>
      </c>
      <c r="AS63" t="str">
        <f ca="1">IF(AND(((COLUMN()-10)&lt;=playercnt),((ROW()-41)&lt;=playercnt)),SUMPRODUCT(INDIRECT(ADDRESS(3,ROW()-31,1)):INDIRECT(ADDRESS(22,ROW()-31,1)),AS$3:AS$22),"")</f>
        <v/>
      </c>
      <c r="AT63" t="str">
        <f ca="1">IF(AND(((COLUMN()-10)&lt;=playercnt),((ROW()-41)&lt;=playercnt)),SUMPRODUCT(INDIRECT(ADDRESS(3,ROW()-31,1)):INDIRECT(ADDRESS(22,ROW()-31,1)),AT$3:AT$22),"")</f>
        <v/>
      </c>
      <c r="AU63" t="str">
        <f ca="1">IF(AND(((COLUMN()-10)&lt;=playercnt),((ROW()-41)&lt;=playercnt)),SUMPRODUCT(INDIRECT(ADDRESS(3,ROW()-31,1)):INDIRECT(ADDRESS(22,ROW()-31,1)),AU$3:AU$22),"")</f>
        <v/>
      </c>
      <c r="AV63" t="str">
        <f ca="1">IF(AND(((COLUMN()-10)&lt;=playercnt),((ROW()-41)&lt;=playercnt)),SUMPRODUCT(INDIRECT(ADDRESS(3,ROW()-31,1)):INDIRECT(ADDRESS(22,ROW()-31,1)),AV$3:AV$22),"")</f>
        <v/>
      </c>
      <c r="AW63" t="str">
        <f ca="1">IF(AND(((COLUMN()-10)&lt;=playercnt),((ROW()-41)&lt;=playercnt)),SUMPRODUCT(INDIRECT(ADDRESS(3,ROW()-31,1)):INDIRECT(ADDRESS(22,ROW()-31,1)),AW$3:AW$22),"")</f>
        <v/>
      </c>
      <c r="AX63" t="str">
        <f ca="1">IF(AND(((COLUMN()-10)&lt;=playercnt),((ROW()-41)&lt;=playercnt)),SUMPRODUCT(INDIRECT(ADDRESS(3,ROW()-31,1)):INDIRECT(ADDRESS(22,ROW()-31,1)),AX$3:AX$22),"")</f>
        <v/>
      </c>
      <c r="AY63" t="str">
        <f ca="1">IF(AND(((COLUMN()-10)&lt;=playercnt),((ROW()-41)&lt;=playercnt)),SUMPRODUCT(INDIRECT(ADDRESS(3,ROW()-31,1)):INDIRECT(ADDRESS(22,ROW()-31,1)),AY$3:AY$22),"")</f>
        <v/>
      </c>
      <c r="AZ63" t="str">
        <f ca="1">IF(AND(((COLUMN()-10)&lt;=playercnt),((ROW()-41)&lt;=playercnt)),SUMPRODUCT(INDIRECT(ADDRESS(3,ROW()-31,1)):INDIRECT(ADDRESS(22,ROW()-31,1)),AZ$3:AZ$22),"")</f>
        <v/>
      </c>
      <c r="BA63" t="str">
        <f ca="1">IF(AND(((COLUMN()-10)&lt;=playercnt),((ROW()-41)&lt;=playercnt)),SUMPRODUCT(INDIRECT(ADDRESS(3,ROW()-31,1)):INDIRECT(ADDRESS(22,ROW()-31,1)),BA$3:BA$22),"")</f>
        <v/>
      </c>
      <c r="BB63" t="str">
        <f ca="1">IF(AND(((COLUMN()-10)&lt;=playercnt),((ROW()-41)&lt;=playercnt)),SUMPRODUCT(INDIRECT(ADDRESS(3,ROW()-31,1)):INDIRECT(ADDRESS(22,ROW()-31,1)),BB$3:BB$22),"")</f>
        <v/>
      </c>
      <c r="BC63" t="str">
        <f ca="1">IF(AND(((COLUMN()-10)&lt;=playercnt),((ROW()-41)&lt;=playercnt)),SUMPRODUCT(INDIRECT(ADDRESS(3,ROW()-31,1)):INDIRECT(ADDRESS(22,ROW()-31,1)),BC$3:BC$22),"")</f>
        <v/>
      </c>
      <c r="BD63" t="str">
        <f ca="1">IF(AND(((COLUMN()-10)&lt;=playercnt),((ROW()-41)&lt;=playercnt)),SUMPRODUCT(INDIRECT(ADDRESS(3,ROW()-31,1)):INDIRECT(ADDRESS(22,ROW()-31,1)),BD$3:BD$22),"")</f>
        <v/>
      </c>
      <c r="BE63" t="str">
        <f ca="1">IF(AND(((COLUMN()-10)&lt;=playercnt),((ROW()-41)&lt;=playercnt)),SUMPRODUCT(INDIRECT(ADDRESS(3,ROW()-31,1)):INDIRECT(ADDRESS(22,ROW()-31,1)),BE$3:BE$22),"")</f>
        <v/>
      </c>
      <c r="BF63" t="str">
        <f ca="1">IF(AND(((COLUMN()-10)&lt;=playercnt),((ROW()-41)&lt;=playercnt)),SUMPRODUCT(INDIRECT(ADDRESS(3,ROW()-31,1)):INDIRECT(ADDRESS(22,ROW()-31,1)),BF$3:BF$22),"")</f>
        <v/>
      </c>
      <c r="BG63" t="str">
        <f ca="1">IF(AND(((COLUMN()-10)&lt;=playercnt),((ROW()-41)&lt;=playercnt)),SUMPRODUCT(INDIRECT(ADDRESS(3,ROW()-31,1)):INDIRECT(ADDRESS(22,ROW()-31,1)),BG$3:BG$22),"")</f>
        <v/>
      </c>
      <c r="BH63" t="str">
        <f ca="1">IF(AND(((COLUMN()-10)&lt;=playercnt),((ROW()-41)&lt;=playercnt)),SUMPRODUCT(INDIRECT(ADDRESS(3,ROW()-31,1)):INDIRECT(ADDRESS(22,ROW()-31,1)),BH$3:BH$22),"")</f>
        <v/>
      </c>
      <c r="BI63" t="str">
        <f ca="1">IF(AND(((COLUMN()-10)&lt;=playercnt),((ROW()-41)&lt;=playercnt)),SUMPRODUCT(INDIRECT(ADDRESS(3,ROW()-31,1)):INDIRECT(ADDRESS(22,ROW()-31,1)),BI$3:BI$22),"")</f>
        <v/>
      </c>
      <c r="BJ63" t="str">
        <f ca="1">IF(AND(((COLUMN()-10)&lt;=playercnt),((ROW()-41)&lt;=playercnt)),SUMPRODUCT(INDIRECT(ADDRESS(3,ROW()-31,1)):INDIRECT(ADDRESS(22,ROW()-31,1)),BJ$3:BJ$22),"")</f>
        <v/>
      </c>
      <c r="BK63" t="str">
        <f ca="1">IF(AND(((COLUMN()-10)&lt;=playercnt),((ROW()-41)&lt;=playercnt)),SUMPRODUCT(INDIRECT(ADDRESS(3,ROW()-31,1)):INDIRECT(ADDRESS(22,ROW()-31,1)),BK$3:BK$22),"")</f>
        <v/>
      </c>
      <c r="BL63" t="str">
        <f ca="1">IF(AND(((COLUMN()-10)&lt;=playercnt),((ROW()-41)&lt;=playercnt)),SUMPRODUCT(INDIRECT(ADDRESS(3,ROW()-31,1)):INDIRECT(ADDRESS(22,ROW()-31,1)),BL$3:BL$22),"")</f>
        <v/>
      </c>
      <c r="BM63" t="str">
        <f ca="1">IF(AND(((COLUMN()-10)&lt;=playercnt),((ROW()-41)&lt;=playercnt)),SUMPRODUCT(INDIRECT(ADDRESS(3,ROW()-31,1)):INDIRECT(ADDRESS(22,ROW()-31,1)),BM$3:BM$22),"")</f>
        <v/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>
      <c r="B64" s="27" t="str">
        <f t="shared" ca="1" si="29"/>
        <v/>
      </c>
      <c r="C64" t="str">
        <f t="shared" ca="1" si="30"/>
        <v/>
      </c>
      <c r="G64" t="str">
        <f ca="1">IF(AND(((COLUMN()-10)&lt;=playercnt),((ROW()-41)&lt;=playercnt)),SUMPRODUCT(INDIRECT(ADDRESS(3,ROW()-31,1)):INDIRECT(ADDRESS(22,ROW()-31,1)),G$3:G$22),"")</f>
        <v/>
      </c>
      <c r="H64" t="str">
        <f ca="1">IF(AND(((COLUMN()-10)&lt;=playercnt),((ROW()-41)&lt;=playercnt)),SUMPRODUCT(INDIRECT(ADDRESS(3,ROW()-31,1)):INDIRECT(ADDRESS(22,ROW()-31,1)),H$3:H$22),"")</f>
        <v/>
      </c>
      <c r="I64" t="str">
        <f ca="1">IF(AND(((COLUMN()-10)&lt;=playercnt),((ROW()-41)&lt;=playercnt)),SUMPRODUCT(INDIRECT(ADDRESS(3,ROW()-31,1)):INDIRECT(ADDRESS(22,ROW()-31,1)),I$3:I$22),"")</f>
        <v/>
      </c>
      <c r="J64" t="str">
        <f ca="1">IF(AND(((COLUMN()-10)&lt;=playercnt),((ROW()-41)&lt;=playercnt)),SUMPRODUCT(INDIRECT(ADDRESS(3,ROW()-31,1)):INDIRECT(ADDRESS(22,ROW()-31,1)),J$3:J$22),"")</f>
        <v/>
      </c>
      <c r="K64" t="str">
        <f ca="1">IF(AND(((COLUMN()-10)&lt;=playercnt),((ROW()-41)&lt;=playercnt)),SUMPRODUCT(INDIRECT(ADDRESS(3,ROW()-31,1)):INDIRECT(ADDRESS(22,ROW()-31,1)),K$3:K$22),"")</f>
        <v/>
      </c>
      <c r="L64" t="str">
        <f ca="1">IF(AND(((COLUMN()-10)&lt;=playercnt),((ROW()-41)&lt;=playercnt)),SUMPRODUCT(INDIRECT(ADDRESS(3,ROW()-31,1)):INDIRECT(ADDRESS(22,ROW()-31,1)),L$3:L$22),"")</f>
        <v/>
      </c>
      <c r="M64" t="str">
        <f ca="1">IF(AND(((COLUMN()-10)&lt;=playercnt),((ROW()-41)&lt;=playercnt)),SUMPRODUCT(INDIRECT(ADDRESS(3,ROW()-31,1)):INDIRECT(ADDRESS(22,ROW()-31,1)),M$3:M$22),"")</f>
        <v/>
      </c>
      <c r="N64" t="str">
        <f ca="1">IF(AND(((COLUMN()-10)&lt;=playercnt),((ROW()-41)&lt;=playercnt)),SUMPRODUCT(INDIRECT(ADDRESS(3,ROW()-31,1)):INDIRECT(ADDRESS(22,ROW()-31,1)),N$3:N$22),"")</f>
        <v/>
      </c>
      <c r="O64" t="str">
        <f ca="1">IF(AND(((COLUMN()-10)&lt;=playercnt),((ROW()-41)&lt;=playercnt)),SUMPRODUCT(INDIRECT(ADDRESS(3,ROW()-31,1)):INDIRECT(ADDRESS(22,ROW()-31,1)),O$3:O$22),"")</f>
        <v/>
      </c>
      <c r="P64" t="str">
        <f ca="1">IF(AND(((COLUMN()-10)&lt;=playercnt),((ROW()-41)&lt;=playercnt)),SUMPRODUCT(INDIRECT(ADDRESS(3,ROW()-31,1)):INDIRECT(ADDRESS(22,ROW()-31,1)),P$3:P$22),"")</f>
        <v/>
      </c>
      <c r="Q64" t="str">
        <f ca="1">IF(AND(((COLUMN()-10)&lt;=playercnt),((ROW()-41)&lt;=playercnt)),SUMPRODUCT(INDIRECT(ADDRESS(3,ROW()-31,1)):INDIRECT(ADDRESS(22,ROW()-31,1)),Q$3:Q$22),"")</f>
        <v/>
      </c>
      <c r="R64" t="str">
        <f ca="1">IF(AND(((COLUMN()-10)&lt;=playercnt),((ROW()-41)&lt;=playercnt)),SUMPRODUCT(INDIRECT(ADDRESS(3,ROW()-31,1)):INDIRECT(ADDRESS(22,ROW()-31,1)),R$3:R$22),"")</f>
        <v/>
      </c>
      <c r="S64" t="str">
        <f ca="1">IF(AND(((COLUMN()-10)&lt;=playercnt),((ROW()-41)&lt;=playercnt)),SUMPRODUCT(INDIRECT(ADDRESS(3,ROW()-31,1)):INDIRECT(ADDRESS(22,ROW()-31,1)),S$3:S$22),"")</f>
        <v/>
      </c>
      <c r="T64" t="str">
        <f ca="1">IF(AND(((COLUMN()-10)&lt;=playercnt),((ROW()-41)&lt;=playercnt)),SUMPRODUCT(INDIRECT(ADDRESS(3,ROW()-31,1)):INDIRECT(ADDRESS(22,ROW()-31,1)),T$3:T$22),"")</f>
        <v/>
      </c>
      <c r="U64" t="str">
        <f ca="1">IF(AND(((COLUMN()-10)&lt;=playercnt),((ROW()-41)&lt;=playercnt)),SUMPRODUCT(INDIRECT(ADDRESS(3,ROW()-31,1)):INDIRECT(ADDRESS(22,ROW()-31,1)),U$3:U$22),"")</f>
        <v/>
      </c>
      <c r="V64" t="str">
        <f ca="1">IF(AND(((COLUMN()-10)&lt;=playercnt),((ROW()-41)&lt;=playercnt)),SUMPRODUCT(INDIRECT(ADDRESS(3,ROW()-31,1)):INDIRECT(ADDRESS(22,ROW()-31,1)),V$3:V$22),"")</f>
        <v/>
      </c>
      <c r="W64" t="str">
        <f ca="1">IF(AND(((COLUMN()-10)&lt;=playercnt),((ROW()-41)&lt;=playercnt)),SUMPRODUCT(INDIRECT(ADDRESS(3,ROW()-31,1)):INDIRECT(ADDRESS(22,ROW()-31,1)),W$3:W$22),"")</f>
        <v/>
      </c>
      <c r="X64" t="str">
        <f ca="1">IF(AND(((COLUMN()-10)&lt;=playercnt),((ROW()-41)&lt;=playercnt)),SUMPRODUCT(INDIRECT(ADDRESS(3,ROW()-31,1)):INDIRECT(ADDRESS(22,ROW()-31,1)),X$3:X$22),"")</f>
        <v/>
      </c>
      <c r="Y64" t="str">
        <f ca="1">IF(AND(((COLUMN()-10)&lt;=playercnt),((ROW()-41)&lt;=playercnt)),SUMPRODUCT(INDIRECT(ADDRESS(3,ROW()-31,1)):INDIRECT(ADDRESS(22,ROW()-31,1)),Y$3:Y$22),"")</f>
        <v/>
      </c>
      <c r="Z64" t="str">
        <f ca="1">IF(AND(((COLUMN()-10)&lt;=playercnt),((ROW()-41)&lt;=playercnt)),SUMPRODUCT(INDIRECT(ADDRESS(3,ROW()-31,1)):INDIRECT(ADDRESS(22,ROW()-31,1)),Z$3:Z$22),"")</f>
        <v/>
      </c>
      <c r="AA64" t="str">
        <f ca="1">IF(AND(((COLUMN()-10)&lt;=playercnt),((ROW()-41)&lt;=playercnt)),SUMPRODUCT(INDIRECT(ADDRESS(3,ROW()-31,1)):INDIRECT(ADDRESS(22,ROW()-31,1)),AA$3:AA$22),"")</f>
        <v/>
      </c>
      <c r="AB64" t="str">
        <f ca="1">IF(AND(((COLUMN()-10)&lt;=playercnt),((ROW()-41)&lt;=playercnt)),SUMPRODUCT(INDIRECT(ADDRESS(3,ROW()-31,1)):INDIRECT(ADDRESS(22,ROW()-31,1)),AB$3:AB$22),"")</f>
        <v/>
      </c>
      <c r="AC64" t="str">
        <f ca="1">IF(AND(((COLUMN()-10)&lt;=playercnt),((ROW()-41)&lt;=playercnt)),SUMPRODUCT(INDIRECT(ADDRESS(3,ROW()-31,1)):INDIRECT(ADDRESS(22,ROW()-31,1)),AC$3:AC$22),"")</f>
        <v/>
      </c>
      <c r="AD64" t="str">
        <f ca="1">IF(AND(((COLUMN()-10)&lt;=playercnt),((ROW()-41)&lt;=playercnt)),SUMPRODUCT(INDIRECT(ADDRESS(3,ROW()-31,1)):INDIRECT(ADDRESS(22,ROW()-31,1)),AD$3:AD$22),"")</f>
        <v/>
      </c>
      <c r="AE64" t="str">
        <f ca="1">IF(AND(((COLUMN()-10)&lt;=playercnt),((ROW()-41)&lt;=playercnt)),SUMPRODUCT(INDIRECT(ADDRESS(3,ROW()-31,1)):INDIRECT(ADDRESS(22,ROW()-31,1)),AE$3:AE$22),"")</f>
        <v/>
      </c>
      <c r="AF64" t="str">
        <f ca="1">IF(AND(((COLUMN()-10)&lt;=playercnt),((ROW()-41)&lt;=playercnt)),SUMPRODUCT(INDIRECT(ADDRESS(3,ROW()-31,1)):INDIRECT(ADDRESS(22,ROW()-31,1)),AF$3:AF$22),"")</f>
        <v/>
      </c>
      <c r="AG64" t="str">
        <f ca="1">IF(AND(((COLUMN()-10)&lt;=playercnt),((ROW()-41)&lt;=playercnt)),SUMPRODUCT(INDIRECT(ADDRESS(3,ROW()-31,1)):INDIRECT(ADDRESS(22,ROW()-31,1)),AG$3:AG$22),"")</f>
        <v/>
      </c>
      <c r="AH64" t="str">
        <f ca="1">IF(AND(((COLUMN()-10)&lt;=playercnt),((ROW()-41)&lt;=playercnt)),SUMPRODUCT(INDIRECT(ADDRESS(3,ROW()-31,1)):INDIRECT(ADDRESS(22,ROW()-31,1)),AH$3:AH$22),"")</f>
        <v/>
      </c>
      <c r="AI64" t="str">
        <f ca="1">IF(AND(((COLUMN()-10)&lt;=playercnt),((ROW()-41)&lt;=playercnt)),SUMPRODUCT(INDIRECT(ADDRESS(3,ROW()-31,1)):INDIRECT(ADDRESS(22,ROW()-31,1)),AI$3:AI$22),"")</f>
        <v/>
      </c>
      <c r="AJ64" t="str">
        <f ca="1">IF(AND(((COLUMN()-10)&lt;=playercnt),((ROW()-41)&lt;=playercnt)),SUMPRODUCT(INDIRECT(ADDRESS(3,ROW()-31,1)):INDIRECT(ADDRESS(22,ROW()-31,1)),AJ$3:AJ$22),"")</f>
        <v/>
      </c>
      <c r="AK64" t="str">
        <f ca="1">IF(AND(((COLUMN()-10)&lt;=playercnt),((ROW()-41)&lt;=playercnt)),SUMPRODUCT(INDIRECT(ADDRESS(3,ROW()-31,1)):INDIRECT(ADDRESS(22,ROW()-31,1)),AK$3:AK$22),"")</f>
        <v/>
      </c>
      <c r="AL64" t="str">
        <f ca="1">IF(AND(((COLUMN()-10)&lt;=playercnt),((ROW()-41)&lt;=playercnt)),SUMPRODUCT(INDIRECT(ADDRESS(3,ROW()-31,1)):INDIRECT(ADDRESS(22,ROW()-31,1)),AL$3:AL$22),"")</f>
        <v/>
      </c>
      <c r="AM64" t="str">
        <f ca="1">IF(AND(((COLUMN()-10)&lt;=playercnt),((ROW()-41)&lt;=playercnt)),SUMPRODUCT(INDIRECT(ADDRESS(3,ROW()-31,1)):INDIRECT(ADDRESS(22,ROW()-31,1)),AM$3:AM$22),"")</f>
        <v/>
      </c>
      <c r="AN64" t="str">
        <f ca="1">IF(AND(((COLUMN()-10)&lt;=playercnt),((ROW()-41)&lt;=playercnt)),SUMPRODUCT(INDIRECT(ADDRESS(3,ROW()-31,1)):INDIRECT(ADDRESS(22,ROW()-31,1)),AN$3:AN$22),"")</f>
        <v/>
      </c>
      <c r="AO64" t="str">
        <f ca="1">IF(AND(((COLUMN()-10)&lt;=playercnt),((ROW()-41)&lt;=playercnt)),SUMPRODUCT(INDIRECT(ADDRESS(3,ROW()-31,1)):INDIRECT(ADDRESS(22,ROW()-31,1)),AO$3:AO$22),"")</f>
        <v/>
      </c>
      <c r="AP64" t="str">
        <f ca="1">IF(AND(((COLUMN()-10)&lt;=playercnt),((ROW()-41)&lt;=playercnt)),SUMPRODUCT(INDIRECT(ADDRESS(3,ROW()-31,1)):INDIRECT(ADDRESS(22,ROW()-31,1)),AP$3:AP$22),"")</f>
        <v/>
      </c>
      <c r="AQ64" t="str">
        <f ca="1">IF(AND(((COLUMN()-10)&lt;=playercnt),((ROW()-41)&lt;=playercnt)),SUMPRODUCT(INDIRECT(ADDRESS(3,ROW()-31,1)):INDIRECT(ADDRESS(22,ROW()-31,1)),AQ$3:AQ$22),"")</f>
        <v/>
      </c>
      <c r="AR64" t="str">
        <f ca="1">IF(AND(((COLUMN()-10)&lt;=playercnt),((ROW()-41)&lt;=playercnt)),SUMPRODUCT(INDIRECT(ADDRESS(3,ROW()-31,1)):INDIRECT(ADDRESS(22,ROW()-31,1)),AR$3:AR$22),"")</f>
        <v/>
      </c>
      <c r="AS64" t="str">
        <f ca="1">IF(AND(((COLUMN()-10)&lt;=playercnt),((ROW()-41)&lt;=playercnt)),SUMPRODUCT(INDIRECT(ADDRESS(3,ROW()-31,1)):INDIRECT(ADDRESS(22,ROW()-31,1)),AS$3:AS$22),"")</f>
        <v/>
      </c>
      <c r="AT64" t="str">
        <f ca="1">IF(AND(((COLUMN()-10)&lt;=playercnt),((ROW()-41)&lt;=playercnt)),SUMPRODUCT(INDIRECT(ADDRESS(3,ROW()-31,1)):INDIRECT(ADDRESS(22,ROW()-31,1)),AT$3:AT$22),"")</f>
        <v/>
      </c>
      <c r="AU64" t="str">
        <f ca="1">IF(AND(((COLUMN()-10)&lt;=playercnt),((ROW()-41)&lt;=playercnt)),SUMPRODUCT(INDIRECT(ADDRESS(3,ROW()-31,1)):INDIRECT(ADDRESS(22,ROW()-31,1)),AU$3:AU$22),"")</f>
        <v/>
      </c>
      <c r="AV64" t="str">
        <f ca="1">IF(AND(((COLUMN()-10)&lt;=playercnt),((ROW()-41)&lt;=playercnt)),SUMPRODUCT(INDIRECT(ADDRESS(3,ROW()-31,1)):INDIRECT(ADDRESS(22,ROW()-31,1)),AV$3:AV$22),"")</f>
        <v/>
      </c>
      <c r="AW64" t="str">
        <f ca="1">IF(AND(((COLUMN()-10)&lt;=playercnt),((ROW()-41)&lt;=playercnt)),SUMPRODUCT(INDIRECT(ADDRESS(3,ROW()-31,1)):INDIRECT(ADDRESS(22,ROW()-31,1)),AW$3:AW$22),"")</f>
        <v/>
      </c>
      <c r="AX64" t="str">
        <f ca="1">IF(AND(((COLUMN()-10)&lt;=playercnt),((ROW()-41)&lt;=playercnt)),SUMPRODUCT(INDIRECT(ADDRESS(3,ROW()-31,1)):INDIRECT(ADDRESS(22,ROW()-31,1)),AX$3:AX$22),"")</f>
        <v/>
      </c>
      <c r="AY64" t="str">
        <f ca="1">IF(AND(((COLUMN()-10)&lt;=playercnt),((ROW()-41)&lt;=playercnt)),SUMPRODUCT(INDIRECT(ADDRESS(3,ROW()-31,1)):INDIRECT(ADDRESS(22,ROW()-31,1)),AY$3:AY$22),"")</f>
        <v/>
      </c>
      <c r="AZ64" t="str">
        <f ca="1">IF(AND(((COLUMN()-10)&lt;=playercnt),((ROW()-41)&lt;=playercnt)),SUMPRODUCT(INDIRECT(ADDRESS(3,ROW()-31,1)):INDIRECT(ADDRESS(22,ROW()-31,1)),AZ$3:AZ$22),"")</f>
        <v/>
      </c>
      <c r="BA64" t="str">
        <f ca="1">IF(AND(((COLUMN()-10)&lt;=playercnt),((ROW()-41)&lt;=playercnt)),SUMPRODUCT(INDIRECT(ADDRESS(3,ROW()-31,1)):INDIRECT(ADDRESS(22,ROW()-31,1)),BA$3:BA$22),"")</f>
        <v/>
      </c>
      <c r="BB64" t="str">
        <f ca="1">IF(AND(((COLUMN()-10)&lt;=playercnt),((ROW()-41)&lt;=playercnt)),SUMPRODUCT(INDIRECT(ADDRESS(3,ROW()-31,1)):INDIRECT(ADDRESS(22,ROW()-31,1)),BB$3:BB$22),"")</f>
        <v/>
      </c>
      <c r="BC64" t="str">
        <f ca="1">IF(AND(((COLUMN()-10)&lt;=playercnt),((ROW()-41)&lt;=playercnt)),SUMPRODUCT(INDIRECT(ADDRESS(3,ROW()-31,1)):INDIRECT(ADDRESS(22,ROW()-31,1)),BC$3:BC$22),"")</f>
        <v/>
      </c>
      <c r="BD64" t="str">
        <f ca="1">IF(AND(((COLUMN()-10)&lt;=playercnt),((ROW()-41)&lt;=playercnt)),SUMPRODUCT(INDIRECT(ADDRESS(3,ROW()-31,1)):INDIRECT(ADDRESS(22,ROW()-31,1)),BD$3:BD$22),"")</f>
        <v/>
      </c>
      <c r="BE64" t="str">
        <f ca="1">IF(AND(((COLUMN()-10)&lt;=playercnt),((ROW()-41)&lt;=playercnt)),SUMPRODUCT(INDIRECT(ADDRESS(3,ROW()-31,1)):INDIRECT(ADDRESS(22,ROW()-31,1)),BE$3:BE$22),"")</f>
        <v/>
      </c>
      <c r="BF64" t="str">
        <f ca="1">IF(AND(((COLUMN()-10)&lt;=playercnt),((ROW()-41)&lt;=playercnt)),SUMPRODUCT(INDIRECT(ADDRESS(3,ROW()-31,1)):INDIRECT(ADDRESS(22,ROW()-31,1)),BF$3:BF$22),"")</f>
        <v/>
      </c>
      <c r="BG64" t="str">
        <f ca="1">IF(AND(((COLUMN()-10)&lt;=playercnt),((ROW()-41)&lt;=playercnt)),SUMPRODUCT(INDIRECT(ADDRESS(3,ROW()-31,1)):INDIRECT(ADDRESS(22,ROW()-31,1)),BG$3:BG$22),"")</f>
        <v/>
      </c>
      <c r="BH64" t="str">
        <f ca="1">IF(AND(((COLUMN()-10)&lt;=playercnt),((ROW()-41)&lt;=playercnt)),SUMPRODUCT(INDIRECT(ADDRESS(3,ROW()-31,1)):INDIRECT(ADDRESS(22,ROW()-31,1)),BH$3:BH$22),"")</f>
        <v/>
      </c>
      <c r="BI64" t="str">
        <f ca="1">IF(AND(((COLUMN()-10)&lt;=playercnt),((ROW()-41)&lt;=playercnt)),SUMPRODUCT(INDIRECT(ADDRESS(3,ROW()-31,1)):INDIRECT(ADDRESS(22,ROW()-31,1)),BI$3:BI$22),"")</f>
        <v/>
      </c>
      <c r="BJ64" t="str">
        <f ca="1">IF(AND(((COLUMN()-10)&lt;=playercnt),((ROW()-41)&lt;=playercnt)),SUMPRODUCT(INDIRECT(ADDRESS(3,ROW()-31,1)):INDIRECT(ADDRESS(22,ROW()-31,1)),BJ$3:BJ$22),"")</f>
        <v/>
      </c>
      <c r="BK64" t="str">
        <f ca="1">IF(AND(((COLUMN()-10)&lt;=playercnt),((ROW()-41)&lt;=playercnt)),SUMPRODUCT(INDIRECT(ADDRESS(3,ROW()-31,1)):INDIRECT(ADDRESS(22,ROW()-31,1)),BK$3:BK$22),"")</f>
        <v/>
      </c>
      <c r="BL64" t="str">
        <f ca="1">IF(AND(((COLUMN()-10)&lt;=playercnt),((ROW()-41)&lt;=playercnt)),SUMPRODUCT(INDIRECT(ADDRESS(3,ROW()-31,1)):INDIRECT(ADDRESS(22,ROW()-31,1)),BL$3:BL$22),"")</f>
        <v/>
      </c>
      <c r="BM64" t="str">
        <f ca="1">IF(AND(((COLUMN()-10)&lt;=playercnt),((ROW()-41)&lt;=playercnt)),SUMPRODUCT(INDIRECT(ADDRESS(3,ROW()-31,1)):INDIRECT(ADDRESS(22,ROW()-31,1)),BM$3:BM$22),"")</f>
        <v/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>
      <c r="B65" s="27" t="str">
        <f t="shared" ca="1" si="29"/>
        <v/>
      </c>
      <c r="C65" t="str">
        <f t="shared" ca="1" si="30"/>
        <v/>
      </c>
      <c r="G65" t="str">
        <f ca="1">IF(AND(((COLUMN()-10)&lt;=playercnt),((ROW()-41)&lt;=playercnt)),SUMPRODUCT(INDIRECT(ADDRESS(3,ROW()-31,1)):INDIRECT(ADDRESS(22,ROW()-31,1)),G$3:G$22),"")</f>
        <v/>
      </c>
      <c r="H65" t="str">
        <f ca="1">IF(AND(((COLUMN()-10)&lt;=playercnt),((ROW()-41)&lt;=playercnt)),SUMPRODUCT(INDIRECT(ADDRESS(3,ROW()-31,1)):INDIRECT(ADDRESS(22,ROW()-31,1)),H$3:H$22),"")</f>
        <v/>
      </c>
      <c r="I65" t="str">
        <f ca="1">IF(AND(((COLUMN()-10)&lt;=playercnt),((ROW()-41)&lt;=playercnt)),SUMPRODUCT(INDIRECT(ADDRESS(3,ROW()-31,1)):INDIRECT(ADDRESS(22,ROW()-31,1)),I$3:I$22),"")</f>
        <v/>
      </c>
      <c r="J65" t="str">
        <f ca="1">IF(AND(((COLUMN()-10)&lt;=playercnt),((ROW()-41)&lt;=playercnt)),SUMPRODUCT(INDIRECT(ADDRESS(3,ROW()-31,1)):INDIRECT(ADDRESS(22,ROW()-31,1)),J$3:J$22),"")</f>
        <v/>
      </c>
      <c r="K65" t="str">
        <f ca="1">IF(AND(((COLUMN()-10)&lt;=playercnt),((ROW()-41)&lt;=playercnt)),SUMPRODUCT(INDIRECT(ADDRESS(3,ROW()-31,1)):INDIRECT(ADDRESS(22,ROW()-31,1)),K$3:K$22),"")</f>
        <v/>
      </c>
      <c r="L65" t="str">
        <f ca="1">IF(AND(((COLUMN()-10)&lt;=playercnt),((ROW()-41)&lt;=playercnt)),SUMPRODUCT(INDIRECT(ADDRESS(3,ROW()-31,1)):INDIRECT(ADDRESS(22,ROW()-31,1)),L$3:L$22),"")</f>
        <v/>
      </c>
      <c r="M65" t="str">
        <f ca="1">IF(AND(((COLUMN()-10)&lt;=playercnt),((ROW()-41)&lt;=playercnt)),SUMPRODUCT(INDIRECT(ADDRESS(3,ROW()-31,1)):INDIRECT(ADDRESS(22,ROW()-31,1)),M$3:M$22),"")</f>
        <v/>
      </c>
      <c r="N65" t="str">
        <f ca="1">IF(AND(((COLUMN()-10)&lt;=playercnt),((ROW()-41)&lt;=playercnt)),SUMPRODUCT(INDIRECT(ADDRESS(3,ROW()-31,1)):INDIRECT(ADDRESS(22,ROW()-31,1)),N$3:N$22),"")</f>
        <v/>
      </c>
      <c r="O65" t="str">
        <f ca="1">IF(AND(((COLUMN()-10)&lt;=playercnt),((ROW()-41)&lt;=playercnt)),SUMPRODUCT(INDIRECT(ADDRESS(3,ROW()-31,1)):INDIRECT(ADDRESS(22,ROW()-31,1)),O$3:O$22),"")</f>
        <v/>
      </c>
      <c r="P65" t="str">
        <f ca="1">IF(AND(((COLUMN()-10)&lt;=playercnt),((ROW()-41)&lt;=playercnt)),SUMPRODUCT(INDIRECT(ADDRESS(3,ROW()-31,1)):INDIRECT(ADDRESS(22,ROW()-31,1)),P$3:P$22),"")</f>
        <v/>
      </c>
      <c r="Q65" t="str">
        <f ca="1">IF(AND(((COLUMN()-10)&lt;=playercnt),((ROW()-41)&lt;=playercnt)),SUMPRODUCT(INDIRECT(ADDRESS(3,ROW()-31,1)):INDIRECT(ADDRESS(22,ROW()-31,1)),Q$3:Q$22),"")</f>
        <v/>
      </c>
      <c r="R65" t="str">
        <f ca="1">IF(AND(((COLUMN()-10)&lt;=playercnt),((ROW()-41)&lt;=playercnt)),SUMPRODUCT(INDIRECT(ADDRESS(3,ROW()-31,1)):INDIRECT(ADDRESS(22,ROW()-31,1)),R$3:R$22),"")</f>
        <v/>
      </c>
      <c r="S65" t="str">
        <f ca="1">IF(AND(((COLUMN()-10)&lt;=playercnt),((ROW()-41)&lt;=playercnt)),SUMPRODUCT(INDIRECT(ADDRESS(3,ROW()-31,1)):INDIRECT(ADDRESS(22,ROW()-31,1)),S$3:S$22),"")</f>
        <v/>
      </c>
      <c r="T65" t="str">
        <f ca="1">IF(AND(((COLUMN()-10)&lt;=playercnt),((ROW()-41)&lt;=playercnt)),SUMPRODUCT(INDIRECT(ADDRESS(3,ROW()-31,1)):INDIRECT(ADDRESS(22,ROW()-31,1)),T$3:T$22),"")</f>
        <v/>
      </c>
      <c r="U65" t="str">
        <f ca="1">IF(AND(((COLUMN()-10)&lt;=playercnt),((ROW()-41)&lt;=playercnt)),SUMPRODUCT(INDIRECT(ADDRESS(3,ROW()-31,1)):INDIRECT(ADDRESS(22,ROW()-31,1)),U$3:U$22),"")</f>
        <v/>
      </c>
      <c r="V65" t="str">
        <f ca="1">IF(AND(((COLUMN()-10)&lt;=playercnt),((ROW()-41)&lt;=playercnt)),SUMPRODUCT(INDIRECT(ADDRESS(3,ROW()-31,1)):INDIRECT(ADDRESS(22,ROW()-31,1)),V$3:V$22),"")</f>
        <v/>
      </c>
      <c r="W65" t="str">
        <f ca="1">IF(AND(((COLUMN()-10)&lt;=playercnt),((ROW()-41)&lt;=playercnt)),SUMPRODUCT(INDIRECT(ADDRESS(3,ROW()-31,1)):INDIRECT(ADDRESS(22,ROW()-31,1)),W$3:W$22),"")</f>
        <v/>
      </c>
      <c r="X65" t="str">
        <f ca="1">IF(AND(((COLUMN()-10)&lt;=playercnt),((ROW()-41)&lt;=playercnt)),SUMPRODUCT(INDIRECT(ADDRESS(3,ROW()-31,1)):INDIRECT(ADDRESS(22,ROW()-31,1)),X$3:X$22),"")</f>
        <v/>
      </c>
      <c r="Y65" t="str">
        <f ca="1">IF(AND(((COLUMN()-10)&lt;=playercnt),((ROW()-41)&lt;=playercnt)),SUMPRODUCT(INDIRECT(ADDRESS(3,ROW()-31,1)):INDIRECT(ADDRESS(22,ROW()-31,1)),Y$3:Y$22),"")</f>
        <v/>
      </c>
      <c r="Z65" t="str">
        <f ca="1">IF(AND(((COLUMN()-10)&lt;=playercnt),((ROW()-41)&lt;=playercnt)),SUMPRODUCT(INDIRECT(ADDRESS(3,ROW()-31,1)):INDIRECT(ADDRESS(22,ROW()-31,1)),Z$3:Z$22),"")</f>
        <v/>
      </c>
      <c r="AA65" t="str">
        <f ca="1">IF(AND(((COLUMN()-10)&lt;=playercnt),((ROW()-41)&lt;=playercnt)),SUMPRODUCT(INDIRECT(ADDRESS(3,ROW()-31,1)):INDIRECT(ADDRESS(22,ROW()-31,1)),AA$3:AA$22),"")</f>
        <v/>
      </c>
      <c r="AB65" t="str">
        <f ca="1">IF(AND(((COLUMN()-10)&lt;=playercnt),((ROW()-41)&lt;=playercnt)),SUMPRODUCT(INDIRECT(ADDRESS(3,ROW()-31,1)):INDIRECT(ADDRESS(22,ROW()-31,1)),AB$3:AB$22),"")</f>
        <v/>
      </c>
      <c r="AC65" t="str">
        <f ca="1">IF(AND(((COLUMN()-10)&lt;=playercnt),((ROW()-41)&lt;=playercnt)),SUMPRODUCT(INDIRECT(ADDRESS(3,ROW()-31,1)):INDIRECT(ADDRESS(22,ROW()-31,1)),AC$3:AC$22),"")</f>
        <v/>
      </c>
      <c r="AD65" t="str">
        <f ca="1">IF(AND(((COLUMN()-10)&lt;=playercnt),((ROW()-41)&lt;=playercnt)),SUMPRODUCT(INDIRECT(ADDRESS(3,ROW()-31,1)):INDIRECT(ADDRESS(22,ROW()-31,1)),AD$3:AD$22),"")</f>
        <v/>
      </c>
      <c r="AE65" t="str">
        <f ca="1">IF(AND(((COLUMN()-10)&lt;=playercnt),((ROW()-41)&lt;=playercnt)),SUMPRODUCT(INDIRECT(ADDRESS(3,ROW()-31,1)):INDIRECT(ADDRESS(22,ROW()-31,1)),AE$3:AE$22),"")</f>
        <v/>
      </c>
      <c r="AF65" t="str">
        <f ca="1">IF(AND(((COLUMN()-10)&lt;=playercnt),((ROW()-41)&lt;=playercnt)),SUMPRODUCT(INDIRECT(ADDRESS(3,ROW()-31,1)):INDIRECT(ADDRESS(22,ROW()-31,1)),AF$3:AF$22),"")</f>
        <v/>
      </c>
      <c r="AG65" t="str">
        <f ca="1">IF(AND(((COLUMN()-10)&lt;=playercnt),((ROW()-41)&lt;=playercnt)),SUMPRODUCT(INDIRECT(ADDRESS(3,ROW()-31,1)):INDIRECT(ADDRESS(22,ROW()-31,1)),AG$3:AG$22),"")</f>
        <v/>
      </c>
      <c r="AH65" t="str">
        <f ca="1">IF(AND(((COLUMN()-10)&lt;=playercnt),((ROW()-41)&lt;=playercnt)),SUMPRODUCT(INDIRECT(ADDRESS(3,ROW()-31,1)):INDIRECT(ADDRESS(22,ROW()-31,1)),AH$3:AH$22),"")</f>
        <v/>
      </c>
      <c r="AI65" t="str">
        <f ca="1">IF(AND(((COLUMN()-10)&lt;=playercnt),((ROW()-41)&lt;=playercnt)),SUMPRODUCT(INDIRECT(ADDRESS(3,ROW()-31,1)):INDIRECT(ADDRESS(22,ROW()-31,1)),AI$3:AI$22),"")</f>
        <v/>
      </c>
      <c r="AJ65" t="str">
        <f ca="1">IF(AND(((COLUMN()-10)&lt;=playercnt),((ROW()-41)&lt;=playercnt)),SUMPRODUCT(INDIRECT(ADDRESS(3,ROW()-31,1)):INDIRECT(ADDRESS(22,ROW()-31,1)),AJ$3:AJ$22),"")</f>
        <v/>
      </c>
      <c r="AK65" t="str">
        <f ca="1">IF(AND(((COLUMN()-10)&lt;=playercnt),((ROW()-41)&lt;=playercnt)),SUMPRODUCT(INDIRECT(ADDRESS(3,ROW()-31,1)):INDIRECT(ADDRESS(22,ROW()-31,1)),AK$3:AK$22),"")</f>
        <v/>
      </c>
      <c r="AL65" t="str">
        <f ca="1">IF(AND(((COLUMN()-10)&lt;=playercnt),((ROW()-41)&lt;=playercnt)),SUMPRODUCT(INDIRECT(ADDRESS(3,ROW()-31,1)):INDIRECT(ADDRESS(22,ROW()-31,1)),AL$3:AL$22),"")</f>
        <v/>
      </c>
      <c r="AM65" t="str">
        <f ca="1">IF(AND(((COLUMN()-10)&lt;=playercnt),((ROW()-41)&lt;=playercnt)),SUMPRODUCT(INDIRECT(ADDRESS(3,ROW()-31,1)):INDIRECT(ADDRESS(22,ROW()-31,1)),AM$3:AM$22),"")</f>
        <v/>
      </c>
      <c r="AN65" t="str">
        <f ca="1">IF(AND(((COLUMN()-10)&lt;=playercnt),((ROW()-41)&lt;=playercnt)),SUMPRODUCT(INDIRECT(ADDRESS(3,ROW()-31,1)):INDIRECT(ADDRESS(22,ROW()-31,1)),AN$3:AN$22),"")</f>
        <v/>
      </c>
      <c r="AO65" t="str">
        <f ca="1">IF(AND(((COLUMN()-10)&lt;=playercnt),((ROW()-41)&lt;=playercnt)),SUMPRODUCT(INDIRECT(ADDRESS(3,ROW()-31,1)):INDIRECT(ADDRESS(22,ROW()-31,1)),AO$3:AO$22),"")</f>
        <v/>
      </c>
      <c r="AP65" t="str">
        <f ca="1">IF(AND(((COLUMN()-10)&lt;=playercnt),((ROW()-41)&lt;=playercnt)),SUMPRODUCT(INDIRECT(ADDRESS(3,ROW()-31,1)):INDIRECT(ADDRESS(22,ROW()-31,1)),AP$3:AP$22),"")</f>
        <v/>
      </c>
      <c r="AQ65" t="str">
        <f ca="1">IF(AND(((COLUMN()-10)&lt;=playercnt),((ROW()-41)&lt;=playercnt)),SUMPRODUCT(INDIRECT(ADDRESS(3,ROW()-31,1)):INDIRECT(ADDRESS(22,ROW()-31,1)),AQ$3:AQ$22),"")</f>
        <v/>
      </c>
      <c r="AR65" t="str">
        <f ca="1">IF(AND(((COLUMN()-10)&lt;=playercnt),((ROW()-41)&lt;=playercnt)),SUMPRODUCT(INDIRECT(ADDRESS(3,ROW()-31,1)):INDIRECT(ADDRESS(22,ROW()-31,1)),AR$3:AR$22),"")</f>
        <v/>
      </c>
      <c r="AS65" t="str">
        <f ca="1">IF(AND(((COLUMN()-10)&lt;=playercnt),((ROW()-41)&lt;=playercnt)),SUMPRODUCT(INDIRECT(ADDRESS(3,ROW()-31,1)):INDIRECT(ADDRESS(22,ROW()-31,1)),AS$3:AS$22),"")</f>
        <v/>
      </c>
      <c r="AT65" t="str">
        <f ca="1">IF(AND(((COLUMN()-10)&lt;=playercnt),((ROW()-41)&lt;=playercnt)),SUMPRODUCT(INDIRECT(ADDRESS(3,ROW()-31,1)):INDIRECT(ADDRESS(22,ROW()-31,1)),AT$3:AT$22),"")</f>
        <v/>
      </c>
      <c r="AU65" t="str">
        <f ca="1">IF(AND(((COLUMN()-10)&lt;=playercnt),((ROW()-41)&lt;=playercnt)),SUMPRODUCT(INDIRECT(ADDRESS(3,ROW()-31,1)):INDIRECT(ADDRESS(22,ROW()-31,1)),AU$3:AU$22),"")</f>
        <v/>
      </c>
      <c r="AV65" t="str">
        <f ca="1">IF(AND(((COLUMN()-10)&lt;=playercnt),((ROW()-41)&lt;=playercnt)),SUMPRODUCT(INDIRECT(ADDRESS(3,ROW()-31,1)):INDIRECT(ADDRESS(22,ROW()-31,1)),AV$3:AV$22),"")</f>
        <v/>
      </c>
      <c r="AW65" t="str">
        <f ca="1">IF(AND(((COLUMN()-10)&lt;=playercnt),((ROW()-41)&lt;=playercnt)),SUMPRODUCT(INDIRECT(ADDRESS(3,ROW()-31,1)):INDIRECT(ADDRESS(22,ROW()-31,1)),AW$3:AW$22),"")</f>
        <v/>
      </c>
      <c r="AX65" t="str">
        <f ca="1">IF(AND(((COLUMN()-10)&lt;=playercnt),((ROW()-41)&lt;=playercnt)),SUMPRODUCT(INDIRECT(ADDRESS(3,ROW()-31,1)):INDIRECT(ADDRESS(22,ROW()-31,1)),AX$3:AX$22),"")</f>
        <v/>
      </c>
      <c r="AY65" t="str">
        <f ca="1">IF(AND(((COLUMN()-10)&lt;=playercnt),((ROW()-41)&lt;=playercnt)),SUMPRODUCT(INDIRECT(ADDRESS(3,ROW()-31,1)):INDIRECT(ADDRESS(22,ROW()-31,1)),AY$3:AY$22),"")</f>
        <v/>
      </c>
      <c r="AZ65" t="str">
        <f ca="1">IF(AND(((COLUMN()-10)&lt;=playercnt),((ROW()-41)&lt;=playercnt)),SUMPRODUCT(INDIRECT(ADDRESS(3,ROW()-31,1)):INDIRECT(ADDRESS(22,ROW()-31,1)),AZ$3:AZ$22),"")</f>
        <v/>
      </c>
      <c r="BA65" t="str">
        <f ca="1">IF(AND(((COLUMN()-10)&lt;=playercnt),((ROW()-41)&lt;=playercnt)),SUMPRODUCT(INDIRECT(ADDRESS(3,ROW()-31,1)):INDIRECT(ADDRESS(22,ROW()-31,1)),BA$3:BA$22),"")</f>
        <v/>
      </c>
      <c r="BB65" t="str">
        <f ca="1">IF(AND(((COLUMN()-10)&lt;=playercnt),((ROW()-41)&lt;=playercnt)),SUMPRODUCT(INDIRECT(ADDRESS(3,ROW()-31,1)):INDIRECT(ADDRESS(22,ROW()-31,1)),BB$3:BB$22),"")</f>
        <v/>
      </c>
      <c r="BC65" t="str">
        <f ca="1">IF(AND(((COLUMN()-10)&lt;=playercnt),((ROW()-41)&lt;=playercnt)),SUMPRODUCT(INDIRECT(ADDRESS(3,ROW()-31,1)):INDIRECT(ADDRESS(22,ROW()-31,1)),BC$3:BC$22),"")</f>
        <v/>
      </c>
      <c r="BD65" t="str">
        <f ca="1">IF(AND(((COLUMN()-10)&lt;=playercnt),((ROW()-41)&lt;=playercnt)),SUMPRODUCT(INDIRECT(ADDRESS(3,ROW()-31,1)):INDIRECT(ADDRESS(22,ROW()-31,1)),BD$3:BD$22),"")</f>
        <v/>
      </c>
      <c r="BE65" t="str">
        <f ca="1">IF(AND(((COLUMN()-10)&lt;=playercnt),((ROW()-41)&lt;=playercnt)),SUMPRODUCT(INDIRECT(ADDRESS(3,ROW()-31,1)):INDIRECT(ADDRESS(22,ROW()-31,1)),BE$3:BE$22),"")</f>
        <v/>
      </c>
      <c r="BF65" t="str">
        <f ca="1">IF(AND(((COLUMN()-10)&lt;=playercnt),((ROW()-41)&lt;=playercnt)),SUMPRODUCT(INDIRECT(ADDRESS(3,ROW()-31,1)):INDIRECT(ADDRESS(22,ROW()-31,1)),BF$3:BF$22),"")</f>
        <v/>
      </c>
      <c r="BG65" t="str">
        <f ca="1">IF(AND(((COLUMN()-10)&lt;=playercnt),((ROW()-41)&lt;=playercnt)),SUMPRODUCT(INDIRECT(ADDRESS(3,ROW()-31,1)):INDIRECT(ADDRESS(22,ROW()-31,1)),BG$3:BG$22),"")</f>
        <v/>
      </c>
      <c r="BH65" t="str">
        <f ca="1">IF(AND(((COLUMN()-10)&lt;=playercnt),((ROW()-41)&lt;=playercnt)),SUMPRODUCT(INDIRECT(ADDRESS(3,ROW()-31,1)):INDIRECT(ADDRESS(22,ROW()-31,1)),BH$3:BH$22),"")</f>
        <v/>
      </c>
      <c r="BI65" t="str">
        <f ca="1">IF(AND(((COLUMN()-10)&lt;=playercnt),((ROW()-41)&lt;=playercnt)),SUMPRODUCT(INDIRECT(ADDRESS(3,ROW()-31,1)):INDIRECT(ADDRESS(22,ROW()-31,1)),BI$3:BI$22),"")</f>
        <v/>
      </c>
      <c r="BJ65" t="str">
        <f ca="1">IF(AND(((COLUMN()-10)&lt;=playercnt),((ROW()-41)&lt;=playercnt)),SUMPRODUCT(INDIRECT(ADDRESS(3,ROW()-31,1)):INDIRECT(ADDRESS(22,ROW()-31,1)),BJ$3:BJ$22),"")</f>
        <v/>
      </c>
      <c r="BK65" t="str">
        <f ca="1">IF(AND(((COLUMN()-10)&lt;=playercnt),((ROW()-41)&lt;=playercnt)),SUMPRODUCT(INDIRECT(ADDRESS(3,ROW()-31,1)):INDIRECT(ADDRESS(22,ROW()-31,1)),BK$3:BK$22),"")</f>
        <v/>
      </c>
      <c r="BL65" t="str">
        <f ca="1">IF(AND(((COLUMN()-10)&lt;=playercnt),((ROW()-41)&lt;=playercnt)),SUMPRODUCT(INDIRECT(ADDRESS(3,ROW()-31,1)):INDIRECT(ADDRESS(22,ROW()-31,1)),BL$3:BL$22),"")</f>
        <v/>
      </c>
      <c r="BM65" t="str">
        <f ca="1">IF(AND(((COLUMN()-10)&lt;=playercnt),((ROW()-41)&lt;=playercnt)),SUMPRODUCT(INDIRECT(ADDRESS(3,ROW()-31,1)):INDIRECT(ADDRESS(22,ROW()-31,1)),BM$3:BM$22),"")</f>
        <v/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>
      <c r="B66" s="27" t="str">
        <f t="shared" ca="1" si="29"/>
        <v/>
      </c>
      <c r="C66" t="str">
        <f t="shared" ca="1" si="30"/>
        <v/>
      </c>
      <c r="G66" t="str">
        <f ca="1">IF(AND(((COLUMN()-10)&lt;=playercnt),((ROW()-41)&lt;=playercnt)),SUMPRODUCT(INDIRECT(ADDRESS(3,ROW()-31,1)):INDIRECT(ADDRESS(22,ROW()-31,1)),G$3:G$22),"")</f>
        <v/>
      </c>
      <c r="H66" t="str">
        <f ca="1">IF(AND(((COLUMN()-10)&lt;=playercnt),((ROW()-41)&lt;=playercnt)),SUMPRODUCT(INDIRECT(ADDRESS(3,ROW()-31,1)):INDIRECT(ADDRESS(22,ROW()-31,1)),H$3:H$22),"")</f>
        <v/>
      </c>
      <c r="I66" t="str">
        <f ca="1">IF(AND(((COLUMN()-10)&lt;=playercnt),((ROW()-41)&lt;=playercnt)),SUMPRODUCT(INDIRECT(ADDRESS(3,ROW()-31,1)):INDIRECT(ADDRESS(22,ROW()-31,1)),I$3:I$22),"")</f>
        <v/>
      </c>
      <c r="J66" t="str">
        <f ca="1">IF(AND(((COLUMN()-10)&lt;=playercnt),((ROW()-41)&lt;=playercnt)),SUMPRODUCT(INDIRECT(ADDRESS(3,ROW()-31,1)):INDIRECT(ADDRESS(22,ROW()-31,1)),J$3:J$22),"")</f>
        <v/>
      </c>
      <c r="K66" t="str">
        <f ca="1">IF(AND(((COLUMN()-10)&lt;=playercnt),((ROW()-41)&lt;=playercnt)),SUMPRODUCT(INDIRECT(ADDRESS(3,ROW()-31,1)):INDIRECT(ADDRESS(22,ROW()-31,1)),K$3:K$22),"")</f>
        <v/>
      </c>
      <c r="L66" t="str">
        <f ca="1">IF(AND(((COLUMN()-10)&lt;=playercnt),((ROW()-41)&lt;=playercnt)),SUMPRODUCT(INDIRECT(ADDRESS(3,ROW()-31,1)):INDIRECT(ADDRESS(22,ROW()-31,1)),L$3:L$22),"")</f>
        <v/>
      </c>
      <c r="M66" t="str">
        <f ca="1">IF(AND(((COLUMN()-10)&lt;=playercnt),((ROW()-41)&lt;=playercnt)),SUMPRODUCT(INDIRECT(ADDRESS(3,ROW()-31,1)):INDIRECT(ADDRESS(22,ROW()-31,1)),M$3:M$22),"")</f>
        <v/>
      </c>
      <c r="N66" t="str">
        <f ca="1">IF(AND(((COLUMN()-10)&lt;=playercnt),((ROW()-41)&lt;=playercnt)),SUMPRODUCT(INDIRECT(ADDRESS(3,ROW()-31,1)):INDIRECT(ADDRESS(22,ROW()-31,1)),N$3:N$22),"")</f>
        <v/>
      </c>
      <c r="O66" t="str">
        <f ca="1">IF(AND(((COLUMN()-10)&lt;=playercnt),((ROW()-41)&lt;=playercnt)),SUMPRODUCT(INDIRECT(ADDRESS(3,ROW()-31,1)):INDIRECT(ADDRESS(22,ROW()-31,1)),O$3:O$22),"")</f>
        <v/>
      </c>
      <c r="P66" t="str">
        <f ca="1">IF(AND(((COLUMN()-10)&lt;=playercnt),((ROW()-41)&lt;=playercnt)),SUMPRODUCT(INDIRECT(ADDRESS(3,ROW()-31,1)):INDIRECT(ADDRESS(22,ROW()-31,1)),P$3:P$22),"")</f>
        <v/>
      </c>
      <c r="Q66" t="str">
        <f ca="1">IF(AND(((COLUMN()-10)&lt;=playercnt),((ROW()-41)&lt;=playercnt)),SUMPRODUCT(INDIRECT(ADDRESS(3,ROW()-31,1)):INDIRECT(ADDRESS(22,ROW()-31,1)),Q$3:Q$22),"")</f>
        <v/>
      </c>
      <c r="R66" t="str">
        <f ca="1">IF(AND(((COLUMN()-10)&lt;=playercnt),((ROW()-41)&lt;=playercnt)),SUMPRODUCT(INDIRECT(ADDRESS(3,ROW()-31,1)):INDIRECT(ADDRESS(22,ROW()-31,1)),R$3:R$22),"")</f>
        <v/>
      </c>
      <c r="S66" t="str">
        <f ca="1">IF(AND(((COLUMN()-10)&lt;=playercnt),((ROW()-41)&lt;=playercnt)),SUMPRODUCT(INDIRECT(ADDRESS(3,ROW()-31,1)):INDIRECT(ADDRESS(22,ROW()-31,1)),S$3:S$22),"")</f>
        <v/>
      </c>
      <c r="T66" t="str">
        <f ca="1">IF(AND(((COLUMN()-10)&lt;=playercnt),((ROW()-41)&lt;=playercnt)),SUMPRODUCT(INDIRECT(ADDRESS(3,ROW()-31,1)):INDIRECT(ADDRESS(22,ROW()-31,1)),T$3:T$22),"")</f>
        <v/>
      </c>
      <c r="U66" t="str">
        <f ca="1">IF(AND(((COLUMN()-10)&lt;=playercnt),((ROW()-41)&lt;=playercnt)),SUMPRODUCT(INDIRECT(ADDRESS(3,ROW()-31,1)):INDIRECT(ADDRESS(22,ROW()-31,1)),U$3:U$22),"")</f>
        <v/>
      </c>
      <c r="V66" t="str">
        <f ca="1">IF(AND(((COLUMN()-10)&lt;=playercnt),((ROW()-41)&lt;=playercnt)),SUMPRODUCT(INDIRECT(ADDRESS(3,ROW()-31,1)):INDIRECT(ADDRESS(22,ROW()-31,1)),V$3:V$22),"")</f>
        <v/>
      </c>
      <c r="W66" t="str">
        <f ca="1">IF(AND(((COLUMN()-10)&lt;=playercnt),((ROW()-41)&lt;=playercnt)),SUMPRODUCT(INDIRECT(ADDRESS(3,ROW()-31,1)):INDIRECT(ADDRESS(22,ROW()-31,1)),W$3:W$22),"")</f>
        <v/>
      </c>
      <c r="X66" t="str">
        <f ca="1">IF(AND(((COLUMN()-10)&lt;=playercnt),((ROW()-41)&lt;=playercnt)),SUMPRODUCT(INDIRECT(ADDRESS(3,ROW()-31,1)):INDIRECT(ADDRESS(22,ROW()-31,1)),X$3:X$22),"")</f>
        <v/>
      </c>
      <c r="Y66" t="str">
        <f ca="1">IF(AND(((COLUMN()-10)&lt;=playercnt),((ROW()-41)&lt;=playercnt)),SUMPRODUCT(INDIRECT(ADDRESS(3,ROW()-31,1)):INDIRECT(ADDRESS(22,ROW()-31,1)),Y$3:Y$22),"")</f>
        <v/>
      </c>
      <c r="Z66" t="str">
        <f ca="1">IF(AND(((COLUMN()-10)&lt;=playercnt),((ROW()-41)&lt;=playercnt)),SUMPRODUCT(INDIRECT(ADDRESS(3,ROW()-31,1)):INDIRECT(ADDRESS(22,ROW()-31,1)),Z$3:Z$22),"")</f>
        <v/>
      </c>
      <c r="AA66" t="str">
        <f ca="1">IF(AND(((COLUMN()-10)&lt;=playercnt),((ROW()-41)&lt;=playercnt)),SUMPRODUCT(INDIRECT(ADDRESS(3,ROW()-31,1)):INDIRECT(ADDRESS(22,ROW()-31,1)),AA$3:AA$22),"")</f>
        <v/>
      </c>
      <c r="AB66" t="str">
        <f ca="1">IF(AND(((COLUMN()-10)&lt;=playercnt),((ROW()-41)&lt;=playercnt)),SUMPRODUCT(INDIRECT(ADDRESS(3,ROW()-31,1)):INDIRECT(ADDRESS(22,ROW()-31,1)),AB$3:AB$22),"")</f>
        <v/>
      </c>
      <c r="AC66" t="str">
        <f ca="1">IF(AND(((COLUMN()-10)&lt;=playercnt),((ROW()-41)&lt;=playercnt)),SUMPRODUCT(INDIRECT(ADDRESS(3,ROW()-31,1)):INDIRECT(ADDRESS(22,ROW()-31,1)),AC$3:AC$22),"")</f>
        <v/>
      </c>
      <c r="AD66" t="str">
        <f ca="1">IF(AND(((COLUMN()-10)&lt;=playercnt),((ROW()-41)&lt;=playercnt)),SUMPRODUCT(INDIRECT(ADDRESS(3,ROW()-31,1)):INDIRECT(ADDRESS(22,ROW()-31,1)),AD$3:AD$22),"")</f>
        <v/>
      </c>
      <c r="AE66" t="str">
        <f ca="1">IF(AND(((COLUMN()-10)&lt;=playercnt),((ROW()-41)&lt;=playercnt)),SUMPRODUCT(INDIRECT(ADDRESS(3,ROW()-31,1)):INDIRECT(ADDRESS(22,ROW()-31,1)),AE$3:AE$22),"")</f>
        <v/>
      </c>
      <c r="AF66" t="str">
        <f ca="1">IF(AND(((COLUMN()-10)&lt;=playercnt),((ROW()-41)&lt;=playercnt)),SUMPRODUCT(INDIRECT(ADDRESS(3,ROW()-31,1)):INDIRECT(ADDRESS(22,ROW()-31,1)),AF$3:AF$22),"")</f>
        <v/>
      </c>
      <c r="AG66" t="str">
        <f ca="1">IF(AND(((COLUMN()-10)&lt;=playercnt),((ROW()-41)&lt;=playercnt)),SUMPRODUCT(INDIRECT(ADDRESS(3,ROW()-31,1)):INDIRECT(ADDRESS(22,ROW()-31,1)),AG$3:AG$22),"")</f>
        <v/>
      </c>
      <c r="AH66" t="str">
        <f ca="1">IF(AND(((COLUMN()-10)&lt;=playercnt),((ROW()-41)&lt;=playercnt)),SUMPRODUCT(INDIRECT(ADDRESS(3,ROW()-31,1)):INDIRECT(ADDRESS(22,ROW()-31,1)),AH$3:AH$22),"")</f>
        <v/>
      </c>
      <c r="AI66" t="str">
        <f ca="1">IF(AND(((COLUMN()-10)&lt;=playercnt),((ROW()-41)&lt;=playercnt)),SUMPRODUCT(INDIRECT(ADDRESS(3,ROW()-31,1)):INDIRECT(ADDRESS(22,ROW()-31,1)),AI$3:AI$22),"")</f>
        <v/>
      </c>
      <c r="AJ66" t="str">
        <f ca="1">IF(AND(((COLUMN()-10)&lt;=playercnt),((ROW()-41)&lt;=playercnt)),SUMPRODUCT(INDIRECT(ADDRESS(3,ROW()-31,1)):INDIRECT(ADDRESS(22,ROW()-31,1)),AJ$3:AJ$22),"")</f>
        <v/>
      </c>
      <c r="AK66" t="str">
        <f ca="1">IF(AND(((COLUMN()-10)&lt;=playercnt),((ROW()-41)&lt;=playercnt)),SUMPRODUCT(INDIRECT(ADDRESS(3,ROW()-31,1)):INDIRECT(ADDRESS(22,ROW()-31,1)),AK$3:AK$22),"")</f>
        <v/>
      </c>
      <c r="AL66" t="str">
        <f ca="1">IF(AND(((COLUMN()-10)&lt;=playercnt),((ROW()-41)&lt;=playercnt)),SUMPRODUCT(INDIRECT(ADDRESS(3,ROW()-31,1)):INDIRECT(ADDRESS(22,ROW()-31,1)),AL$3:AL$22),"")</f>
        <v/>
      </c>
      <c r="AM66" t="str">
        <f ca="1">IF(AND(((COLUMN()-10)&lt;=playercnt),((ROW()-41)&lt;=playercnt)),SUMPRODUCT(INDIRECT(ADDRESS(3,ROW()-31,1)):INDIRECT(ADDRESS(22,ROW()-31,1)),AM$3:AM$22),"")</f>
        <v/>
      </c>
      <c r="AN66" t="str">
        <f ca="1">IF(AND(((COLUMN()-10)&lt;=playercnt),((ROW()-41)&lt;=playercnt)),SUMPRODUCT(INDIRECT(ADDRESS(3,ROW()-31,1)):INDIRECT(ADDRESS(22,ROW()-31,1)),AN$3:AN$22),"")</f>
        <v/>
      </c>
      <c r="AO66" t="str">
        <f ca="1">IF(AND(((COLUMN()-10)&lt;=playercnt),((ROW()-41)&lt;=playercnt)),SUMPRODUCT(INDIRECT(ADDRESS(3,ROW()-31,1)):INDIRECT(ADDRESS(22,ROW()-31,1)),AO$3:AO$22),"")</f>
        <v/>
      </c>
      <c r="AP66" t="str">
        <f ca="1">IF(AND(((COLUMN()-10)&lt;=playercnt),((ROW()-41)&lt;=playercnt)),SUMPRODUCT(INDIRECT(ADDRESS(3,ROW()-31,1)):INDIRECT(ADDRESS(22,ROW()-31,1)),AP$3:AP$22),"")</f>
        <v/>
      </c>
      <c r="AQ66" t="str">
        <f ca="1">IF(AND(((COLUMN()-10)&lt;=playercnt),((ROW()-41)&lt;=playercnt)),SUMPRODUCT(INDIRECT(ADDRESS(3,ROW()-31,1)):INDIRECT(ADDRESS(22,ROW()-31,1)),AQ$3:AQ$22),"")</f>
        <v/>
      </c>
      <c r="AR66" t="str">
        <f ca="1">IF(AND(((COLUMN()-10)&lt;=playercnt),((ROW()-41)&lt;=playercnt)),SUMPRODUCT(INDIRECT(ADDRESS(3,ROW()-31,1)):INDIRECT(ADDRESS(22,ROW()-31,1)),AR$3:AR$22),"")</f>
        <v/>
      </c>
      <c r="AS66" t="str">
        <f ca="1">IF(AND(((COLUMN()-10)&lt;=playercnt),((ROW()-41)&lt;=playercnt)),SUMPRODUCT(INDIRECT(ADDRESS(3,ROW()-31,1)):INDIRECT(ADDRESS(22,ROW()-31,1)),AS$3:AS$22),"")</f>
        <v/>
      </c>
      <c r="AT66" t="str">
        <f ca="1">IF(AND(((COLUMN()-10)&lt;=playercnt),((ROW()-41)&lt;=playercnt)),SUMPRODUCT(INDIRECT(ADDRESS(3,ROW()-31,1)):INDIRECT(ADDRESS(22,ROW()-31,1)),AT$3:AT$22),"")</f>
        <v/>
      </c>
      <c r="AU66" t="str">
        <f ca="1">IF(AND(((COLUMN()-10)&lt;=playercnt),((ROW()-41)&lt;=playercnt)),SUMPRODUCT(INDIRECT(ADDRESS(3,ROW()-31,1)):INDIRECT(ADDRESS(22,ROW()-31,1)),AU$3:AU$22),"")</f>
        <v/>
      </c>
      <c r="AV66" t="str">
        <f ca="1">IF(AND(((COLUMN()-10)&lt;=playercnt),((ROW()-41)&lt;=playercnt)),SUMPRODUCT(INDIRECT(ADDRESS(3,ROW()-31,1)):INDIRECT(ADDRESS(22,ROW()-31,1)),AV$3:AV$22),"")</f>
        <v/>
      </c>
      <c r="AW66" t="str">
        <f ca="1">IF(AND(((COLUMN()-10)&lt;=playercnt),((ROW()-41)&lt;=playercnt)),SUMPRODUCT(INDIRECT(ADDRESS(3,ROW()-31,1)):INDIRECT(ADDRESS(22,ROW()-31,1)),AW$3:AW$22),"")</f>
        <v/>
      </c>
      <c r="AX66" t="str">
        <f ca="1">IF(AND(((COLUMN()-10)&lt;=playercnt),((ROW()-41)&lt;=playercnt)),SUMPRODUCT(INDIRECT(ADDRESS(3,ROW()-31,1)):INDIRECT(ADDRESS(22,ROW()-31,1)),AX$3:AX$22),"")</f>
        <v/>
      </c>
      <c r="AY66" t="str">
        <f ca="1">IF(AND(((COLUMN()-10)&lt;=playercnt),((ROW()-41)&lt;=playercnt)),SUMPRODUCT(INDIRECT(ADDRESS(3,ROW()-31,1)):INDIRECT(ADDRESS(22,ROW()-31,1)),AY$3:AY$22),"")</f>
        <v/>
      </c>
      <c r="AZ66" t="str">
        <f ca="1">IF(AND(((COLUMN()-10)&lt;=playercnt),((ROW()-41)&lt;=playercnt)),SUMPRODUCT(INDIRECT(ADDRESS(3,ROW()-31,1)):INDIRECT(ADDRESS(22,ROW()-31,1)),AZ$3:AZ$22),"")</f>
        <v/>
      </c>
      <c r="BA66" t="str">
        <f ca="1">IF(AND(((COLUMN()-10)&lt;=playercnt),((ROW()-41)&lt;=playercnt)),SUMPRODUCT(INDIRECT(ADDRESS(3,ROW()-31,1)):INDIRECT(ADDRESS(22,ROW()-31,1)),BA$3:BA$22),"")</f>
        <v/>
      </c>
      <c r="BB66" t="str">
        <f ca="1">IF(AND(((COLUMN()-10)&lt;=playercnt),((ROW()-41)&lt;=playercnt)),SUMPRODUCT(INDIRECT(ADDRESS(3,ROW()-31,1)):INDIRECT(ADDRESS(22,ROW()-31,1)),BB$3:BB$22),"")</f>
        <v/>
      </c>
      <c r="BC66" t="str">
        <f ca="1">IF(AND(((COLUMN()-10)&lt;=playercnt),((ROW()-41)&lt;=playercnt)),SUMPRODUCT(INDIRECT(ADDRESS(3,ROW()-31,1)):INDIRECT(ADDRESS(22,ROW()-31,1)),BC$3:BC$22),"")</f>
        <v/>
      </c>
      <c r="BD66" t="str">
        <f ca="1">IF(AND(((COLUMN()-10)&lt;=playercnt),((ROW()-41)&lt;=playercnt)),SUMPRODUCT(INDIRECT(ADDRESS(3,ROW()-31,1)):INDIRECT(ADDRESS(22,ROW()-31,1)),BD$3:BD$22),"")</f>
        <v/>
      </c>
      <c r="BE66" t="str">
        <f ca="1">IF(AND(((COLUMN()-10)&lt;=playercnt),((ROW()-41)&lt;=playercnt)),SUMPRODUCT(INDIRECT(ADDRESS(3,ROW()-31,1)):INDIRECT(ADDRESS(22,ROW()-31,1)),BE$3:BE$22),"")</f>
        <v/>
      </c>
      <c r="BF66" t="str">
        <f ca="1">IF(AND(((COLUMN()-10)&lt;=playercnt),((ROW()-41)&lt;=playercnt)),SUMPRODUCT(INDIRECT(ADDRESS(3,ROW()-31,1)):INDIRECT(ADDRESS(22,ROW()-31,1)),BF$3:BF$22),"")</f>
        <v/>
      </c>
      <c r="BG66" t="str">
        <f ca="1">IF(AND(((COLUMN()-10)&lt;=playercnt),((ROW()-41)&lt;=playercnt)),SUMPRODUCT(INDIRECT(ADDRESS(3,ROW()-31,1)):INDIRECT(ADDRESS(22,ROW()-31,1)),BG$3:BG$22),"")</f>
        <v/>
      </c>
      <c r="BH66" t="str">
        <f ca="1">IF(AND(((COLUMN()-10)&lt;=playercnt),((ROW()-41)&lt;=playercnt)),SUMPRODUCT(INDIRECT(ADDRESS(3,ROW()-31,1)):INDIRECT(ADDRESS(22,ROW()-31,1)),BH$3:BH$22),"")</f>
        <v/>
      </c>
      <c r="BI66" t="str">
        <f ca="1">IF(AND(((COLUMN()-10)&lt;=playercnt),((ROW()-41)&lt;=playercnt)),SUMPRODUCT(INDIRECT(ADDRESS(3,ROW()-31,1)):INDIRECT(ADDRESS(22,ROW()-31,1)),BI$3:BI$22),"")</f>
        <v/>
      </c>
      <c r="BJ66" t="str">
        <f ca="1">IF(AND(((COLUMN()-10)&lt;=playercnt),((ROW()-41)&lt;=playercnt)),SUMPRODUCT(INDIRECT(ADDRESS(3,ROW()-31,1)):INDIRECT(ADDRESS(22,ROW()-31,1)),BJ$3:BJ$22),"")</f>
        <v/>
      </c>
      <c r="BK66" t="str">
        <f ca="1">IF(AND(((COLUMN()-10)&lt;=playercnt),((ROW()-41)&lt;=playercnt)),SUMPRODUCT(INDIRECT(ADDRESS(3,ROW()-31,1)):INDIRECT(ADDRESS(22,ROW()-31,1)),BK$3:BK$22),"")</f>
        <v/>
      </c>
      <c r="BL66" t="str">
        <f ca="1">IF(AND(((COLUMN()-10)&lt;=playercnt),((ROW()-41)&lt;=playercnt)),SUMPRODUCT(INDIRECT(ADDRESS(3,ROW()-31,1)):INDIRECT(ADDRESS(22,ROW()-31,1)),BL$3:BL$22),"")</f>
        <v/>
      </c>
      <c r="BM66" t="str">
        <f ca="1">IF(AND(((COLUMN()-10)&lt;=playercnt),((ROW()-41)&lt;=playercnt)),SUMPRODUCT(INDIRECT(ADDRESS(3,ROW()-31,1)):INDIRECT(ADDRESS(22,ROW()-31,1)),BM$3:BM$22),"")</f>
        <v/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>
      <c r="B67" s="27" t="str">
        <f t="shared" ca="1" si="29"/>
        <v/>
      </c>
      <c r="C67" t="str">
        <f t="shared" ca="1" si="30"/>
        <v/>
      </c>
      <c r="G67" t="str">
        <f ca="1">IF(AND(((COLUMN()-10)&lt;=playercnt),((ROW()-41)&lt;=playercnt)),SUMPRODUCT(INDIRECT(ADDRESS(3,ROW()-31,1)):INDIRECT(ADDRESS(22,ROW()-31,1)),G$3:G$22),"")</f>
        <v/>
      </c>
      <c r="H67" t="str">
        <f ca="1">IF(AND(((COLUMN()-10)&lt;=playercnt),((ROW()-41)&lt;=playercnt)),SUMPRODUCT(INDIRECT(ADDRESS(3,ROW()-31,1)):INDIRECT(ADDRESS(22,ROW()-31,1)),H$3:H$22),"")</f>
        <v/>
      </c>
      <c r="I67" t="str">
        <f ca="1">IF(AND(((COLUMN()-10)&lt;=playercnt),((ROW()-41)&lt;=playercnt)),SUMPRODUCT(INDIRECT(ADDRESS(3,ROW()-31,1)):INDIRECT(ADDRESS(22,ROW()-31,1)),I$3:I$22),"")</f>
        <v/>
      </c>
      <c r="J67" t="str">
        <f ca="1">IF(AND(((COLUMN()-10)&lt;=playercnt),((ROW()-41)&lt;=playercnt)),SUMPRODUCT(INDIRECT(ADDRESS(3,ROW()-31,1)):INDIRECT(ADDRESS(22,ROW()-31,1)),J$3:J$22),"")</f>
        <v/>
      </c>
      <c r="K67" t="str">
        <f ca="1">IF(AND(((COLUMN()-10)&lt;=playercnt),((ROW()-41)&lt;=playercnt)),SUMPRODUCT(INDIRECT(ADDRESS(3,ROW()-31,1)):INDIRECT(ADDRESS(22,ROW()-31,1)),K$3:K$22),"")</f>
        <v/>
      </c>
      <c r="L67" t="str">
        <f ca="1">IF(AND(((COLUMN()-10)&lt;=playercnt),((ROW()-41)&lt;=playercnt)),SUMPRODUCT(INDIRECT(ADDRESS(3,ROW()-31,1)):INDIRECT(ADDRESS(22,ROW()-31,1)),L$3:L$22),"")</f>
        <v/>
      </c>
      <c r="M67" t="str">
        <f ca="1">IF(AND(((COLUMN()-10)&lt;=playercnt),((ROW()-41)&lt;=playercnt)),SUMPRODUCT(INDIRECT(ADDRESS(3,ROW()-31,1)):INDIRECT(ADDRESS(22,ROW()-31,1)),M$3:M$22),"")</f>
        <v/>
      </c>
      <c r="N67" t="str">
        <f ca="1">IF(AND(((COLUMN()-10)&lt;=playercnt),((ROW()-41)&lt;=playercnt)),SUMPRODUCT(INDIRECT(ADDRESS(3,ROW()-31,1)):INDIRECT(ADDRESS(22,ROW()-31,1)),N$3:N$22),"")</f>
        <v/>
      </c>
      <c r="O67" t="str">
        <f ca="1">IF(AND(((COLUMN()-10)&lt;=playercnt),((ROW()-41)&lt;=playercnt)),SUMPRODUCT(INDIRECT(ADDRESS(3,ROW()-31,1)):INDIRECT(ADDRESS(22,ROW()-31,1)),O$3:O$22),"")</f>
        <v/>
      </c>
      <c r="P67" t="str">
        <f ca="1">IF(AND(((COLUMN()-10)&lt;=playercnt),((ROW()-41)&lt;=playercnt)),SUMPRODUCT(INDIRECT(ADDRESS(3,ROW()-31,1)):INDIRECT(ADDRESS(22,ROW()-31,1)),P$3:P$22),"")</f>
        <v/>
      </c>
      <c r="Q67" t="str">
        <f ca="1">IF(AND(((COLUMN()-10)&lt;=playercnt),((ROW()-41)&lt;=playercnt)),SUMPRODUCT(INDIRECT(ADDRESS(3,ROW()-31,1)):INDIRECT(ADDRESS(22,ROW()-31,1)),Q$3:Q$22),"")</f>
        <v/>
      </c>
      <c r="R67" t="str">
        <f ca="1">IF(AND(((COLUMN()-10)&lt;=playercnt),((ROW()-41)&lt;=playercnt)),SUMPRODUCT(INDIRECT(ADDRESS(3,ROW()-31,1)):INDIRECT(ADDRESS(22,ROW()-31,1)),R$3:R$22),"")</f>
        <v/>
      </c>
      <c r="S67" t="str">
        <f ca="1">IF(AND(((COLUMN()-10)&lt;=playercnt),((ROW()-41)&lt;=playercnt)),SUMPRODUCT(INDIRECT(ADDRESS(3,ROW()-31,1)):INDIRECT(ADDRESS(22,ROW()-31,1)),S$3:S$22),"")</f>
        <v/>
      </c>
      <c r="T67" t="str">
        <f ca="1">IF(AND(((COLUMN()-10)&lt;=playercnt),((ROW()-41)&lt;=playercnt)),SUMPRODUCT(INDIRECT(ADDRESS(3,ROW()-31,1)):INDIRECT(ADDRESS(22,ROW()-31,1)),T$3:T$22),"")</f>
        <v/>
      </c>
      <c r="U67" t="str">
        <f ca="1">IF(AND(((COLUMN()-10)&lt;=playercnt),((ROW()-41)&lt;=playercnt)),SUMPRODUCT(INDIRECT(ADDRESS(3,ROW()-31,1)):INDIRECT(ADDRESS(22,ROW()-31,1)),U$3:U$22),"")</f>
        <v/>
      </c>
      <c r="V67" t="str">
        <f ca="1">IF(AND(((COLUMN()-10)&lt;=playercnt),((ROW()-41)&lt;=playercnt)),SUMPRODUCT(INDIRECT(ADDRESS(3,ROW()-31,1)):INDIRECT(ADDRESS(22,ROW()-31,1)),V$3:V$22),"")</f>
        <v/>
      </c>
      <c r="W67" t="str">
        <f ca="1">IF(AND(((COLUMN()-10)&lt;=playercnt),((ROW()-41)&lt;=playercnt)),SUMPRODUCT(INDIRECT(ADDRESS(3,ROW()-31,1)):INDIRECT(ADDRESS(22,ROW()-31,1)),W$3:W$22),"")</f>
        <v/>
      </c>
      <c r="X67" t="str">
        <f ca="1">IF(AND(((COLUMN()-10)&lt;=playercnt),((ROW()-41)&lt;=playercnt)),SUMPRODUCT(INDIRECT(ADDRESS(3,ROW()-31,1)):INDIRECT(ADDRESS(22,ROW()-31,1)),X$3:X$22),"")</f>
        <v/>
      </c>
      <c r="Y67" t="str">
        <f ca="1">IF(AND(((COLUMN()-10)&lt;=playercnt),((ROW()-41)&lt;=playercnt)),SUMPRODUCT(INDIRECT(ADDRESS(3,ROW()-31,1)):INDIRECT(ADDRESS(22,ROW()-31,1)),Y$3:Y$22),"")</f>
        <v/>
      </c>
      <c r="Z67" t="str">
        <f ca="1">IF(AND(((COLUMN()-10)&lt;=playercnt),((ROW()-41)&lt;=playercnt)),SUMPRODUCT(INDIRECT(ADDRESS(3,ROW()-31,1)):INDIRECT(ADDRESS(22,ROW()-31,1)),Z$3:Z$22),"")</f>
        <v/>
      </c>
      <c r="AA67" t="str">
        <f ca="1">IF(AND(((COLUMN()-10)&lt;=playercnt),((ROW()-41)&lt;=playercnt)),SUMPRODUCT(INDIRECT(ADDRESS(3,ROW()-31,1)):INDIRECT(ADDRESS(22,ROW()-31,1)),AA$3:AA$22),"")</f>
        <v/>
      </c>
      <c r="AB67" t="str">
        <f ca="1">IF(AND(((COLUMN()-10)&lt;=playercnt),((ROW()-41)&lt;=playercnt)),SUMPRODUCT(INDIRECT(ADDRESS(3,ROW()-31,1)):INDIRECT(ADDRESS(22,ROW()-31,1)),AB$3:AB$22),"")</f>
        <v/>
      </c>
      <c r="AC67" t="str">
        <f ca="1">IF(AND(((COLUMN()-10)&lt;=playercnt),((ROW()-41)&lt;=playercnt)),SUMPRODUCT(INDIRECT(ADDRESS(3,ROW()-31,1)):INDIRECT(ADDRESS(22,ROW()-31,1)),AC$3:AC$22),"")</f>
        <v/>
      </c>
      <c r="AD67" t="str">
        <f ca="1">IF(AND(((COLUMN()-10)&lt;=playercnt),((ROW()-41)&lt;=playercnt)),SUMPRODUCT(INDIRECT(ADDRESS(3,ROW()-31,1)):INDIRECT(ADDRESS(22,ROW()-31,1)),AD$3:AD$22),"")</f>
        <v/>
      </c>
      <c r="AE67" t="str">
        <f ca="1">IF(AND(((COLUMN()-10)&lt;=playercnt),((ROW()-41)&lt;=playercnt)),SUMPRODUCT(INDIRECT(ADDRESS(3,ROW()-31,1)):INDIRECT(ADDRESS(22,ROW()-31,1)),AE$3:AE$22),"")</f>
        <v/>
      </c>
      <c r="AF67" t="str">
        <f ca="1">IF(AND(((COLUMN()-10)&lt;=playercnt),((ROW()-41)&lt;=playercnt)),SUMPRODUCT(INDIRECT(ADDRESS(3,ROW()-31,1)):INDIRECT(ADDRESS(22,ROW()-31,1)),AF$3:AF$22),"")</f>
        <v/>
      </c>
      <c r="AG67" t="str">
        <f ca="1">IF(AND(((COLUMN()-10)&lt;=playercnt),((ROW()-41)&lt;=playercnt)),SUMPRODUCT(INDIRECT(ADDRESS(3,ROW()-31,1)):INDIRECT(ADDRESS(22,ROW()-31,1)),AG$3:AG$22),"")</f>
        <v/>
      </c>
      <c r="AH67" t="str">
        <f ca="1">IF(AND(((COLUMN()-10)&lt;=playercnt),((ROW()-41)&lt;=playercnt)),SUMPRODUCT(INDIRECT(ADDRESS(3,ROW()-31,1)):INDIRECT(ADDRESS(22,ROW()-31,1)),AH$3:AH$22),"")</f>
        <v/>
      </c>
      <c r="AI67" t="str">
        <f ca="1">IF(AND(((COLUMN()-10)&lt;=playercnt),((ROW()-41)&lt;=playercnt)),SUMPRODUCT(INDIRECT(ADDRESS(3,ROW()-31,1)):INDIRECT(ADDRESS(22,ROW()-31,1)),AI$3:AI$22),"")</f>
        <v/>
      </c>
      <c r="AJ67" t="str">
        <f ca="1">IF(AND(((COLUMN()-10)&lt;=playercnt),((ROW()-41)&lt;=playercnt)),SUMPRODUCT(INDIRECT(ADDRESS(3,ROW()-31,1)):INDIRECT(ADDRESS(22,ROW()-31,1)),AJ$3:AJ$22),"")</f>
        <v/>
      </c>
      <c r="AK67" t="str">
        <f ca="1">IF(AND(((COLUMN()-10)&lt;=playercnt),((ROW()-41)&lt;=playercnt)),SUMPRODUCT(INDIRECT(ADDRESS(3,ROW()-31,1)):INDIRECT(ADDRESS(22,ROW()-31,1)),AK$3:AK$22),"")</f>
        <v/>
      </c>
      <c r="AL67" t="str">
        <f ca="1">IF(AND(((COLUMN()-10)&lt;=playercnt),((ROW()-41)&lt;=playercnt)),SUMPRODUCT(INDIRECT(ADDRESS(3,ROW()-31,1)):INDIRECT(ADDRESS(22,ROW()-31,1)),AL$3:AL$22),"")</f>
        <v/>
      </c>
      <c r="AM67" t="str">
        <f ca="1">IF(AND(((COLUMN()-10)&lt;=playercnt),((ROW()-41)&lt;=playercnt)),SUMPRODUCT(INDIRECT(ADDRESS(3,ROW()-31,1)):INDIRECT(ADDRESS(22,ROW()-31,1)),AM$3:AM$22),"")</f>
        <v/>
      </c>
      <c r="AN67" t="str">
        <f ca="1">IF(AND(((COLUMN()-10)&lt;=playercnt),((ROW()-41)&lt;=playercnt)),SUMPRODUCT(INDIRECT(ADDRESS(3,ROW()-31,1)):INDIRECT(ADDRESS(22,ROW()-31,1)),AN$3:AN$22),"")</f>
        <v/>
      </c>
      <c r="AO67" t="str">
        <f ca="1">IF(AND(((COLUMN()-10)&lt;=playercnt),((ROW()-41)&lt;=playercnt)),SUMPRODUCT(INDIRECT(ADDRESS(3,ROW()-31,1)):INDIRECT(ADDRESS(22,ROW()-31,1)),AO$3:AO$22),"")</f>
        <v/>
      </c>
      <c r="AP67" t="str">
        <f ca="1">IF(AND(((COLUMN()-10)&lt;=playercnt),((ROW()-41)&lt;=playercnt)),SUMPRODUCT(INDIRECT(ADDRESS(3,ROW()-31,1)):INDIRECT(ADDRESS(22,ROW()-31,1)),AP$3:AP$22),"")</f>
        <v/>
      </c>
      <c r="AQ67" t="str">
        <f ca="1">IF(AND(((COLUMN()-10)&lt;=playercnt),((ROW()-41)&lt;=playercnt)),SUMPRODUCT(INDIRECT(ADDRESS(3,ROW()-31,1)):INDIRECT(ADDRESS(22,ROW()-31,1)),AQ$3:AQ$22),"")</f>
        <v/>
      </c>
      <c r="AR67" t="str">
        <f ca="1">IF(AND(((COLUMN()-10)&lt;=playercnt),((ROW()-41)&lt;=playercnt)),SUMPRODUCT(INDIRECT(ADDRESS(3,ROW()-31,1)):INDIRECT(ADDRESS(22,ROW()-31,1)),AR$3:AR$22),"")</f>
        <v/>
      </c>
      <c r="AS67" t="str">
        <f ca="1">IF(AND(((COLUMN()-10)&lt;=playercnt),((ROW()-41)&lt;=playercnt)),SUMPRODUCT(INDIRECT(ADDRESS(3,ROW()-31,1)):INDIRECT(ADDRESS(22,ROW()-31,1)),AS$3:AS$22),"")</f>
        <v/>
      </c>
      <c r="AT67" t="str">
        <f ca="1">IF(AND(((COLUMN()-10)&lt;=playercnt),((ROW()-41)&lt;=playercnt)),SUMPRODUCT(INDIRECT(ADDRESS(3,ROW()-31,1)):INDIRECT(ADDRESS(22,ROW()-31,1)),AT$3:AT$22),"")</f>
        <v/>
      </c>
      <c r="AU67" t="str">
        <f ca="1">IF(AND(((COLUMN()-10)&lt;=playercnt),((ROW()-41)&lt;=playercnt)),SUMPRODUCT(INDIRECT(ADDRESS(3,ROW()-31,1)):INDIRECT(ADDRESS(22,ROW()-31,1)),AU$3:AU$22),"")</f>
        <v/>
      </c>
      <c r="AV67" t="str">
        <f ca="1">IF(AND(((COLUMN()-10)&lt;=playercnt),((ROW()-41)&lt;=playercnt)),SUMPRODUCT(INDIRECT(ADDRESS(3,ROW()-31,1)):INDIRECT(ADDRESS(22,ROW()-31,1)),AV$3:AV$22),"")</f>
        <v/>
      </c>
      <c r="AW67" t="str">
        <f ca="1">IF(AND(((COLUMN()-10)&lt;=playercnt),((ROW()-41)&lt;=playercnt)),SUMPRODUCT(INDIRECT(ADDRESS(3,ROW()-31,1)):INDIRECT(ADDRESS(22,ROW()-31,1)),AW$3:AW$22),"")</f>
        <v/>
      </c>
      <c r="AX67" t="str">
        <f ca="1">IF(AND(((COLUMN()-10)&lt;=playercnt),((ROW()-41)&lt;=playercnt)),SUMPRODUCT(INDIRECT(ADDRESS(3,ROW()-31,1)):INDIRECT(ADDRESS(22,ROW()-31,1)),AX$3:AX$22),"")</f>
        <v/>
      </c>
      <c r="AY67" t="str">
        <f ca="1">IF(AND(((COLUMN()-10)&lt;=playercnt),((ROW()-41)&lt;=playercnt)),SUMPRODUCT(INDIRECT(ADDRESS(3,ROW()-31,1)):INDIRECT(ADDRESS(22,ROW()-31,1)),AY$3:AY$22),"")</f>
        <v/>
      </c>
      <c r="AZ67" t="str">
        <f ca="1">IF(AND(((COLUMN()-10)&lt;=playercnt),((ROW()-41)&lt;=playercnt)),SUMPRODUCT(INDIRECT(ADDRESS(3,ROW()-31,1)):INDIRECT(ADDRESS(22,ROW()-31,1)),AZ$3:AZ$22),"")</f>
        <v/>
      </c>
      <c r="BA67" t="str">
        <f ca="1">IF(AND(((COLUMN()-10)&lt;=playercnt),((ROW()-41)&lt;=playercnt)),SUMPRODUCT(INDIRECT(ADDRESS(3,ROW()-31,1)):INDIRECT(ADDRESS(22,ROW()-31,1)),BA$3:BA$22),"")</f>
        <v/>
      </c>
      <c r="BB67" t="str">
        <f ca="1">IF(AND(((COLUMN()-10)&lt;=playercnt),((ROW()-41)&lt;=playercnt)),SUMPRODUCT(INDIRECT(ADDRESS(3,ROW()-31,1)):INDIRECT(ADDRESS(22,ROW()-31,1)),BB$3:BB$22),"")</f>
        <v/>
      </c>
      <c r="BC67" t="str">
        <f ca="1">IF(AND(((COLUMN()-10)&lt;=playercnt),((ROW()-41)&lt;=playercnt)),SUMPRODUCT(INDIRECT(ADDRESS(3,ROW()-31,1)):INDIRECT(ADDRESS(22,ROW()-31,1)),BC$3:BC$22),"")</f>
        <v/>
      </c>
      <c r="BD67" t="str">
        <f ca="1">IF(AND(((COLUMN()-10)&lt;=playercnt),((ROW()-41)&lt;=playercnt)),SUMPRODUCT(INDIRECT(ADDRESS(3,ROW()-31,1)):INDIRECT(ADDRESS(22,ROW()-31,1)),BD$3:BD$22),"")</f>
        <v/>
      </c>
      <c r="BE67" t="str">
        <f ca="1">IF(AND(((COLUMN()-10)&lt;=playercnt),((ROW()-41)&lt;=playercnt)),SUMPRODUCT(INDIRECT(ADDRESS(3,ROW()-31,1)):INDIRECT(ADDRESS(22,ROW()-31,1)),BE$3:BE$22),"")</f>
        <v/>
      </c>
      <c r="BF67" t="str">
        <f ca="1">IF(AND(((COLUMN()-10)&lt;=playercnt),((ROW()-41)&lt;=playercnt)),SUMPRODUCT(INDIRECT(ADDRESS(3,ROW()-31,1)):INDIRECT(ADDRESS(22,ROW()-31,1)),BF$3:BF$22),"")</f>
        <v/>
      </c>
      <c r="BG67" t="str">
        <f ca="1">IF(AND(((COLUMN()-10)&lt;=playercnt),((ROW()-41)&lt;=playercnt)),SUMPRODUCT(INDIRECT(ADDRESS(3,ROW()-31,1)):INDIRECT(ADDRESS(22,ROW()-31,1)),BG$3:BG$22),"")</f>
        <v/>
      </c>
      <c r="BH67" t="str">
        <f ca="1">IF(AND(((COLUMN()-10)&lt;=playercnt),((ROW()-41)&lt;=playercnt)),SUMPRODUCT(INDIRECT(ADDRESS(3,ROW()-31,1)):INDIRECT(ADDRESS(22,ROW()-31,1)),BH$3:BH$22),"")</f>
        <v/>
      </c>
      <c r="BI67" t="str">
        <f ca="1">IF(AND(((COLUMN()-10)&lt;=playercnt),((ROW()-41)&lt;=playercnt)),SUMPRODUCT(INDIRECT(ADDRESS(3,ROW()-31,1)):INDIRECT(ADDRESS(22,ROW()-31,1)),BI$3:BI$22),"")</f>
        <v/>
      </c>
      <c r="BJ67" t="str">
        <f ca="1">IF(AND(((COLUMN()-10)&lt;=playercnt),((ROW()-41)&lt;=playercnt)),SUMPRODUCT(INDIRECT(ADDRESS(3,ROW()-31,1)):INDIRECT(ADDRESS(22,ROW()-31,1)),BJ$3:BJ$22),"")</f>
        <v/>
      </c>
      <c r="BK67" t="str">
        <f ca="1">IF(AND(((COLUMN()-10)&lt;=playercnt),((ROW()-41)&lt;=playercnt)),SUMPRODUCT(INDIRECT(ADDRESS(3,ROW()-31,1)):INDIRECT(ADDRESS(22,ROW()-31,1)),BK$3:BK$22),"")</f>
        <v/>
      </c>
      <c r="BL67" t="str">
        <f ca="1">IF(AND(((COLUMN()-10)&lt;=playercnt),((ROW()-41)&lt;=playercnt)),SUMPRODUCT(INDIRECT(ADDRESS(3,ROW()-31,1)):INDIRECT(ADDRESS(22,ROW()-31,1)),BL$3:BL$22),"")</f>
        <v/>
      </c>
      <c r="BM67" t="str">
        <f ca="1">IF(AND(((COLUMN()-10)&lt;=playercnt),((ROW()-41)&lt;=playercnt)),SUMPRODUCT(INDIRECT(ADDRESS(3,ROW()-31,1)):INDIRECT(ADDRESS(22,ROW()-31,1)),BM$3:BM$22),"")</f>
        <v/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>
      <c r="B68" s="27" t="str">
        <f t="shared" ca="1" si="29"/>
        <v/>
      </c>
      <c r="C68" t="str">
        <f t="shared" ca="1" si="30"/>
        <v/>
      </c>
      <c r="G68" t="str">
        <f ca="1">IF(AND(((COLUMN()-10)&lt;=playercnt),((ROW()-41)&lt;=playercnt)),SUMPRODUCT(INDIRECT(ADDRESS(3,ROW()-31,1)):INDIRECT(ADDRESS(22,ROW()-31,1)),G$3:G$22),"")</f>
        <v/>
      </c>
      <c r="H68" t="str">
        <f ca="1">IF(AND(((COLUMN()-10)&lt;=playercnt),((ROW()-41)&lt;=playercnt)),SUMPRODUCT(INDIRECT(ADDRESS(3,ROW()-31,1)):INDIRECT(ADDRESS(22,ROW()-31,1)),H$3:H$22),"")</f>
        <v/>
      </c>
      <c r="I68" t="str">
        <f ca="1">IF(AND(((COLUMN()-10)&lt;=playercnt),((ROW()-41)&lt;=playercnt)),SUMPRODUCT(INDIRECT(ADDRESS(3,ROW()-31,1)):INDIRECT(ADDRESS(22,ROW()-31,1)),I$3:I$22),"")</f>
        <v/>
      </c>
      <c r="J68" t="str">
        <f ca="1">IF(AND(((COLUMN()-10)&lt;=playercnt),((ROW()-41)&lt;=playercnt)),SUMPRODUCT(INDIRECT(ADDRESS(3,ROW()-31,1)):INDIRECT(ADDRESS(22,ROW()-31,1)),J$3:J$22),"")</f>
        <v/>
      </c>
      <c r="K68" t="str">
        <f ca="1">IF(AND(((COLUMN()-10)&lt;=playercnt),((ROW()-41)&lt;=playercnt)),SUMPRODUCT(INDIRECT(ADDRESS(3,ROW()-31,1)):INDIRECT(ADDRESS(22,ROW()-31,1)),K$3:K$22),"")</f>
        <v/>
      </c>
      <c r="L68" t="str">
        <f ca="1">IF(AND(((COLUMN()-10)&lt;=playercnt),((ROW()-41)&lt;=playercnt)),SUMPRODUCT(INDIRECT(ADDRESS(3,ROW()-31,1)):INDIRECT(ADDRESS(22,ROW()-31,1)),L$3:L$22),"")</f>
        <v/>
      </c>
      <c r="M68" t="str">
        <f ca="1">IF(AND(((COLUMN()-10)&lt;=playercnt),((ROW()-41)&lt;=playercnt)),SUMPRODUCT(INDIRECT(ADDRESS(3,ROW()-31,1)):INDIRECT(ADDRESS(22,ROW()-31,1)),M$3:M$22),"")</f>
        <v/>
      </c>
      <c r="N68" t="str">
        <f ca="1">IF(AND(((COLUMN()-10)&lt;=playercnt),((ROW()-41)&lt;=playercnt)),SUMPRODUCT(INDIRECT(ADDRESS(3,ROW()-31,1)):INDIRECT(ADDRESS(22,ROW()-31,1)),N$3:N$22),"")</f>
        <v/>
      </c>
      <c r="O68" t="str">
        <f ca="1">IF(AND(((COLUMN()-10)&lt;=playercnt),((ROW()-41)&lt;=playercnt)),SUMPRODUCT(INDIRECT(ADDRESS(3,ROW()-31,1)):INDIRECT(ADDRESS(22,ROW()-31,1)),O$3:O$22),"")</f>
        <v/>
      </c>
      <c r="P68" t="str">
        <f ca="1">IF(AND(((COLUMN()-10)&lt;=playercnt),((ROW()-41)&lt;=playercnt)),SUMPRODUCT(INDIRECT(ADDRESS(3,ROW()-31,1)):INDIRECT(ADDRESS(22,ROW()-31,1)),P$3:P$22),"")</f>
        <v/>
      </c>
      <c r="Q68" t="str">
        <f ca="1">IF(AND(((COLUMN()-10)&lt;=playercnt),((ROW()-41)&lt;=playercnt)),SUMPRODUCT(INDIRECT(ADDRESS(3,ROW()-31,1)):INDIRECT(ADDRESS(22,ROW()-31,1)),Q$3:Q$22),"")</f>
        <v/>
      </c>
      <c r="R68" t="str">
        <f ca="1">IF(AND(((COLUMN()-10)&lt;=playercnt),((ROW()-41)&lt;=playercnt)),SUMPRODUCT(INDIRECT(ADDRESS(3,ROW()-31,1)):INDIRECT(ADDRESS(22,ROW()-31,1)),R$3:R$22),"")</f>
        <v/>
      </c>
      <c r="S68" t="str">
        <f ca="1">IF(AND(((COLUMN()-10)&lt;=playercnt),((ROW()-41)&lt;=playercnt)),SUMPRODUCT(INDIRECT(ADDRESS(3,ROW()-31,1)):INDIRECT(ADDRESS(22,ROW()-31,1)),S$3:S$22),"")</f>
        <v/>
      </c>
      <c r="T68" t="str">
        <f ca="1">IF(AND(((COLUMN()-10)&lt;=playercnt),((ROW()-41)&lt;=playercnt)),SUMPRODUCT(INDIRECT(ADDRESS(3,ROW()-31,1)):INDIRECT(ADDRESS(22,ROW()-31,1)),T$3:T$22),"")</f>
        <v/>
      </c>
      <c r="U68" t="str">
        <f ca="1">IF(AND(((COLUMN()-10)&lt;=playercnt),((ROW()-41)&lt;=playercnt)),SUMPRODUCT(INDIRECT(ADDRESS(3,ROW()-31,1)):INDIRECT(ADDRESS(22,ROW()-31,1)),U$3:U$22),"")</f>
        <v/>
      </c>
      <c r="V68" t="str">
        <f ca="1">IF(AND(((COLUMN()-10)&lt;=playercnt),((ROW()-41)&lt;=playercnt)),SUMPRODUCT(INDIRECT(ADDRESS(3,ROW()-31,1)):INDIRECT(ADDRESS(22,ROW()-31,1)),V$3:V$22),"")</f>
        <v/>
      </c>
      <c r="W68" t="str">
        <f ca="1">IF(AND(((COLUMN()-10)&lt;=playercnt),((ROW()-41)&lt;=playercnt)),SUMPRODUCT(INDIRECT(ADDRESS(3,ROW()-31,1)):INDIRECT(ADDRESS(22,ROW()-31,1)),W$3:W$22),"")</f>
        <v/>
      </c>
      <c r="X68" t="str">
        <f ca="1">IF(AND(((COLUMN()-10)&lt;=playercnt),((ROW()-41)&lt;=playercnt)),SUMPRODUCT(INDIRECT(ADDRESS(3,ROW()-31,1)):INDIRECT(ADDRESS(22,ROW()-31,1)),X$3:X$22),"")</f>
        <v/>
      </c>
      <c r="Y68" t="str">
        <f ca="1">IF(AND(((COLUMN()-10)&lt;=playercnt),((ROW()-41)&lt;=playercnt)),SUMPRODUCT(INDIRECT(ADDRESS(3,ROW()-31,1)):INDIRECT(ADDRESS(22,ROW()-31,1)),Y$3:Y$22),"")</f>
        <v/>
      </c>
      <c r="Z68" t="str">
        <f ca="1">IF(AND(((COLUMN()-10)&lt;=playercnt),((ROW()-41)&lt;=playercnt)),SUMPRODUCT(INDIRECT(ADDRESS(3,ROW()-31,1)):INDIRECT(ADDRESS(22,ROW()-31,1)),Z$3:Z$22),"")</f>
        <v/>
      </c>
      <c r="AA68" t="str">
        <f ca="1">IF(AND(((COLUMN()-10)&lt;=playercnt),((ROW()-41)&lt;=playercnt)),SUMPRODUCT(INDIRECT(ADDRESS(3,ROW()-31,1)):INDIRECT(ADDRESS(22,ROW()-31,1)),AA$3:AA$22),"")</f>
        <v/>
      </c>
      <c r="AB68" t="str">
        <f ca="1">IF(AND(((COLUMN()-10)&lt;=playercnt),((ROW()-41)&lt;=playercnt)),SUMPRODUCT(INDIRECT(ADDRESS(3,ROW()-31,1)):INDIRECT(ADDRESS(22,ROW()-31,1)),AB$3:AB$22),"")</f>
        <v/>
      </c>
      <c r="AC68" t="str">
        <f ca="1">IF(AND(((COLUMN()-10)&lt;=playercnt),((ROW()-41)&lt;=playercnt)),SUMPRODUCT(INDIRECT(ADDRESS(3,ROW()-31,1)):INDIRECT(ADDRESS(22,ROW()-31,1)),AC$3:AC$22),"")</f>
        <v/>
      </c>
      <c r="AD68" t="str">
        <f ca="1">IF(AND(((COLUMN()-10)&lt;=playercnt),((ROW()-41)&lt;=playercnt)),SUMPRODUCT(INDIRECT(ADDRESS(3,ROW()-31,1)):INDIRECT(ADDRESS(22,ROW()-31,1)),AD$3:AD$22),"")</f>
        <v/>
      </c>
      <c r="AE68" t="str">
        <f ca="1">IF(AND(((COLUMN()-10)&lt;=playercnt),((ROW()-41)&lt;=playercnt)),SUMPRODUCT(INDIRECT(ADDRESS(3,ROW()-31,1)):INDIRECT(ADDRESS(22,ROW()-31,1)),AE$3:AE$22),"")</f>
        <v/>
      </c>
      <c r="AF68" t="str">
        <f ca="1">IF(AND(((COLUMN()-10)&lt;=playercnt),((ROW()-41)&lt;=playercnt)),SUMPRODUCT(INDIRECT(ADDRESS(3,ROW()-31,1)):INDIRECT(ADDRESS(22,ROW()-31,1)),AF$3:AF$22),"")</f>
        <v/>
      </c>
      <c r="AG68" t="str">
        <f ca="1">IF(AND(((COLUMN()-10)&lt;=playercnt),((ROW()-41)&lt;=playercnt)),SUMPRODUCT(INDIRECT(ADDRESS(3,ROW()-31,1)):INDIRECT(ADDRESS(22,ROW()-31,1)),AG$3:AG$22),"")</f>
        <v/>
      </c>
      <c r="AH68" t="str">
        <f ca="1">IF(AND(((COLUMN()-10)&lt;=playercnt),((ROW()-41)&lt;=playercnt)),SUMPRODUCT(INDIRECT(ADDRESS(3,ROW()-31,1)):INDIRECT(ADDRESS(22,ROW()-31,1)),AH$3:AH$22),"")</f>
        <v/>
      </c>
      <c r="AI68" t="str">
        <f ca="1">IF(AND(((COLUMN()-10)&lt;=playercnt),((ROW()-41)&lt;=playercnt)),SUMPRODUCT(INDIRECT(ADDRESS(3,ROW()-31,1)):INDIRECT(ADDRESS(22,ROW()-31,1)),AI$3:AI$22),"")</f>
        <v/>
      </c>
      <c r="AJ68" t="str">
        <f ca="1">IF(AND(((COLUMN()-10)&lt;=playercnt),((ROW()-41)&lt;=playercnt)),SUMPRODUCT(INDIRECT(ADDRESS(3,ROW()-31,1)):INDIRECT(ADDRESS(22,ROW()-31,1)),AJ$3:AJ$22),"")</f>
        <v/>
      </c>
      <c r="AK68" t="str">
        <f ca="1">IF(AND(((COLUMN()-10)&lt;=playercnt),((ROW()-41)&lt;=playercnt)),SUMPRODUCT(INDIRECT(ADDRESS(3,ROW()-31,1)):INDIRECT(ADDRESS(22,ROW()-31,1)),AK$3:AK$22),"")</f>
        <v/>
      </c>
      <c r="AL68" t="str">
        <f ca="1">IF(AND(((COLUMN()-10)&lt;=playercnt),((ROW()-41)&lt;=playercnt)),SUMPRODUCT(INDIRECT(ADDRESS(3,ROW()-31,1)):INDIRECT(ADDRESS(22,ROW()-31,1)),AL$3:AL$22),"")</f>
        <v/>
      </c>
      <c r="AM68" t="str">
        <f ca="1">IF(AND(((COLUMN()-10)&lt;=playercnt),((ROW()-41)&lt;=playercnt)),SUMPRODUCT(INDIRECT(ADDRESS(3,ROW()-31,1)):INDIRECT(ADDRESS(22,ROW()-31,1)),AM$3:AM$22),"")</f>
        <v/>
      </c>
      <c r="AN68" t="str">
        <f ca="1">IF(AND(((COLUMN()-10)&lt;=playercnt),((ROW()-41)&lt;=playercnt)),SUMPRODUCT(INDIRECT(ADDRESS(3,ROW()-31,1)):INDIRECT(ADDRESS(22,ROW()-31,1)),AN$3:AN$22),"")</f>
        <v/>
      </c>
      <c r="AO68" t="str">
        <f ca="1">IF(AND(((COLUMN()-10)&lt;=playercnt),((ROW()-41)&lt;=playercnt)),SUMPRODUCT(INDIRECT(ADDRESS(3,ROW()-31,1)):INDIRECT(ADDRESS(22,ROW()-31,1)),AO$3:AO$22),"")</f>
        <v/>
      </c>
      <c r="AP68" t="str">
        <f ca="1">IF(AND(((COLUMN()-10)&lt;=playercnt),((ROW()-41)&lt;=playercnt)),SUMPRODUCT(INDIRECT(ADDRESS(3,ROW()-31,1)):INDIRECT(ADDRESS(22,ROW()-31,1)),AP$3:AP$22),"")</f>
        <v/>
      </c>
      <c r="AQ68" t="str">
        <f ca="1">IF(AND(((COLUMN()-10)&lt;=playercnt),((ROW()-41)&lt;=playercnt)),SUMPRODUCT(INDIRECT(ADDRESS(3,ROW()-31,1)):INDIRECT(ADDRESS(22,ROW()-31,1)),AQ$3:AQ$22),"")</f>
        <v/>
      </c>
      <c r="AR68" t="str">
        <f ca="1">IF(AND(((COLUMN()-10)&lt;=playercnt),((ROW()-41)&lt;=playercnt)),SUMPRODUCT(INDIRECT(ADDRESS(3,ROW()-31,1)):INDIRECT(ADDRESS(22,ROW()-31,1)),AR$3:AR$22),"")</f>
        <v/>
      </c>
      <c r="AS68" t="str">
        <f ca="1">IF(AND(((COLUMN()-10)&lt;=playercnt),((ROW()-41)&lt;=playercnt)),SUMPRODUCT(INDIRECT(ADDRESS(3,ROW()-31,1)):INDIRECT(ADDRESS(22,ROW()-31,1)),AS$3:AS$22),"")</f>
        <v/>
      </c>
      <c r="AT68" t="str">
        <f ca="1">IF(AND(((COLUMN()-10)&lt;=playercnt),((ROW()-41)&lt;=playercnt)),SUMPRODUCT(INDIRECT(ADDRESS(3,ROW()-31,1)):INDIRECT(ADDRESS(22,ROW()-31,1)),AT$3:AT$22),"")</f>
        <v/>
      </c>
      <c r="AU68" t="str">
        <f ca="1">IF(AND(((COLUMN()-10)&lt;=playercnt),((ROW()-41)&lt;=playercnt)),SUMPRODUCT(INDIRECT(ADDRESS(3,ROW()-31,1)):INDIRECT(ADDRESS(22,ROW()-31,1)),AU$3:AU$22),"")</f>
        <v/>
      </c>
      <c r="AV68" t="str">
        <f ca="1">IF(AND(((COLUMN()-10)&lt;=playercnt),((ROW()-41)&lt;=playercnt)),SUMPRODUCT(INDIRECT(ADDRESS(3,ROW()-31,1)):INDIRECT(ADDRESS(22,ROW()-31,1)),AV$3:AV$22),"")</f>
        <v/>
      </c>
      <c r="AW68" t="str">
        <f ca="1">IF(AND(((COLUMN()-10)&lt;=playercnt),((ROW()-41)&lt;=playercnt)),SUMPRODUCT(INDIRECT(ADDRESS(3,ROW()-31,1)):INDIRECT(ADDRESS(22,ROW()-31,1)),AW$3:AW$22),"")</f>
        <v/>
      </c>
      <c r="AX68" t="str">
        <f ca="1">IF(AND(((COLUMN()-10)&lt;=playercnt),((ROW()-41)&lt;=playercnt)),SUMPRODUCT(INDIRECT(ADDRESS(3,ROW()-31,1)):INDIRECT(ADDRESS(22,ROW()-31,1)),AX$3:AX$22),"")</f>
        <v/>
      </c>
      <c r="AY68" t="str">
        <f ca="1">IF(AND(((COLUMN()-10)&lt;=playercnt),((ROW()-41)&lt;=playercnt)),SUMPRODUCT(INDIRECT(ADDRESS(3,ROW()-31,1)):INDIRECT(ADDRESS(22,ROW()-31,1)),AY$3:AY$22),"")</f>
        <v/>
      </c>
      <c r="AZ68" t="str">
        <f ca="1">IF(AND(((COLUMN()-10)&lt;=playercnt),((ROW()-41)&lt;=playercnt)),SUMPRODUCT(INDIRECT(ADDRESS(3,ROW()-31,1)):INDIRECT(ADDRESS(22,ROW()-31,1)),AZ$3:AZ$22),"")</f>
        <v/>
      </c>
      <c r="BA68" t="str">
        <f ca="1">IF(AND(((COLUMN()-10)&lt;=playercnt),((ROW()-41)&lt;=playercnt)),SUMPRODUCT(INDIRECT(ADDRESS(3,ROW()-31,1)):INDIRECT(ADDRESS(22,ROW()-31,1)),BA$3:BA$22),"")</f>
        <v/>
      </c>
      <c r="BB68" t="str">
        <f ca="1">IF(AND(((COLUMN()-10)&lt;=playercnt),((ROW()-41)&lt;=playercnt)),SUMPRODUCT(INDIRECT(ADDRESS(3,ROW()-31,1)):INDIRECT(ADDRESS(22,ROW()-31,1)),BB$3:BB$22),"")</f>
        <v/>
      </c>
      <c r="BC68" t="str">
        <f ca="1">IF(AND(((COLUMN()-10)&lt;=playercnt),((ROW()-41)&lt;=playercnt)),SUMPRODUCT(INDIRECT(ADDRESS(3,ROW()-31,1)):INDIRECT(ADDRESS(22,ROW()-31,1)),BC$3:BC$22),"")</f>
        <v/>
      </c>
      <c r="BD68" t="str">
        <f ca="1">IF(AND(((COLUMN()-10)&lt;=playercnt),((ROW()-41)&lt;=playercnt)),SUMPRODUCT(INDIRECT(ADDRESS(3,ROW()-31,1)):INDIRECT(ADDRESS(22,ROW()-31,1)),BD$3:BD$22),"")</f>
        <v/>
      </c>
      <c r="BE68" t="str">
        <f ca="1">IF(AND(((COLUMN()-10)&lt;=playercnt),((ROW()-41)&lt;=playercnt)),SUMPRODUCT(INDIRECT(ADDRESS(3,ROW()-31,1)):INDIRECT(ADDRESS(22,ROW()-31,1)),BE$3:BE$22),"")</f>
        <v/>
      </c>
      <c r="BF68" t="str">
        <f ca="1">IF(AND(((COLUMN()-10)&lt;=playercnt),((ROW()-41)&lt;=playercnt)),SUMPRODUCT(INDIRECT(ADDRESS(3,ROW()-31,1)):INDIRECT(ADDRESS(22,ROW()-31,1)),BF$3:BF$22),"")</f>
        <v/>
      </c>
      <c r="BG68" t="str">
        <f ca="1">IF(AND(((COLUMN()-10)&lt;=playercnt),((ROW()-41)&lt;=playercnt)),SUMPRODUCT(INDIRECT(ADDRESS(3,ROW()-31,1)):INDIRECT(ADDRESS(22,ROW()-31,1)),BG$3:BG$22),"")</f>
        <v/>
      </c>
      <c r="BH68" t="str">
        <f ca="1">IF(AND(((COLUMN()-10)&lt;=playercnt),((ROW()-41)&lt;=playercnt)),SUMPRODUCT(INDIRECT(ADDRESS(3,ROW()-31,1)):INDIRECT(ADDRESS(22,ROW()-31,1)),BH$3:BH$22),"")</f>
        <v/>
      </c>
      <c r="BI68" t="str">
        <f ca="1">IF(AND(((COLUMN()-10)&lt;=playercnt),((ROW()-41)&lt;=playercnt)),SUMPRODUCT(INDIRECT(ADDRESS(3,ROW()-31,1)):INDIRECT(ADDRESS(22,ROW()-31,1)),BI$3:BI$22),"")</f>
        <v/>
      </c>
      <c r="BJ68" t="str">
        <f ca="1">IF(AND(((COLUMN()-10)&lt;=playercnt),((ROW()-41)&lt;=playercnt)),SUMPRODUCT(INDIRECT(ADDRESS(3,ROW()-31,1)):INDIRECT(ADDRESS(22,ROW()-31,1)),BJ$3:BJ$22),"")</f>
        <v/>
      </c>
      <c r="BK68" t="str">
        <f ca="1">IF(AND(((COLUMN()-10)&lt;=playercnt),((ROW()-41)&lt;=playercnt)),SUMPRODUCT(INDIRECT(ADDRESS(3,ROW()-31,1)):INDIRECT(ADDRESS(22,ROW()-31,1)),BK$3:BK$22),"")</f>
        <v/>
      </c>
      <c r="BL68" t="str">
        <f ca="1">IF(AND(((COLUMN()-10)&lt;=playercnt),((ROW()-41)&lt;=playercnt)),SUMPRODUCT(INDIRECT(ADDRESS(3,ROW()-31,1)):INDIRECT(ADDRESS(22,ROW()-31,1)),BL$3:BL$22),"")</f>
        <v/>
      </c>
      <c r="BM68" t="str">
        <f ca="1">IF(AND(((COLUMN()-10)&lt;=playercnt),((ROW()-41)&lt;=playercnt)),SUMPRODUCT(INDIRECT(ADDRESS(3,ROW()-31,1)):INDIRECT(ADDRESS(22,ROW()-31,1)),BM$3:BM$22),"")</f>
        <v/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>
      <c r="B69" s="27" t="str">
        <f t="shared" ca="1" si="29"/>
        <v/>
      </c>
      <c r="C69" t="str">
        <f t="shared" ca="1" si="30"/>
        <v/>
      </c>
      <c r="G69" t="str">
        <f ca="1">IF(AND(((COLUMN()-10)&lt;=playercnt),((ROW()-41)&lt;=playercnt)),SUMPRODUCT(INDIRECT(ADDRESS(3,ROW()-31,1)):INDIRECT(ADDRESS(22,ROW()-31,1)),G$3:G$22),"")</f>
        <v/>
      </c>
      <c r="H69" t="str">
        <f ca="1">IF(AND(((COLUMN()-10)&lt;=playercnt),((ROW()-41)&lt;=playercnt)),SUMPRODUCT(INDIRECT(ADDRESS(3,ROW()-31,1)):INDIRECT(ADDRESS(22,ROW()-31,1)),H$3:H$22),"")</f>
        <v/>
      </c>
      <c r="I69" t="str">
        <f ca="1">IF(AND(((COLUMN()-10)&lt;=playercnt),((ROW()-41)&lt;=playercnt)),SUMPRODUCT(INDIRECT(ADDRESS(3,ROW()-31,1)):INDIRECT(ADDRESS(22,ROW()-31,1)),I$3:I$22),"")</f>
        <v/>
      </c>
      <c r="J69" t="str">
        <f ca="1">IF(AND(((COLUMN()-10)&lt;=playercnt),((ROW()-41)&lt;=playercnt)),SUMPRODUCT(INDIRECT(ADDRESS(3,ROW()-31,1)):INDIRECT(ADDRESS(22,ROW()-31,1)),J$3:J$22),"")</f>
        <v/>
      </c>
      <c r="K69" t="str">
        <f ca="1">IF(AND(((COLUMN()-10)&lt;=playercnt),((ROW()-41)&lt;=playercnt)),SUMPRODUCT(INDIRECT(ADDRESS(3,ROW()-31,1)):INDIRECT(ADDRESS(22,ROW()-31,1)),K$3:K$22),"")</f>
        <v/>
      </c>
      <c r="L69" t="str">
        <f ca="1">IF(AND(((COLUMN()-10)&lt;=playercnt),((ROW()-41)&lt;=playercnt)),SUMPRODUCT(INDIRECT(ADDRESS(3,ROW()-31,1)):INDIRECT(ADDRESS(22,ROW()-31,1)),L$3:L$22),"")</f>
        <v/>
      </c>
      <c r="M69" t="str">
        <f ca="1">IF(AND(((COLUMN()-10)&lt;=playercnt),((ROW()-41)&lt;=playercnt)),SUMPRODUCT(INDIRECT(ADDRESS(3,ROW()-31,1)):INDIRECT(ADDRESS(22,ROW()-31,1)),M$3:M$22),"")</f>
        <v/>
      </c>
      <c r="N69" t="str">
        <f ca="1">IF(AND(((COLUMN()-10)&lt;=playercnt),((ROW()-41)&lt;=playercnt)),SUMPRODUCT(INDIRECT(ADDRESS(3,ROW()-31,1)):INDIRECT(ADDRESS(22,ROW()-31,1)),N$3:N$22),"")</f>
        <v/>
      </c>
      <c r="O69" t="str">
        <f ca="1">IF(AND(((COLUMN()-10)&lt;=playercnt),((ROW()-41)&lt;=playercnt)),SUMPRODUCT(INDIRECT(ADDRESS(3,ROW()-31,1)):INDIRECT(ADDRESS(22,ROW()-31,1)),O$3:O$22),"")</f>
        <v/>
      </c>
      <c r="P69" t="str">
        <f ca="1">IF(AND(((COLUMN()-10)&lt;=playercnt),((ROW()-41)&lt;=playercnt)),SUMPRODUCT(INDIRECT(ADDRESS(3,ROW()-31,1)):INDIRECT(ADDRESS(22,ROW()-31,1)),P$3:P$22),"")</f>
        <v/>
      </c>
      <c r="Q69" t="str">
        <f ca="1">IF(AND(((COLUMN()-10)&lt;=playercnt),((ROW()-41)&lt;=playercnt)),SUMPRODUCT(INDIRECT(ADDRESS(3,ROW()-31,1)):INDIRECT(ADDRESS(22,ROW()-31,1)),Q$3:Q$22),"")</f>
        <v/>
      </c>
      <c r="R69" t="str">
        <f ca="1">IF(AND(((COLUMN()-10)&lt;=playercnt),((ROW()-41)&lt;=playercnt)),SUMPRODUCT(INDIRECT(ADDRESS(3,ROW()-31,1)):INDIRECT(ADDRESS(22,ROW()-31,1)),R$3:R$22),"")</f>
        <v/>
      </c>
      <c r="S69" t="str">
        <f ca="1">IF(AND(((COLUMN()-10)&lt;=playercnt),((ROW()-41)&lt;=playercnt)),SUMPRODUCT(INDIRECT(ADDRESS(3,ROW()-31,1)):INDIRECT(ADDRESS(22,ROW()-31,1)),S$3:S$22),"")</f>
        <v/>
      </c>
      <c r="T69" t="str">
        <f ca="1">IF(AND(((COLUMN()-10)&lt;=playercnt),((ROW()-41)&lt;=playercnt)),SUMPRODUCT(INDIRECT(ADDRESS(3,ROW()-31,1)):INDIRECT(ADDRESS(22,ROW()-31,1)),T$3:T$22),"")</f>
        <v/>
      </c>
      <c r="U69" t="str">
        <f ca="1">IF(AND(((COLUMN()-10)&lt;=playercnt),((ROW()-41)&lt;=playercnt)),SUMPRODUCT(INDIRECT(ADDRESS(3,ROW()-31,1)):INDIRECT(ADDRESS(22,ROW()-31,1)),U$3:U$22),"")</f>
        <v/>
      </c>
      <c r="V69" t="str">
        <f ca="1">IF(AND(((COLUMN()-10)&lt;=playercnt),((ROW()-41)&lt;=playercnt)),SUMPRODUCT(INDIRECT(ADDRESS(3,ROW()-31,1)):INDIRECT(ADDRESS(22,ROW()-31,1)),V$3:V$22),"")</f>
        <v/>
      </c>
      <c r="W69" t="str">
        <f ca="1">IF(AND(((COLUMN()-10)&lt;=playercnt),((ROW()-41)&lt;=playercnt)),SUMPRODUCT(INDIRECT(ADDRESS(3,ROW()-31,1)):INDIRECT(ADDRESS(22,ROW()-31,1)),W$3:W$22),"")</f>
        <v/>
      </c>
      <c r="X69" t="str">
        <f ca="1">IF(AND(((COLUMN()-10)&lt;=playercnt),((ROW()-41)&lt;=playercnt)),SUMPRODUCT(INDIRECT(ADDRESS(3,ROW()-31,1)):INDIRECT(ADDRESS(22,ROW()-31,1)),X$3:X$22),"")</f>
        <v/>
      </c>
      <c r="Y69" t="str">
        <f ca="1">IF(AND(((COLUMN()-10)&lt;=playercnt),((ROW()-41)&lt;=playercnt)),SUMPRODUCT(INDIRECT(ADDRESS(3,ROW()-31,1)):INDIRECT(ADDRESS(22,ROW()-31,1)),Y$3:Y$22),"")</f>
        <v/>
      </c>
      <c r="Z69" t="str">
        <f ca="1">IF(AND(((COLUMN()-10)&lt;=playercnt),((ROW()-41)&lt;=playercnt)),SUMPRODUCT(INDIRECT(ADDRESS(3,ROW()-31,1)):INDIRECT(ADDRESS(22,ROW()-31,1)),Z$3:Z$22),"")</f>
        <v/>
      </c>
      <c r="AA69" t="str">
        <f ca="1">IF(AND(((COLUMN()-10)&lt;=playercnt),((ROW()-41)&lt;=playercnt)),SUMPRODUCT(INDIRECT(ADDRESS(3,ROW()-31,1)):INDIRECT(ADDRESS(22,ROW()-31,1)),AA$3:AA$22),"")</f>
        <v/>
      </c>
      <c r="AB69" t="str">
        <f ca="1">IF(AND(((COLUMN()-10)&lt;=playercnt),((ROW()-41)&lt;=playercnt)),SUMPRODUCT(INDIRECT(ADDRESS(3,ROW()-31,1)):INDIRECT(ADDRESS(22,ROW()-31,1)),AB$3:AB$22),"")</f>
        <v/>
      </c>
      <c r="AC69" t="str">
        <f ca="1">IF(AND(((COLUMN()-10)&lt;=playercnt),((ROW()-41)&lt;=playercnt)),SUMPRODUCT(INDIRECT(ADDRESS(3,ROW()-31,1)):INDIRECT(ADDRESS(22,ROW()-31,1)),AC$3:AC$22),"")</f>
        <v/>
      </c>
      <c r="AD69" t="str">
        <f ca="1">IF(AND(((COLUMN()-10)&lt;=playercnt),((ROW()-41)&lt;=playercnt)),SUMPRODUCT(INDIRECT(ADDRESS(3,ROW()-31,1)):INDIRECT(ADDRESS(22,ROW()-31,1)),AD$3:AD$22),"")</f>
        <v/>
      </c>
      <c r="AE69" t="str">
        <f ca="1">IF(AND(((COLUMN()-10)&lt;=playercnt),((ROW()-41)&lt;=playercnt)),SUMPRODUCT(INDIRECT(ADDRESS(3,ROW()-31,1)):INDIRECT(ADDRESS(22,ROW()-31,1)),AE$3:AE$22),"")</f>
        <v/>
      </c>
      <c r="AF69" t="str">
        <f ca="1">IF(AND(((COLUMN()-10)&lt;=playercnt),((ROW()-41)&lt;=playercnt)),SUMPRODUCT(INDIRECT(ADDRESS(3,ROW()-31,1)):INDIRECT(ADDRESS(22,ROW()-31,1)),AF$3:AF$22),"")</f>
        <v/>
      </c>
      <c r="AG69" t="str">
        <f ca="1">IF(AND(((COLUMN()-10)&lt;=playercnt),((ROW()-41)&lt;=playercnt)),SUMPRODUCT(INDIRECT(ADDRESS(3,ROW()-31,1)):INDIRECT(ADDRESS(22,ROW()-31,1)),AG$3:AG$22),"")</f>
        <v/>
      </c>
      <c r="AH69" t="str">
        <f ca="1">IF(AND(((COLUMN()-10)&lt;=playercnt),((ROW()-41)&lt;=playercnt)),SUMPRODUCT(INDIRECT(ADDRESS(3,ROW()-31,1)):INDIRECT(ADDRESS(22,ROW()-31,1)),AH$3:AH$22),"")</f>
        <v/>
      </c>
      <c r="AI69" t="str">
        <f ca="1">IF(AND(((COLUMN()-10)&lt;=playercnt),((ROW()-41)&lt;=playercnt)),SUMPRODUCT(INDIRECT(ADDRESS(3,ROW()-31,1)):INDIRECT(ADDRESS(22,ROW()-31,1)),AI$3:AI$22),"")</f>
        <v/>
      </c>
      <c r="AJ69" t="str">
        <f ca="1">IF(AND(((COLUMN()-10)&lt;=playercnt),((ROW()-41)&lt;=playercnt)),SUMPRODUCT(INDIRECT(ADDRESS(3,ROW()-31,1)):INDIRECT(ADDRESS(22,ROW()-31,1)),AJ$3:AJ$22),"")</f>
        <v/>
      </c>
      <c r="AK69" t="str">
        <f ca="1">IF(AND(((COLUMN()-10)&lt;=playercnt),((ROW()-41)&lt;=playercnt)),SUMPRODUCT(INDIRECT(ADDRESS(3,ROW()-31,1)):INDIRECT(ADDRESS(22,ROW()-31,1)),AK$3:AK$22),"")</f>
        <v/>
      </c>
      <c r="AL69" t="str">
        <f ca="1">IF(AND(((COLUMN()-10)&lt;=playercnt),((ROW()-41)&lt;=playercnt)),SUMPRODUCT(INDIRECT(ADDRESS(3,ROW()-31,1)):INDIRECT(ADDRESS(22,ROW()-31,1)),AL$3:AL$22),"")</f>
        <v/>
      </c>
      <c r="AM69" t="str">
        <f ca="1">IF(AND(((COLUMN()-10)&lt;=playercnt),((ROW()-41)&lt;=playercnt)),SUMPRODUCT(INDIRECT(ADDRESS(3,ROW()-31,1)):INDIRECT(ADDRESS(22,ROW()-31,1)),AM$3:AM$22),"")</f>
        <v/>
      </c>
      <c r="AN69" t="str">
        <f ca="1">IF(AND(((COLUMN()-10)&lt;=playercnt),((ROW()-41)&lt;=playercnt)),SUMPRODUCT(INDIRECT(ADDRESS(3,ROW()-31,1)):INDIRECT(ADDRESS(22,ROW()-31,1)),AN$3:AN$22),"")</f>
        <v/>
      </c>
      <c r="AO69" t="str">
        <f ca="1">IF(AND(((COLUMN()-10)&lt;=playercnt),((ROW()-41)&lt;=playercnt)),SUMPRODUCT(INDIRECT(ADDRESS(3,ROW()-31,1)):INDIRECT(ADDRESS(22,ROW()-31,1)),AO$3:AO$22),"")</f>
        <v/>
      </c>
      <c r="AP69" t="str">
        <f ca="1">IF(AND(((COLUMN()-10)&lt;=playercnt),((ROW()-41)&lt;=playercnt)),SUMPRODUCT(INDIRECT(ADDRESS(3,ROW()-31,1)):INDIRECT(ADDRESS(22,ROW()-31,1)),AP$3:AP$22),"")</f>
        <v/>
      </c>
      <c r="AQ69" t="str">
        <f ca="1">IF(AND(((COLUMN()-10)&lt;=playercnt),((ROW()-41)&lt;=playercnt)),SUMPRODUCT(INDIRECT(ADDRESS(3,ROW()-31,1)):INDIRECT(ADDRESS(22,ROW()-31,1)),AQ$3:AQ$22),"")</f>
        <v/>
      </c>
      <c r="AR69" t="str">
        <f ca="1">IF(AND(((COLUMN()-10)&lt;=playercnt),((ROW()-41)&lt;=playercnt)),SUMPRODUCT(INDIRECT(ADDRESS(3,ROW()-31,1)):INDIRECT(ADDRESS(22,ROW()-31,1)),AR$3:AR$22),"")</f>
        <v/>
      </c>
      <c r="AS69" t="str">
        <f ca="1">IF(AND(((COLUMN()-10)&lt;=playercnt),((ROW()-41)&lt;=playercnt)),SUMPRODUCT(INDIRECT(ADDRESS(3,ROW()-31,1)):INDIRECT(ADDRESS(22,ROW()-31,1)),AS$3:AS$22),"")</f>
        <v/>
      </c>
      <c r="AT69" t="str">
        <f ca="1">IF(AND(((COLUMN()-10)&lt;=playercnt),((ROW()-41)&lt;=playercnt)),SUMPRODUCT(INDIRECT(ADDRESS(3,ROW()-31,1)):INDIRECT(ADDRESS(22,ROW()-31,1)),AT$3:AT$22),"")</f>
        <v/>
      </c>
      <c r="AU69" t="str">
        <f ca="1">IF(AND(((COLUMN()-10)&lt;=playercnt),((ROW()-41)&lt;=playercnt)),SUMPRODUCT(INDIRECT(ADDRESS(3,ROW()-31,1)):INDIRECT(ADDRESS(22,ROW()-31,1)),AU$3:AU$22),"")</f>
        <v/>
      </c>
      <c r="AV69" t="str">
        <f ca="1">IF(AND(((COLUMN()-10)&lt;=playercnt),((ROW()-41)&lt;=playercnt)),SUMPRODUCT(INDIRECT(ADDRESS(3,ROW()-31,1)):INDIRECT(ADDRESS(22,ROW()-31,1)),AV$3:AV$22),"")</f>
        <v/>
      </c>
      <c r="AW69" t="str">
        <f ca="1">IF(AND(((COLUMN()-10)&lt;=playercnt),((ROW()-41)&lt;=playercnt)),SUMPRODUCT(INDIRECT(ADDRESS(3,ROW()-31,1)):INDIRECT(ADDRESS(22,ROW()-31,1)),AW$3:AW$22),"")</f>
        <v/>
      </c>
      <c r="AX69" t="str">
        <f ca="1">IF(AND(((COLUMN()-10)&lt;=playercnt),((ROW()-41)&lt;=playercnt)),SUMPRODUCT(INDIRECT(ADDRESS(3,ROW()-31,1)):INDIRECT(ADDRESS(22,ROW()-31,1)),AX$3:AX$22),"")</f>
        <v/>
      </c>
      <c r="AY69" t="str">
        <f ca="1">IF(AND(((COLUMN()-10)&lt;=playercnt),((ROW()-41)&lt;=playercnt)),SUMPRODUCT(INDIRECT(ADDRESS(3,ROW()-31,1)):INDIRECT(ADDRESS(22,ROW()-31,1)),AY$3:AY$22),"")</f>
        <v/>
      </c>
      <c r="AZ69" t="str">
        <f ca="1">IF(AND(((COLUMN()-10)&lt;=playercnt),((ROW()-41)&lt;=playercnt)),SUMPRODUCT(INDIRECT(ADDRESS(3,ROW()-31,1)):INDIRECT(ADDRESS(22,ROW()-31,1)),AZ$3:AZ$22),"")</f>
        <v/>
      </c>
      <c r="BA69" t="str">
        <f ca="1">IF(AND(((COLUMN()-10)&lt;=playercnt),((ROW()-41)&lt;=playercnt)),SUMPRODUCT(INDIRECT(ADDRESS(3,ROW()-31,1)):INDIRECT(ADDRESS(22,ROW()-31,1)),BA$3:BA$22),"")</f>
        <v/>
      </c>
      <c r="BB69" t="str">
        <f ca="1">IF(AND(((COLUMN()-10)&lt;=playercnt),((ROW()-41)&lt;=playercnt)),SUMPRODUCT(INDIRECT(ADDRESS(3,ROW()-31,1)):INDIRECT(ADDRESS(22,ROW()-31,1)),BB$3:BB$22),"")</f>
        <v/>
      </c>
      <c r="BC69" t="str">
        <f ca="1">IF(AND(((COLUMN()-10)&lt;=playercnt),((ROW()-41)&lt;=playercnt)),SUMPRODUCT(INDIRECT(ADDRESS(3,ROW()-31,1)):INDIRECT(ADDRESS(22,ROW()-31,1)),BC$3:BC$22),"")</f>
        <v/>
      </c>
      <c r="BD69" t="str">
        <f ca="1">IF(AND(((COLUMN()-10)&lt;=playercnt),((ROW()-41)&lt;=playercnt)),SUMPRODUCT(INDIRECT(ADDRESS(3,ROW()-31,1)):INDIRECT(ADDRESS(22,ROW()-31,1)),BD$3:BD$22),"")</f>
        <v/>
      </c>
      <c r="BE69" t="str">
        <f ca="1">IF(AND(((COLUMN()-10)&lt;=playercnt),((ROW()-41)&lt;=playercnt)),SUMPRODUCT(INDIRECT(ADDRESS(3,ROW()-31,1)):INDIRECT(ADDRESS(22,ROW()-31,1)),BE$3:BE$22),"")</f>
        <v/>
      </c>
      <c r="BF69" t="str">
        <f ca="1">IF(AND(((COLUMN()-10)&lt;=playercnt),((ROW()-41)&lt;=playercnt)),SUMPRODUCT(INDIRECT(ADDRESS(3,ROW()-31,1)):INDIRECT(ADDRESS(22,ROW()-31,1)),BF$3:BF$22),"")</f>
        <v/>
      </c>
      <c r="BG69" t="str">
        <f ca="1">IF(AND(((COLUMN()-10)&lt;=playercnt),((ROW()-41)&lt;=playercnt)),SUMPRODUCT(INDIRECT(ADDRESS(3,ROW()-31,1)):INDIRECT(ADDRESS(22,ROW()-31,1)),BG$3:BG$22),"")</f>
        <v/>
      </c>
      <c r="BH69" t="str">
        <f ca="1">IF(AND(((COLUMN()-10)&lt;=playercnt),((ROW()-41)&lt;=playercnt)),SUMPRODUCT(INDIRECT(ADDRESS(3,ROW()-31,1)):INDIRECT(ADDRESS(22,ROW()-31,1)),BH$3:BH$22),"")</f>
        <v/>
      </c>
      <c r="BI69" t="str">
        <f ca="1">IF(AND(((COLUMN()-10)&lt;=playercnt),((ROW()-41)&lt;=playercnt)),SUMPRODUCT(INDIRECT(ADDRESS(3,ROW()-31,1)):INDIRECT(ADDRESS(22,ROW()-31,1)),BI$3:BI$22),"")</f>
        <v/>
      </c>
      <c r="BJ69" t="str">
        <f ca="1">IF(AND(((COLUMN()-10)&lt;=playercnt),((ROW()-41)&lt;=playercnt)),SUMPRODUCT(INDIRECT(ADDRESS(3,ROW()-31,1)):INDIRECT(ADDRESS(22,ROW()-31,1)),BJ$3:BJ$22),"")</f>
        <v/>
      </c>
      <c r="BK69" t="str">
        <f ca="1">IF(AND(((COLUMN()-10)&lt;=playercnt),((ROW()-41)&lt;=playercnt)),SUMPRODUCT(INDIRECT(ADDRESS(3,ROW()-31,1)):INDIRECT(ADDRESS(22,ROW()-31,1)),BK$3:BK$22),"")</f>
        <v/>
      </c>
      <c r="BL69" t="str">
        <f ca="1">IF(AND(((COLUMN()-10)&lt;=playercnt),((ROW()-41)&lt;=playercnt)),SUMPRODUCT(INDIRECT(ADDRESS(3,ROW()-31,1)):INDIRECT(ADDRESS(22,ROW()-31,1)),BL$3:BL$22),"")</f>
        <v/>
      </c>
      <c r="BM69" t="str">
        <f ca="1">IF(AND(((COLUMN()-10)&lt;=playercnt),((ROW()-41)&lt;=playercnt)),SUMPRODUCT(INDIRECT(ADDRESS(3,ROW()-31,1)):INDIRECT(ADDRESS(22,ROW()-31,1)),BM$3:BM$22),"")</f>
        <v/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>
      <c r="B70" s="27" t="str">
        <f t="shared" ca="1" si="29"/>
        <v/>
      </c>
      <c r="C70" t="str">
        <f t="shared" ca="1" si="30"/>
        <v/>
      </c>
      <c r="G70" t="str">
        <f ca="1">IF(AND(((COLUMN()-10)&lt;=playercnt),((ROW()-41)&lt;=playercnt)),SUMPRODUCT(INDIRECT(ADDRESS(3,ROW()-31,1)):INDIRECT(ADDRESS(22,ROW()-31,1)),G$3:G$22),"")</f>
        <v/>
      </c>
      <c r="H70" t="str">
        <f ca="1">IF(AND(((COLUMN()-10)&lt;=playercnt),((ROW()-41)&lt;=playercnt)),SUMPRODUCT(INDIRECT(ADDRESS(3,ROW()-31,1)):INDIRECT(ADDRESS(22,ROW()-31,1)),H$3:H$22),"")</f>
        <v/>
      </c>
      <c r="I70" t="str">
        <f ca="1">IF(AND(((COLUMN()-10)&lt;=playercnt),((ROW()-41)&lt;=playercnt)),SUMPRODUCT(INDIRECT(ADDRESS(3,ROW()-31,1)):INDIRECT(ADDRESS(22,ROW()-31,1)),I$3:I$22),"")</f>
        <v/>
      </c>
      <c r="J70" t="str">
        <f ca="1">IF(AND(((COLUMN()-10)&lt;=playercnt),((ROW()-41)&lt;=playercnt)),SUMPRODUCT(INDIRECT(ADDRESS(3,ROW()-31,1)):INDIRECT(ADDRESS(22,ROW()-31,1)),J$3:J$22),"")</f>
        <v/>
      </c>
      <c r="K70" t="str">
        <f ca="1">IF(AND(((COLUMN()-10)&lt;=playercnt),((ROW()-41)&lt;=playercnt)),SUMPRODUCT(INDIRECT(ADDRESS(3,ROW()-31,1)):INDIRECT(ADDRESS(22,ROW()-31,1)),K$3:K$22),"")</f>
        <v/>
      </c>
      <c r="L70" t="str">
        <f ca="1">IF(AND(((COLUMN()-10)&lt;=playercnt),((ROW()-41)&lt;=playercnt)),SUMPRODUCT(INDIRECT(ADDRESS(3,ROW()-31,1)):INDIRECT(ADDRESS(22,ROW()-31,1)),L$3:L$22),"")</f>
        <v/>
      </c>
      <c r="M70" t="str">
        <f ca="1">IF(AND(((COLUMN()-10)&lt;=playercnt),((ROW()-41)&lt;=playercnt)),SUMPRODUCT(INDIRECT(ADDRESS(3,ROW()-31,1)):INDIRECT(ADDRESS(22,ROW()-31,1)),M$3:M$22),"")</f>
        <v/>
      </c>
      <c r="N70" t="str">
        <f ca="1">IF(AND(((COLUMN()-10)&lt;=playercnt),((ROW()-41)&lt;=playercnt)),SUMPRODUCT(INDIRECT(ADDRESS(3,ROW()-31,1)):INDIRECT(ADDRESS(22,ROW()-31,1)),N$3:N$22),"")</f>
        <v/>
      </c>
      <c r="O70" t="str">
        <f ca="1">IF(AND(((COLUMN()-10)&lt;=playercnt),((ROW()-41)&lt;=playercnt)),SUMPRODUCT(INDIRECT(ADDRESS(3,ROW()-31,1)):INDIRECT(ADDRESS(22,ROW()-31,1)),O$3:O$22),"")</f>
        <v/>
      </c>
      <c r="P70" t="str">
        <f ca="1">IF(AND(((COLUMN()-10)&lt;=playercnt),((ROW()-41)&lt;=playercnt)),SUMPRODUCT(INDIRECT(ADDRESS(3,ROW()-31,1)):INDIRECT(ADDRESS(22,ROW()-31,1)),P$3:P$22),"")</f>
        <v/>
      </c>
      <c r="Q70" t="str">
        <f ca="1">IF(AND(((COLUMN()-10)&lt;=playercnt),((ROW()-41)&lt;=playercnt)),SUMPRODUCT(INDIRECT(ADDRESS(3,ROW()-31,1)):INDIRECT(ADDRESS(22,ROW()-31,1)),Q$3:Q$22),"")</f>
        <v/>
      </c>
      <c r="R70" t="str">
        <f ca="1">IF(AND(((COLUMN()-10)&lt;=playercnt),((ROW()-41)&lt;=playercnt)),SUMPRODUCT(INDIRECT(ADDRESS(3,ROW()-31,1)):INDIRECT(ADDRESS(22,ROW()-31,1)),R$3:R$22),"")</f>
        <v/>
      </c>
      <c r="S70" t="str">
        <f ca="1">IF(AND(((COLUMN()-10)&lt;=playercnt),((ROW()-41)&lt;=playercnt)),SUMPRODUCT(INDIRECT(ADDRESS(3,ROW()-31,1)):INDIRECT(ADDRESS(22,ROW()-31,1)),S$3:S$22),"")</f>
        <v/>
      </c>
      <c r="T70" t="str">
        <f ca="1">IF(AND(((COLUMN()-10)&lt;=playercnt),((ROW()-41)&lt;=playercnt)),SUMPRODUCT(INDIRECT(ADDRESS(3,ROW()-31,1)):INDIRECT(ADDRESS(22,ROW()-31,1)),T$3:T$22),"")</f>
        <v/>
      </c>
      <c r="U70" t="str">
        <f ca="1">IF(AND(((COLUMN()-10)&lt;=playercnt),((ROW()-41)&lt;=playercnt)),SUMPRODUCT(INDIRECT(ADDRESS(3,ROW()-31,1)):INDIRECT(ADDRESS(22,ROW()-31,1)),U$3:U$22),"")</f>
        <v/>
      </c>
      <c r="V70" t="str">
        <f ca="1">IF(AND(((COLUMN()-10)&lt;=playercnt),((ROW()-41)&lt;=playercnt)),SUMPRODUCT(INDIRECT(ADDRESS(3,ROW()-31,1)):INDIRECT(ADDRESS(22,ROW()-31,1)),V$3:V$22),"")</f>
        <v/>
      </c>
      <c r="W70" t="str">
        <f ca="1">IF(AND(((COLUMN()-10)&lt;=playercnt),((ROW()-41)&lt;=playercnt)),SUMPRODUCT(INDIRECT(ADDRESS(3,ROW()-31,1)):INDIRECT(ADDRESS(22,ROW()-31,1)),W$3:W$22),"")</f>
        <v/>
      </c>
      <c r="X70" t="str">
        <f ca="1">IF(AND(((COLUMN()-10)&lt;=playercnt),((ROW()-41)&lt;=playercnt)),SUMPRODUCT(INDIRECT(ADDRESS(3,ROW()-31,1)):INDIRECT(ADDRESS(22,ROW()-31,1)),X$3:X$22),"")</f>
        <v/>
      </c>
      <c r="Y70" t="str">
        <f ca="1">IF(AND(((COLUMN()-10)&lt;=playercnt),((ROW()-41)&lt;=playercnt)),SUMPRODUCT(INDIRECT(ADDRESS(3,ROW()-31,1)):INDIRECT(ADDRESS(22,ROW()-31,1)),Y$3:Y$22),"")</f>
        <v/>
      </c>
      <c r="Z70" t="str">
        <f ca="1">IF(AND(((COLUMN()-10)&lt;=playercnt),((ROW()-41)&lt;=playercnt)),SUMPRODUCT(INDIRECT(ADDRESS(3,ROW()-31,1)):INDIRECT(ADDRESS(22,ROW()-31,1)),Z$3:Z$22),"")</f>
        <v/>
      </c>
      <c r="AA70" t="str">
        <f ca="1">IF(AND(((COLUMN()-10)&lt;=playercnt),((ROW()-41)&lt;=playercnt)),SUMPRODUCT(INDIRECT(ADDRESS(3,ROW()-31,1)):INDIRECT(ADDRESS(22,ROW()-31,1)),AA$3:AA$22),"")</f>
        <v/>
      </c>
      <c r="AB70" t="str">
        <f ca="1">IF(AND(((COLUMN()-10)&lt;=playercnt),((ROW()-41)&lt;=playercnt)),SUMPRODUCT(INDIRECT(ADDRESS(3,ROW()-31,1)):INDIRECT(ADDRESS(22,ROW()-31,1)),AB$3:AB$22),"")</f>
        <v/>
      </c>
      <c r="AC70" t="str">
        <f ca="1">IF(AND(((COLUMN()-10)&lt;=playercnt),((ROW()-41)&lt;=playercnt)),SUMPRODUCT(INDIRECT(ADDRESS(3,ROW()-31,1)):INDIRECT(ADDRESS(22,ROW()-31,1)),AC$3:AC$22),"")</f>
        <v/>
      </c>
      <c r="AD70" t="str">
        <f ca="1">IF(AND(((COLUMN()-10)&lt;=playercnt),((ROW()-41)&lt;=playercnt)),SUMPRODUCT(INDIRECT(ADDRESS(3,ROW()-31,1)):INDIRECT(ADDRESS(22,ROW()-31,1)),AD$3:AD$22),"")</f>
        <v/>
      </c>
      <c r="AE70" t="str">
        <f ca="1">IF(AND(((COLUMN()-10)&lt;=playercnt),((ROW()-41)&lt;=playercnt)),SUMPRODUCT(INDIRECT(ADDRESS(3,ROW()-31,1)):INDIRECT(ADDRESS(22,ROW()-31,1)),AE$3:AE$22),"")</f>
        <v/>
      </c>
      <c r="AF70" t="str">
        <f ca="1">IF(AND(((COLUMN()-10)&lt;=playercnt),((ROW()-41)&lt;=playercnt)),SUMPRODUCT(INDIRECT(ADDRESS(3,ROW()-31,1)):INDIRECT(ADDRESS(22,ROW()-31,1)),AF$3:AF$22),"")</f>
        <v/>
      </c>
      <c r="AG70" t="str">
        <f ca="1">IF(AND(((COLUMN()-10)&lt;=playercnt),((ROW()-41)&lt;=playercnt)),SUMPRODUCT(INDIRECT(ADDRESS(3,ROW()-31,1)):INDIRECT(ADDRESS(22,ROW()-31,1)),AG$3:AG$22),"")</f>
        <v/>
      </c>
      <c r="AH70" t="str">
        <f ca="1">IF(AND(((COLUMN()-10)&lt;=playercnt),((ROW()-41)&lt;=playercnt)),SUMPRODUCT(INDIRECT(ADDRESS(3,ROW()-31,1)):INDIRECT(ADDRESS(22,ROW()-31,1)),AH$3:AH$22),"")</f>
        <v/>
      </c>
      <c r="AI70" t="str">
        <f ca="1">IF(AND(((COLUMN()-10)&lt;=playercnt),((ROW()-41)&lt;=playercnt)),SUMPRODUCT(INDIRECT(ADDRESS(3,ROW()-31,1)):INDIRECT(ADDRESS(22,ROW()-31,1)),AI$3:AI$22),"")</f>
        <v/>
      </c>
      <c r="AJ70" t="str">
        <f ca="1">IF(AND(((COLUMN()-10)&lt;=playercnt),((ROW()-41)&lt;=playercnt)),SUMPRODUCT(INDIRECT(ADDRESS(3,ROW()-31,1)):INDIRECT(ADDRESS(22,ROW()-31,1)),AJ$3:AJ$22),"")</f>
        <v/>
      </c>
      <c r="AK70" t="str">
        <f ca="1">IF(AND(((COLUMN()-10)&lt;=playercnt),((ROW()-41)&lt;=playercnt)),SUMPRODUCT(INDIRECT(ADDRESS(3,ROW()-31,1)):INDIRECT(ADDRESS(22,ROW()-31,1)),AK$3:AK$22),"")</f>
        <v/>
      </c>
      <c r="AL70" t="str">
        <f ca="1">IF(AND(((COLUMN()-10)&lt;=playercnt),((ROW()-41)&lt;=playercnt)),SUMPRODUCT(INDIRECT(ADDRESS(3,ROW()-31,1)):INDIRECT(ADDRESS(22,ROW()-31,1)),AL$3:AL$22),"")</f>
        <v/>
      </c>
      <c r="AM70" t="str">
        <f ca="1">IF(AND(((COLUMN()-10)&lt;=playercnt),((ROW()-41)&lt;=playercnt)),SUMPRODUCT(INDIRECT(ADDRESS(3,ROW()-31,1)):INDIRECT(ADDRESS(22,ROW()-31,1)),AM$3:AM$22),"")</f>
        <v/>
      </c>
      <c r="AN70" t="str">
        <f ca="1">IF(AND(((COLUMN()-10)&lt;=playercnt),((ROW()-41)&lt;=playercnt)),SUMPRODUCT(INDIRECT(ADDRESS(3,ROW()-31,1)):INDIRECT(ADDRESS(22,ROW()-31,1)),AN$3:AN$22),"")</f>
        <v/>
      </c>
      <c r="AO70" t="str">
        <f ca="1">IF(AND(((COLUMN()-10)&lt;=playercnt),((ROW()-41)&lt;=playercnt)),SUMPRODUCT(INDIRECT(ADDRESS(3,ROW()-31,1)):INDIRECT(ADDRESS(22,ROW()-31,1)),AO$3:AO$22),"")</f>
        <v/>
      </c>
      <c r="AP70" t="str">
        <f ca="1">IF(AND(((COLUMN()-10)&lt;=playercnt),((ROW()-41)&lt;=playercnt)),SUMPRODUCT(INDIRECT(ADDRESS(3,ROW()-31,1)):INDIRECT(ADDRESS(22,ROW()-31,1)),AP$3:AP$22),"")</f>
        <v/>
      </c>
      <c r="AQ70" t="str">
        <f ca="1">IF(AND(((COLUMN()-10)&lt;=playercnt),((ROW()-41)&lt;=playercnt)),SUMPRODUCT(INDIRECT(ADDRESS(3,ROW()-31,1)):INDIRECT(ADDRESS(22,ROW()-31,1)),AQ$3:AQ$22),"")</f>
        <v/>
      </c>
      <c r="AR70" t="str">
        <f ca="1">IF(AND(((COLUMN()-10)&lt;=playercnt),((ROW()-41)&lt;=playercnt)),SUMPRODUCT(INDIRECT(ADDRESS(3,ROW()-31,1)):INDIRECT(ADDRESS(22,ROW()-31,1)),AR$3:AR$22),"")</f>
        <v/>
      </c>
      <c r="AS70" t="str">
        <f ca="1">IF(AND(((COLUMN()-10)&lt;=playercnt),((ROW()-41)&lt;=playercnt)),SUMPRODUCT(INDIRECT(ADDRESS(3,ROW()-31,1)):INDIRECT(ADDRESS(22,ROW()-31,1)),AS$3:AS$22),"")</f>
        <v/>
      </c>
      <c r="AT70" t="str">
        <f ca="1">IF(AND(((COLUMN()-10)&lt;=playercnt),((ROW()-41)&lt;=playercnt)),SUMPRODUCT(INDIRECT(ADDRESS(3,ROW()-31,1)):INDIRECT(ADDRESS(22,ROW()-31,1)),AT$3:AT$22),"")</f>
        <v/>
      </c>
      <c r="AU70" t="str">
        <f ca="1">IF(AND(((COLUMN()-10)&lt;=playercnt),((ROW()-41)&lt;=playercnt)),SUMPRODUCT(INDIRECT(ADDRESS(3,ROW()-31,1)):INDIRECT(ADDRESS(22,ROW()-31,1)),AU$3:AU$22),"")</f>
        <v/>
      </c>
      <c r="AV70" t="str">
        <f ca="1">IF(AND(((COLUMN()-10)&lt;=playercnt),((ROW()-41)&lt;=playercnt)),SUMPRODUCT(INDIRECT(ADDRESS(3,ROW()-31,1)):INDIRECT(ADDRESS(22,ROW()-31,1)),AV$3:AV$22),"")</f>
        <v/>
      </c>
      <c r="AW70" t="str">
        <f ca="1">IF(AND(((COLUMN()-10)&lt;=playercnt),((ROW()-41)&lt;=playercnt)),SUMPRODUCT(INDIRECT(ADDRESS(3,ROW()-31,1)):INDIRECT(ADDRESS(22,ROW()-31,1)),AW$3:AW$22),"")</f>
        <v/>
      </c>
      <c r="AX70" t="str">
        <f ca="1">IF(AND(((COLUMN()-10)&lt;=playercnt),((ROW()-41)&lt;=playercnt)),SUMPRODUCT(INDIRECT(ADDRESS(3,ROW()-31,1)):INDIRECT(ADDRESS(22,ROW()-31,1)),AX$3:AX$22),"")</f>
        <v/>
      </c>
      <c r="AY70" t="str">
        <f ca="1">IF(AND(((COLUMN()-10)&lt;=playercnt),((ROW()-41)&lt;=playercnt)),SUMPRODUCT(INDIRECT(ADDRESS(3,ROW()-31,1)):INDIRECT(ADDRESS(22,ROW()-31,1)),AY$3:AY$22),"")</f>
        <v/>
      </c>
      <c r="AZ70" t="str">
        <f ca="1">IF(AND(((COLUMN()-10)&lt;=playercnt),((ROW()-41)&lt;=playercnt)),SUMPRODUCT(INDIRECT(ADDRESS(3,ROW()-31,1)):INDIRECT(ADDRESS(22,ROW()-31,1)),AZ$3:AZ$22),"")</f>
        <v/>
      </c>
      <c r="BA70" t="str">
        <f ca="1">IF(AND(((COLUMN()-10)&lt;=playercnt),((ROW()-41)&lt;=playercnt)),SUMPRODUCT(INDIRECT(ADDRESS(3,ROW()-31,1)):INDIRECT(ADDRESS(22,ROW()-31,1)),BA$3:BA$22),"")</f>
        <v/>
      </c>
      <c r="BB70" t="str">
        <f ca="1">IF(AND(((COLUMN()-10)&lt;=playercnt),((ROW()-41)&lt;=playercnt)),SUMPRODUCT(INDIRECT(ADDRESS(3,ROW()-31,1)):INDIRECT(ADDRESS(22,ROW()-31,1)),BB$3:BB$22),"")</f>
        <v/>
      </c>
      <c r="BC70" t="str">
        <f ca="1">IF(AND(((COLUMN()-10)&lt;=playercnt),((ROW()-41)&lt;=playercnt)),SUMPRODUCT(INDIRECT(ADDRESS(3,ROW()-31,1)):INDIRECT(ADDRESS(22,ROW()-31,1)),BC$3:BC$22),"")</f>
        <v/>
      </c>
      <c r="BD70" t="str">
        <f ca="1">IF(AND(((COLUMN()-10)&lt;=playercnt),((ROW()-41)&lt;=playercnt)),SUMPRODUCT(INDIRECT(ADDRESS(3,ROW()-31,1)):INDIRECT(ADDRESS(22,ROW()-31,1)),BD$3:BD$22),"")</f>
        <v/>
      </c>
      <c r="BE70" t="str">
        <f ca="1">IF(AND(((COLUMN()-10)&lt;=playercnt),((ROW()-41)&lt;=playercnt)),SUMPRODUCT(INDIRECT(ADDRESS(3,ROW()-31,1)):INDIRECT(ADDRESS(22,ROW()-31,1)),BE$3:BE$22),"")</f>
        <v/>
      </c>
      <c r="BF70" t="str">
        <f ca="1">IF(AND(((COLUMN()-10)&lt;=playercnt),((ROW()-41)&lt;=playercnt)),SUMPRODUCT(INDIRECT(ADDRESS(3,ROW()-31,1)):INDIRECT(ADDRESS(22,ROW()-31,1)),BF$3:BF$22),"")</f>
        <v/>
      </c>
      <c r="BG70" t="str">
        <f ca="1">IF(AND(((COLUMN()-10)&lt;=playercnt),((ROW()-41)&lt;=playercnt)),SUMPRODUCT(INDIRECT(ADDRESS(3,ROW()-31,1)):INDIRECT(ADDRESS(22,ROW()-31,1)),BG$3:BG$22),"")</f>
        <v/>
      </c>
      <c r="BH70" t="str">
        <f ca="1">IF(AND(((COLUMN()-10)&lt;=playercnt),((ROW()-41)&lt;=playercnt)),SUMPRODUCT(INDIRECT(ADDRESS(3,ROW()-31,1)):INDIRECT(ADDRESS(22,ROW()-31,1)),BH$3:BH$22),"")</f>
        <v/>
      </c>
      <c r="BI70" t="str">
        <f ca="1">IF(AND(((COLUMN()-10)&lt;=playercnt),((ROW()-41)&lt;=playercnt)),SUMPRODUCT(INDIRECT(ADDRESS(3,ROW()-31,1)):INDIRECT(ADDRESS(22,ROW()-31,1)),BI$3:BI$22),"")</f>
        <v/>
      </c>
      <c r="BJ70" t="str">
        <f ca="1">IF(AND(((COLUMN()-10)&lt;=playercnt),((ROW()-41)&lt;=playercnt)),SUMPRODUCT(INDIRECT(ADDRESS(3,ROW()-31,1)):INDIRECT(ADDRESS(22,ROW()-31,1)),BJ$3:BJ$22),"")</f>
        <v/>
      </c>
      <c r="BK70" t="str">
        <f ca="1">IF(AND(((COLUMN()-10)&lt;=playercnt),((ROW()-41)&lt;=playercnt)),SUMPRODUCT(INDIRECT(ADDRESS(3,ROW()-31,1)):INDIRECT(ADDRESS(22,ROW()-31,1)),BK$3:BK$22),"")</f>
        <v/>
      </c>
      <c r="BL70" t="str">
        <f ca="1">IF(AND(((COLUMN()-10)&lt;=playercnt),((ROW()-41)&lt;=playercnt)),SUMPRODUCT(INDIRECT(ADDRESS(3,ROW()-31,1)):INDIRECT(ADDRESS(22,ROW()-31,1)),BL$3:BL$22),"")</f>
        <v/>
      </c>
      <c r="BM70" t="str">
        <f ca="1">IF(AND(((COLUMN()-10)&lt;=playercnt),((ROW()-41)&lt;=playercnt)),SUMPRODUCT(INDIRECT(ADDRESS(3,ROW()-31,1)):INDIRECT(ADDRESS(22,ROW()-31,1)),BM$3:BM$22),"")</f>
        <v/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>
      <c r="B71" s="27" t="str">
        <f t="shared" ca="1" si="29"/>
        <v/>
      </c>
      <c r="C71" t="str">
        <f t="shared" ca="1" si="30"/>
        <v/>
      </c>
      <c r="G71" t="str">
        <f ca="1">IF(AND(((COLUMN()-10)&lt;=playercnt),((ROW()-41)&lt;=playercnt)),SUMPRODUCT(INDIRECT(ADDRESS(3,ROW()-31,1)):INDIRECT(ADDRESS(22,ROW()-31,1)),G$3:G$22),"")</f>
        <v/>
      </c>
      <c r="H71" t="str">
        <f ca="1">IF(AND(((COLUMN()-10)&lt;=playercnt),((ROW()-41)&lt;=playercnt)),SUMPRODUCT(INDIRECT(ADDRESS(3,ROW()-31,1)):INDIRECT(ADDRESS(22,ROW()-31,1)),H$3:H$22),"")</f>
        <v/>
      </c>
      <c r="I71" t="str">
        <f ca="1">IF(AND(((COLUMN()-10)&lt;=playercnt),((ROW()-41)&lt;=playercnt)),SUMPRODUCT(INDIRECT(ADDRESS(3,ROW()-31,1)):INDIRECT(ADDRESS(22,ROW()-31,1)),I$3:I$22),"")</f>
        <v/>
      </c>
      <c r="J71" t="str">
        <f ca="1">IF(AND(((COLUMN()-10)&lt;=playercnt),((ROW()-41)&lt;=playercnt)),SUMPRODUCT(INDIRECT(ADDRESS(3,ROW()-31,1)):INDIRECT(ADDRESS(22,ROW()-31,1)),J$3:J$22),"")</f>
        <v/>
      </c>
      <c r="K71" t="str">
        <f ca="1">IF(AND(((COLUMN()-10)&lt;=playercnt),((ROW()-41)&lt;=playercnt)),SUMPRODUCT(INDIRECT(ADDRESS(3,ROW()-31,1)):INDIRECT(ADDRESS(22,ROW()-31,1)),K$3:K$22),"")</f>
        <v/>
      </c>
      <c r="L71" t="str">
        <f ca="1">IF(AND(((COLUMN()-10)&lt;=playercnt),((ROW()-41)&lt;=playercnt)),SUMPRODUCT(INDIRECT(ADDRESS(3,ROW()-31,1)):INDIRECT(ADDRESS(22,ROW()-31,1)),L$3:L$22),"")</f>
        <v/>
      </c>
      <c r="M71" t="str">
        <f ca="1">IF(AND(((COLUMN()-10)&lt;=playercnt),((ROW()-41)&lt;=playercnt)),SUMPRODUCT(INDIRECT(ADDRESS(3,ROW()-31,1)):INDIRECT(ADDRESS(22,ROW()-31,1)),M$3:M$22),"")</f>
        <v/>
      </c>
      <c r="N71" t="str">
        <f ca="1">IF(AND(((COLUMN()-10)&lt;=playercnt),((ROW()-41)&lt;=playercnt)),SUMPRODUCT(INDIRECT(ADDRESS(3,ROW()-31,1)):INDIRECT(ADDRESS(22,ROW()-31,1)),N$3:N$22),"")</f>
        <v/>
      </c>
      <c r="O71" t="str">
        <f ca="1">IF(AND(((COLUMN()-10)&lt;=playercnt),((ROW()-41)&lt;=playercnt)),SUMPRODUCT(INDIRECT(ADDRESS(3,ROW()-31,1)):INDIRECT(ADDRESS(22,ROW()-31,1)),O$3:O$22),"")</f>
        <v/>
      </c>
      <c r="P71" t="str">
        <f ca="1">IF(AND(((COLUMN()-10)&lt;=playercnt),((ROW()-41)&lt;=playercnt)),SUMPRODUCT(INDIRECT(ADDRESS(3,ROW()-31,1)):INDIRECT(ADDRESS(22,ROW()-31,1)),P$3:P$22),"")</f>
        <v/>
      </c>
      <c r="Q71" t="str">
        <f ca="1">IF(AND(((COLUMN()-10)&lt;=playercnt),((ROW()-41)&lt;=playercnt)),SUMPRODUCT(INDIRECT(ADDRESS(3,ROW()-31,1)):INDIRECT(ADDRESS(22,ROW()-31,1)),Q$3:Q$22),"")</f>
        <v/>
      </c>
      <c r="R71" t="str">
        <f ca="1">IF(AND(((COLUMN()-10)&lt;=playercnt),((ROW()-41)&lt;=playercnt)),SUMPRODUCT(INDIRECT(ADDRESS(3,ROW()-31,1)):INDIRECT(ADDRESS(22,ROW()-31,1)),R$3:R$22),"")</f>
        <v/>
      </c>
      <c r="S71" t="str">
        <f ca="1">IF(AND(((COLUMN()-10)&lt;=playercnt),((ROW()-41)&lt;=playercnt)),SUMPRODUCT(INDIRECT(ADDRESS(3,ROW()-31,1)):INDIRECT(ADDRESS(22,ROW()-31,1)),S$3:S$22),"")</f>
        <v/>
      </c>
      <c r="T71" t="str">
        <f ca="1">IF(AND(((COLUMN()-10)&lt;=playercnt),((ROW()-41)&lt;=playercnt)),SUMPRODUCT(INDIRECT(ADDRESS(3,ROW()-31,1)):INDIRECT(ADDRESS(22,ROW()-31,1)),T$3:T$22),"")</f>
        <v/>
      </c>
      <c r="U71" t="str">
        <f ca="1">IF(AND(((COLUMN()-10)&lt;=playercnt),((ROW()-41)&lt;=playercnt)),SUMPRODUCT(INDIRECT(ADDRESS(3,ROW()-31,1)):INDIRECT(ADDRESS(22,ROW()-31,1)),U$3:U$22),"")</f>
        <v/>
      </c>
      <c r="V71" t="str">
        <f ca="1">IF(AND(((COLUMN()-10)&lt;=playercnt),((ROW()-41)&lt;=playercnt)),SUMPRODUCT(INDIRECT(ADDRESS(3,ROW()-31,1)):INDIRECT(ADDRESS(22,ROW()-31,1)),V$3:V$22),"")</f>
        <v/>
      </c>
      <c r="W71" t="str">
        <f ca="1">IF(AND(((COLUMN()-10)&lt;=playercnt),((ROW()-41)&lt;=playercnt)),SUMPRODUCT(INDIRECT(ADDRESS(3,ROW()-31,1)):INDIRECT(ADDRESS(22,ROW()-31,1)),W$3:W$22),"")</f>
        <v/>
      </c>
      <c r="X71" t="str">
        <f ca="1">IF(AND(((COLUMN()-10)&lt;=playercnt),((ROW()-41)&lt;=playercnt)),SUMPRODUCT(INDIRECT(ADDRESS(3,ROW()-31,1)):INDIRECT(ADDRESS(22,ROW()-31,1)),X$3:X$22),"")</f>
        <v/>
      </c>
      <c r="Y71" t="str">
        <f ca="1">IF(AND(((COLUMN()-10)&lt;=playercnt),((ROW()-41)&lt;=playercnt)),SUMPRODUCT(INDIRECT(ADDRESS(3,ROW()-31,1)):INDIRECT(ADDRESS(22,ROW()-31,1)),Y$3:Y$22),"")</f>
        <v/>
      </c>
      <c r="Z71" t="str">
        <f ca="1">IF(AND(((COLUMN()-10)&lt;=playercnt),((ROW()-41)&lt;=playercnt)),SUMPRODUCT(INDIRECT(ADDRESS(3,ROW()-31,1)):INDIRECT(ADDRESS(22,ROW()-31,1)),Z$3:Z$22),"")</f>
        <v/>
      </c>
      <c r="AA71" t="str">
        <f ca="1">IF(AND(((COLUMN()-10)&lt;=playercnt),((ROW()-41)&lt;=playercnt)),SUMPRODUCT(INDIRECT(ADDRESS(3,ROW()-31,1)):INDIRECT(ADDRESS(22,ROW()-31,1)),AA$3:AA$22),"")</f>
        <v/>
      </c>
      <c r="AB71" t="str">
        <f ca="1">IF(AND(((COLUMN()-10)&lt;=playercnt),((ROW()-41)&lt;=playercnt)),SUMPRODUCT(INDIRECT(ADDRESS(3,ROW()-31,1)):INDIRECT(ADDRESS(22,ROW()-31,1)),AB$3:AB$22),"")</f>
        <v/>
      </c>
      <c r="AC71" t="str">
        <f ca="1">IF(AND(((COLUMN()-10)&lt;=playercnt),((ROW()-41)&lt;=playercnt)),SUMPRODUCT(INDIRECT(ADDRESS(3,ROW()-31,1)):INDIRECT(ADDRESS(22,ROW()-31,1)),AC$3:AC$22),"")</f>
        <v/>
      </c>
      <c r="AD71" t="str">
        <f ca="1">IF(AND(((COLUMN()-10)&lt;=playercnt),((ROW()-41)&lt;=playercnt)),SUMPRODUCT(INDIRECT(ADDRESS(3,ROW()-31,1)):INDIRECT(ADDRESS(22,ROW()-31,1)),AD$3:AD$22),"")</f>
        <v/>
      </c>
      <c r="AE71" t="str">
        <f ca="1">IF(AND(((COLUMN()-10)&lt;=playercnt),((ROW()-41)&lt;=playercnt)),SUMPRODUCT(INDIRECT(ADDRESS(3,ROW()-31,1)):INDIRECT(ADDRESS(22,ROW()-31,1)),AE$3:AE$22),"")</f>
        <v/>
      </c>
      <c r="AF71" t="str">
        <f ca="1">IF(AND(((COLUMN()-10)&lt;=playercnt),((ROW()-41)&lt;=playercnt)),SUMPRODUCT(INDIRECT(ADDRESS(3,ROW()-31,1)):INDIRECT(ADDRESS(22,ROW()-31,1)),AF$3:AF$22),"")</f>
        <v/>
      </c>
      <c r="AG71" t="str">
        <f ca="1">IF(AND(((COLUMN()-10)&lt;=playercnt),((ROW()-41)&lt;=playercnt)),SUMPRODUCT(INDIRECT(ADDRESS(3,ROW()-31,1)):INDIRECT(ADDRESS(22,ROW()-31,1)),AG$3:AG$22),"")</f>
        <v/>
      </c>
      <c r="AH71" t="str">
        <f ca="1">IF(AND(((COLUMN()-10)&lt;=playercnt),((ROW()-41)&lt;=playercnt)),SUMPRODUCT(INDIRECT(ADDRESS(3,ROW()-31,1)):INDIRECT(ADDRESS(22,ROW()-31,1)),AH$3:AH$22),"")</f>
        <v/>
      </c>
      <c r="AI71" t="str">
        <f ca="1">IF(AND(((COLUMN()-10)&lt;=playercnt),((ROW()-41)&lt;=playercnt)),SUMPRODUCT(INDIRECT(ADDRESS(3,ROW()-31,1)):INDIRECT(ADDRESS(22,ROW()-31,1)),AI$3:AI$22),"")</f>
        <v/>
      </c>
      <c r="AJ71" t="str">
        <f ca="1">IF(AND(((COLUMN()-10)&lt;=playercnt),((ROW()-41)&lt;=playercnt)),SUMPRODUCT(INDIRECT(ADDRESS(3,ROW()-31,1)):INDIRECT(ADDRESS(22,ROW()-31,1)),AJ$3:AJ$22),"")</f>
        <v/>
      </c>
      <c r="AK71" t="str">
        <f ca="1">IF(AND(((COLUMN()-10)&lt;=playercnt),((ROW()-41)&lt;=playercnt)),SUMPRODUCT(INDIRECT(ADDRESS(3,ROW()-31,1)):INDIRECT(ADDRESS(22,ROW()-31,1)),AK$3:AK$22),"")</f>
        <v/>
      </c>
      <c r="AL71" t="str">
        <f ca="1">IF(AND(((COLUMN()-10)&lt;=playercnt),((ROW()-41)&lt;=playercnt)),SUMPRODUCT(INDIRECT(ADDRESS(3,ROW()-31,1)):INDIRECT(ADDRESS(22,ROW()-31,1)),AL$3:AL$22),"")</f>
        <v/>
      </c>
      <c r="AM71" t="str">
        <f ca="1">IF(AND(((COLUMN()-10)&lt;=playercnt),((ROW()-41)&lt;=playercnt)),SUMPRODUCT(INDIRECT(ADDRESS(3,ROW()-31,1)):INDIRECT(ADDRESS(22,ROW()-31,1)),AM$3:AM$22),"")</f>
        <v/>
      </c>
      <c r="AN71" t="str">
        <f ca="1">IF(AND(((COLUMN()-10)&lt;=playercnt),((ROW()-41)&lt;=playercnt)),SUMPRODUCT(INDIRECT(ADDRESS(3,ROW()-31,1)):INDIRECT(ADDRESS(22,ROW()-31,1)),AN$3:AN$22),"")</f>
        <v/>
      </c>
      <c r="AO71" t="str">
        <f ca="1">IF(AND(((COLUMN()-10)&lt;=playercnt),((ROW()-41)&lt;=playercnt)),SUMPRODUCT(INDIRECT(ADDRESS(3,ROW()-31,1)):INDIRECT(ADDRESS(22,ROW()-31,1)),AO$3:AO$22),"")</f>
        <v/>
      </c>
      <c r="AP71" t="str">
        <f ca="1">IF(AND(((COLUMN()-10)&lt;=playercnt),((ROW()-41)&lt;=playercnt)),SUMPRODUCT(INDIRECT(ADDRESS(3,ROW()-31,1)):INDIRECT(ADDRESS(22,ROW()-31,1)),AP$3:AP$22),"")</f>
        <v/>
      </c>
      <c r="AQ71" t="str">
        <f ca="1">IF(AND(((COLUMN()-10)&lt;=playercnt),((ROW()-41)&lt;=playercnt)),SUMPRODUCT(INDIRECT(ADDRESS(3,ROW()-31,1)):INDIRECT(ADDRESS(22,ROW()-31,1)),AQ$3:AQ$22),"")</f>
        <v/>
      </c>
      <c r="AR71" t="str">
        <f ca="1">IF(AND(((COLUMN()-10)&lt;=playercnt),((ROW()-41)&lt;=playercnt)),SUMPRODUCT(INDIRECT(ADDRESS(3,ROW()-31,1)):INDIRECT(ADDRESS(22,ROW()-31,1)),AR$3:AR$22),"")</f>
        <v/>
      </c>
      <c r="AS71" t="str">
        <f ca="1">IF(AND(((COLUMN()-10)&lt;=playercnt),((ROW()-41)&lt;=playercnt)),SUMPRODUCT(INDIRECT(ADDRESS(3,ROW()-31,1)):INDIRECT(ADDRESS(22,ROW()-31,1)),AS$3:AS$22),"")</f>
        <v/>
      </c>
      <c r="AT71" t="str">
        <f ca="1">IF(AND(((COLUMN()-10)&lt;=playercnt),((ROW()-41)&lt;=playercnt)),SUMPRODUCT(INDIRECT(ADDRESS(3,ROW()-31,1)):INDIRECT(ADDRESS(22,ROW()-31,1)),AT$3:AT$22),"")</f>
        <v/>
      </c>
      <c r="AU71" t="str">
        <f ca="1">IF(AND(((COLUMN()-10)&lt;=playercnt),((ROW()-41)&lt;=playercnt)),SUMPRODUCT(INDIRECT(ADDRESS(3,ROW()-31,1)):INDIRECT(ADDRESS(22,ROW()-31,1)),AU$3:AU$22),"")</f>
        <v/>
      </c>
      <c r="AV71" t="str">
        <f ca="1">IF(AND(((COLUMN()-10)&lt;=playercnt),((ROW()-41)&lt;=playercnt)),SUMPRODUCT(INDIRECT(ADDRESS(3,ROW()-31,1)):INDIRECT(ADDRESS(22,ROW()-31,1)),AV$3:AV$22),"")</f>
        <v/>
      </c>
      <c r="AW71" t="str">
        <f ca="1">IF(AND(((COLUMN()-10)&lt;=playercnt),((ROW()-41)&lt;=playercnt)),SUMPRODUCT(INDIRECT(ADDRESS(3,ROW()-31,1)):INDIRECT(ADDRESS(22,ROW()-31,1)),AW$3:AW$22),"")</f>
        <v/>
      </c>
      <c r="AX71" t="str">
        <f ca="1">IF(AND(((COLUMN()-10)&lt;=playercnt),((ROW()-41)&lt;=playercnt)),SUMPRODUCT(INDIRECT(ADDRESS(3,ROW()-31,1)):INDIRECT(ADDRESS(22,ROW()-31,1)),AX$3:AX$22),"")</f>
        <v/>
      </c>
      <c r="AY71" t="str">
        <f ca="1">IF(AND(((COLUMN()-10)&lt;=playercnt),((ROW()-41)&lt;=playercnt)),SUMPRODUCT(INDIRECT(ADDRESS(3,ROW()-31,1)):INDIRECT(ADDRESS(22,ROW()-31,1)),AY$3:AY$22),"")</f>
        <v/>
      </c>
      <c r="AZ71" t="str">
        <f ca="1">IF(AND(((COLUMN()-10)&lt;=playercnt),((ROW()-41)&lt;=playercnt)),SUMPRODUCT(INDIRECT(ADDRESS(3,ROW()-31,1)):INDIRECT(ADDRESS(22,ROW()-31,1)),AZ$3:AZ$22),"")</f>
        <v/>
      </c>
      <c r="BA71" t="str">
        <f ca="1">IF(AND(((COLUMN()-10)&lt;=playercnt),((ROW()-41)&lt;=playercnt)),SUMPRODUCT(INDIRECT(ADDRESS(3,ROW()-31,1)):INDIRECT(ADDRESS(22,ROW()-31,1)),BA$3:BA$22),"")</f>
        <v/>
      </c>
      <c r="BB71" t="str">
        <f ca="1">IF(AND(((COLUMN()-10)&lt;=playercnt),((ROW()-41)&lt;=playercnt)),SUMPRODUCT(INDIRECT(ADDRESS(3,ROW()-31,1)):INDIRECT(ADDRESS(22,ROW()-31,1)),BB$3:BB$22),"")</f>
        <v/>
      </c>
      <c r="BC71" t="str">
        <f ca="1">IF(AND(((COLUMN()-10)&lt;=playercnt),((ROW()-41)&lt;=playercnt)),SUMPRODUCT(INDIRECT(ADDRESS(3,ROW()-31,1)):INDIRECT(ADDRESS(22,ROW()-31,1)),BC$3:BC$22),"")</f>
        <v/>
      </c>
      <c r="BD71" t="str">
        <f ca="1">IF(AND(((COLUMN()-10)&lt;=playercnt),((ROW()-41)&lt;=playercnt)),SUMPRODUCT(INDIRECT(ADDRESS(3,ROW()-31,1)):INDIRECT(ADDRESS(22,ROW()-31,1)),BD$3:BD$22),"")</f>
        <v/>
      </c>
      <c r="BE71" t="str">
        <f ca="1">IF(AND(((COLUMN()-10)&lt;=playercnt),((ROW()-41)&lt;=playercnt)),SUMPRODUCT(INDIRECT(ADDRESS(3,ROW()-31,1)):INDIRECT(ADDRESS(22,ROW()-31,1)),BE$3:BE$22),"")</f>
        <v/>
      </c>
      <c r="BF71" t="str">
        <f ca="1">IF(AND(((COLUMN()-10)&lt;=playercnt),((ROW()-41)&lt;=playercnt)),SUMPRODUCT(INDIRECT(ADDRESS(3,ROW()-31,1)):INDIRECT(ADDRESS(22,ROW()-31,1)),BF$3:BF$22),"")</f>
        <v/>
      </c>
      <c r="BG71" t="str">
        <f ca="1">IF(AND(((COLUMN()-10)&lt;=playercnt),((ROW()-41)&lt;=playercnt)),SUMPRODUCT(INDIRECT(ADDRESS(3,ROW()-31,1)):INDIRECT(ADDRESS(22,ROW()-31,1)),BG$3:BG$22),"")</f>
        <v/>
      </c>
      <c r="BH71" t="str">
        <f ca="1">IF(AND(((COLUMN()-10)&lt;=playercnt),((ROW()-41)&lt;=playercnt)),SUMPRODUCT(INDIRECT(ADDRESS(3,ROW()-31,1)):INDIRECT(ADDRESS(22,ROW()-31,1)),BH$3:BH$22),"")</f>
        <v/>
      </c>
      <c r="BI71" t="str">
        <f ca="1">IF(AND(((COLUMN()-10)&lt;=playercnt),((ROW()-41)&lt;=playercnt)),SUMPRODUCT(INDIRECT(ADDRESS(3,ROW()-31,1)):INDIRECT(ADDRESS(22,ROW()-31,1)),BI$3:BI$22),"")</f>
        <v/>
      </c>
      <c r="BJ71" t="str">
        <f ca="1">IF(AND(((COLUMN()-10)&lt;=playercnt),((ROW()-41)&lt;=playercnt)),SUMPRODUCT(INDIRECT(ADDRESS(3,ROW()-31,1)):INDIRECT(ADDRESS(22,ROW()-31,1)),BJ$3:BJ$22),"")</f>
        <v/>
      </c>
      <c r="BK71" t="str">
        <f ca="1">IF(AND(((COLUMN()-10)&lt;=playercnt),((ROW()-41)&lt;=playercnt)),SUMPRODUCT(INDIRECT(ADDRESS(3,ROW()-31,1)):INDIRECT(ADDRESS(22,ROW()-31,1)),BK$3:BK$22),"")</f>
        <v/>
      </c>
      <c r="BL71" t="str">
        <f ca="1">IF(AND(((COLUMN()-10)&lt;=playercnt),((ROW()-41)&lt;=playercnt)),SUMPRODUCT(INDIRECT(ADDRESS(3,ROW()-31,1)):INDIRECT(ADDRESS(22,ROW()-31,1)),BL$3:BL$22),"")</f>
        <v/>
      </c>
      <c r="BM71" t="str">
        <f ca="1">IF(AND(((COLUMN()-10)&lt;=playercnt),((ROW()-41)&lt;=playercnt)),SUMPRODUCT(INDIRECT(ADDRESS(3,ROW()-31,1)):INDIRECT(ADDRESS(22,ROW()-31,1)),BM$3:BM$22),"")</f>
        <v/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>
      <c r="B72" s="27" t="str">
        <f t="shared" ca="1" si="29"/>
        <v/>
      </c>
      <c r="C72" t="str">
        <f t="shared" ca="1" si="30"/>
        <v/>
      </c>
      <c r="G72" t="str">
        <f ca="1">IF(AND(((COLUMN()-10)&lt;=playercnt),((ROW()-41)&lt;=playercnt)),SUMPRODUCT(INDIRECT(ADDRESS(3,ROW()-31,1)):INDIRECT(ADDRESS(22,ROW()-31,1)),G$3:G$22),"")</f>
        <v/>
      </c>
      <c r="H72" t="str">
        <f ca="1">IF(AND(((COLUMN()-10)&lt;=playercnt),((ROW()-41)&lt;=playercnt)),SUMPRODUCT(INDIRECT(ADDRESS(3,ROW()-31,1)):INDIRECT(ADDRESS(22,ROW()-31,1)),H$3:H$22),"")</f>
        <v/>
      </c>
      <c r="I72" t="str">
        <f ca="1">IF(AND(((COLUMN()-10)&lt;=playercnt),((ROW()-41)&lt;=playercnt)),SUMPRODUCT(INDIRECT(ADDRESS(3,ROW()-31,1)):INDIRECT(ADDRESS(22,ROW()-31,1)),I$3:I$22),"")</f>
        <v/>
      </c>
      <c r="J72" t="str">
        <f ca="1">IF(AND(((COLUMN()-10)&lt;=playercnt),((ROW()-41)&lt;=playercnt)),SUMPRODUCT(INDIRECT(ADDRESS(3,ROW()-31,1)):INDIRECT(ADDRESS(22,ROW()-31,1)),J$3:J$22),"")</f>
        <v/>
      </c>
      <c r="K72" t="str">
        <f ca="1">IF(AND(((COLUMN()-10)&lt;=playercnt),((ROW()-41)&lt;=playercnt)),SUMPRODUCT(INDIRECT(ADDRESS(3,ROW()-31,1)):INDIRECT(ADDRESS(22,ROW()-31,1)),K$3:K$22),"")</f>
        <v/>
      </c>
      <c r="L72" t="str">
        <f ca="1">IF(AND(((COLUMN()-10)&lt;=playercnt),((ROW()-41)&lt;=playercnt)),SUMPRODUCT(INDIRECT(ADDRESS(3,ROW()-31,1)):INDIRECT(ADDRESS(22,ROW()-31,1)),L$3:L$22),"")</f>
        <v/>
      </c>
      <c r="M72" t="str">
        <f ca="1">IF(AND(((COLUMN()-10)&lt;=playercnt),((ROW()-41)&lt;=playercnt)),SUMPRODUCT(INDIRECT(ADDRESS(3,ROW()-31,1)):INDIRECT(ADDRESS(22,ROW()-31,1)),M$3:M$22),"")</f>
        <v/>
      </c>
      <c r="N72" t="str">
        <f ca="1">IF(AND(((COLUMN()-10)&lt;=playercnt),((ROW()-41)&lt;=playercnt)),SUMPRODUCT(INDIRECT(ADDRESS(3,ROW()-31,1)):INDIRECT(ADDRESS(22,ROW()-31,1)),N$3:N$22),"")</f>
        <v/>
      </c>
      <c r="O72" t="str">
        <f ca="1">IF(AND(((COLUMN()-10)&lt;=playercnt),((ROW()-41)&lt;=playercnt)),SUMPRODUCT(INDIRECT(ADDRESS(3,ROW()-31,1)):INDIRECT(ADDRESS(22,ROW()-31,1)),O$3:O$22),"")</f>
        <v/>
      </c>
      <c r="P72" t="str">
        <f ca="1">IF(AND(((COLUMN()-10)&lt;=playercnt),((ROW()-41)&lt;=playercnt)),SUMPRODUCT(INDIRECT(ADDRESS(3,ROW()-31,1)):INDIRECT(ADDRESS(22,ROW()-31,1)),P$3:P$22),"")</f>
        <v/>
      </c>
      <c r="Q72" t="str">
        <f ca="1">IF(AND(((COLUMN()-10)&lt;=playercnt),((ROW()-41)&lt;=playercnt)),SUMPRODUCT(INDIRECT(ADDRESS(3,ROW()-31,1)):INDIRECT(ADDRESS(22,ROW()-31,1)),Q$3:Q$22),"")</f>
        <v/>
      </c>
      <c r="R72" t="str">
        <f ca="1">IF(AND(((COLUMN()-10)&lt;=playercnt),((ROW()-41)&lt;=playercnt)),SUMPRODUCT(INDIRECT(ADDRESS(3,ROW()-31,1)):INDIRECT(ADDRESS(22,ROW()-31,1)),R$3:R$22),"")</f>
        <v/>
      </c>
      <c r="S72" t="str">
        <f ca="1">IF(AND(((COLUMN()-10)&lt;=playercnt),((ROW()-41)&lt;=playercnt)),SUMPRODUCT(INDIRECT(ADDRESS(3,ROW()-31,1)):INDIRECT(ADDRESS(22,ROW()-31,1)),S$3:S$22),"")</f>
        <v/>
      </c>
      <c r="T72" t="str">
        <f ca="1">IF(AND(((COLUMN()-10)&lt;=playercnt),((ROW()-41)&lt;=playercnt)),SUMPRODUCT(INDIRECT(ADDRESS(3,ROW()-31,1)):INDIRECT(ADDRESS(22,ROW()-31,1)),T$3:T$22),"")</f>
        <v/>
      </c>
      <c r="U72" t="str">
        <f ca="1">IF(AND(((COLUMN()-10)&lt;=playercnt),((ROW()-41)&lt;=playercnt)),SUMPRODUCT(INDIRECT(ADDRESS(3,ROW()-31,1)):INDIRECT(ADDRESS(22,ROW()-31,1)),U$3:U$22),"")</f>
        <v/>
      </c>
      <c r="V72" t="str">
        <f ca="1">IF(AND(((COLUMN()-10)&lt;=playercnt),((ROW()-41)&lt;=playercnt)),SUMPRODUCT(INDIRECT(ADDRESS(3,ROW()-31,1)):INDIRECT(ADDRESS(22,ROW()-31,1)),V$3:V$22),"")</f>
        <v/>
      </c>
      <c r="W72" t="str">
        <f ca="1">IF(AND(((COLUMN()-10)&lt;=playercnt),((ROW()-41)&lt;=playercnt)),SUMPRODUCT(INDIRECT(ADDRESS(3,ROW()-31,1)):INDIRECT(ADDRESS(22,ROW()-31,1)),W$3:W$22),"")</f>
        <v/>
      </c>
      <c r="X72" t="str">
        <f ca="1">IF(AND(((COLUMN()-10)&lt;=playercnt),((ROW()-41)&lt;=playercnt)),SUMPRODUCT(INDIRECT(ADDRESS(3,ROW()-31,1)):INDIRECT(ADDRESS(22,ROW()-31,1)),X$3:X$22),"")</f>
        <v/>
      </c>
      <c r="Y72" t="str">
        <f ca="1">IF(AND(((COLUMN()-10)&lt;=playercnt),((ROW()-41)&lt;=playercnt)),SUMPRODUCT(INDIRECT(ADDRESS(3,ROW()-31,1)):INDIRECT(ADDRESS(22,ROW()-31,1)),Y$3:Y$22),"")</f>
        <v/>
      </c>
      <c r="Z72" t="str">
        <f ca="1">IF(AND(((COLUMN()-10)&lt;=playercnt),((ROW()-41)&lt;=playercnt)),SUMPRODUCT(INDIRECT(ADDRESS(3,ROW()-31,1)):INDIRECT(ADDRESS(22,ROW()-31,1)),Z$3:Z$22),"")</f>
        <v/>
      </c>
      <c r="AA72" t="str">
        <f ca="1">IF(AND(((COLUMN()-10)&lt;=playercnt),((ROW()-41)&lt;=playercnt)),SUMPRODUCT(INDIRECT(ADDRESS(3,ROW()-31,1)):INDIRECT(ADDRESS(22,ROW()-31,1)),AA$3:AA$22),"")</f>
        <v/>
      </c>
      <c r="AB72" t="str">
        <f ca="1">IF(AND(((COLUMN()-10)&lt;=playercnt),((ROW()-41)&lt;=playercnt)),SUMPRODUCT(INDIRECT(ADDRESS(3,ROW()-31,1)):INDIRECT(ADDRESS(22,ROW()-31,1)),AB$3:AB$22),"")</f>
        <v/>
      </c>
      <c r="AC72" t="str">
        <f ca="1">IF(AND(((COLUMN()-10)&lt;=playercnt),((ROW()-41)&lt;=playercnt)),SUMPRODUCT(INDIRECT(ADDRESS(3,ROW()-31,1)):INDIRECT(ADDRESS(22,ROW()-31,1)),AC$3:AC$22),"")</f>
        <v/>
      </c>
      <c r="AD72" t="str">
        <f ca="1">IF(AND(((COLUMN()-10)&lt;=playercnt),((ROW()-41)&lt;=playercnt)),SUMPRODUCT(INDIRECT(ADDRESS(3,ROW()-31,1)):INDIRECT(ADDRESS(22,ROW()-31,1)),AD$3:AD$22),"")</f>
        <v/>
      </c>
      <c r="AE72" t="str">
        <f ca="1">IF(AND(((COLUMN()-10)&lt;=playercnt),((ROW()-41)&lt;=playercnt)),SUMPRODUCT(INDIRECT(ADDRESS(3,ROW()-31,1)):INDIRECT(ADDRESS(22,ROW()-31,1)),AE$3:AE$22),"")</f>
        <v/>
      </c>
      <c r="AF72" t="str">
        <f ca="1">IF(AND(((COLUMN()-10)&lt;=playercnt),((ROW()-41)&lt;=playercnt)),SUMPRODUCT(INDIRECT(ADDRESS(3,ROW()-31,1)):INDIRECT(ADDRESS(22,ROW()-31,1)),AF$3:AF$22),"")</f>
        <v/>
      </c>
      <c r="AG72" t="str">
        <f ca="1">IF(AND(((COLUMN()-10)&lt;=playercnt),((ROW()-41)&lt;=playercnt)),SUMPRODUCT(INDIRECT(ADDRESS(3,ROW()-31,1)):INDIRECT(ADDRESS(22,ROW()-31,1)),AG$3:AG$22),"")</f>
        <v/>
      </c>
      <c r="AH72" t="str">
        <f ca="1">IF(AND(((COLUMN()-10)&lt;=playercnt),((ROW()-41)&lt;=playercnt)),SUMPRODUCT(INDIRECT(ADDRESS(3,ROW()-31,1)):INDIRECT(ADDRESS(22,ROW()-31,1)),AH$3:AH$22),"")</f>
        <v/>
      </c>
      <c r="AI72" t="str">
        <f ca="1">IF(AND(((COLUMN()-10)&lt;=playercnt),((ROW()-41)&lt;=playercnt)),SUMPRODUCT(INDIRECT(ADDRESS(3,ROW()-31,1)):INDIRECT(ADDRESS(22,ROW()-31,1)),AI$3:AI$22),"")</f>
        <v/>
      </c>
      <c r="AJ72" t="str">
        <f ca="1">IF(AND(((COLUMN()-10)&lt;=playercnt),((ROW()-41)&lt;=playercnt)),SUMPRODUCT(INDIRECT(ADDRESS(3,ROW()-31,1)):INDIRECT(ADDRESS(22,ROW()-31,1)),AJ$3:AJ$22),"")</f>
        <v/>
      </c>
      <c r="AK72" t="str">
        <f ca="1">IF(AND(((COLUMN()-10)&lt;=playercnt),((ROW()-41)&lt;=playercnt)),SUMPRODUCT(INDIRECT(ADDRESS(3,ROW()-31,1)):INDIRECT(ADDRESS(22,ROW()-31,1)),AK$3:AK$22),"")</f>
        <v/>
      </c>
      <c r="AL72" t="str">
        <f ca="1">IF(AND(((COLUMN()-10)&lt;=playercnt),((ROW()-41)&lt;=playercnt)),SUMPRODUCT(INDIRECT(ADDRESS(3,ROW()-31,1)):INDIRECT(ADDRESS(22,ROW()-31,1)),AL$3:AL$22),"")</f>
        <v/>
      </c>
      <c r="AM72" t="str">
        <f ca="1">IF(AND(((COLUMN()-10)&lt;=playercnt),((ROW()-41)&lt;=playercnt)),SUMPRODUCT(INDIRECT(ADDRESS(3,ROW()-31,1)):INDIRECT(ADDRESS(22,ROW()-31,1)),AM$3:AM$22),"")</f>
        <v/>
      </c>
      <c r="AN72" t="str">
        <f ca="1">IF(AND(((COLUMN()-10)&lt;=playercnt),((ROW()-41)&lt;=playercnt)),SUMPRODUCT(INDIRECT(ADDRESS(3,ROW()-31,1)):INDIRECT(ADDRESS(22,ROW()-31,1)),AN$3:AN$22),"")</f>
        <v/>
      </c>
      <c r="AO72" t="str">
        <f ca="1">IF(AND(((COLUMN()-10)&lt;=playercnt),((ROW()-41)&lt;=playercnt)),SUMPRODUCT(INDIRECT(ADDRESS(3,ROW()-31,1)):INDIRECT(ADDRESS(22,ROW()-31,1)),AO$3:AO$22),"")</f>
        <v/>
      </c>
      <c r="AP72" t="str">
        <f ca="1">IF(AND(((COLUMN()-10)&lt;=playercnt),((ROW()-41)&lt;=playercnt)),SUMPRODUCT(INDIRECT(ADDRESS(3,ROW()-31,1)):INDIRECT(ADDRESS(22,ROW()-31,1)),AP$3:AP$22),"")</f>
        <v/>
      </c>
      <c r="AQ72" t="str">
        <f ca="1">IF(AND(((COLUMN()-10)&lt;=playercnt),((ROW()-41)&lt;=playercnt)),SUMPRODUCT(INDIRECT(ADDRESS(3,ROW()-31,1)):INDIRECT(ADDRESS(22,ROW()-31,1)),AQ$3:AQ$22),"")</f>
        <v/>
      </c>
      <c r="AR72" t="str">
        <f ca="1">IF(AND(((COLUMN()-10)&lt;=playercnt),((ROW()-41)&lt;=playercnt)),SUMPRODUCT(INDIRECT(ADDRESS(3,ROW()-31,1)):INDIRECT(ADDRESS(22,ROW()-31,1)),AR$3:AR$22),"")</f>
        <v/>
      </c>
      <c r="AS72" t="str">
        <f ca="1">IF(AND(((COLUMN()-10)&lt;=playercnt),((ROW()-41)&lt;=playercnt)),SUMPRODUCT(INDIRECT(ADDRESS(3,ROW()-31,1)):INDIRECT(ADDRESS(22,ROW()-31,1)),AS$3:AS$22),"")</f>
        <v/>
      </c>
      <c r="AT72" t="str">
        <f ca="1">IF(AND(((COLUMN()-10)&lt;=playercnt),((ROW()-41)&lt;=playercnt)),SUMPRODUCT(INDIRECT(ADDRESS(3,ROW()-31,1)):INDIRECT(ADDRESS(22,ROW()-31,1)),AT$3:AT$22),"")</f>
        <v/>
      </c>
      <c r="AU72" t="str">
        <f ca="1">IF(AND(((COLUMN()-10)&lt;=playercnt),((ROW()-41)&lt;=playercnt)),SUMPRODUCT(INDIRECT(ADDRESS(3,ROW()-31,1)):INDIRECT(ADDRESS(22,ROW()-31,1)),AU$3:AU$22),"")</f>
        <v/>
      </c>
      <c r="AV72" t="str">
        <f ca="1">IF(AND(((COLUMN()-10)&lt;=playercnt),((ROW()-41)&lt;=playercnt)),SUMPRODUCT(INDIRECT(ADDRESS(3,ROW()-31,1)):INDIRECT(ADDRESS(22,ROW()-31,1)),AV$3:AV$22),"")</f>
        <v/>
      </c>
      <c r="AW72" t="str">
        <f ca="1">IF(AND(((COLUMN()-10)&lt;=playercnt),((ROW()-41)&lt;=playercnt)),SUMPRODUCT(INDIRECT(ADDRESS(3,ROW()-31,1)):INDIRECT(ADDRESS(22,ROW()-31,1)),AW$3:AW$22),"")</f>
        <v/>
      </c>
      <c r="AX72" t="str">
        <f ca="1">IF(AND(((COLUMN()-10)&lt;=playercnt),((ROW()-41)&lt;=playercnt)),SUMPRODUCT(INDIRECT(ADDRESS(3,ROW()-31,1)):INDIRECT(ADDRESS(22,ROW()-31,1)),AX$3:AX$22),"")</f>
        <v/>
      </c>
      <c r="AY72" t="str">
        <f ca="1">IF(AND(((COLUMN()-10)&lt;=playercnt),((ROW()-41)&lt;=playercnt)),SUMPRODUCT(INDIRECT(ADDRESS(3,ROW()-31,1)):INDIRECT(ADDRESS(22,ROW()-31,1)),AY$3:AY$22),"")</f>
        <v/>
      </c>
      <c r="AZ72" t="str">
        <f ca="1">IF(AND(((COLUMN()-10)&lt;=playercnt),((ROW()-41)&lt;=playercnt)),SUMPRODUCT(INDIRECT(ADDRESS(3,ROW()-31,1)):INDIRECT(ADDRESS(22,ROW()-31,1)),AZ$3:AZ$22),"")</f>
        <v/>
      </c>
      <c r="BA72" t="str">
        <f ca="1">IF(AND(((COLUMN()-10)&lt;=playercnt),((ROW()-41)&lt;=playercnt)),SUMPRODUCT(INDIRECT(ADDRESS(3,ROW()-31,1)):INDIRECT(ADDRESS(22,ROW()-31,1)),BA$3:BA$22),"")</f>
        <v/>
      </c>
      <c r="BB72" t="str">
        <f ca="1">IF(AND(((COLUMN()-10)&lt;=playercnt),((ROW()-41)&lt;=playercnt)),SUMPRODUCT(INDIRECT(ADDRESS(3,ROW()-31,1)):INDIRECT(ADDRESS(22,ROW()-31,1)),BB$3:BB$22),"")</f>
        <v/>
      </c>
      <c r="BC72" t="str">
        <f ca="1">IF(AND(((COLUMN()-10)&lt;=playercnt),((ROW()-41)&lt;=playercnt)),SUMPRODUCT(INDIRECT(ADDRESS(3,ROW()-31,1)):INDIRECT(ADDRESS(22,ROW()-31,1)),BC$3:BC$22),"")</f>
        <v/>
      </c>
      <c r="BD72" t="str">
        <f ca="1">IF(AND(((COLUMN()-10)&lt;=playercnt),((ROW()-41)&lt;=playercnt)),SUMPRODUCT(INDIRECT(ADDRESS(3,ROW()-31,1)):INDIRECT(ADDRESS(22,ROW()-31,1)),BD$3:BD$22),"")</f>
        <v/>
      </c>
      <c r="BE72" t="str">
        <f ca="1">IF(AND(((COLUMN()-10)&lt;=playercnt),((ROW()-41)&lt;=playercnt)),SUMPRODUCT(INDIRECT(ADDRESS(3,ROW()-31,1)):INDIRECT(ADDRESS(22,ROW()-31,1)),BE$3:BE$22),"")</f>
        <v/>
      </c>
      <c r="BF72" t="str">
        <f ca="1">IF(AND(((COLUMN()-10)&lt;=playercnt),((ROW()-41)&lt;=playercnt)),SUMPRODUCT(INDIRECT(ADDRESS(3,ROW()-31,1)):INDIRECT(ADDRESS(22,ROW()-31,1)),BF$3:BF$22),"")</f>
        <v/>
      </c>
      <c r="BG72" t="str">
        <f ca="1">IF(AND(((COLUMN()-10)&lt;=playercnt),((ROW()-41)&lt;=playercnt)),SUMPRODUCT(INDIRECT(ADDRESS(3,ROW()-31,1)):INDIRECT(ADDRESS(22,ROW()-31,1)),BG$3:BG$22),"")</f>
        <v/>
      </c>
      <c r="BH72" t="str">
        <f ca="1">IF(AND(((COLUMN()-10)&lt;=playercnt),((ROW()-41)&lt;=playercnt)),SUMPRODUCT(INDIRECT(ADDRESS(3,ROW()-31,1)):INDIRECT(ADDRESS(22,ROW()-31,1)),BH$3:BH$22),"")</f>
        <v/>
      </c>
      <c r="BI72" t="str">
        <f ca="1">IF(AND(((COLUMN()-10)&lt;=playercnt),((ROW()-41)&lt;=playercnt)),SUMPRODUCT(INDIRECT(ADDRESS(3,ROW()-31,1)):INDIRECT(ADDRESS(22,ROW()-31,1)),BI$3:BI$22),"")</f>
        <v/>
      </c>
      <c r="BJ72" t="str">
        <f ca="1">IF(AND(((COLUMN()-10)&lt;=playercnt),((ROW()-41)&lt;=playercnt)),SUMPRODUCT(INDIRECT(ADDRESS(3,ROW()-31,1)):INDIRECT(ADDRESS(22,ROW()-31,1)),BJ$3:BJ$22),"")</f>
        <v/>
      </c>
      <c r="BK72" t="str">
        <f ca="1">IF(AND(((COLUMN()-10)&lt;=playercnt),((ROW()-41)&lt;=playercnt)),SUMPRODUCT(INDIRECT(ADDRESS(3,ROW()-31,1)):INDIRECT(ADDRESS(22,ROW()-31,1)),BK$3:BK$22),"")</f>
        <v/>
      </c>
      <c r="BL72" t="str">
        <f ca="1">IF(AND(((COLUMN()-10)&lt;=playercnt),((ROW()-41)&lt;=playercnt)),SUMPRODUCT(INDIRECT(ADDRESS(3,ROW()-31,1)):INDIRECT(ADDRESS(22,ROW()-31,1)),BL$3:BL$22),"")</f>
        <v/>
      </c>
      <c r="BM72" t="str">
        <f ca="1">IF(AND(((COLUMN()-10)&lt;=playercnt),((ROW()-41)&lt;=playercnt)),SUMPRODUCT(INDIRECT(ADDRESS(3,ROW()-31,1)):INDIRECT(ADDRESS(22,ROW()-31,1)),BM$3:BM$22),"")</f>
        <v/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>
      <c r="B73" s="27" t="str">
        <f t="shared" ca="1" si="29"/>
        <v/>
      </c>
      <c r="C73" t="str">
        <f t="shared" ca="1" si="30"/>
        <v/>
      </c>
      <c r="G73" t="str">
        <f ca="1">IF(AND(((COLUMN()-10)&lt;=playercnt),((ROW()-41)&lt;=playercnt)),SUMPRODUCT(INDIRECT(ADDRESS(3,ROW()-31,1)):INDIRECT(ADDRESS(22,ROW()-31,1)),G$3:G$22),"")</f>
        <v/>
      </c>
      <c r="H73" t="str">
        <f ca="1">IF(AND(((COLUMN()-10)&lt;=playercnt),((ROW()-41)&lt;=playercnt)),SUMPRODUCT(INDIRECT(ADDRESS(3,ROW()-31,1)):INDIRECT(ADDRESS(22,ROW()-31,1)),H$3:H$22),"")</f>
        <v/>
      </c>
      <c r="I73" t="str">
        <f ca="1">IF(AND(((COLUMN()-10)&lt;=playercnt),((ROW()-41)&lt;=playercnt)),SUMPRODUCT(INDIRECT(ADDRESS(3,ROW()-31,1)):INDIRECT(ADDRESS(22,ROW()-31,1)),I$3:I$22),"")</f>
        <v/>
      </c>
      <c r="J73" t="str">
        <f ca="1">IF(AND(((COLUMN()-10)&lt;=playercnt),((ROW()-41)&lt;=playercnt)),SUMPRODUCT(INDIRECT(ADDRESS(3,ROW()-31,1)):INDIRECT(ADDRESS(22,ROW()-31,1)),J$3:J$22),"")</f>
        <v/>
      </c>
      <c r="K73" t="str">
        <f ca="1">IF(AND(((COLUMN()-10)&lt;=playercnt),((ROW()-41)&lt;=playercnt)),SUMPRODUCT(INDIRECT(ADDRESS(3,ROW()-31,1)):INDIRECT(ADDRESS(22,ROW()-31,1)),K$3:K$22),"")</f>
        <v/>
      </c>
      <c r="L73" t="str">
        <f ca="1">IF(AND(((COLUMN()-10)&lt;=playercnt),((ROW()-41)&lt;=playercnt)),SUMPRODUCT(INDIRECT(ADDRESS(3,ROW()-31,1)):INDIRECT(ADDRESS(22,ROW()-31,1)),L$3:L$22),"")</f>
        <v/>
      </c>
      <c r="M73" t="str">
        <f ca="1">IF(AND(((COLUMN()-10)&lt;=playercnt),((ROW()-41)&lt;=playercnt)),SUMPRODUCT(INDIRECT(ADDRESS(3,ROW()-31,1)):INDIRECT(ADDRESS(22,ROW()-31,1)),M$3:M$22),"")</f>
        <v/>
      </c>
      <c r="N73" t="str">
        <f ca="1">IF(AND(((COLUMN()-10)&lt;=playercnt),((ROW()-41)&lt;=playercnt)),SUMPRODUCT(INDIRECT(ADDRESS(3,ROW()-31,1)):INDIRECT(ADDRESS(22,ROW()-31,1)),N$3:N$22),"")</f>
        <v/>
      </c>
      <c r="O73" t="str">
        <f ca="1">IF(AND(((COLUMN()-10)&lt;=playercnt),((ROW()-41)&lt;=playercnt)),SUMPRODUCT(INDIRECT(ADDRESS(3,ROW()-31,1)):INDIRECT(ADDRESS(22,ROW()-31,1)),O$3:O$22),"")</f>
        <v/>
      </c>
      <c r="P73" t="str">
        <f ca="1">IF(AND(((COLUMN()-10)&lt;=playercnt),((ROW()-41)&lt;=playercnt)),SUMPRODUCT(INDIRECT(ADDRESS(3,ROW()-31,1)):INDIRECT(ADDRESS(22,ROW()-31,1)),P$3:P$22),"")</f>
        <v/>
      </c>
      <c r="Q73" t="str">
        <f ca="1">IF(AND(((COLUMN()-10)&lt;=playercnt),((ROW()-41)&lt;=playercnt)),SUMPRODUCT(INDIRECT(ADDRESS(3,ROW()-31,1)):INDIRECT(ADDRESS(22,ROW()-31,1)),Q$3:Q$22),"")</f>
        <v/>
      </c>
      <c r="R73" t="str">
        <f ca="1">IF(AND(((COLUMN()-10)&lt;=playercnt),((ROW()-41)&lt;=playercnt)),SUMPRODUCT(INDIRECT(ADDRESS(3,ROW()-31,1)):INDIRECT(ADDRESS(22,ROW()-31,1)),R$3:R$22),"")</f>
        <v/>
      </c>
      <c r="S73" t="str">
        <f ca="1">IF(AND(((COLUMN()-10)&lt;=playercnt),((ROW()-41)&lt;=playercnt)),SUMPRODUCT(INDIRECT(ADDRESS(3,ROW()-31,1)):INDIRECT(ADDRESS(22,ROW()-31,1)),S$3:S$22),"")</f>
        <v/>
      </c>
      <c r="T73" t="str">
        <f ca="1">IF(AND(((COLUMN()-10)&lt;=playercnt),((ROW()-41)&lt;=playercnt)),SUMPRODUCT(INDIRECT(ADDRESS(3,ROW()-31,1)):INDIRECT(ADDRESS(22,ROW()-31,1)),T$3:T$22),"")</f>
        <v/>
      </c>
      <c r="U73" t="str">
        <f ca="1">IF(AND(((COLUMN()-10)&lt;=playercnt),((ROW()-41)&lt;=playercnt)),SUMPRODUCT(INDIRECT(ADDRESS(3,ROW()-31,1)):INDIRECT(ADDRESS(22,ROW()-31,1)),U$3:U$22),"")</f>
        <v/>
      </c>
      <c r="V73" t="str">
        <f ca="1">IF(AND(((COLUMN()-10)&lt;=playercnt),((ROW()-41)&lt;=playercnt)),SUMPRODUCT(INDIRECT(ADDRESS(3,ROW()-31,1)):INDIRECT(ADDRESS(22,ROW()-31,1)),V$3:V$22),"")</f>
        <v/>
      </c>
      <c r="W73" t="str">
        <f ca="1">IF(AND(((COLUMN()-10)&lt;=playercnt),((ROW()-41)&lt;=playercnt)),SUMPRODUCT(INDIRECT(ADDRESS(3,ROW()-31,1)):INDIRECT(ADDRESS(22,ROW()-31,1)),W$3:W$22),"")</f>
        <v/>
      </c>
      <c r="X73" t="str">
        <f ca="1">IF(AND(((COLUMN()-10)&lt;=playercnt),((ROW()-41)&lt;=playercnt)),SUMPRODUCT(INDIRECT(ADDRESS(3,ROW()-31,1)):INDIRECT(ADDRESS(22,ROW()-31,1)),X$3:X$22),"")</f>
        <v/>
      </c>
      <c r="Y73" t="str">
        <f ca="1">IF(AND(((COLUMN()-10)&lt;=playercnt),((ROW()-41)&lt;=playercnt)),SUMPRODUCT(INDIRECT(ADDRESS(3,ROW()-31,1)):INDIRECT(ADDRESS(22,ROW()-31,1)),Y$3:Y$22),"")</f>
        <v/>
      </c>
      <c r="Z73" t="str">
        <f ca="1">IF(AND(((COLUMN()-10)&lt;=playercnt),((ROW()-41)&lt;=playercnt)),SUMPRODUCT(INDIRECT(ADDRESS(3,ROW()-31,1)):INDIRECT(ADDRESS(22,ROW()-31,1)),Z$3:Z$22),"")</f>
        <v/>
      </c>
      <c r="AA73" t="str">
        <f ca="1">IF(AND(((COLUMN()-10)&lt;=playercnt),((ROW()-41)&lt;=playercnt)),SUMPRODUCT(INDIRECT(ADDRESS(3,ROW()-31,1)):INDIRECT(ADDRESS(22,ROW()-31,1)),AA$3:AA$22),"")</f>
        <v/>
      </c>
      <c r="AB73" t="str">
        <f ca="1">IF(AND(((COLUMN()-10)&lt;=playercnt),((ROW()-41)&lt;=playercnt)),SUMPRODUCT(INDIRECT(ADDRESS(3,ROW()-31,1)):INDIRECT(ADDRESS(22,ROW()-31,1)),AB$3:AB$22),"")</f>
        <v/>
      </c>
      <c r="AC73" t="str">
        <f ca="1">IF(AND(((COLUMN()-10)&lt;=playercnt),((ROW()-41)&lt;=playercnt)),SUMPRODUCT(INDIRECT(ADDRESS(3,ROW()-31,1)):INDIRECT(ADDRESS(22,ROW()-31,1)),AC$3:AC$22),"")</f>
        <v/>
      </c>
      <c r="AD73" t="str">
        <f ca="1">IF(AND(((COLUMN()-10)&lt;=playercnt),((ROW()-41)&lt;=playercnt)),SUMPRODUCT(INDIRECT(ADDRESS(3,ROW()-31,1)):INDIRECT(ADDRESS(22,ROW()-31,1)),AD$3:AD$22),"")</f>
        <v/>
      </c>
      <c r="AE73" t="str">
        <f ca="1">IF(AND(((COLUMN()-10)&lt;=playercnt),((ROW()-41)&lt;=playercnt)),SUMPRODUCT(INDIRECT(ADDRESS(3,ROW()-31,1)):INDIRECT(ADDRESS(22,ROW()-31,1)),AE$3:AE$22),"")</f>
        <v/>
      </c>
      <c r="AF73" t="str">
        <f ca="1">IF(AND(((COLUMN()-10)&lt;=playercnt),((ROW()-41)&lt;=playercnt)),SUMPRODUCT(INDIRECT(ADDRESS(3,ROW()-31,1)):INDIRECT(ADDRESS(22,ROW()-31,1)),AF$3:AF$22),"")</f>
        <v/>
      </c>
      <c r="AG73" t="str">
        <f ca="1">IF(AND(((COLUMN()-10)&lt;=playercnt),((ROW()-41)&lt;=playercnt)),SUMPRODUCT(INDIRECT(ADDRESS(3,ROW()-31,1)):INDIRECT(ADDRESS(22,ROW()-31,1)),AG$3:AG$22),"")</f>
        <v/>
      </c>
      <c r="AH73" t="str">
        <f ca="1">IF(AND(((COLUMN()-10)&lt;=playercnt),((ROW()-41)&lt;=playercnt)),SUMPRODUCT(INDIRECT(ADDRESS(3,ROW()-31,1)):INDIRECT(ADDRESS(22,ROW()-31,1)),AH$3:AH$22),"")</f>
        <v/>
      </c>
      <c r="AI73" t="str">
        <f ca="1">IF(AND(((COLUMN()-10)&lt;=playercnt),((ROW()-41)&lt;=playercnt)),SUMPRODUCT(INDIRECT(ADDRESS(3,ROW()-31,1)):INDIRECT(ADDRESS(22,ROW()-31,1)),AI$3:AI$22),"")</f>
        <v/>
      </c>
      <c r="AJ73" t="str">
        <f ca="1">IF(AND(((COLUMN()-10)&lt;=playercnt),((ROW()-41)&lt;=playercnt)),SUMPRODUCT(INDIRECT(ADDRESS(3,ROW()-31,1)):INDIRECT(ADDRESS(22,ROW()-31,1)),AJ$3:AJ$22),"")</f>
        <v/>
      </c>
      <c r="AK73" t="str">
        <f ca="1">IF(AND(((COLUMN()-10)&lt;=playercnt),((ROW()-41)&lt;=playercnt)),SUMPRODUCT(INDIRECT(ADDRESS(3,ROW()-31,1)):INDIRECT(ADDRESS(22,ROW()-31,1)),AK$3:AK$22),"")</f>
        <v/>
      </c>
      <c r="AL73" t="str">
        <f ca="1">IF(AND(((COLUMN()-10)&lt;=playercnt),((ROW()-41)&lt;=playercnt)),SUMPRODUCT(INDIRECT(ADDRESS(3,ROW()-31,1)):INDIRECT(ADDRESS(22,ROW()-31,1)),AL$3:AL$22),"")</f>
        <v/>
      </c>
      <c r="AM73" t="str">
        <f ca="1">IF(AND(((COLUMN()-10)&lt;=playercnt),((ROW()-41)&lt;=playercnt)),SUMPRODUCT(INDIRECT(ADDRESS(3,ROW()-31,1)):INDIRECT(ADDRESS(22,ROW()-31,1)),AM$3:AM$22),"")</f>
        <v/>
      </c>
      <c r="AN73" t="str">
        <f ca="1">IF(AND(((COLUMN()-10)&lt;=playercnt),((ROW()-41)&lt;=playercnt)),SUMPRODUCT(INDIRECT(ADDRESS(3,ROW()-31,1)):INDIRECT(ADDRESS(22,ROW()-31,1)),AN$3:AN$22),"")</f>
        <v/>
      </c>
      <c r="AO73" t="str">
        <f ca="1">IF(AND(((COLUMN()-10)&lt;=playercnt),((ROW()-41)&lt;=playercnt)),SUMPRODUCT(INDIRECT(ADDRESS(3,ROW()-31,1)):INDIRECT(ADDRESS(22,ROW()-31,1)),AO$3:AO$22),"")</f>
        <v/>
      </c>
      <c r="AP73" t="str">
        <f ca="1">IF(AND(((COLUMN()-10)&lt;=playercnt),((ROW()-41)&lt;=playercnt)),SUMPRODUCT(INDIRECT(ADDRESS(3,ROW()-31,1)):INDIRECT(ADDRESS(22,ROW()-31,1)),AP$3:AP$22),"")</f>
        <v/>
      </c>
      <c r="AQ73" t="str">
        <f ca="1">IF(AND(((COLUMN()-10)&lt;=playercnt),((ROW()-41)&lt;=playercnt)),SUMPRODUCT(INDIRECT(ADDRESS(3,ROW()-31,1)):INDIRECT(ADDRESS(22,ROW()-31,1)),AQ$3:AQ$22),"")</f>
        <v/>
      </c>
      <c r="AR73" t="str">
        <f ca="1">IF(AND(((COLUMN()-10)&lt;=playercnt),((ROW()-41)&lt;=playercnt)),SUMPRODUCT(INDIRECT(ADDRESS(3,ROW()-31,1)):INDIRECT(ADDRESS(22,ROW()-31,1)),AR$3:AR$22),"")</f>
        <v/>
      </c>
      <c r="AS73" t="str">
        <f ca="1">IF(AND(((COLUMN()-10)&lt;=playercnt),((ROW()-41)&lt;=playercnt)),SUMPRODUCT(INDIRECT(ADDRESS(3,ROW()-31,1)):INDIRECT(ADDRESS(22,ROW()-31,1)),AS$3:AS$22),"")</f>
        <v/>
      </c>
      <c r="AT73" t="str">
        <f ca="1">IF(AND(((COLUMN()-10)&lt;=playercnt),((ROW()-41)&lt;=playercnt)),SUMPRODUCT(INDIRECT(ADDRESS(3,ROW()-31,1)):INDIRECT(ADDRESS(22,ROW()-31,1)),AT$3:AT$22),"")</f>
        <v/>
      </c>
      <c r="AU73" t="str">
        <f ca="1">IF(AND(((COLUMN()-10)&lt;=playercnt),((ROW()-41)&lt;=playercnt)),SUMPRODUCT(INDIRECT(ADDRESS(3,ROW()-31,1)):INDIRECT(ADDRESS(22,ROW()-31,1)),AU$3:AU$22),"")</f>
        <v/>
      </c>
      <c r="AV73" t="str">
        <f ca="1">IF(AND(((COLUMN()-10)&lt;=playercnt),((ROW()-41)&lt;=playercnt)),SUMPRODUCT(INDIRECT(ADDRESS(3,ROW()-31,1)):INDIRECT(ADDRESS(22,ROW()-31,1)),AV$3:AV$22),"")</f>
        <v/>
      </c>
      <c r="AW73" t="str">
        <f ca="1">IF(AND(((COLUMN()-10)&lt;=playercnt),((ROW()-41)&lt;=playercnt)),SUMPRODUCT(INDIRECT(ADDRESS(3,ROW()-31,1)):INDIRECT(ADDRESS(22,ROW()-31,1)),AW$3:AW$22),"")</f>
        <v/>
      </c>
      <c r="AX73" t="str">
        <f ca="1">IF(AND(((COLUMN()-10)&lt;=playercnt),((ROW()-41)&lt;=playercnt)),SUMPRODUCT(INDIRECT(ADDRESS(3,ROW()-31,1)):INDIRECT(ADDRESS(22,ROW()-31,1)),AX$3:AX$22),"")</f>
        <v/>
      </c>
      <c r="AY73" t="str">
        <f ca="1">IF(AND(((COLUMN()-10)&lt;=playercnt),((ROW()-41)&lt;=playercnt)),SUMPRODUCT(INDIRECT(ADDRESS(3,ROW()-31,1)):INDIRECT(ADDRESS(22,ROW()-31,1)),AY$3:AY$22),"")</f>
        <v/>
      </c>
      <c r="AZ73" t="str">
        <f ca="1">IF(AND(((COLUMN()-10)&lt;=playercnt),((ROW()-41)&lt;=playercnt)),SUMPRODUCT(INDIRECT(ADDRESS(3,ROW()-31,1)):INDIRECT(ADDRESS(22,ROW()-31,1)),AZ$3:AZ$22),"")</f>
        <v/>
      </c>
      <c r="BA73" t="str">
        <f ca="1">IF(AND(((COLUMN()-10)&lt;=playercnt),((ROW()-41)&lt;=playercnt)),SUMPRODUCT(INDIRECT(ADDRESS(3,ROW()-31,1)):INDIRECT(ADDRESS(22,ROW()-31,1)),BA$3:BA$22),"")</f>
        <v/>
      </c>
      <c r="BB73" t="str">
        <f ca="1">IF(AND(((COLUMN()-10)&lt;=playercnt),((ROW()-41)&lt;=playercnt)),SUMPRODUCT(INDIRECT(ADDRESS(3,ROW()-31,1)):INDIRECT(ADDRESS(22,ROW()-31,1)),BB$3:BB$22),"")</f>
        <v/>
      </c>
      <c r="BC73" t="str">
        <f ca="1">IF(AND(((COLUMN()-10)&lt;=playercnt),((ROW()-41)&lt;=playercnt)),SUMPRODUCT(INDIRECT(ADDRESS(3,ROW()-31,1)):INDIRECT(ADDRESS(22,ROW()-31,1)),BC$3:BC$22),"")</f>
        <v/>
      </c>
      <c r="BD73" t="str">
        <f ca="1">IF(AND(((COLUMN()-10)&lt;=playercnt),((ROW()-41)&lt;=playercnt)),SUMPRODUCT(INDIRECT(ADDRESS(3,ROW()-31,1)):INDIRECT(ADDRESS(22,ROW()-31,1)),BD$3:BD$22),"")</f>
        <v/>
      </c>
      <c r="BE73" t="str">
        <f ca="1">IF(AND(((COLUMN()-10)&lt;=playercnt),((ROW()-41)&lt;=playercnt)),SUMPRODUCT(INDIRECT(ADDRESS(3,ROW()-31,1)):INDIRECT(ADDRESS(22,ROW()-31,1)),BE$3:BE$22),"")</f>
        <v/>
      </c>
      <c r="BF73" t="str">
        <f ca="1">IF(AND(((COLUMN()-10)&lt;=playercnt),((ROW()-41)&lt;=playercnt)),SUMPRODUCT(INDIRECT(ADDRESS(3,ROW()-31,1)):INDIRECT(ADDRESS(22,ROW()-31,1)),BF$3:BF$22),"")</f>
        <v/>
      </c>
      <c r="BG73" t="str">
        <f ca="1">IF(AND(((COLUMN()-10)&lt;=playercnt),((ROW()-41)&lt;=playercnt)),SUMPRODUCT(INDIRECT(ADDRESS(3,ROW()-31,1)):INDIRECT(ADDRESS(22,ROW()-31,1)),BG$3:BG$22),"")</f>
        <v/>
      </c>
      <c r="BH73" t="str">
        <f ca="1">IF(AND(((COLUMN()-10)&lt;=playercnt),((ROW()-41)&lt;=playercnt)),SUMPRODUCT(INDIRECT(ADDRESS(3,ROW()-31,1)):INDIRECT(ADDRESS(22,ROW()-31,1)),BH$3:BH$22),"")</f>
        <v/>
      </c>
      <c r="BI73" t="str">
        <f ca="1">IF(AND(((COLUMN()-10)&lt;=playercnt),((ROW()-41)&lt;=playercnt)),SUMPRODUCT(INDIRECT(ADDRESS(3,ROW()-31,1)):INDIRECT(ADDRESS(22,ROW()-31,1)),BI$3:BI$22),"")</f>
        <v/>
      </c>
      <c r="BJ73" t="str">
        <f ca="1">IF(AND(((COLUMN()-10)&lt;=playercnt),((ROW()-41)&lt;=playercnt)),SUMPRODUCT(INDIRECT(ADDRESS(3,ROW()-31,1)):INDIRECT(ADDRESS(22,ROW()-31,1)),BJ$3:BJ$22),"")</f>
        <v/>
      </c>
      <c r="BK73" t="str">
        <f ca="1">IF(AND(((COLUMN()-10)&lt;=playercnt),((ROW()-41)&lt;=playercnt)),SUMPRODUCT(INDIRECT(ADDRESS(3,ROW()-31,1)):INDIRECT(ADDRESS(22,ROW()-31,1)),BK$3:BK$22),"")</f>
        <v/>
      </c>
      <c r="BL73" t="str">
        <f ca="1">IF(AND(((COLUMN()-10)&lt;=playercnt),((ROW()-41)&lt;=playercnt)),SUMPRODUCT(INDIRECT(ADDRESS(3,ROW()-31,1)):INDIRECT(ADDRESS(22,ROW()-31,1)),BL$3:BL$22),"")</f>
        <v/>
      </c>
      <c r="BM73" t="str">
        <f ca="1">IF(AND(((COLUMN()-10)&lt;=playercnt),((ROW()-41)&lt;=playercnt)),SUMPRODUCT(INDIRECT(ADDRESS(3,ROW()-31,1)):INDIRECT(ADDRESS(22,ROW()-31,1)),BM$3:BM$22),"")</f>
        <v/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>
      <c r="B74" s="27" t="str">
        <f t="shared" ca="1" si="29"/>
        <v/>
      </c>
      <c r="C74" t="str">
        <f t="shared" ca="1" si="30"/>
        <v/>
      </c>
      <c r="G74" t="str">
        <f ca="1">IF(AND(((COLUMN()-10)&lt;=playercnt),((ROW()-41)&lt;=playercnt)),SUMPRODUCT(INDIRECT(ADDRESS(3,ROW()-31,1)):INDIRECT(ADDRESS(22,ROW()-31,1)),G$3:G$22),"")</f>
        <v/>
      </c>
      <c r="H74" t="str">
        <f ca="1">IF(AND(((COLUMN()-10)&lt;=playercnt),((ROW()-41)&lt;=playercnt)),SUMPRODUCT(INDIRECT(ADDRESS(3,ROW()-31,1)):INDIRECT(ADDRESS(22,ROW()-31,1)),H$3:H$22),"")</f>
        <v/>
      </c>
      <c r="I74" t="str">
        <f ca="1">IF(AND(((COLUMN()-10)&lt;=playercnt),((ROW()-41)&lt;=playercnt)),SUMPRODUCT(INDIRECT(ADDRESS(3,ROW()-31,1)):INDIRECT(ADDRESS(22,ROW()-31,1)),I$3:I$22),"")</f>
        <v/>
      </c>
      <c r="J74" t="str">
        <f ca="1">IF(AND(((COLUMN()-10)&lt;=playercnt),((ROW()-41)&lt;=playercnt)),SUMPRODUCT(INDIRECT(ADDRESS(3,ROW()-31,1)):INDIRECT(ADDRESS(22,ROW()-31,1)),J$3:J$22),"")</f>
        <v/>
      </c>
      <c r="K74" t="str">
        <f ca="1">IF(AND(((COLUMN()-10)&lt;=playercnt),((ROW()-41)&lt;=playercnt)),SUMPRODUCT(INDIRECT(ADDRESS(3,ROW()-31,1)):INDIRECT(ADDRESS(22,ROW()-31,1)),K$3:K$22),"")</f>
        <v/>
      </c>
      <c r="L74" t="str">
        <f ca="1">IF(AND(((COLUMN()-10)&lt;=playercnt),((ROW()-41)&lt;=playercnt)),SUMPRODUCT(INDIRECT(ADDRESS(3,ROW()-31,1)):INDIRECT(ADDRESS(22,ROW()-31,1)),L$3:L$22),"")</f>
        <v/>
      </c>
      <c r="M74" t="str">
        <f ca="1">IF(AND(((COLUMN()-10)&lt;=playercnt),((ROW()-41)&lt;=playercnt)),SUMPRODUCT(INDIRECT(ADDRESS(3,ROW()-31,1)):INDIRECT(ADDRESS(22,ROW()-31,1)),M$3:M$22),"")</f>
        <v/>
      </c>
      <c r="N74" t="str">
        <f ca="1">IF(AND(((COLUMN()-10)&lt;=playercnt),((ROW()-41)&lt;=playercnt)),SUMPRODUCT(INDIRECT(ADDRESS(3,ROW()-31,1)):INDIRECT(ADDRESS(22,ROW()-31,1)),N$3:N$22),"")</f>
        <v/>
      </c>
      <c r="O74" t="str">
        <f ca="1">IF(AND(((COLUMN()-10)&lt;=playercnt),((ROW()-41)&lt;=playercnt)),SUMPRODUCT(INDIRECT(ADDRESS(3,ROW()-31,1)):INDIRECT(ADDRESS(22,ROW()-31,1)),O$3:O$22),"")</f>
        <v/>
      </c>
      <c r="P74" t="str">
        <f ca="1">IF(AND(((COLUMN()-10)&lt;=playercnt),((ROW()-41)&lt;=playercnt)),SUMPRODUCT(INDIRECT(ADDRESS(3,ROW()-31,1)):INDIRECT(ADDRESS(22,ROW()-31,1)),P$3:P$22),"")</f>
        <v/>
      </c>
      <c r="Q74" t="str">
        <f ca="1">IF(AND(((COLUMN()-10)&lt;=playercnt),((ROW()-41)&lt;=playercnt)),SUMPRODUCT(INDIRECT(ADDRESS(3,ROW()-31,1)):INDIRECT(ADDRESS(22,ROW()-31,1)),Q$3:Q$22),"")</f>
        <v/>
      </c>
      <c r="R74" t="str">
        <f ca="1">IF(AND(((COLUMN()-10)&lt;=playercnt),((ROW()-41)&lt;=playercnt)),SUMPRODUCT(INDIRECT(ADDRESS(3,ROW()-31,1)):INDIRECT(ADDRESS(22,ROW()-31,1)),R$3:R$22),"")</f>
        <v/>
      </c>
      <c r="S74" t="str">
        <f ca="1">IF(AND(((COLUMN()-10)&lt;=playercnt),((ROW()-41)&lt;=playercnt)),SUMPRODUCT(INDIRECT(ADDRESS(3,ROW()-31,1)):INDIRECT(ADDRESS(22,ROW()-31,1)),S$3:S$22),"")</f>
        <v/>
      </c>
      <c r="T74" t="str">
        <f ca="1">IF(AND(((COLUMN()-10)&lt;=playercnt),((ROW()-41)&lt;=playercnt)),SUMPRODUCT(INDIRECT(ADDRESS(3,ROW()-31,1)):INDIRECT(ADDRESS(22,ROW()-31,1)),T$3:T$22),"")</f>
        <v/>
      </c>
      <c r="U74" t="str">
        <f ca="1">IF(AND(((COLUMN()-10)&lt;=playercnt),((ROW()-41)&lt;=playercnt)),SUMPRODUCT(INDIRECT(ADDRESS(3,ROW()-31,1)):INDIRECT(ADDRESS(22,ROW()-31,1)),U$3:U$22),"")</f>
        <v/>
      </c>
      <c r="V74" t="str">
        <f ca="1">IF(AND(((COLUMN()-10)&lt;=playercnt),((ROW()-41)&lt;=playercnt)),SUMPRODUCT(INDIRECT(ADDRESS(3,ROW()-31,1)):INDIRECT(ADDRESS(22,ROW()-31,1)),V$3:V$22),"")</f>
        <v/>
      </c>
      <c r="W74" t="str">
        <f ca="1">IF(AND(((COLUMN()-10)&lt;=playercnt),((ROW()-41)&lt;=playercnt)),SUMPRODUCT(INDIRECT(ADDRESS(3,ROW()-31,1)):INDIRECT(ADDRESS(22,ROW()-31,1)),W$3:W$22),"")</f>
        <v/>
      </c>
      <c r="X74" t="str">
        <f ca="1">IF(AND(((COLUMN()-10)&lt;=playercnt),((ROW()-41)&lt;=playercnt)),SUMPRODUCT(INDIRECT(ADDRESS(3,ROW()-31,1)):INDIRECT(ADDRESS(22,ROW()-31,1)),X$3:X$22),"")</f>
        <v/>
      </c>
      <c r="Y74" t="str">
        <f ca="1">IF(AND(((COLUMN()-10)&lt;=playercnt),((ROW()-41)&lt;=playercnt)),SUMPRODUCT(INDIRECT(ADDRESS(3,ROW()-31,1)):INDIRECT(ADDRESS(22,ROW()-31,1)),Y$3:Y$22),"")</f>
        <v/>
      </c>
      <c r="Z74" t="str">
        <f ca="1">IF(AND(((COLUMN()-10)&lt;=playercnt),((ROW()-41)&lt;=playercnt)),SUMPRODUCT(INDIRECT(ADDRESS(3,ROW()-31,1)):INDIRECT(ADDRESS(22,ROW()-31,1)),Z$3:Z$22),"")</f>
        <v/>
      </c>
      <c r="AA74" t="str">
        <f ca="1">IF(AND(((COLUMN()-10)&lt;=playercnt),((ROW()-41)&lt;=playercnt)),SUMPRODUCT(INDIRECT(ADDRESS(3,ROW()-31,1)):INDIRECT(ADDRESS(22,ROW()-31,1)),AA$3:AA$22),"")</f>
        <v/>
      </c>
      <c r="AB74" t="str">
        <f ca="1">IF(AND(((COLUMN()-10)&lt;=playercnt),((ROW()-41)&lt;=playercnt)),SUMPRODUCT(INDIRECT(ADDRESS(3,ROW()-31,1)):INDIRECT(ADDRESS(22,ROW()-31,1)),AB$3:AB$22),"")</f>
        <v/>
      </c>
      <c r="AC74" t="str">
        <f ca="1">IF(AND(((COLUMN()-10)&lt;=playercnt),((ROW()-41)&lt;=playercnt)),SUMPRODUCT(INDIRECT(ADDRESS(3,ROW()-31,1)):INDIRECT(ADDRESS(22,ROW()-31,1)),AC$3:AC$22),"")</f>
        <v/>
      </c>
      <c r="AD74" t="str">
        <f ca="1">IF(AND(((COLUMN()-10)&lt;=playercnt),((ROW()-41)&lt;=playercnt)),SUMPRODUCT(INDIRECT(ADDRESS(3,ROW()-31,1)):INDIRECT(ADDRESS(22,ROW()-31,1)),AD$3:AD$22),"")</f>
        <v/>
      </c>
      <c r="AE74" t="str">
        <f ca="1">IF(AND(((COLUMN()-10)&lt;=playercnt),((ROW()-41)&lt;=playercnt)),SUMPRODUCT(INDIRECT(ADDRESS(3,ROW()-31,1)):INDIRECT(ADDRESS(22,ROW()-31,1)),AE$3:AE$22),"")</f>
        <v/>
      </c>
      <c r="AF74" t="str">
        <f ca="1">IF(AND(((COLUMN()-10)&lt;=playercnt),((ROW()-41)&lt;=playercnt)),SUMPRODUCT(INDIRECT(ADDRESS(3,ROW()-31,1)):INDIRECT(ADDRESS(22,ROW()-31,1)),AF$3:AF$22),"")</f>
        <v/>
      </c>
      <c r="AG74" t="str">
        <f ca="1">IF(AND(((COLUMN()-10)&lt;=playercnt),((ROW()-41)&lt;=playercnt)),SUMPRODUCT(INDIRECT(ADDRESS(3,ROW()-31,1)):INDIRECT(ADDRESS(22,ROW()-31,1)),AG$3:AG$22),"")</f>
        <v/>
      </c>
      <c r="AH74" t="str">
        <f ca="1">IF(AND(((COLUMN()-10)&lt;=playercnt),((ROW()-41)&lt;=playercnt)),SUMPRODUCT(INDIRECT(ADDRESS(3,ROW()-31,1)):INDIRECT(ADDRESS(22,ROW()-31,1)),AH$3:AH$22),"")</f>
        <v/>
      </c>
      <c r="AI74" t="str">
        <f ca="1">IF(AND(((COLUMN()-10)&lt;=playercnt),((ROW()-41)&lt;=playercnt)),SUMPRODUCT(INDIRECT(ADDRESS(3,ROW()-31,1)):INDIRECT(ADDRESS(22,ROW()-31,1)),AI$3:AI$22),"")</f>
        <v/>
      </c>
      <c r="AJ74" t="str">
        <f ca="1">IF(AND(((COLUMN()-10)&lt;=playercnt),((ROW()-41)&lt;=playercnt)),SUMPRODUCT(INDIRECT(ADDRESS(3,ROW()-31,1)):INDIRECT(ADDRESS(22,ROW()-31,1)),AJ$3:AJ$22),"")</f>
        <v/>
      </c>
      <c r="AK74" t="str">
        <f ca="1">IF(AND(((COLUMN()-10)&lt;=playercnt),((ROW()-41)&lt;=playercnt)),SUMPRODUCT(INDIRECT(ADDRESS(3,ROW()-31,1)):INDIRECT(ADDRESS(22,ROW()-31,1)),AK$3:AK$22),"")</f>
        <v/>
      </c>
      <c r="AL74" t="str">
        <f ca="1">IF(AND(((COLUMN()-10)&lt;=playercnt),((ROW()-41)&lt;=playercnt)),SUMPRODUCT(INDIRECT(ADDRESS(3,ROW()-31,1)):INDIRECT(ADDRESS(22,ROW()-31,1)),AL$3:AL$22),"")</f>
        <v/>
      </c>
      <c r="AM74" t="str">
        <f ca="1">IF(AND(((COLUMN()-10)&lt;=playercnt),((ROW()-41)&lt;=playercnt)),SUMPRODUCT(INDIRECT(ADDRESS(3,ROW()-31,1)):INDIRECT(ADDRESS(22,ROW()-31,1)),AM$3:AM$22),"")</f>
        <v/>
      </c>
      <c r="AN74" t="str">
        <f ca="1">IF(AND(((COLUMN()-10)&lt;=playercnt),((ROW()-41)&lt;=playercnt)),SUMPRODUCT(INDIRECT(ADDRESS(3,ROW()-31,1)):INDIRECT(ADDRESS(22,ROW()-31,1)),AN$3:AN$22),"")</f>
        <v/>
      </c>
      <c r="AO74" t="str">
        <f ca="1">IF(AND(((COLUMN()-10)&lt;=playercnt),((ROW()-41)&lt;=playercnt)),SUMPRODUCT(INDIRECT(ADDRESS(3,ROW()-31,1)):INDIRECT(ADDRESS(22,ROW()-31,1)),AO$3:AO$22),"")</f>
        <v/>
      </c>
      <c r="AP74" t="str">
        <f ca="1">IF(AND(((COLUMN()-10)&lt;=playercnt),((ROW()-41)&lt;=playercnt)),SUMPRODUCT(INDIRECT(ADDRESS(3,ROW()-31,1)):INDIRECT(ADDRESS(22,ROW()-31,1)),AP$3:AP$22),"")</f>
        <v/>
      </c>
      <c r="AQ74" t="str">
        <f ca="1">IF(AND(((COLUMN()-10)&lt;=playercnt),((ROW()-41)&lt;=playercnt)),SUMPRODUCT(INDIRECT(ADDRESS(3,ROW()-31,1)):INDIRECT(ADDRESS(22,ROW()-31,1)),AQ$3:AQ$22),"")</f>
        <v/>
      </c>
      <c r="AR74" t="str">
        <f ca="1">IF(AND(((COLUMN()-10)&lt;=playercnt),((ROW()-41)&lt;=playercnt)),SUMPRODUCT(INDIRECT(ADDRESS(3,ROW()-31,1)):INDIRECT(ADDRESS(22,ROW()-31,1)),AR$3:AR$22),"")</f>
        <v/>
      </c>
      <c r="AS74" t="str">
        <f ca="1">IF(AND(((COLUMN()-10)&lt;=playercnt),((ROW()-41)&lt;=playercnt)),SUMPRODUCT(INDIRECT(ADDRESS(3,ROW()-31,1)):INDIRECT(ADDRESS(22,ROW()-31,1)),AS$3:AS$22),"")</f>
        <v/>
      </c>
      <c r="AT74" t="str">
        <f ca="1">IF(AND(((COLUMN()-10)&lt;=playercnt),((ROW()-41)&lt;=playercnt)),SUMPRODUCT(INDIRECT(ADDRESS(3,ROW()-31,1)):INDIRECT(ADDRESS(22,ROW()-31,1)),AT$3:AT$22),"")</f>
        <v/>
      </c>
      <c r="AU74" t="str">
        <f ca="1">IF(AND(((COLUMN()-10)&lt;=playercnt),((ROW()-41)&lt;=playercnt)),SUMPRODUCT(INDIRECT(ADDRESS(3,ROW()-31,1)):INDIRECT(ADDRESS(22,ROW()-31,1)),AU$3:AU$22),"")</f>
        <v/>
      </c>
      <c r="AV74" t="str">
        <f ca="1">IF(AND(((COLUMN()-10)&lt;=playercnt),((ROW()-41)&lt;=playercnt)),SUMPRODUCT(INDIRECT(ADDRESS(3,ROW()-31,1)):INDIRECT(ADDRESS(22,ROW()-31,1)),AV$3:AV$22),"")</f>
        <v/>
      </c>
      <c r="AW74" t="str">
        <f ca="1">IF(AND(((COLUMN()-10)&lt;=playercnt),((ROW()-41)&lt;=playercnt)),SUMPRODUCT(INDIRECT(ADDRESS(3,ROW()-31,1)):INDIRECT(ADDRESS(22,ROW()-31,1)),AW$3:AW$22),"")</f>
        <v/>
      </c>
      <c r="AX74" t="str">
        <f ca="1">IF(AND(((COLUMN()-10)&lt;=playercnt),((ROW()-41)&lt;=playercnt)),SUMPRODUCT(INDIRECT(ADDRESS(3,ROW()-31,1)):INDIRECT(ADDRESS(22,ROW()-31,1)),AX$3:AX$22),"")</f>
        <v/>
      </c>
      <c r="AY74" t="str">
        <f ca="1">IF(AND(((COLUMN()-10)&lt;=playercnt),((ROW()-41)&lt;=playercnt)),SUMPRODUCT(INDIRECT(ADDRESS(3,ROW()-31,1)):INDIRECT(ADDRESS(22,ROW()-31,1)),AY$3:AY$22),"")</f>
        <v/>
      </c>
      <c r="AZ74" t="str">
        <f ca="1">IF(AND(((COLUMN()-10)&lt;=playercnt),((ROW()-41)&lt;=playercnt)),SUMPRODUCT(INDIRECT(ADDRESS(3,ROW()-31,1)):INDIRECT(ADDRESS(22,ROW()-31,1)),AZ$3:AZ$22),"")</f>
        <v/>
      </c>
      <c r="BA74" t="str">
        <f ca="1">IF(AND(((COLUMN()-10)&lt;=playercnt),((ROW()-41)&lt;=playercnt)),SUMPRODUCT(INDIRECT(ADDRESS(3,ROW()-31,1)):INDIRECT(ADDRESS(22,ROW()-31,1)),BA$3:BA$22),"")</f>
        <v/>
      </c>
      <c r="BB74" t="str">
        <f ca="1">IF(AND(((COLUMN()-10)&lt;=playercnt),((ROW()-41)&lt;=playercnt)),SUMPRODUCT(INDIRECT(ADDRESS(3,ROW()-31,1)):INDIRECT(ADDRESS(22,ROW()-31,1)),BB$3:BB$22),"")</f>
        <v/>
      </c>
      <c r="BC74" t="str">
        <f ca="1">IF(AND(((COLUMN()-10)&lt;=playercnt),((ROW()-41)&lt;=playercnt)),SUMPRODUCT(INDIRECT(ADDRESS(3,ROW()-31,1)):INDIRECT(ADDRESS(22,ROW()-31,1)),BC$3:BC$22),"")</f>
        <v/>
      </c>
      <c r="BD74" t="str">
        <f ca="1">IF(AND(((COLUMN()-10)&lt;=playercnt),((ROW()-41)&lt;=playercnt)),SUMPRODUCT(INDIRECT(ADDRESS(3,ROW()-31,1)):INDIRECT(ADDRESS(22,ROW()-31,1)),BD$3:BD$22),"")</f>
        <v/>
      </c>
      <c r="BE74" t="str">
        <f ca="1">IF(AND(((COLUMN()-10)&lt;=playercnt),((ROW()-41)&lt;=playercnt)),SUMPRODUCT(INDIRECT(ADDRESS(3,ROW()-31,1)):INDIRECT(ADDRESS(22,ROW()-31,1)),BE$3:BE$22),"")</f>
        <v/>
      </c>
      <c r="BF74" t="str">
        <f ca="1">IF(AND(((COLUMN()-10)&lt;=playercnt),((ROW()-41)&lt;=playercnt)),SUMPRODUCT(INDIRECT(ADDRESS(3,ROW()-31,1)):INDIRECT(ADDRESS(22,ROW()-31,1)),BF$3:BF$22),"")</f>
        <v/>
      </c>
      <c r="BG74" t="str">
        <f ca="1">IF(AND(((COLUMN()-10)&lt;=playercnt),((ROW()-41)&lt;=playercnt)),SUMPRODUCT(INDIRECT(ADDRESS(3,ROW()-31,1)):INDIRECT(ADDRESS(22,ROW()-31,1)),BG$3:BG$22),"")</f>
        <v/>
      </c>
      <c r="BH74" t="str">
        <f ca="1">IF(AND(((COLUMN()-10)&lt;=playercnt),((ROW()-41)&lt;=playercnt)),SUMPRODUCT(INDIRECT(ADDRESS(3,ROW()-31,1)):INDIRECT(ADDRESS(22,ROW()-31,1)),BH$3:BH$22),"")</f>
        <v/>
      </c>
      <c r="BI74" t="str">
        <f ca="1">IF(AND(((COLUMN()-10)&lt;=playercnt),((ROW()-41)&lt;=playercnt)),SUMPRODUCT(INDIRECT(ADDRESS(3,ROW()-31,1)):INDIRECT(ADDRESS(22,ROW()-31,1)),BI$3:BI$22),"")</f>
        <v/>
      </c>
      <c r="BJ74" t="str">
        <f ca="1">IF(AND(((COLUMN()-10)&lt;=playercnt),((ROW()-41)&lt;=playercnt)),SUMPRODUCT(INDIRECT(ADDRESS(3,ROW()-31,1)):INDIRECT(ADDRESS(22,ROW()-31,1)),BJ$3:BJ$22),"")</f>
        <v/>
      </c>
      <c r="BK74" t="str">
        <f ca="1">IF(AND(((COLUMN()-10)&lt;=playercnt),((ROW()-41)&lt;=playercnt)),SUMPRODUCT(INDIRECT(ADDRESS(3,ROW()-31,1)):INDIRECT(ADDRESS(22,ROW()-31,1)),BK$3:BK$22),"")</f>
        <v/>
      </c>
      <c r="BL74" t="str">
        <f ca="1">IF(AND(((COLUMN()-10)&lt;=playercnt),((ROW()-41)&lt;=playercnt)),SUMPRODUCT(INDIRECT(ADDRESS(3,ROW()-31,1)):INDIRECT(ADDRESS(22,ROW()-31,1)),BL$3:BL$22),"")</f>
        <v/>
      </c>
      <c r="BM74" t="str">
        <f ca="1">IF(AND(((COLUMN()-10)&lt;=playercnt),((ROW()-41)&lt;=playercnt)),SUMPRODUCT(INDIRECT(ADDRESS(3,ROW()-31,1)):INDIRECT(ADDRESS(22,ROW()-31,1)),BM$3:BM$22),"")</f>
        <v/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>
      <c r="B75" s="27" t="str">
        <f t="shared" ca="1" si="29"/>
        <v/>
      </c>
      <c r="C75" t="str">
        <f t="shared" ca="1" si="30"/>
        <v/>
      </c>
      <c r="G75" t="str">
        <f ca="1">IF(AND(((COLUMN()-10)&lt;=playercnt),((ROW()-41)&lt;=playercnt)),SUMPRODUCT(INDIRECT(ADDRESS(3,ROW()-31,1)):INDIRECT(ADDRESS(22,ROW()-31,1)),G$3:G$22),"")</f>
        <v/>
      </c>
      <c r="H75" t="str">
        <f ca="1">IF(AND(((COLUMN()-10)&lt;=playercnt),((ROW()-41)&lt;=playercnt)),SUMPRODUCT(INDIRECT(ADDRESS(3,ROW()-31,1)):INDIRECT(ADDRESS(22,ROW()-31,1)),H$3:H$22),"")</f>
        <v/>
      </c>
      <c r="I75" t="str">
        <f ca="1">IF(AND(((COLUMN()-10)&lt;=playercnt),((ROW()-41)&lt;=playercnt)),SUMPRODUCT(INDIRECT(ADDRESS(3,ROW()-31,1)):INDIRECT(ADDRESS(22,ROW()-31,1)),I$3:I$22),"")</f>
        <v/>
      </c>
      <c r="J75" t="str">
        <f ca="1">IF(AND(((COLUMN()-10)&lt;=playercnt),((ROW()-41)&lt;=playercnt)),SUMPRODUCT(INDIRECT(ADDRESS(3,ROW()-31,1)):INDIRECT(ADDRESS(22,ROW()-31,1)),J$3:J$22),"")</f>
        <v/>
      </c>
      <c r="K75" t="str">
        <f ca="1">IF(AND(((COLUMN()-10)&lt;=playercnt),((ROW()-41)&lt;=playercnt)),SUMPRODUCT(INDIRECT(ADDRESS(3,ROW()-31,1)):INDIRECT(ADDRESS(22,ROW()-31,1)),K$3:K$22),"")</f>
        <v/>
      </c>
      <c r="L75" t="str">
        <f ca="1">IF(AND(((COLUMN()-10)&lt;=playercnt),((ROW()-41)&lt;=playercnt)),SUMPRODUCT(INDIRECT(ADDRESS(3,ROW()-31,1)):INDIRECT(ADDRESS(22,ROW()-31,1)),L$3:L$22),"")</f>
        <v/>
      </c>
      <c r="M75" t="str">
        <f ca="1">IF(AND(((COLUMN()-10)&lt;=playercnt),((ROW()-41)&lt;=playercnt)),SUMPRODUCT(INDIRECT(ADDRESS(3,ROW()-31,1)):INDIRECT(ADDRESS(22,ROW()-31,1)),M$3:M$22),"")</f>
        <v/>
      </c>
      <c r="N75" t="str">
        <f ca="1">IF(AND(((COLUMN()-10)&lt;=playercnt),((ROW()-41)&lt;=playercnt)),SUMPRODUCT(INDIRECT(ADDRESS(3,ROW()-31,1)):INDIRECT(ADDRESS(22,ROW()-31,1)),N$3:N$22),"")</f>
        <v/>
      </c>
      <c r="O75" t="str">
        <f ca="1">IF(AND(((COLUMN()-10)&lt;=playercnt),((ROW()-41)&lt;=playercnt)),SUMPRODUCT(INDIRECT(ADDRESS(3,ROW()-31,1)):INDIRECT(ADDRESS(22,ROW()-31,1)),O$3:O$22),"")</f>
        <v/>
      </c>
      <c r="P75" t="str">
        <f ca="1">IF(AND(((COLUMN()-10)&lt;=playercnt),((ROW()-41)&lt;=playercnt)),SUMPRODUCT(INDIRECT(ADDRESS(3,ROW()-31,1)):INDIRECT(ADDRESS(22,ROW()-31,1)),P$3:P$22),"")</f>
        <v/>
      </c>
      <c r="Q75" t="str">
        <f ca="1">IF(AND(((COLUMN()-10)&lt;=playercnt),((ROW()-41)&lt;=playercnt)),SUMPRODUCT(INDIRECT(ADDRESS(3,ROW()-31,1)):INDIRECT(ADDRESS(22,ROW()-31,1)),Q$3:Q$22),"")</f>
        <v/>
      </c>
      <c r="R75" t="str">
        <f ca="1">IF(AND(((COLUMN()-10)&lt;=playercnt),((ROW()-41)&lt;=playercnt)),SUMPRODUCT(INDIRECT(ADDRESS(3,ROW()-31,1)):INDIRECT(ADDRESS(22,ROW()-31,1)),R$3:R$22),"")</f>
        <v/>
      </c>
      <c r="S75" t="str">
        <f ca="1">IF(AND(((COLUMN()-10)&lt;=playercnt),((ROW()-41)&lt;=playercnt)),SUMPRODUCT(INDIRECT(ADDRESS(3,ROW()-31,1)):INDIRECT(ADDRESS(22,ROW()-31,1)),S$3:S$22),"")</f>
        <v/>
      </c>
      <c r="T75" t="str">
        <f ca="1">IF(AND(((COLUMN()-10)&lt;=playercnt),((ROW()-41)&lt;=playercnt)),SUMPRODUCT(INDIRECT(ADDRESS(3,ROW()-31,1)):INDIRECT(ADDRESS(22,ROW()-31,1)),T$3:T$22),"")</f>
        <v/>
      </c>
      <c r="U75" t="str">
        <f ca="1">IF(AND(((COLUMN()-10)&lt;=playercnt),((ROW()-41)&lt;=playercnt)),SUMPRODUCT(INDIRECT(ADDRESS(3,ROW()-31,1)):INDIRECT(ADDRESS(22,ROW()-31,1)),U$3:U$22),"")</f>
        <v/>
      </c>
      <c r="V75" t="str">
        <f ca="1">IF(AND(((COLUMN()-10)&lt;=playercnt),((ROW()-41)&lt;=playercnt)),SUMPRODUCT(INDIRECT(ADDRESS(3,ROW()-31,1)):INDIRECT(ADDRESS(22,ROW()-31,1)),V$3:V$22),"")</f>
        <v/>
      </c>
      <c r="W75" t="str">
        <f ca="1">IF(AND(((COLUMN()-10)&lt;=playercnt),((ROW()-41)&lt;=playercnt)),SUMPRODUCT(INDIRECT(ADDRESS(3,ROW()-31,1)):INDIRECT(ADDRESS(22,ROW()-31,1)),W$3:W$22),"")</f>
        <v/>
      </c>
      <c r="X75" t="str">
        <f ca="1">IF(AND(((COLUMN()-10)&lt;=playercnt),((ROW()-41)&lt;=playercnt)),SUMPRODUCT(INDIRECT(ADDRESS(3,ROW()-31,1)):INDIRECT(ADDRESS(22,ROW()-31,1)),X$3:X$22),"")</f>
        <v/>
      </c>
      <c r="Y75" t="str">
        <f ca="1">IF(AND(((COLUMN()-10)&lt;=playercnt),((ROW()-41)&lt;=playercnt)),SUMPRODUCT(INDIRECT(ADDRESS(3,ROW()-31,1)):INDIRECT(ADDRESS(22,ROW()-31,1)),Y$3:Y$22),"")</f>
        <v/>
      </c>
      <c r="Z75" t="str">
        <f ca="1">IF(AND(((COLUMN()-10)&lt;=playercnt),((ROW()-41)&lt;=playercnt)),SUMPRODUCT(INDIRECT(ADDRESS(3,ROW()-31,1)):INDIRECT(ADDRESS(22,ROW()-31,1)),Z$3:Z$22),"")</f>
        <v/>
      </c>
      <c r="AA75" t="str">
        <f ca="1">IF(AND(((COLUMN()-10)&lt;=playercnt),((ROW()-41)&lt;=playercnt)),SUMPRODUCT(INDIRECT(ADDRESS(3,ROW()-31,1)):INDIRECT(ADDRESS(22,ROW()-31,1)),AA$3:AA$22),"")</f>
        <v/>
      </c>
      <c r="AB75" t="str">
        <f ca="1">IF(AND(((COLUMN()-10)&lt;=playercnt),((ROW()-41)&lt;=playercnt)),SUMPRODUCT(INDIRECT(ADDRESS(3,ROW()-31,1)):INDIRECT(ADDRESS(22,ROW()-31,1)),AB$3:AB$22),"")</f>
        <v/>
      </c>
      <c r="AC75" t="str">
        <f ca="1">IF(AND(((COLUMN()-10)&lt;=playercnt),((ROW()-41)&lt;=playercnt)),SUMPRODUCT(INDIRECT(ADDRESS(3,ROW()-31,1)):INDIRECT(ADDRESS(22,ROW()-31,1)),AC$3:AC$22),"")</f>
        <v/>
      </c>
      <c r="AD75" t="str">
        <f ca="1">IF(AND(((COLUMN()-10)&lt;=playercnt),((ROW()-41)&lt;=playercnt)),SUMPRODUCT(INDIRECT(ADDRESS(3,ROW()-31,1)):INDIRECT(ADDRESS(22,ROW()-31,1)),AD$3:AD$22),"")</f>
        <v/>
      </c>
      <c r="AE75" t="str">
        <f ca="1">IF(AND(((COLUMN()-10)&lt;=playercnt),((ROW()-41)&lt;=playercnt)),SUMPRODUCT(INDIRECT(ADDRESS(3,ROW()-31,1)):INDIRECT(ADDRESS(22,ROW()-31,1)),AE$3:AE$22),"")</f>
        <v/>
      </c>
      <c r="AF75" t="str">
        <f ca="1">IF(AND(((COLUMN()-10)&lt;=playercnt),((ROW()-41)&lt;=playercnt)),SUMPRODUCT(INDIRECT(ADDRESS(3,ROW()-31,1)):INDIRECT(ADDRESS(22,ROW()-31,1)),AF$3:AF$22),"")</f>
        <v/>
      </c>
      <c r="AG75" t="str">
        <f ca="1">IF(AND(((COLUMN()-10)&lt;=playercnt),((ROW()-41)&lt;=playercnt)),SUMPRODUCT(INDIRECT(ADDRESS(3,ROW()-31,1)):INDIRECT(ADDRESS(22,ROW()-31,1)),AG$3:AG$22),"")</f>
        <v/>
      </c>
      <c r="AH75" t="str">
        <f ca="1">IF(AND(((COLUMN()-10)&lt;=playercnt),((ROW()-41)&lt;=playercnt)),SUMPRODUCT(INDIRECT(ADDRESS(3,ROW()-31,1)):INDIRECT(ADDRESS(22,ROW()-31,1)),AH$3:AH$22),"")</f>
        <v/>
      </c>
      <c r="AI75" t="str">
        <f ca="1">IF(AND(((COLUMN()-10)&lt;=playercnt),((ROW()-41)&lt;=playercnt)),SUMPRODUCT(INDIRECT(ADDRESS(3,ROW()-31,1)):INDIRECT(ADDRESS(22,ROW()-31,1)),AI$3:AI$22),"")</f>
        <v/>
      </c>
      <c r="AJ75" t="str">
        <f ca="1">IF(AND(((COLUMN()-10)&lt;=playercnt),((ROW()-41)&lt;=playercnt)),SUMPRODUCT(INDIRECT(ADDRESS(3,ROW()-31,1)):INDIRECT(ADDRESS(22,ROW()-31,1)),AJ$3:AJ$22),"")</f>
        <v/>
      </c>
      <c r="AK75" t="str">
        <f ca="1">IF(AND(((COLUMN()-10)&lt;=playercnt),((ROW()-41)&lt;=playercnt)),SUMPRODUCT(INDIRECT(ADDRESS(3,ROW()-31,1)):INDIRECT(ADDRESS(22,ROW()-31,1)),AK$3:AK$22),"")</f>
        <v/>
      </c>
      <c r="AL75" t="str">
        <f ca="1">IF(AND(((COLUMN()-10)&lt;=playercnt),((ROW()-41)&lt;=playercnt)),SUMPRODUCT(INDIRECT(ADDRESS(3,ROW()-31,1)):INDIRECT(ADDRESS(22,ROW()-31,1)),AL$3:AL$22),"")</f>
        <v/>
      </c>
      <c r="AM75" t="str">
        <f ca="1">IF(AND(((COLUMN()-10)&lt;=playercnt),((ROW()-41)&lt;=playercnt)),SUMPRODUCT(INDIRECT(ADDRESS(3,ROW()-31,1)):INDIRECT(ADDRESS(22,ROW()-31,1)),AM$3:AM$22),"")</f>
        <v/>
      </c>
      <c r="AN75" t="str">
        <f ca="1">IF(AND(((COLUMN()-10)&lt;=playercnt),((ROW()-41)&lt;=playercnt)),SUMPRODUCT(INDIRECT(ADDRESS(3,ROW()-31,1)):INDIRECT(ADDRESS(22,ROW()-31,1)),AN$3:AN$22),"")</f>
        <v/>
      </c>
      <c r="AO75" t="str">
        <f ca="1">IF(AND(((COLUMN()-10)&lt;=playercnt),((ROW()-41)&lt;=playercnt)),SUMPRODUCT(INDIRECT(ADDRESS(3,ROW()-31,1)):INDIRECT(ADDRESS(22,ROW()-31,1)),AO$3:AO$22),"")</f>
        <v/>
      </c>
      <c r="AP75" t="str">
        <f ca="1">IF(AND(((COLUMN()-10)&lt;=playercnt),((ROW()-41)&lt;=playercnt)),SUMPRODUCT(INDIRECT(ADDRESS(3,ROW()-31,1)):INDIRECT(ADDRESS(22,ROW()-31,1)),AP$3:AP$22),"")</f>
        <v/>
      </c>
      <c r="AQ75" t="str">
        <f ca="1">IF(AND(((COLUMN()-10)&lt;=playercnt),((ROW()-41)&lt;=playercnt)),SUMPRODUCT(INDIRECT(ADDRESS(3,ROW()-31,1)):INDIRECT(ADDRESS(22,ROW()-31,1)),AQ$3:AQ$22),"")</f>
        <v/>
      </c>
      <c r="AR75" t="str">
        <f ca="1">IF(AND(((COLUMN()-10)&lt;=playercnt),((ROW()-41)&lt;=playercnt)),SUMPRODUCT(INDIRECT(ADDRESS(3,ROW()-31,1)):INDIRECT(ADDRESS(22,ROW()-31,1)),AR$3:AR$22),"")</f>
        <v/>
      </c>
      <c r="AS75" t="str">
        <f ca="1">IF(AND(((COLUMN()-10)&lt;=playercnt),((ROW()-41)&lt;=playercnt)),SUMPRODUCT(INDIRECT(ADDRESS(3,ROW()-31,1)):INDIRECT(ADDRESS(22,ROW()-31,1)),AS$3:AS$22),"")</f>
        <v/>
      </c>
      <c r="AT75" t="str">
        <f ca="1">IF(AND(((COLUMN()-10)&lt;=playercnt),((ROW()-41)&lt;=playercnt)),SUMPRODUCT(INDIRECT(ADDRESS(3,ROW()-31,1)):INDIRECT(ADDRESS(22,ROW()-31,1)),AT$3:AT$22),"")</f>
        <v/>
      </c>
      <c r="AU75" t="str">
        <f ca="1">IF(AND(((COLUMN()-10)&lt;=playercnt),((ROW()-41)&lt;=playercnt)),SUMPRODUCT(INDIRECT(ADDRESS(3,ROW()-31,1)):INDIRECT(ADDRESS(22,ROW()-31,1)),AU$3:AU$22),"")</f>
        <v/>
      </c>
      <c r="AV75" t="str">
        <f ca="1">IF(AND(((COLUMN()-10)&lt;=playercnt),((ROW()-41)&lt;=playercnt)),SUMPRODUCT(INDIRECT(ADDRESS(3,ROW()-31,1)):INDIRECT(ADDRESS(22,ROW()-31,1)),AV$3:AV$22),"")</f>
        <v/>
      </c>
      <c r="AW75" t="str">
        <f ca="1">IF(AND(((COLUMN()-10)&lt;=playercnt),((ROW()-41)&lt;=playercnt)),SUMPRODUCT(INDIRECT(ADDRESS(3,ROW()-31,1)):INDIRECT(ADDRESS(22,ROW()-31,1)),AW$3:AW$22),"")</f>
        <v/>
      </c>
      <c r="AX75" t="str">
        <f ca="1">IF(AND(((COLUMN()-10)&lt;=playercnt),((ROW()-41)&lt;=playercnt)),SUMPRODUCT(INDIRECT(ADDRESS(3,ROW()-31,1)):INDIRECT(ADDRESS(22,ROW()-31,1)),AX$3:AX$22),"")</f>
        <v/>
      </c>
      <c r="AY75" t="str">
        <f ca="1">IF(AND(((COLUMN()-10)&lt;=playercnt),((ROW()-41)&lt;=playercnt)),SUMPRODUCT(INDIRECT(ADDRESS(3,ROW()-31,1)):INDIRECT(ADDRESS(22,ROW()-31,1)),AY$3:AY$22),"")</f>
        <v/>
      </c>
      <c r="AZ75" t="str">
        <f ca="1">IF(AND(((COLUMN()-10)&lt;=playercnt),((ROW()-41)&lt;=playercnt)),SUMPRODUCT(INDIRECT(ADDRESS(3,ROW()-31,1)):INDIRECT(ADDRESS(22,ROW()-31,1)),AZ$3:AZ$22),"")</f>
        <v/>
      </c>
      <c r="BA75" t="str">
        <f ca="1">IF(AND(((COLUMN()-10)&lt;=playercnt),((ROW()-41)&lt;=playercnt)),SUMPRODUCT(INDIRECT(ADDRESS(3,ROW()-31,1)):INDIRECT(ADDRESS(22,ROW()-31,1)),BA$3:BA$22),"")</f>
        <v/>
      </c>
      <c r="BB75" t="str">
        <f ca="1">IF(AND(((COLUMN()-10)&lt;=playercnt),((ROW()-41)&lt;=playercnt)),SUMPRODUCT(INDIRECT(ADDRESS(3,ROW()-31,1)):INDIRECT(ADDRESS(22,ROW()-31,1)),BB$3:BB$22),"")</f>
        <v/>
      </c>
      <c r="BC75" t="str">
        <f ca="1">IF(AND(((COLUMN()-10)&lt;=playercnt),((ROW()-41)&lt;=playercnt)),SUMPRODUCT(INDIRECT(ADDRESS(3,ROW()-31,1)):INDIRECT(ADDRESS(22,ROW()-31,1)),BC$3:BC$22),"")</f>
        <v/>
      </c>
      <c r="BD75" t="str">
        <f ca="1">IF(AND(((COLUMN()-10)&lt;=playercnt),((ROW()-41)&lt;=playercnt)),SUMPRODUCT(INDIRECT(ADDRESS(3,ROW()-31,1)):INDIRECT(ADDRESS(22,ROW()-31,1)),BD$3:BD$22),"")</f>
        <v/>
      </c>
      <c r="BE75" t="str">
        <f ca="1">IF(AND(((COLUMN()-10)&lt;=playercnt),((ROW()-41)&lt;=playercnt)),SUMPRODUCT(INDIRECT(ADDRESS(3,ROW()-31,1)):INDIRECT(ADDRESS(22,ROW()-31,1)),BE$3:BE$22),"")</f>
        <v/>
      </c>
      <c r="BF75" t="str">
        <f ca="1">IF(AND(((COLUMN()-10)&lt;=playercnt),((ROW()-41)&lt;=playercnt)),SUMPRODUCT(INDIRECT(ADDRESS(3,ROW()-31,1)):INDIRECT(ADDRESS(22,ROW()-31,1)),BF$3:BF$22),"")</f>
        <v/>
      </c>
      <c r="BG75" t="str">
        <f ca="1">IF(AND(((COLUMN()-10)&lt;=playercnt),((ROW()-41)&lt;=playercnt)),SUMPRODUCT(INDIRECT(ADDRESS(3,ROW()-31,1)):INDIRECT(ADDRESS(22,ROW()-31,1)),BG$3:BG$22),"")</f>
        <v/>
      </c>
      <c r="BH75" t="str">
        <f ca="1">IF(AND(((COLUMN()-10)&lt;=playercnt),((ROW()-41)&lt;=playercnt)),SUMPRODUCT(INDIRECT(ADDRESS(3,ROW()-31,1)):INDIRECT(ADDRESS(22,ROW()-31,1)),BH$3:BH$22),"")</f>
        <v/>
      </c>
      <c r="BI75" t="str">
        <f ca="1">IF(AND(((COLUMN()-10)&lt;=playercnt),((ROW()-41)&lt;=playercnt)),SUMPRODUCT(INDIRECT(ADDRESS(3,ROW()-31,1)):INDIRECT(ADDRESS(22,ROW()-31,1)),BI$3:BI$22),"")</f>
        <v/>
      </c>
      <c r="BJ75" t="str">
        <f ca="1">IF(AND(((COLUMN()-10)&lt;=playercnt),((ROW()-41)&lt;=playercnt)),SUMPRODUCT(INDIRECT(ADDRESS(3,ROW()-31,1)):INDIRECT(ADDRESS(22,ROW()-31,1)),BJ$3:BJ$22),"")</f>
        <v/>
      </c>
      <c r="BK75" t="str">
        <f ca="1">IF(AND(((COLUMN()-10)&lt;=playercnt),((ROW()-41)&lt;=playercnt)),SUMPRODUCT(INDIRECT(ADDRESS(3,ROW()-31,1)):INDIRECT(ADDRESS(22,ROW()-31,1)),BK$3:BK$22),"")</f>
        <v/>
      </c>
      <c r="BL75" t="str">
        <f ca="1">IF(AND(((COLUMN()-10)&lt;=playercnt),((ROW()-41)&lt;=playercnt)),SUMPRODUCT(INDIRECT(ADDRESS(3,ROW()-31,1)):INDIRECT(ADDRESS(22,ROW()-31,1)),BL$3:BL$22),"")</f>
        <v/>
      </c>
      <c r="BM75" t="str">
        <f ca="1">IF(AND(((COLUMN()-10)&lt;=playercnt),((ROW()-41)&lt;=playercnt)),SUMPRODUCT(INDIRECT(ADDRESS(3,ROW()-31,1)):INDIRECT(ADDRESS(22,ROW()-31,1)),BM$3:BM$22),"")</f>
        <v/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>
      <c r="B76" s="27" t="str">
        <f t="shared" ca="1" si="29"/>
        <v/>
      </c>
      <c r="C76" t="str">
        <f t="shared" ca="1" si="30"/>
        <v/>
      </c>
      <c r="G76" t="str">
        <f ca="1">IF(AND(((COLUMN()-10)&lt;=playercnt),((ROW()-41)&lt;=playercnt)),SUMPRODUCT(INDIRECT(ADDRESS(3,ROW()-31,1)):INDIRECT(ADDRESS(22,ROW()-31,1)),G$3:G$22),"")</f>
        <v/>
      </c>
      <c r="H76" t="str">
        <f ca="1">IF(AND(((COLUMN()-10)&lt;=playercnt),((ROW()-41)&lt;=playercnt)),SUMPRODUCT(INDIRECT(ADDRESS(3,ROW()-31,1)):INDIRECT(ADDRESS(22,ROW()-31,1)),H$3:H$22),"")</f>
        <v/>
      </c>
      <c r="I76" t="str">
        <f ca="1">IF(AND(((COLUMN()-10)&lt;=playercnt),((ROW()-41)&lt;=playercnt)),SUMPRODUCT(INDIRECT(ADDRESS(3,ROW()-31,1)):INDIRECT(ADDRESS(22,ROW()-31,1)),I$3:I$22),"")</f>
        <v/>
      </c>
      <c r="J76" t="str">
        <f ca="1">IF(AND(((COLUMN()-10)&lt;=playercnt),((ROW()-41)&lt;=playercnt)),SUMPRODUCT(INDIRECT(ADDRESS(3,ROW()-31,1)):INDIRECT(ADDRESS(22,ROW()-31,1)),J$3:J$22),"")</f>
        <v/>
      </c>
      <c r="K76" t="str">
        <f ca="1">IF(AND(((COLUMN()-10)&lt;=playercnt),((ROW()-41)&lt;=playercnt)),SUMPRODUCT(INDIRECT(ADDRESS(3,ROW()-31,1)):INDIRECT(ADDRESS(22,ROW()-31,1)),K$3:K$22),"")</f>
        <v/>
      </c>
      <c r="L76" t="str">
        <f ca="1">IF(AND(((COLUMN()-10)&lt;=playercnt),((ROW()-41)&lt;=playercnt)),SUMPRODUCT(INDIRECT(ADDRESS(3,ROW()-31,1)):INDIRECT(ADDRESS(22,ROW()-31,1)),L$3:L$22),"")</f>
        <v/>
      </c>
      <c r="M76" t="str">
        <f ca="1">IF(AND(((COLUMN()-10)&lt;=playercnt),((ROW()-41)&lt;=playercnt)),SUMPRODUCT(INDIRECT(ADDRESS(3,ROW()-31,1)):INDIRECT(ADDRESS(22,ROW()-31,1)),M$3:M$22),"")</f>
        <v/>
      </c>
      <c r="N76" t="str">
        <f ca="1">IF(AND(((COLUMN()-10)&lt;=playercnt),((ROW()-41)&lt;=playercnt)),SUMPRODUCT(INDIRECT(ADDRESS(3,ROW()-31,1)):INDIRECT(ADDRESS(22,ROW()-31,1)),N$3:N$22),"")</f>
        <v/>
      </c>
      <c r="O76" t="str">
        <f ca="1">IF(AND(((COLUMN()-10)&lt;=playercnt),((ROW()-41)&lt;=playercnt)),SUMPRODUCT(INDIRECT(ADDRESS(3,ROW()-31,1)):INDIRECT(ADDRESS(22,ROW()-31,1)),O$3:O$22),"")</f>
        <v/>
      </c>
      <c r="P76" t="str">
        <f ca="1">IF(AND(((COLUMN()-10)&lt;=playercnt),((ROW()-41)&lt;=playercnt)),SUMPRODUCT(INDIRECT(ADDRESS(3,ROW()-31,1)):INDIRECT(ADDRESS(22,ROW()-31,1)),P$3:P$22),"")</f>
        <v/>
      </c>
      <c r="Q76" t="str">
        <f ca="1">IF(AND(((COLUMN()-10)&lt;=playercnt),((ROW()-41)&lt;=playercnt)),SUMPRODUCT(INDIRECT(ADDRESS(3,ROW()-31,1)):INDIRECT(ADDRESS(22,ROW()-31,1)),Q$3:Q$22),"")</f>
        <v/>
      </c>
      <c r="R76" t="str">
        <f ca="1">IF(AND(((COLUMN()-10)&lt;=playercnt),((ROW()-41)&lt;=playercnt)),SUMPRODUCT(INDIRECT(ADDRESS(3,ROW()-31,1)):INDIRECT(ADDRESS(22,ROW()-31,1)),R$3:R$22),"")</f>
        <v/>
      </c>
      <c r="S76" t="str">
        <f ca="1">IF(AND(((COLUMN()-10)&lt;=playercnt),((ROW()-41)&lt;=playercnt)),SUMPRODUCT(INDIRECT(ADDRESS(3,ROW()-31,1)):INDIRECT(ADDRESS(22,ROW()-31,1)),S$3:S$22),"")</f>
        <v/>
      </c>
      <c r="T76" t="str">
        <f ca="1">IF(AND(((COLUMN()-10)&lt;=playercnt),((ROW()-41)&lt;=playercnt)),SUMPRODUCT(INDIRECT(ADDRESS(3,ROW()-31,1)):INDIRECT(ADDRESS(22,ROW()-31,1)),T$3:T$22),"")</f>
        <v/>
      </c>
      <c r="U76" t="str">
        <f ca="1">IF(AND(((COLUMN()-10)&lt;=playercnt),((ROW()-41)&lt;=playercnt)),SUMPRODUCT(INDIRECT(ADDRESS(3,ROW()-31,1)):INDIRECT(ADDRESS(22,ROW()-31,1)),U$3:U$22),"")</f>
        <v/>
      </c>
      <c r="V76" t="str">
        <f ca="1">IF(AND(((COLUMN()-10)&lt;=playercnt),((ROW()-41)&lt;=playercnt)),SUMPRODUCT(INDIRECT(ADDRESS(3,ROW()-31,1)):INDIRECT(ADDRESS(22,ROW()-31,1)),V$3:V$22),"")</f>
        <v/>
      </c>
      <c r="W76" t="str">
        <f ca="1">IF(AND(((COLUMN()-10)&lt;=playercnt),((ROW()-41)&lt;=playercnt)),SUMPRODUCT(INDIRECT(ADDRESS(3,ROW()-31,1)):INDIRECT(ADDRESS(22,ROW()-31,1)),W$3:W$22),"")</f>
        <v/>
      </c>
      <c r="X76" t="str">
        <f ca="1">IF(AND(((COLUMN()-10)&lt;=playercnt),((ROW()-41)&lt;=playercnt)),SUMPRODUCT(INDIRECT(ADDRESS(3,ROW()-31,1)):INDIRECT(ADDRESS(22,ROW()-31,1)),X$3:X$22),"")</f>
        <v/>
      </c>
      <c r="Y76" t="str">
        <f ca="1">IF(AND(((COLUMN()-10)&lt;=playercnt),((ROW()-41)&lt;=playercnt)),SUMPRODUCT(INDIRECT(ADDRESS(3,ROW()-31,1)):INDIRECT(ADDRESS(22,ROW()-31,1)),Y$3:Y$22),"")</f>
        <v/>
      </c>
      <c r="Z76" t="str">
        <f ca="1">IF(AND(((COLUMN()-10)&lt;=playercnt),((ROW()-41)&lt;=playercnt)),SUMPRODUCT(INDIRECT(ADDRESS(3,ROW()-31,1)):INDIRECT(ADDRESS(22,ROW()-31,1)),Z$3:Z$22),"")</f>
        <v/>
      </c>
      <c r="AA76" t="str">
        <f ca="1">IF(AND(((COLUMN()-10)&lt;=playercnt),((ROW()-41)&lt;=playercnt)),SUMPRODUCT(INDIRECT(ADDRESS(3,ROW()-31,1)):INDIRECT(ADDRESS(22,ROW()-31,1)),AA$3:AA$22),"")</f>
        <v/>
      </c>
      <c r="AB76" t="str">
        <f ca="1">IF(AND(((COLUMN()-10)&lt;=playercnt),((ROW()-41)&lt;=playercnt)),SUMPRODUCT(INDIRECT(ADDRESS(3,ROW()-31,1)):INDIRECT(ADDRESS(22,ROW()-31,1)),AB$3:AB$22),"")</f>
        <v/>
      </c>
      <c r="AC76" t="str">
        <f ca="1">IF(AND(((COLUMN()-10)&lt;=playercnt),((ROW()-41)&lt;=playercnt)),SUMPRODUCT(INDIRECT(ADDRESS(3,ROW()-31,1)):INDIRECT(ADDRESS(22,ROW()-31,1)),AC$3:AC$22),"")</f>
        <v/>
      </c>
      <c r="AD76" t="str">
        <f ca="1">IF(AND(((COLUMN()-10)&lt;=playercnt),((ROW()-41)&lt;=playercnt)),SUMPRODUCT(INDIRECT(ADDRESS(3,ROW()-31,1)):INDIRECT(ADDRESS(22,ROW()-31,1)),AD$3:AD$22),"")</f>
        <v/>
      </c>
      <c r="AE76" t="str">
        <f ca="1">IF(AND(((COLUMN()-10)&lt;=playercnt),((ROW()-41)&lt;=playercnt)),SUMPRODUCT(INDIRECT(ADDRESS(3,ROW()-31,1)):INDIRECT(ADDRESS(22,ROW()-31,1)),AE$3:AE$22),"")</f>
        <v/>
      </c>
      <c r="AF76" t="str">
        <f ca="1">IF(AND(((COLUMN()-10)&lt;=playercnt),((ROW()-41)&lt;=playercnt)),SUMPRODUCT(INDIRECT(ADDRESS(3,ROW()-31,1)):INDIRECT(ADDRESS(22,ROW()-31,1)),AF$3:AF$22),"")</f>
        <v/>
      </c>
      <c r="AG76" t="str">
        <f ca="1">IF(AND(((COLUMN()-10)&lt;=playercnt),((ROW()-41)&lt;=playercnt)),SUMPRODUCT(INDIRECT(ADDRESS(3,ROW()-31,1)):INDIRECT(ADDRESS(22,ROW()-31,1)),AG$3:AG$22),"")</f>
        <v/>
      </c>
      <c r="AH76" t="str">
        <f ca="1">IF(AND(((COLUMN()-10)&lt;=playercnt),((ROW()-41)&lt;=playercnt)),SUMPRODUCT(INDIRECT(ADDRESS(3,ROW()-31,1)):INDIRECT(ADDRESS(22,ROW()-31,1)),AH$3:AH$22),"")</f>
        <v/>
      </c>
      <c r="AI76" t="str">
        <f ca="1">IF(AND(((COLUMN()-10)&lt;=playercnt),((ROW()-41)&lt;=playercnt)),SUMPRODUCT(INDIRECT(ADDRESS(3,ROW()-31,1)):INDIRECT(ADDRESS(22,ROW()-31,1)),AI$3:AI$22),"")</f>
        <v/>
      </c>
      <c r="AJ76" t="str">
        <f ca="1">IF(AND(((COLUMN()-10)&lt;=playercnt),((ROW()-41)&lt;=playercnt)),SUMPRODUCT(INDIRECT(ADDRESS(3,ROW()-31,1)):INDIRECT(ADDRESS(22,ROW()-31,1)),AJ$3:AJ$22),"")</f>
        <v/>
      </c>
      <c r="AK76" t="str">
        <f ca="1">IF(AND(((COLUMN()-10)&lt;=playercnt),((ROW()-41)&lt;=playercnt)),SUMPRODUCT(INDIRECT(ADDRESS(3,ROW()-31,1)):INDIRECT(ADDRESS(22,ROW()-31,1)),AK$3:AK$22),"")</f>
        <v/>
      </c>
      <c r="AL76" t="str">
        <f ca="1">IF(AND(((COLUMN()-10)&lt;=playercnt),((ROW()-41)&lt;=playercnt)),SUMPRODUCT(INDIRECT(ADDRESS(3,ROW()-31,1)):INDIRECT(ADDRESS(22,ROW()-31,1)),AL$3:AL$22),"")</f>
        <v/>
      </c>
      <c r="AM76" t="str">
        <f ca="1">IF(AND(((COLUMN()-10)&lt;=playercnt),((ROW()-41)&lt;=playercnt)),SUMPRODUCT(INDIRECT(ADDRESS(3,ROW()-31,1)):INDIRECT(ADDRESS(22,ROW()-31,1)),AM$3:AM$22),"")</f>
        <v/>
      </c>
      <c r="AN76" t="str">
        <f ca="1">IF(AND(((COLUMN()-10)&lt;=playercnt),((ROW()-41)&lt;=playercnt)),SUMPRODUCT(INDIRECT(ADDRESS(3,ROW()-31,1)):INDIRECT(ADDRESS(22,ROW()-31,1)),AN$3:AN$22),"")</f>
        <v/>
      </c>
      <c r="AO76" t="str">
        <f ca="1">IF(AND(((COLUMN()-10)&lt;=playercnt),((ROW()-41)&lt;=playercnt)),SUMPRODUCT(INDIRECT(ADDRESS(3,ROW()-31,1)):INDIRECT(ADDRESS(22,ROW()-31,1)),AO$3:AO$22),"")</f>
        <v/>
      </c>
      <c r="AP76" t="str">
        <f ca="1">IF(AND(((COLUMN()-10)&lt;=playercnt),((ROW()-41)&lt;=playercnt)),SUMPRODUCT(INDIRECT(ADDRESS(3,ROW()-31,1)):INDIRECT(ADDRESS(22,ROW()-31,1)),AP$3:AP$22),"")</f>
        <v/>
      </c>
      <c r="AQ76" t="str">
        <f ca="1">IF(AND(((COLUMN()-10)&lt;=playercnt),((ROW()-41)&lt;=playercnt)),SUMPRODUCT(INDIRECT(ADDRESS(3,ROW()-31,1)):INDIRECT(ADDRESS(22,ROW()-31,1)),AQ$3:AQ$22),"")</f>
        <v/>
      </c>
      <c r="AR76" t="str">
        <f ca="1">IF(AND(((COLUMN()-10)&lt;=playercnt),((ROW()-41)&lt;=playercnt)),SUMPRODUCT(INDIRECT(ADDRESS(3,ROW()-31,1)):INDIRECT(ADDRESS(22,ROW()-31,1)),AR$3:AR$22),"")</f>
        <v/>
      </c>
      <c r="AS76" t="str">
        <f ca="1">IF(AND(((COLUMN()-10)&lt;=playercnt),((ROW()-41)&lt;=playercnt)),SUMPRODUCT(INDIRECT(ADDRESS(3,ROW()-31,1)):INDIRECT(ADDRESS(22,ROW()-31,1)),AS$3:AS$22),"")</f>
        <v/>
      </c>
      <c r="AT76" t="str">
        <f ca="1">IF(AND(((COLUMN()-10)&lt;=playercnt),((ROW()-41)&lt;=playercnt)),SUMPRODUCT(INDIRECT(ADDRESS(3,ROW()-31,1)):INDIRECT(ADDRESS(22,ROW()-31,1)),AT$3:AT$22),"")</f>
        <v/>
      </c>
      <c r="AU76" t="str">
        <f ca="1">IF(AND(((COLUMN()-10)&lt;=playercnt),((ROW()-41)&lt;=playercnt)),SUMPRODUCT(INDIRECT(ADDRESS(3,ROW()-31,1)):INDIRECT(ADDRESS(22,ROW()-31,1)),AU$3:AU$22),"")</f>
        <v/>
      </c>
      <c r="AV76" t="str">
        <f ca="1">IF(AND(((COLUMN()-10)&lt;=playercnt),((ROW()-41)&lt;=playercnt)),SUMPRODUCT(INDIRECT(ADDRESS(3,ROW()-31,1)):INDIRECT(ADDRESS(22,ROW()-31,1)),AV$3:AV$22),"")</f>
        <v/>
      </c>
      <c r="AW76" t="str">
        <f ca="1">IF(AND(((COLUMN()-10)&lt;=playercnt),((ROW()-41)&lt;=playercnt)),SUMPRODUCT(INDIRECT(ADDRESS(3,ROW()-31,1)):INDIRECT(ADDRESS(22,ROW()-31,1)),AW$3:AW$22),"")</f>
        <v/>
      </c>
      <c r="AX76" t="str">
        <f ca="1">IF(AND(((COLUMN()-10)&lt;=playercnt),((ROW()-41)&lt;=playercnt)),SUMPRODUCT(INDIRECT(ADDRESS(3,ROW()-31,1)):INDIRECT(ADDRESS(22,ROW()-31,1)),AX$3:AX$22),"")</f>
        <v/>
      </c>
      <c r="AY76" t="str">
        <f ca="1">IF(AND(((COLUMN()-10)&lt;=playercnt),((ROW()-41)&lt;=playercnt)),SUMPRODUCT(INDIRECT(ADDRESS(3,ROW()-31,1)):INDIRECT(ADDRESS(22,ROW()-31,1)),AY$3:AY$22),"")</f>
        <v/>
      </c>
      <c r="AZ76" t="str">
        <f ca="1">IF(AND(((COLUMN()-10)&lt;=playercnt),((ROW()-41)&lt;=playercnt)),SUMPRODUCT(INDIRECT(ADDRESS(3,ROW()-31,1)):INDIRECT(ADDRESS(22,ROW()-31,1)),AZ$3:AZ$22),"")</f>
        <v/>
      </c>
      <c r="BA76" t="str">
        <f ca="1">IF(AND(((COLUMN()-10)&lt;=playercnt),((ROW()-41)&lt;=playercnt)),SUMPRODUCT(INDIRECT(ADDRESS(3,ROW()-31,1)):INDIRECT(ADDRESS(22,ROW()-31,1)),BA$3:BA$22),"")</f>
        <v/>
      </c>
      <c r="BB76" t="str">
        <f ca="1">IF(AND(((COLUMN()-10)&lt;=playercnt),((ROW()-41)&lt;=playercnt)),SUMPRODUCT(INDIRECT(ADDRESS(3,ROW()-31,1)):INDIRECT(ADDRESS(22,ROW()-31,1)),BB$3:BB$22),"")</f>
        <v/>
      </c>
      <c r="BC76" t="str">
        <f ca="1">IF(AND(((COLUMN()-10)&lt;=playercnt),((ROW()-41)&lt;=playercnt)),SUMPRODUCT(INDIRECT(ADDRESS(3,ROW()-31,1)):INDIRECT(ADDRESS(22,ROW()-31,1)),BC$3:BC$22),"")</f>
        <v/>
      </c>
      <c r="BD76" t="str">
        <f ca="1">IF(AND(((COLUMN()-10)&lt;=playercnt),((ROW()-41)&lt;=playercnt)),SUMPRODUCT(INDIRECT(ADDRESS(3,ROW()-31,1)):INDIRECT(ADDRESS(22,ROW()-31,1)),BD$3:BD$22),"")</f>
        <v/>
      </c>
      <c r="BE76" t="str">
        <f ca="1">IF(AND(((COLUMN()-10)&lt;=playercnt),((ROW()-41)&lt;=playercnt)),SUMPRODUCT(INDIRECT(ADDRESS(3,ROW()-31,1)):INDIRECT(ADDRESS(22,ROW()-31,1)),BE$3:BE$22),"")</f>
        <v/>
      </c>
      <c r="BF76" t="str">
        <f ca="1">IF(AND(((COLUMN()-10)&lt;=playercnt),((ROW()-41)&lt;=playercnt)),SUMPRODUCT(INDIRECT(ADDRESS(3,ROW()-31,1)):INDIRECT(ADDRESS(22,ROW()-31,1)),BF$3:BF$22),"")</f>
        <v/>
      </c>
      <c r="BG76" t="str">
        <f ca="1">IF(AND(((COLUMN()-10)&lt;=playercnt),((ROW()-41)&lt;=playercnt)),SUMPRODUCT(INDIRECT(ADDRESS(3,ROW()-31,1)):INDIRECT(ADDRESS(22,ROW()-31,1)),BG$3:BG$22),"")</f>
        <v/>
      </c>
      <c r="BH76" t="str">
        <f ca="1">IF(AND(((COLUMN()-10)&lt;=playercnt),((ROW()-41)&lt;=playercnt)),SUMPRODUCT(INDIRECT(ADDRESS(3,ROW()-31,1)):INDIRECT(ADDRESS(22,ROW()-31,1)),BH$3:BH$22),"")</f>
        <v/>
      </c>
      <c r="BI76" t="str">
        <f ca="1">IF(AND(((COLUMN()-10)&lt;=playercnt),((ROW()-41)&lt;=playercnt)),SUMPRODUCT(INDIRECT(ADDRESS(3,ROW()-31,1)):INDIRECT(ADDRESS(22,ROW()-31,1)),BI$3:BI$22),"")</f>
        <v/>
      </c>
      <c r="BJ76" t="str">
        <f ca="1">IF(AND(((COLUMN()-10)&lt;=playercnt),((ROW()-41)&lt;=playercnt)),SUMPRODUCT(INDIRECT(ADDRESS(3,ROW()-31,1)):INDIRECT(ADDRESS(22,ROW()-31,1)),BJ$3:BJ$22),"")</f>
        <v/>
      </c>
      <c r="BK76" t="str">
        <f ca="1">IF(AND(((COLUMN()-10)&lt;=playercnt),((ROW()-41)&lt;=playercnt)),SUMPRODUCT(INDIRECT(ADDRESS(3,ROW()-31,1)):INDIRECT(ADDRESS(22,ROW()-31,1)),BK$3:BK$22),"")</f>
        <v/>
      </c>
      <c r="BL76" t="str">
        <f ca="1">IF(AND(((COLUMN()-10)&lt;=playercnt),((ROW()-41)&lt;=playercnt)),SUMPRODUCT(INDIRECT(ADDRESS(3,ROW()-31,1)):INDIRECT(ADDRESS(22,ROW()-31,1)),BL$3:BL$22),"")</f>
        <v/>
      </c>
      <c r="BM76" t="str">
        <f ca="1">IF(AND(((COLUMN()-10)&lt;=playercnt),((ROW()-41)&lt;=playercnt)),SUMPRODUCT(INDIRECT(ADDRESS(3,ROW()-31,1)):INDIRECT(ADDRESS(22,ROW()-31,1)),BM$3:BM$22),"")</f>
        <v/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>
      <c r="B77" s="27" t="str">
        <f t="shared" ca="1" si="29"/>
        <v/>
      </c>
      <c r="C77" t="str">
        <f t="shared" ca="1" si="30"/>
        <v/>
      </c>
      <c r="G77" t="str">
        <f ca="1">IF(AND(((COLUMN()-10)&lt;=playercnt),((ROW()-41)&lt;=playercnt)),SUMPRODUCT(INDIRECT(ADDRESS(3,ROW()-31,1)):INDIRECT(ADDRESS(22,ROW()-31,1)),G$3:G$22),"")</f>
        <v/>
      </c>
      <c r="H77" t="str">
        <f ca="1">IF(AND(((COLUMN()-10)&lt;=playercnt),((ROW()-41)&lt;=playercnt)),SUMPRODUCT(INDIRECT(ADDRESS(3,ROW()-31,1)):INDIRECT(ADDRESS(22,ROW()-31,1)),H$3:H$22),"")</f>
        <v/>
      </c>
      <c r="I77" t="str">
        <f ca="1">IF(AND(((COLUMN()-10)&lt;=playercnt),((ROW()-41)&lt;=playercnt)),SUMPRODUCT(INDIRECT(ADDRESS(3,ROW()-31,1)):INDIRECT(ADDRESS(22,ROW()-31,1)),I$3:I$22),"")</f>
        <v/>
      </c>
      <c r="J77" t="str">
        <f ca="1">IF(AND(((COLUMN()-10)&lt;=playercnt),((ROW()-41)&lt;=playercnt)),SUMPRODUCT(INDIRECT(ADDRESS(3,ROW()-31,1)):INDIRECT(ADDRESS(22,ROW()-31,1)),J$3:J$22),"")</f>
        <v/>
      </c>
      <c r="K77" t="str">
        <f ca="1">IF(AND(((COLUMN()-10)&lt;=playercnt),((ROW()-41)&lt;=playercnt)),SUMPRODUCT(INDIRECT(ADDRESS(3,ROW()-31,1)):INDIRECT(ADDRESS(22,ROW()-31,1)),K$3:K$22),"")</f>
        <v/>
      </c>
      <c r="L77" t="str">
        <f ca="1">IF(AND(((COLUMN()-10)&lt;=playercnt),((ROW()-41)&lt;=playercnt)),SUMPRODUCT(INDIRECT(ADDRESS(3,ROW()-31,1)):INDIRECT(ADDRESS(22,ROW()-31,1)),L$3:L$22),"")</f>
        <v/>
      </c>
      <c r="M77" t="str">
        <f ca="1">IF(AND(((COLUMN()-10)&lt;=playercnt),((ROW()-41)&lt;=playercnt)),SUMPRODUCT(INDIRECT(ADDRESS(3,ROW()-31,1)):INDIRECT(ADDRESS(22,ROW()-31,1)),M$3:M$22),"")</f>
        <v/>
      </c>
      <c r="N77" t="str">
        <f ca="1">IF(AND(((COLUMN()-10)&lt;=playercnt),((ROW()-41)&lt;=playercnt)),SUMPRODUCT(INDIRECT(ADDRESS(3,ROW()-31,1)):INDIRECT(ADDRESS(22,ROW()-31,1)),N$3:N$22),"")</f>
        <v/>
      </c>
      <c r="O77" t="str">
        <f ca="1">IF(AND(((COLUMN()-10)&lt;=playercnt),((ROW()-41)&lt;=playercnt)),SUMPRODUCT(INDIRECT(ADDRESS(3,ROW()-31,1)):INDIRECT(ADDRESS(22,ROW()-31,1)),O$3:O$22),"")</f>
        <v/>
      </c>
      <c r="P77" t="str">
        <f ca="1">IF(AND(((COLUMN()-10)&lt;=playercnt),((ROW()-41)&lt;=playercnt)),SUMPRODUCT(INDIRECT(ADDRESS(3,ROW()-31,1)):INDIRECT(ADDRESS(22,ROW()-31,1)),P$3:P$22),"")</f>
        <v/>
      </c>
      <c r="Q77" t="str">
        <f ca="1">IF(AND(((COLUMN()-10)&lt;=playercnt),((ROW()-41)&lt;=playercnt)),SUMPRODUCT(INDIRECT(ADDRESS(3,ROW()-31,1)):INDIRECT(ADDRESS(22,ROW()-31,1)),Q$3:Q$22),"")</f>
        <v/>
      </c>
      <c r="R77" t="str">
        <f ca="1">IF(AND(((COLUMN()-10)&lt;=playercnt),((ROW()-41)&lt;=playercnt)),SUMPRODUCT(INDIRECT(ADDRESS(3,ROW()-31,1)):INDIRECT(ADDRESS(22,ROW()-31,1)),R$3:R$22),"")</f>
        <v/>
      </c>
      <c r="S77" t="str">
        <f ca="1">IF(AND(((COLUMN()-10)&lt;=playercnt),((ROW()-41)&lt;=playercnt)),SUMPRODUCT(INDIRECT(ADDRESS(3,ROW()-31,1)):INDIRECT(ADDRESS(22,ROW()-31,1)),S$3:S$22),"")</f>
        <v/>
      </c>
      <c r="T77" t="str">
        <f ca="1">IF(AND(((COLUMN()-10)&lt;=playercnt),((ROW()-41)&lt;=playercnt)),SUMPRODUCT(INDIRECT(ADDRESS(3,ROW()-31,1)):INDIRECT(ADDRESS(22,ROW()-31,1)),T$3:T$22),"")</f>
        <v/>
      </c>
      <c r="U77" t="str">
        <f ca="1">IF(AND(((COLUMN()-10)&lt;=playercnt),((ROW()-41)&lt;=playercnt)),SUMPRODUCT(INDIRECT(ADDRESS(3,ROW()-31,1)):INDIRECT(ADDRESS(22,ROW()-31,1)),U$3:U$22),"")</f>
        <v/>
      </c>
      <c r="V77" t="str">
        <f ca="1">IF(AND(((COLUMN()-10)&lt;=playercnt),((ROW()-41)&lt;=playercnt)),SUMPRODUCT(INDIRECT(ADDRESS(3,ROW()-31,1)):INDIRECT(ADDRESS(22,ROW()-31,1)),V$3:V$22),"")</f>
        <v/>
      </c>
      <c r="W77" t="str">
        <f ca="1">IF(AND(((COLUMN()-10)&lt;=playercnt),((ROW()-41)&lt;=playercnt)),SUMPRODUCT(INDIRECT(ADDRESS(3,ROW()-31,1)):INDIRECT(ADDRESS(22,ROW()-31,1)),W$3:W$22),"")</f>
        <v/>
      </c>
      <c r="X77" t="str">
        <f ca="1">IF(AND(((COLUMN()-10)&lt;=playercnt),((ROW()-41)&lt;=playercnt)),SUMPRODUCT(INDIRECT(ADDRESS(3,ROW()-31,1)):INDIRECT(ADDRESS(22,ROW()-31,1)),X$3:X$22),"")</f>
        <v/>
      </c>
      <c r="Y77" t="str">
        <f ca="1">IF(AND(((COLUMN()-10)&lt;=playercnt),((ROW()-41)&lt;=playercnt)),SUMPRODUCT(INDIRECT(ADDRESS(3,ROW()-31,1)):INDIRECT(ADDRESS(22,ROW()-31,1)),Y$3:Y$22),"")</f>
        <v/>
      </c>
      <c r="Z77" t="str">
        <f ca="1">IF(AND(((COLUMN()-10)&lt;=playercnt),((ROW()-41)&lt;=playercnt)),SUMPRODUCT(INDIRECT(ADDRESS(3,ROW()-31,1)):INDIRECT(ADDRESS(22,ROW()-31,1)),Z$3:Z$22),"")</f>
        <v/>
      </c>
      <c r="AA77" t="str">
        <f ca="1">IF(AND(((COLUMN()-10)&lt;=playercnt),((ROW()-41)&lt;=playercnt)),SUMPRODUCT(INDIRECT(ADDRESS(3,ROW()-31,1)):INDIRECT(ADDRESS(22,ROW()-31,1)),AA$3:AA$22),"")</f>
        <v/>
      </c>
      <c r="AB77" t="str">
        <f ca="1">IF(AND(((COLUMN()-10)&lt;=playercnt),((ROW()-41)&lt;=playercnt)),SUMPRODUCT(INDIRECT(ADDRESS(3,ROW()-31,1)):INDIRECT(ADDRESS(22,ROW()-31,1)),AB$3:AB$22),"")</f>
        <v/>
      </c>
      <c r="AC77" t="str">
        <f ca="1">IF(AND(((COLUMN()-10)&lt;=playercnt),((ROW()-41)&lt;=playercnt)),SUMPRODUCT(INDIRECT(ADDRESS(3,ROW()-31,1)):INDIRECT(ADDRESS(22,ROW()-31,1)),AC$3:AC$22),"")</f>
        <v/>
      </c>
      <c r="AD77" t="str">
        <f ca="1">IF(AND(((COLUMN()-10)&lt;=playercnt),((ROW()-41)&lt;=playercnt)),SUMPRODUCT(INDIRECT(ADDRESS(3,ROW()-31,1)):INDIRECT(ADDRESS(22,ROW()-31,1)),AD$3:AD$22),"")</f>
        <v/>
      </c>
      <c r="AE77" t="str">
        <f ca="1">IF(AND(((COLUMN()-10)&lt;=playercnt),((ROW()-41)&lt;=playercnt)),SUMPRODUCT(INDIRECT(ADDRESS(3,ROW()-31,1)):INDIRECT(ADDRESS(22,ROW()-31,1)),AE$3:AE$22),"")</f>
        <v/>
      </c>
      <c r="AF77" t="str">
        <f ca="1">IF(AND(((COLUMN()-10)&lt;=playercnt),((ROW()-41)&lt;=playercnt)),SUMPRODUCT(INDIRECT(ADDRESS(3,ROW()-31,1)):INDIRECT(ADDRESS(22,ROW()-31,1)),AF$3:AF$22),"")</f>
        <v/>
      </c>
      <c r="AG77" t="str">
        <f ca="1">IF(AND(((COLUMN()-10)&lt;=playercnt),((ROW()-41)&lt;=playercnt)),SUMPRODUCT(INDIRECT(ADDRESS(3,ROW()-31,1)):INDIRECT(ADDRESS(22,ROW()-31,1)),AG$3:AG$22),"")</f>
        <v/>
      </c>
      <c r="AH77" t="str">
        <f ca="1">IF(AND(((COLUMN()-10)&lt;=playercnt),((ROW()-41)&lt;=playercnt)),SUMPRODUCT(INDIRECT(ADDRESS(3,ROW()-31,1)):INDIRECT(ADDRESS(22,ROW()-31,1)),AH$3:AH$22),"")</f>
        <v/>
      </c>
      <c r="AI77" t="str">
        <f ca="1">IF(AND(((COLUMN()-10)&lt;=playercnt),((ROW()-41)&lt;=playercnt)),SUMPRODUCT(INDIRECT(ADDRESS(3,ROW()-31,1)):INDIRECT(ADDRESS(22,ROW()-31,1)),AI$3:AI$22),"")</f>
        <v/>
      </c>
      <c r="AJ77" t="str">
        <f ca="1">IF(AND(((COLUMN()-10)&lt;=playercnt),((ROW()-41)&lt;=playercnt)),SUMPRODUCT(INDIRECT(ADDRESS(3,ROW()-31,1)):INDIRECT(ADDRESS(22,ROW()-31,1)),AJ$3:AJ$22),"")</f>
        <v/>
      </c>
      <c r="AK77" t="str">
        <f ca="1">IF(AND(((COLUMN()-10)&lt;=playercnt),((ROW()-41)&lt;=playercnt)),SUMPRODUCT(INDIRECT(ADDRESS(3,ROW()-31,1)):INDIRECT(ADDRESS(22,ROW()-31,1)),AK$3:AK$22),"")</f>
        <v/>
      </c>
      <c r="AL77" t="str">
        <f ca="1">IF(AND(((COLUMN()-10)&lt;=playercnt),((ROW()-41)&lt;=playercnt)),SUMPRODUCT(INDIRECT(ADDRESS(3,ROW()-31,1)):INDIRECT(ADDRESS(22,ROW()-31,1)),AL$3:AL$22),"")</f>
        <v/>
      </c>
      <c r="AM77" t="str">
        <f ca="1">IF(AND(((COLUMN()-10)&lt;=playercnt),((ROW()-41)&lt;=playercnt)),SUMPRODUCT(INDIRECT(ADDRESS(3,ROW()-31,1)):INDIRECT(ADDRESS(22,ROW()-31,1)),AM$3:AM$22),"")</f>
        <v/>
      </c>
      <c r="AN77" t="str">
        <f ca="1">IF(AND(((COLUMN()-10)&lt;=playercnt),((ROW()-41)&lt;=playercnt)),SUMPRODUCT(INDIRECT(ADDRESS(3,ROW()-31,1)):INDIRECT(ADDRESS(22,ROW()-31,1)),AN$3:AN$22),"")</f>
        <v/>
      </c>
      <c r="AO77" t="str">
        <f ca="1">IF(AND(((COLUMN()-10)&lt;=playercnt),((ROW()-41)&lt;=playercnt)),SUMPRODUCT(INDIRECT(ADDRESS(3,ROW()-31,1)):INDIRECT(ADDRESS(22,ROW()-31,1)),AO$3:AO$22),"")</f>
        <v/>
      </c>
      <c r="AP77" t="str">
        <f ca="1">IF(AND(((COLUMN()-10)&lt;=playercnt),((ROW()-41)&lt;=playercnt)),SUMPRODUCT(INDIRECT(ADDRESS(3,ROW()-31,1)):INDIRECT(ADDRESS(22,ROW()-31,1)),AP$3:AP$22),"")</f>
        <v/>
      </c>
      <c r="AQ77" t="str">
        <f ca="1">IF(AND(((COLUMN()-10)&lt;=playercnt),((ROW()-41)&lt;=playercnt)),SUMPRODUCT(INDIRECT(ADDRESS(3,ROW()-31,1)):INDIRECT(ADDRESS(22,ROW()-31,1)),AQ$3:AQ$22),"")</f>
        <v/>
      </c>
      <c r="AR77" t="str">
        <f ca="1">IF(AND(((COLUMN()-10)&lt;=playercnt),((ROW()-41)&lt;=playercnt)),SUMPRODUCT(INDIRECT(ADDRESS(3,ROW()-31,1)):INDIRECT(ADDRESS(22,ROW()-31,1)),AR$3:AR$22),"")</f>
        <v/>
      </c>
      <c r="AS77" t="str">
        <f ca="1">IF(AND(((COLUMN()-10)&lt;=playercnt),((ROW()-41)&lt;=playercnt)),SUMPRODUCT(INDIRECT(ADDRESS(3,ROW()-31,1)):INDIRECT(ADDRESS(22,ROW()-31,1)),AS$3:AS$22),"")</f>
        <v/>
      </c>
      <c r="AT77" t="str">
        <f ca="1">IF(AND(((COLUMN()-10)&lt;=playercnt),((ROW()-41)&lt;=playercnt)),SUMPRODUCT(INDIRECT(ADDRESS(3,ROW()-31,1)):INDIRECT(ADDRESS(22,ROW()-31,1)),AT$3:AT$22),"")</f>
        <v/>
      </c>
      <c r="AU77" t="str">
        <f ca="1">IF(AND(((COLUMN()-10)&lt;=playercnt),((ROW()-41)&lt;=playercnt)),SUMPRODUCT(INDIRECT(ADDRESS(3,ROW()-31,1)):INDIRECT(ADDRESS(22,ROW()-31,1)),AU$3:AU$22),"")</f>
        <v/>
      </c>
      <c r="AV77" t="str">
        <f ca="1">IF(AND(((COLUMN()-10)&lt;=playercnt),((ROW()-41)&lt;=playercnt)),SUMPRODUCT(INDIRECT(ADDRESS(3,ROW()-31,1)):INDIRECT(ADDRESS(22,ROW()-31,1)),AV$3:AV$22),"")</f>
        <v/>
      </c>
      <c r="AW77" t="str">
        <f ca="1">IF(AND(((COLUMN()-10)&lt;=playercnt),((ROW()-41)&lt;=playercnt)),SUMPRODUCT(INDIRECT(ADDRESS(3,ROW()-31,1)):INDIRECT(ADDRESS(22,ROW()-31,1)),AW$3:AW$22),"")</f>
        <v/>
      </c>
      <c r="AX77" t="str">
        <f ca="1">IF(AND(((COLUMN()-10)&lt;=playercnt),((ROW()-41)&lt;=playercnt)),SUMPRODUCT(INDIRECT(ADDRESS(3,ROW()-31,1)):INDIRECT(ADDRESS(22,ROW()-31,1)),AX$3:AX$22),"")</f>
        <v/>
      </c>
      <c r="AY77" t="str">
        <f ca="1">IF(AND(((COLUMN()-10)&lt;=playercnt),((ROW()-41)&lt;=playercnt)),SUMPRODUCT(INDIRECT(ADDRESS(3,ROW()-31,1)):INDIRECT(ADDRESS(22,ROW()-31,1)),AY$3:AY$22),"")</f>
        <v/>
      </c>
      <c r="AZ77" t="str">
        <f ca="1">IF(AND(((COLUMN()-10)&lt;=playercnt),((ROW()-41)&lt;=playercnt)),SUMPRODUCT(INDIRECT(ADDRESS(3,ROW()-31,1)):INDIRECT(ADDRESS(22,ROW()-31,1)),AZ$3:AZ$22),"")</f>
        <v/>
      </c>
      <c r="BA77" t="str">
        <f ca="1">IF(AND(((COLUMN()-10)&lt;=playercnt),((ROW()-41)&lt;=playercnt)),SUMPRODUCT(INDIRECT(ADDRESS(3,ROW()-31,1)):INDIRECT(ADDRESS(22,ROW()-31,1)),BA$3:BA$22),"")</f>
        <v/>
      </c>
      <c r="BB77" t="str">
        <f ca="1">IF(AND(((COLUMN()-10)&lt;=playercnt),((ROW()-41)&lt;=playercnt)),SUMPRODUCT(INDIRECT(ADDRESS(3,ROW()-31,1)):INDIRECT(ADDRESS(22,ROW()-31,1)),BB$3:BB$22),"")</f>
        <v/>
      </c>
      <c r="BC77" t="str">
        <f ca="1">IF(AND(((COLUMN()-10)&lt;=playercnt),((ROW()-41)&lt;=playercnt)),SUMPRODUCT(INDIRECT(ADDRESS(3,ROW()-31,1)):INDIRECT(ADDRESS(22,ROW()-31,1)),BC$3:BC$22),"")</f>
        <v/>
      </c>
      <c r="BD77" t="str">
        <f ca="1">IF(AND(((COLUMN()-10)&lt;=playercnt),((ROW()-41)&lt;=playercnt)),SUMPRODUCT(INDIRECT(ADDRESS(3,ROW()-31,1)):INDIRECT(ADDRESS(22,ROW()-31,1)),BD$3:BD$22),"")</f>
        <v/>
      </c>
      <c r="BE77" t="str">
        <f ca="1">IF(AND(((COLUMN()-10)&lt;=playercnt),((ROW()-41)&lt;=playercnt)),SUMPRODUCT(INDIRECT(ADDRESS(3,ROW()-31,1)):INDIRECT(ADDRESS(22,ROW()-31,1)),BE$3:BE$22),"")</f>
        <v/>
      </c>
      <c r="BF77" t="str">
        <f ca="1">IF(AND(((COLUMN()-10)&lt;=playercnt),((ROW()-41)&lt;=playercnt)),SUMPRODUCT(INDIRECT(ADDRESS(3,ROW()-31,1)):INDIRECT(ADDRESS(22,ROW()-31,1)),BF$3:BF$22),"")</f>
        <v/>
      </c>
      <c r="BG77" t="str">
        <f ca="1">IF(AND(((COLUMN()-10)&lt;=playercnt),((ROW()-41)&lt;=playercnt)),SUMPRODUCT(INDIRECT(ADDRESS(3,ROW()-31,1)):INDIRECT(ADDRESS(22,ROW()-31,1)),BG$3:BG$22),"")</f>
        <v/>
      </c>
      <c r="BH77" t="str">
        <f ca="1">IF(AND(((COLUMN()-10)&lt;=playercnt),((ROW()-41)&lt;=playercnt)),SUMPRODUCT(INDIRECT(ADDRESS(3,ROW()-31,1)):INDIRECT(ADDRESS(22,ROW()-31,1)),BH$3:BH$22),"")</f>
        <v/>
      </c>
      <c r="BI77" t="str">
        <f ca="1">IF(AND(((COLUMN()-10)&lt;=playercnt),((ROW()-41)&lt;=playercnt)),SUMPRODUCT(INDIRECT(ADDRESS(3,ROW()-31,1)):INDIRECT(ADDRESS(22,ROW()-31,1)),BI$3:BI$22),"")</f>
        <v/>
      </c>
      <c r="BJ77" t="str">
        <f ca="1">IF(AND(((COLUMN()-10)&lt;=playercnt),((ROW()-41)&lt;=playercnt)),SUMPRODUCT(INDIRECT(ADDRESS(3,ROW()-31,1)):INDIRECT(ADDRESS(22,ROW()-31,1)),BJ$3:BJ$22),"")</f>
        <v/>
      </c>
      <c r="BK77" t="str">
        <f ca="1">IF(AND(((COLUMN()-10)&lt;=playercnt),((ROW()-41)&lt;=playercnt)),SUMPRODUCT(INDIRECT(ADDRESS(3,ROW()-31,1)):INDIRECT(ADDRESS(22,ROW()-31,1)),BK$3:BK$22),"")</f>
        <v/>
      </c>
      <c r="BL77" t="str">
        <f ca="1">IF(AND(((COLUMN()-10)&lt;=playercnt),((ROW()-41)&lt;=playercnt)),SUMPRODUCT(INDIRECT(ADDRESS(3,ROW()-31,1)):INDIRECT(ADDRESS(22,ROW()-31,1)),BL$3:BL$22),"")</f>
        <v/>
      </c>
      <c r="BM77" t="str">
        <f ca="1">IF(AND(((COLUMN()-10)&lt;=playercnt),((ROW()-41)&lt;=playercnt)),SUMPRODUCT(INDIRECT(ADDRESS(3,ROW()-31,1)):INDIRECT(ADDRESS(22,ROW()-31,1)),BM$3:BM$22),"")</f>
        <v/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>
      <c r="B78" s="27" t="str">
        <f t="shared" ca="1" si="29"/>
        <v/>
      </c>
      <c r="C78" t="str">
        <f t="shared" ca="1" si="30"/>
        <v/>
      </c>
      <c r="G78" t="str">
        <f ca="1">IF(AND(((COLUMN()-10)&lt;=playercnt),((ROW()-41)&lt;=playercnt)),SUMPRODUCT(INDIRECT(ADDRESS(3,ROW()-31,1)):INDIRECT(ADDRESS(22,ROW()-31,1)),G$3:G$22),"")</f>
        <v/>
      </c>
      <c r="H78" t="str">
        <f ca="1">IF(AND(((COLUMN()-10)&lt;=playercnt),((ROW()-41)&lt;=playercnt)),SUMPRODUCT(INDIRECT(ADDRESS(3,ROW()-31,1)):INDIRECT(ADDRESS(22,ROW()-31,1)),H$3:H$22),"")</f>
        <v/>
      </c>
      <c r="I78" t="str">
        <f ca="1">IF(AND(((COLUMN()-10)&lt;=playercnt),((ROW()-41)&lt;=playercnt)),SUMPRODUCT(INDIRECT(ADDRESS(3,ROW()-31,1)):INDIRECT(ADDRESS(22,ROW()-31,1)),I$3:I$22),"")</f>
        <v/>
      </c>
      <c r="J78" t="str">
        <f ca="1">IF(AND(((COLUMN()-10)&lt;=playercnt),((ROW()-41)&lt;=playercnt)),SUMPRODUCT(INDIRECT(ADDRESS(3,ROW()-31,1)):INDIRECT(ADDRESS(22,ROW()-31,1)),J$3:J$22),"")</f>
        <v/>
      </c>
      <c r="K78" t="str">
        <f ca="1">IF(AND(((COLUMN()-10)&lt;=playercnt),((ROW()-41)&lt;=playercnt)),SUMPRODUCT(INDIRECT(ADDRESS(3,ROW()-31,1)):INDIRECT(ADDRESS(22,ROW()-31,1)),K$3:K$22),"")</f>
        <v/>
      </c>
      <c r="L78" t="str">
        <f ca="1">IF(AND(((COLUMN()-10)&lt;=playercnt),((ROW()-41)&lt;=playercnt)),SUMPRODUCT(INDIRECT(ADDRESS(3,ROW()-31,1)):INDIRECT(ADDRESS(22,ROW()-31,1)),L$3:L$22),"")</f>
        <v/>
      </c>
      <c r="M78" t="str">
        <f ca="1">IF(AND(((COLUMN()-10)&lt;=playercnt),((ROW()-41)&lt;=playercnt)),SUMPRODUCT(INDIRECT(ADDRESS(3,ROW()-31,1)):INDIRECT(ADDRESS(22,ROW()-31,1)),M$3:M$22),"")</f>
        <v/>
      </c>
      <c r="N78" t="str">
        <f ca="1">IF(AND(((COLUMN()-10)&lt;=playercnt),((ROW()-41)&lt;=playercnt)),SUMPRODUCT(INDIRECT(ADDRESS(3,ROW()-31,1)):INDIRECT(ADDRESS(22,ROW()-31,1)),N$3:N$22),"")</f>
        <v/>
      </c>
      <c r="O78" t="str">
        <f ca="1">IF(AND(((COLUMN()-10)&lt;=playercnt),((ROW()-41)&lt;=playercnt)),SUMPRODUCT(INDIRECT(ADDRESS(3,ROW()-31,1)):INDIRECT(ADDRESS(22,ROW()-31,1)),O$3:O$22),"")</f>
        <v/>
      </c>
      <c r="P78" t="str">
        <f ca="1">IF(AND(((COLUMN()-10)&lt;=playercnt),((ROW()-41)&lt;=playercnt)),SUMPRODUCT(INDIRECT(ADDRESS(3,ROW()-31,1)):INDIRECT(ADDRESS(22,ROW()-31,1)),P$3:P$22),"")</f>
        <v/>
      </c>
      <c r="Q78" t="str">
        <f ca="1">IF(AND(((COLUMN()-10)&lt;=playercnt),((ROW()-41)&lt;=playercnt)),SUMPRODUCT(INDIRECT(ADDRESS(3,ROW()-31,1)):INDIRECT(ADDRESS(22,ROW()-31,1)),Q$3:Q$22),"")</f>
        <v/>
      </c>
      <c r="R78" t="str">
        <f ca="1">IF(AND(((COLUMN()-10)&lt;=playercnt),((ROW()-41)&lt;=playercnt)),SUMPRODUCT(INDIRECT(ADDRESS(3,ROW()-31,1)):INDIRECT(ADDRESS(22,ROW()-31,1)),R$3:R$22),"")</f>
        <v/>
      </c>
      <c r="S78" t="str">
        <f ca="1">IF(AND(((COLUMN()-10)&lt;=playercnt),((ROW()-41)&lt;=playercnt)),SUMPRODUCT(INDIRECT(ADDRESS(3,ROW()-31,1)):INDIRECT(ADDRESS(22,ROW()-31,1)),S$3:S$22),"")</f>
        <v/>
      </c>
      <c r="T78" t="str">
        <f ca="1">IF(AND(((COLUMN()-10)&lt;=playercnt),((ROW()-41)&lt;=playercnt)),SUMPRODUCT(INDIRECT(ADDRESS(3,ROW()-31,1)):INDIRECT(ADDRESS(22,ROW()-31,1)),T$3:T$22),"")</f>
        <v/>
      </c>
      <c r="U78" t="str">
        <f ca="1">IF(AND(((COLUMN()-10)&lt;=playercnt),((ROW()-41)&lt;=playercnt)),SUMPRODUCT(INDIRECT(ADDRESS(3,ROW()-31,1)):INDIRECT(ADDRESS(22,ROW()-31,1)),U$3:U$22),"")</f>
        <v/>
      </c>
      <c r="V78" t="str">
        <f ca="1">IF(AND(((COLUMN()-10)&lt;=playercnt),((ROW()-41)&lt;=playercnt)),SUMPRODUCT(INDIRECT(ADDRESS(3,ROW()-31,1)):INDIRECT(ADDRESS(22,ROW()-31,1)),V$3:V$22),"")</f>
        <v/>
      </c>
      <c r="W78" t="str">
        <f ca="1">IF(AND(((COLUMN()-10)&lt;=playercnt),((ROW()-41)&lt;=playercnt)),SUMPRODUCT(INDIRECT(ADDRESS(3,ROW()-31,1)):INDIRECT(ADDRESS(22,ROW()-31,1)),W$3:W$22),"")</f>
        <v/>
      </c>
      <c r="X78" t="str">
        <f ca="1">IF(AND(((COLUMN()-10)&lt;=playercnt),((ROW()-41)&lt;=playercnt)),SUMPRODUCT(INDIRECT(ADDRESS(3,ROW()-31,1)):INDIRECT(ADDRESS(22,ROW()-31,1)),X$3:X$22),"")</f>
        <v/>
      </c>
      <c r="Y78" t="str">
        <f ca="1">IF(AND(((COLUMN()-10)&lt;=playercnt),((ROW()-41)&lt;=playercnt)),SUMPRODUCT(INDIRECT(ADDRESS(3,ROW()-31,1)):INDIRECT(ADDRESS(22,ROW()-31,1)),Y$3:Y$22),"")</f>
        <v/>
      </c>
      <c r="Z78" t="str">
        <f ca="1">IF(AND(((COLUMN()-10)&lt;=playercnt),((ROW()-41)&lt;=playercnt)),SUMPRODUCT(INDIRECT(ADDRESS(3,ROW()-31,1)):INDIRECT(ADDRESS(22,ROW()-31,1)),Z$3:Z$22),"")</f>
        <v/>
      </c>
      <c r="AA78" t="str">
        <f ca="1">IF(AND(((COLUMN()-10)&lt;=playercnt),((ROW()-41)&lt;=playercnt)),SUMPRODUCT(INDIRECT(ADDRESS(3,ROW()-31,1)):INDIRECT(ADDRESS(22,ROW()-31,1)),AA$3:AA$22),"")</f>
        <v/>
      </c>
      <c r="AB78" t="str">
        <f ca="1">IF(AND(((COLUMN()-10)&lt;=playercnt),((ROW()-41)&lt;=playercnt)),SUMPRODUCT(INDIRECT(ADDRESS(3,ROW()-31,1)):INDIRECT(ADDRESS(22,ROW()-31,1)),AB$3:AB$22),"")</f>
        <v/>
      </c>
      <c r="AC78" t="str">
        <f ca="1">IF(AND(((COLUMN()-10)&lt;=playercnt),((ROW()-41)&lt;=playercnt)),SUMPRODUCT(INDIRECT(ADDRESS(3,ROW()-31,1)):INDIRECT(ADDRESS(22,ROW()-31,1)),AC$3:AC$22),"")</f>
        <v/>
      </c>
      <c r="AD78" t="str">
        <f ca="1">IF(AND(((COLUMN()-10)&lt;=playercnt),((ROW()-41)&lt;=playercnt)),SUMPRODUCT(INDIRECT(ADDRESS(3,ROW()-31,1)):INDIRECT(ADDRESS(22,ROW()-31,1)),AD$3:AD$22),"")</f>
        <v/>
      </c>
      <c r="AE78" t="str">
        <f ca="1">IF(AND(((COLUMN()-10)&lt;=playercnt),((ROW()-41)&lt;=playercnt)),SUMPRODUCT(INDIRECT(ADDRESS(3,ROW()-31,1)):INDIRECT(ADDRESS(22,ROW()-31,1)),AE$3:AE$22),"")</f>
        <v/>
      </c>
      <c r="AF78" t="str">
        <f ca="1">IF(AND(((COLUMN()-10)&lt;=playercnt),((ROW()-41)&lt;=playercnt)),SUMPRODUCT(INDIRECT(ADDRESS(3,ROW()-31,1)):INDIRECT(ADDRESS(22,ROW()-31,1)),AF$3:AF$22),"")</f>
        <v/>
      </c>
      <c r="AG78" t="str">
        <f ca="1">IF(AND(((COLUMN()-10)&lt;=playercnt),((ROW()-41)&lt;=playercnt)),SUMPRODUCT(INDIRECT(ADDRESS(3,ROW()-31,1)):INDIRECT(ADDRESS(22,ROW()-31,1)),AG$3:AG$22),"")</f>
        <v/>
      </c>
      <c r="AH78" t="str">
        <f ca="1">IF(AND(((COLUMN()-10)&lt;=playercnt),((ROW()-41)&lt;=playercnt)),SUMPRODUCT(INDIRECT(ADDRESS(3,ROW()-31,1)):INDIRECT(ADDRESS(22,ROW()-31,1)),AH$3:AH$22),"")</f>
        <v/>
      </c>
      <c r="AI78" t="str">
        <f ca="1">IF(AND(((COLUMN()-10)&lt;=playercnt),((ROW()-41)&lt;=playercnt)),SUMPRODUCT(INDIRECT(ADDRESS(3,ROW()-31,1)):INDIRECT(ADDRESS(22,ROW()-31,1)),AI$3:AI$22),"")</f>
        <v/>
      </c>
      <c r="AJ78" t="str">
        <f ca="1">IF(AND(((COLUMN()-10)&lt;=playercnt),((ROW()-41)&lt;=playercnt)),SUMPRODUCT(INDIRECT(ADDRESS(3,ROW()-31,1)):INDIRECT(ADDRESS(22,ROW()-31,1)),AJ$3:AJ$22),"")</f>
        <v/>
      </c>
      <c r="AK78" t="str">
        <f ca="1">IF(AND(((COLUMN()-10)&lt;=playercnt),((ROW()-41)&lt;=playercnt)),SUMPRODUCT(INDIRECT(ADDRESS(3,ROW()-31,1)):INDIRECT(ADDRESS(22,ROW()-31,1)),AK$3:AK$22),"")</f>
        <v/>
      </c>
      <c r="AL78" t="str">
        <f ca="1">IF(AND(((COLUMN()-10)&lt;=playercnt),((ROW()-41)&lt;=playercnt)),SUMPRODUCT(INDIRECT(ADDRESS(3,ROW()-31,1)):INDIRECT(ADDRESS(22,ROW()-31,1)),AL$3:AL$22),"")</f>
        <v/>
      </c>
      <c r="AM78" t="str">
        <f ca="1">IF(AND(((COLUMN()-10)&lt;=playercnt),((ROW()-41)&lt;=playercnt)),SUMPRODUCT(INDIRECT(ADDRESS(3,ROW()-31,1)):INDIRECT(ADDRESS(22,ROW()-31,1)),AM$3:AM$22),"")</f>
        <v/>
      </c>
      <c r="AN78" t="str">
        <f ca="1">IF(AND(((COLUMN()-10)&lt;=playercnt),((ROW()-41)&lt;=playercnt)),SUMPRODUCT(INDIRECT(ADDRESS(3,ROW()-31,1)):INDIRECT(ADDRESS(22,ROW()-31,1)),AN$3:AN$22),"")</f>
        <v/>
      </c>
      <c r="AO78" t="str">
        <f ca="1">IF(AND(((COLUMN()-10)&lt;=playercnt),((ROW()-41)&lt;=playercnt)),SUMPRODUCT(INDIRECT(ADDRESS(3,ROW()-31,1)):INDIRECT(ADDRESS(22,ROW()-31,1)),AO$3:AO$22),"")</f>
        <v/>
      </c>
      <c r="AP78" t="str">
        <f ca="1">IF(AND(((COLUMN()-10)&lt;=playercnt),((ROW()-41)&lt;=playercnt)),SUMPRODUCT(INDIRECT(ADDRESS(3,ROW()-31,1)):INDIRECT(ADDRESS(22,ROW()-31,1)),AP$3:AP$22),"")</f>
        <v/>
      </c>
      <c r="AQ78" t="str">
        <f ca="1">IF(AND(((COLUMN()-10)&lt;=playercnt),((ROW()-41)&lt;=playercnt)),SUMPRODUCT(INDIRECT(ADDRESS(3,ROW()-31,1)):INDIRECT(ADDRESS(22,ROW()-31,1)),AQ$3:AQ$22),"")</f>
        <v/>
      </c>
      <c r="AR78" t="str">
        <f ca="1">IF(AND(((COLUMN()-10)&lt;=playercnt),((ROW()-41)&lt;=playercnt)),SUMPRODUCT(INDIRECT(ADDRESS(3,ROW()-31,1)):INDIRECT(ADDRESS(22,ROW()-31,1)),AR$3:AR$22),"")</f>
        <v/>
      </c>
      <c r="AS78" t="str">
        <f ca="1">IF(AND(((COLUMN()-10)&lt;=playercnt),((ROW()-41)&lt;=playercnt)),SUMPRODUCT(INDIRECT(ADDRESS(3,ROW()-31,1)):INDIRECT(ADDRESS(22,ROW()-31,1)),AS$3:AS$22),"")</f>
        <v/>
      </c>
      <c r="AT78" t="str">
        <f ca="1">IF(AND(((COLUMN()-10)&lt;=playercnt),((ROW()-41)&lt;=playercnt)),SUMPRODUCT(INDIRECT(ADDRESS(3,ROW()-31,1)):INDIRECT(ADDRESS(22,ROW()-31,1)),AT$3:AT$22),"")</f>
        <v/>
      </c>
      <c r="AU78" t="str">
        <f ca="1">IF(AND(((COLUMN()-10)&lt;=playercnt),((ROW()-41)&lt;=playercnt)),SUMPRODUCT(INDIRECT(ADDRESS(3,ROW()-31,1)):INDIRECT(ADDRESS(22,ROW()-31,1)),AU$3:AU$22),"")</f>
        <v/>
      </c>
      <c r="AV78" t="str">
        <f ca="1">IF(AND(((COLUMN()-10)&lt;=playercnt),((ROW()-41)&lt;=playercnt)),SUMPRODUCT(INDIRECT(ADDRESS(3,ROW()-31,1)):INDIRECT(ADDRESS(22,ROW()-31,1)),AV$3:AV$22),"")</f>
        <v/>
      </c>
      <c r="AW78" t="str">
        <f ca="1">IF(AND(((COLUMN()-10)&lt;=playercnt),((ROW()-41)&lt;=playercnt)),SUMPRODUCT(INDIRECT(ADDRESS(3,ROW()-31,1)):INDIRECT(ADDRESS(22,ROW()-31,1)),AW$3:AW$22),"")</f>
        <v/>
      </c>
      <c r="AX78" t="str">
        <f ca="1">IF(AND(((COLUMN()-10)&lt;=playercnt),((ROW()-41)&lt;=playercnt)),SUMPRODUCT(INDIRECT(ADDRESS(3,ROW()-31,1)):INDIRECT(ADDRESS(22,ROW()-31,1)),AX$3:AX$22),"")</f>
        <v/>
      </c>
      <c r="AY78" t="str">
        <f ca="1">IF(AND(((COLUMN()-10)&lt;=playercnt),((ROW()-41)&lt;=playercnt)),SUMPRODUCT(INDIRECT(ADDRESS(3,ROW()-31,1)):INDIRECT(ADDRESS(22,ROW()-31,1)),AY$3:AY$22),"")</f>
        <v/>
      </c>
      <c r="AZ78" t="str">
        <f ca="1">IF(AND(((COLUMN()-10)&lt;=playercnt),((ROW()-41)&lt;=playercnt)),SUMPRODUCT(INDIRECT(ADDRESS(3,ROW()-31,1)):INDIRECT(ADDRESS(22,ROW()-31,1)),AZ$3:AZ$22),"")</f>
        <v/>
      </c>
      <c r="BA78" t="str">
        <f ca="1">IF(AND(((COLUMN()-10)&lt;=playercnt),((ROW()-41)&lt;=playercnt)),SUMPRODUCT(INDIRECT(ADDRESS(3,ROW()-31,1)):INDIRECT(ADDRESS(22,ROW()-31,1)),BA$3:BA$22),"")</f>
        <v/>
      </c>
      <c r="BB78" t="str">
        <f ca="1">IF(AND(((COLUMN()-10)&lt;=playercnt),((ROW()-41)&lt;=playercnt)),SUMPRODUCT(INDIRECT(ADDRESS(3,ROW()-31,1)):INDIRECT(ADDRESS(22,ROW()-31,1)),BB$3:BB$22),"")</f>
        <v/>
      </c>
      <c r="BC78" t="str">
        <f ca="1">IF(AND(((COLUMN()-10)&lt;=playercnt),((ROW()-41)&lt;=playercnt)),SUMPRODUCT(INDIRECT(ADDRESS(3,ROW()-31,1)):INDIRECT(ADDRESS(22,ROW()-31,1)),BC$3:BC$22),"")</f>
        <v/>
      </c>
      <c r="BD78" t="str">
        <f ca="1">IF(AND(((COLUMN()-10)&lt;=playercnt),((ROW()-41)&lt;=playercnt)),SUMPRODUCT(INDIRECT(ADDRESS(3,ROW()-31,1)):INDIRECT(ADDRESS(22,ROW()-31,1)),BD$3:BD$22),"")</f>
        <v/>
      </c>
      <c r="BE78" t="str">
        <f ca="1">IF(AND(((COLUMN()-10)&lt;=playercnt),((ROW()-41)&lt;=playercnt)),SUMPRODUCT(INDIRECT(ADDRESS(3,ROW()-31,1)):INDIRECT(ADDRESS(22,ROW()-31,1)),BE$3:BE$22),"")</f>
        <v/>
      </c>
      <c r="BF78" t="str">
        <f ca="1">IF(AND(((COLUMN()-10)&lt;=playercnt),((ROW()-41)&lt;=playercnt)),SUMPRODUCT(INDIRECT(ADDRESS(3,ROW()-31,1)):INDIRECT(ADDRESS(22,ROW()-31,1)),BF$3:BF$22),"")</f>
        <v/>
      </c>
      <c r="BG78" t="str">
        <f ca="1">IF(AND(((COLUMN()-10)&lt;=playercnt),((ROW()-41)&lt;=playercnt)),SUMPRODUCT(INDIRECT(ADDRESS(3,ROW()-31,1)):INDIRECT(ADDRESS(22,ROW()-31,1)),BG$3:BG$22),"")</f>
        <v/>
      </c>
      <c r="BH78" t="str">
        <f ca="1">IF(AND(((COLUMN()-10)&lt;=playercnt),((ROW()-41)&lt;=playercnt)),SUMPRODUCT(INDIRECT(ADDRESS(3,ROW()-31,1)):INDIRECT(ADDRESS(22,ROW()-31,1)),BH$3:BH$22),"")</f>
        <v/>
      </c>
      <c r="BI78" t="str">
        <f ca="1">IF(AND(((COLUMN()-10)&lt;=playercnt),((ROW()-41)&lt;=playercnt)),SUMPRODUCT(INDIRECT(ADDRESS(3,ROW()-31,1)):INDIRECT(ADDRESS(22,ROW()-31,1)),BI$3:BI$22),"")</f>
        <v/>
      </c>
      <c r="BJ78" t="str">
        <f ca="1">IF(AND(((COLUMN()-10)&lt;=playercnt),((ROW()-41)&lt;=playercnt)),SUMPRODUCT(INDIRECT(ADDRESS(3,ROW()-31,1)):INDIRECT(ADDRESS(22,ROW()-31,1)),BJ$3:BJ$22),"")</f>
        <v/>
      </c>
      <c r="BK78" t="str">
        <f ca="1">IF(AND(((COLUMN()-10)&lt;=playercnt),((ROW()-41)&lt;=playercnt)),SUMPRODUCT(INDIRECT(ADDRESS(3,ROW()-31,1)):INDIRECT(ADDRESS(22,ROW()-31,1)),BK$3:BK$22),"")</f>
        <v/>
      </c>
      <c r="BL78" t="str">
        <f ca="1">IF(AND(((COLUMN()-10)&lt;=playercnt),((ROW()-41)&lt;=playercnt)),SUMPRODUCT(INDIRECT(ADDRESS(3,ROW()-31,1)):INDIRECT(ADDRESS(22,ROW()-31,1)),BL$3:BL$22),"")</f>
        <v/>
      </c>
      <c r="BM78" t="str">
        <f ca="1">IF(AND(((COLUMN()-10)&lt;=playercnt),((ROW()-41)&lt;=playercnt)),SUMPRODUCT(INDIRECT(ADDRESS(3,ROW()-31,1)):INDIRECT(ADDRESS(22,ROW()-31,1)),BM$3:BM$22),"")</f>
        <v/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>
      <c r="B79" s="27" t="str">
        <f t="shared" ca="1" si="29"/>
        <v/>
      </c>
      <c r="C79" t="str">
        <f t="shared" ca="1" si="30"/>
        <v/>
      </c>
      <c r="G79" t="str">
        <f ca="1">IF(AND(((COLUMN()-10)&lt;=playercnt),((ROW()-41)&lt;=playercnt)),SUMPRODUCT(INDIRECT(ADDRESS(3,ROW()-31,1)):INDIRECT(ADDRESS(22,ROW()-31,1)),G$3:G$22),"")</f>
        <v/>
      </c>
      <c r="H79" t="str">
        <f ca="1">IF(AND(((COLUMN()-10)&lt;=playercnt),((ROW()-41)&lt;=playercnt)),SUMPRODUCT(INDIRECT(ADDRESS(3,ROW()-31,1)):INDIRECT(ADDRESS(22,ROW()-31,1)),H$3:H$22),"")</f>
        <v/>
      </c>
      <c r="I79" t="str">
        <f ca="1">IF(AND(((COLUMN()-10)&lt;=playercnt),((ROW()-41)&lt;=playercnt)),SUMPRODUCT(INDIRECT(ADDRESS(3,ROW()-31,1)):INDIRECT(ADDRESS(22,ROW()-31,1)),I$3:I$22),"")</f>
        <v/>
      </c>
      <c r="J79" t="str">
        <f ca="1">IF(AND(((COLUMN()-10)&lt;=playercnt),((ROW()-41)&lt;=playercnt)),SUMPRODUCT(INDIRECT(ADDRESS(3,ROW()-31,1)):INDIRECT(ADDRESS(22,ROW()-31,1)),J$3:J$22),"")</f>
        <v/>
      </c>
      <c r="K79" t="str">
        <f ca="1">IF(AND(((COLUMN()-10)&lt;=playercnt),((ROW()-41)&lt;=playercnt)),SUMPRODUCT(INDIRECT(ADDRESS(3,ROW()-31,1)):INDIRECT(ADDRESS(22,ROW()-31,1)),K$3:K$22),"")</f>
        <v/>
      </c>
      <c r="L79" t="str">
        <f ca="1">IF(AND(((COLUMN()-10)&lt;=playercnt),((ROW()-41)&lt;=playercnt)),SUMPRODUCT(INDIRECT(ADDRESS(3,ROW()-31,1)):INDIRECT(ADDRESS(22,ROW()-31,1)),L$3:L$22),"")</f>
        <v/>
      </c>
      <c r="M79" t="str">
        <f ca="1">IF(AND(((COLUMN()-10)&lt;=playercnt),((ROW()-41)&lt;=playercnt)),SUMPRODUCT(INDIRECT(ADDRESS(3,ROW()-31,1)):INDIRECT(ADDRESS(22,ROW()-31,1)),M$3:M$22),"")</f>
        <v/>
      </c>
      <c r="N79" t="str">
        <f ca="1">IF(AND(((COLUMN()-10)&lt;=playercnt),((ROW()-41)&lt;=playercnt)),SUMPRODUCT(INDIRECT(ADDRESS(3,ROW()-31,1)):INDIRECT(ADDRESS(22,ROW()-31,1)),N$3:N$22),"")</f>
        <v/>
      </c>
      <c r="O79" t="str">
        <f ca="1">IF(AND(((COLUMN()-10)&lt;=playercnt),((ROW()-41)&lt;=playercnt)),SUMPRODUCT(INDIRECT(ADDRESS(3,ROW()-31,1)):INDIRECT(ADDRESS(22,ROW()-31,1)),O$3:O$22),"")</f>
        <v/>
      </c>
      <c r="P79" t="str">
        <f ca="1">IF(AND(((COLUMN()-10)&lt;=playercnt),((ROW()-41)&lt;=playercnt)),SUMPRODUCT(INDIRECT(ADDRESS(3,ROW()-31,1)):INDIRECT(ADDRESS(22,ROW()-31,1)),P$3:P$22),"")</f>
        <v/>
      </c>
      <c r="Q79" t="str">
        <f ca="1">IF(AND(((COLUMN()-10)&lt;=playercnt),((ROW()-41)&lt;=playercnt)),SUMPRODUCT(INDIRECT(ADDRESS(3,ROW()-31,1)):INDIRECT(ADDRESS(22,ROW()-31,1)),Q$3:Q$22),"")</f>
        <v/>
      </c>
      <c r="R79" t="str">
        <f ca="1">IF(AND(((COLUMN()-10)&lt;=playercnt),((ROW()-41)&lt;=playercnt)),SUMPRODUCT(INDIRECT(ADDRESS(3,ROW()-31,1)):INDIRECT(ADDRESS(22,ROW()-31,1)),R$3:R$22),"")</f>
        <v/>
      </c>
      <c r="S79" t="str">
        <f ca="1">IF(AND(((COLUMN()-10)&lt;=playercnt),((ROW()-41)&lt;=playercnt)),SUMPRODUCT(INDIRECT(ADDRESS(3,ROW()-31,1)):INDIRECT(ADDRESS(22,ROW()-31,1)),S$3:S$22),"")</f>
        <v/>
      </c>
      <c r="T79" t="str">
        <f ca="1">IF(AND(((COLUMN()-10)&lt;=playercnt),((ROW()-41)&lt;=playercnt)),SUMPRODUCT(INDIRECT(ADDRESS(3,ROW()-31,1)):INDIRECT(ADDRESS(22,ROW()-31,1)),T$3:T$22),"")</f>
        <v/>
      </c>
      <c r="U79" t="str">
        <f ca="1">IF(AND(((COLUMN()-10)&lt;=playercnt),((ROW()-41)&lt;=playercnt)),SUMPRODUCT(INDIRECT(ADDRESS(3,ROW()-31,1)):INDIRECT(ADDRESS(22,ROW()-31,1)),U$3:U$22),"")</f>
        <v/>
      </c>
      <c r="V79" t="str">
        <f ca="1">IF(AND(((COLUMN()-10)&lt;=playercnt),((ROW()-41)&lt;=playercnt)),SUMPRODUCT(INDIRECT(ADDRESS(3,ROW()-31,1)):INDIRECT(ADDRESS(22,ROW()-31,1)),V$3:V$22),"")</f>
        <v/>
      </c>
      <c r="W79" t="str">
        <f ca="1">IF(AND(((COLUMN()-10)&lt;=playercnt),((ROW()-41)&lt;=playercnt)),SUMPRODUCT(INDIRECT(ADDRESS(3,ROW()-31,1)):INDIRECT(ADDRESS(22,ROW()-31,1)),W$3:W$22),"")</f>
        <v/>
      </c>
      <c r="X79" t="str">
        <f ca="1">IF(AND(((COLUMN()-10)&lt;=playercnt),((ROW()-41)&lt;=playercnt)),SUMPRODUCT(INDIRECT(ADDRESS(3,ROW()-31,1)):INDIRECT(ADDRESS(22,ROW()-31,1)),X$3:X$22),"")</f>
        <v/>
      </c>
      <c r="Y79" t="str">
        <f ca="1">IF(AND(((COLUMN()-10)&lt;=playercnt),((ROW()-41)&lt;=playercnt)),SUMPRODUCT(INDIRECT(ADDRESS(3,ROW()-31,1)):INDIRECT(ADDRESS(22,ROW()-31,1)),Y$3:Y$22),"")</f>
        <v/>
      </c>
      <c r="Z79" t="str">
        <f ca="1">IF(AND(((COLUMN()-10)&lt;=playercnt),((ROW()-41)&lt;=playercnt)),SUMPRODUCT(INDIRECT(ADDRESS(3,ROW()-31,1)):INDIRECT(ADDRESS(22,ROW()-31,1)),Z$3:Z$22),"")</f>
        <v/>
      </c>
      <c r="AA79" t="str">
        <f ca="1">IF(AND(((COLUMN()-10)&lt;=playercnt),((ROW()-41)&lt;=playercnt)),SUMPRODUCT(INDIRECT(ADDRESS(3,ROW()-31,1)):INDIRECT(ADDRESS(22,ROW()-31,1)),AA$3:AA$22),"")</f>
        <v/>
      </c>
      <c r="AB79" t="str">
        <f ca="1">IF(AND(((COLUMN()-10)&lt;=playercnt),((ROW()-41)&lt;=playercnt)),SUMPRODUCT(INDIRECT(ADDRESS(3,ROW()-31,1)):INDIRECT(ADDRESS(22,ROW()-31,1)),AB$3:AB$22),"")</f>
        <v/>
      </c>
      <c r="AC79" t="str">
        <f ca="1">IF(AND(((COLUMN()-10)&lt;=playercnt),((ROW()-41)&lt;=playercnt)),SUMPRODUCT(INDIRECT(ADDRESS(3,ROW()-31,1)):INDIRECT(ADDRESS(22,ROW()-31,1)),AC$3:AC$22),"")</f>
        <v/>
      </c>
      <c r="AD79" t="str">
        <f ca="1">IF(AND(((COLUMN()-10)&lt;=playercnt),((ROW()-41)&lt;=playercnt)),SUMPRODUCT(INDIRECT(ADDRESS(3,ROW()-31,1)):INDIRECT(ADDRESS(22,ROW()-31,1)),AD$3:AD$22),"")</f>
        <v/>
      </c>
      <c r="AE79" t="str">
        <f ca="1">IF(AND(((COLUMN()-10)&lt;=playercnt),((ROW()-41)&lt;=playercnt)),SUMPRODUCT(INDIRECT(ADDRESS(3,ROW()-31,1)):INDIRECT(ADDRESS(22,ROW()-31,1)),AE$3:AE$22),"")</f>
        <v/>
      </c>
      <c r="AF79" t="str">
        <f ca="1">IF(AND(((COLUMN()-10)&lt;=playercnt),((ROW()-41)&lt;=playercnt)),SUMPRODUCT(INDIRECT(ADDRESS(3,ROW()-31,1)):INDIRECT(ADDRESS(22,ROW()-31,1)),AF$3:AF$22),"")</f>
        <v/>
      </c>
      <c r="AG79" t="str">
        <f ca="1">IF(AND(((COLUMN()-10)&lt;=playercnt),((ROW()-41)&lt;=playercnt)),SUMPRODUCT(INDIRECT(ADDRESS(3,ROW()-31,1)):INDIRECT(ADDRESS(22,ROW()-31,1)),AG$3:AG$22),"")</f>
        <v/>
      </c>
      <c r="AH79" t="str">
        <f ca="1">IF(AND(((COLUMN()-10)&lt;=playercnt),((ROW()-41)&lt;=playercnt)),SUMPRODUCT(INDIRECT(ADDRESS(3,ROW()-31,1)):INDIRECT(ADDRESS(22,ROW()-31,1)),AH$3:AH$22),"")</f>
        <v/>
      </c>
      <c r="AI79" t="str">
        <f ca="1">IF(AND(((COLUMN()-10)&lt;=playercnt),((ROW()-41)&lt;=playercnt)),SUMPRODUCT(INDIRECT(ADDRESS(3,ROW()-31,1)):INDIRECT(ADDRESS(22,ROW()-31,1)),AI$3:AI$22),"")</f>
        <v/>
      </c>
      <c r="AJ79" t="str">
        <f ca="1">IF(AND(((COLUMN()-10)&lt;=playercnt),((ROW()-41)&lt;=playercnt)),SUMPRODUCT(INDIRECT(ADDRESS(3,ROW()-31,1)):INDIRECT(ADDRESS(22,ROW()-31,1)),AJ$3:AJ$22),"")</f>
        <v/>
      </c>
      <c r="AK79" t="str">
        <f ca="1">IF(AND(((COLUMN()-10)&lt;=playercnt),((ROW()-41)&lt;=playercnt)),SUMPRODUCT(INDIRECT(ADDRESS(3,ROW()-31,1)):INDIRECT(ADDRESS(22,ROW()-31,1)),AK$3:AK$22),"")</f>
        <v/>
      </c>
      <c r="AL79" t="str">
        <f ca="1">IF(AND(((COLUMN()-10)&lt;=playercnt),((ROW()-41)&lt;=playercnt)),SUMPRODUCT(INDIRECT(ADDRESS(3,ROW()-31,1)):INDIRECT(ADDRESS(22,ROW()-31,1)),AL$3:AL$22),"")</f>
        <v/>
      </c>
      <c r="AM79" t="str">
        <f ca="1">IF(AND(((COLUMN()-10)&lt;=playercnt),((ROW()-41)&lt;=playercnt)),SUMPRODUCT(INDIRECT(ADDRESS(3,ROW()-31,1)):INDIRECT(ADDRESS(22,ROW()-31,1)),AM$3:AM$22),"")</f>
        <v/>
      </c>
      <c r="AN79" t="str">
        <f ca="1">IF(AND(((COLUMN()-10)&lt;=playercnt),((ROW()-41)&lt;=playercnt)),SUMPRODUCT(INDIRECT(ADDRESS(3,ROW()-31,1)):INDIRECT(ADDRESS(22,ROW()-31,1)),AN$3:AN$22),"")</f>
        <v/>
      </c>
      <c r="AO79" t="str">
        <f ca="1">IF(AND(((COLUMN()-10)&lt;=playercnt),((ROW()-41)&lt;=playercnt)),SUMPRODUCT(INDIRECT(ADDRESS(3,ROW()-31,1)):INDIRECT(ADDRESS(22,ROW()-31,1)),AO$3:AO$22),"")</f>
        <v/>
      </c>
      <c r="AP79" t="str">
        <f ca="1">IF(AND(((COLUMN()-10)&lt;=playercnt),((ROW()-41)&lt;=playercnt)),SUMPRODUCT(INDIRECT(ADDRESS(3,ROW()-31,1)):INDIRECT(ADDRESS(22,ROW()-31,1)),AP$3:AP$22),"")</f>
        <v/>
      </c>
      <c r="AQ79" t="str">
        <f ca="1">IF(AND(((COLUMN()-10)&lt;=playercnt),((ROW()-41)&lt;=playercnt)),SUMPRODUCT(INDIRECT(ADDRESS(3,ROW()-31,1)):INDIRECT(ADDRESS(22,ROW()-31,1)),AQ$3:AQ$22),"")</f>
        <v/>
      </c>
      <c r="AR79" t="str">
        <f ca="1">IF(AND(((COLUMN()-10)&lt;=playercnt),((ROW()-41)&lt;=playercnt)),SUMPRODUCT(INDIRECT(ADDRESS(3,ROW()-31,1)):INDIRECT(ADDRESS(22,ROW()-31,1)),AR$3:AR$22),"")</f>
        <v/>
      </c>
      <c r="AS79" t="str">
        <f ca="1">IF(AND(((COLUMN()-10)&lt;=playercnt),((ROW()-41)&lt;=playercnt)),SUMPRODUCT(INDIRECT(ADDRESS(3,ROW()-31,1)):INDIRECT(ADDRESS(22,ROW()-31,1)),AS$3:AS$22),"")</f>
        <v/>
      </c>
      <c r="AT79" t="str">
        <f ca="1">IF(AND(((COLUMN()-10)&lt;=playercnt),((ROW()-41)&lt;=playercnt)),SUMPRODUCT(INDIRECT(ADDRESS(3,ROW()-31,1)):INDIRECT(ADDRESS(22,ROW()-31,1)),AT$3:AT$22),"")</f>
        <v/>
      </c>
      <c r="AU79" t="str">
        <f ca="1">IF(AND(((COLUMN()-10)&lt;=playercnt),((ROW()-41)&lt;=playercnt)),SUMPRODUCT(INDIRECT(ADDRESS(3,ROW()-31,1)):INDIRECT(ADDRESS(22,ROW()-31,1)),AU$3:AU$22),"")</f>
        <v/>
      </c>
      <c r="AV79" t="str">
        <f ca="1">IF(AND(((COLUMN()-10)&lt;=playercnt),((ROW()-41)&lt;=playercnt)),SUMPRODUCT(INDIRECT(ADDRESS(3,ROW()-31,1)):INDIRECT(ADDRESS(22,ROW()-31,1)),AV$3:AV$22),"")</f>
        <v/>
      </c>
      <c r="AW79" t="str">
        <f ca="1">IF(AND(((COLUMN()-10)&lt;=playercnt),((ROW()-41)&lt;=playercnt)),SUMPRODUCT(INDIRECT(ADDRESS(3,ROW()-31,1)):INDIRECT(ADDRESS(22,ROW()-31,1)),AW$3:AW$22),"")</f>
        <v/>
      </c>
      <c r="AX79" t="str">
        <f ca="1">IF(AND(((COLUMN()-10)&lt;=playercnt),((ROW()-41)&lt;=playercnt)),SUMPRODUCT(INDIRECT(ADDRESS(3,ROW()-31,1)):INDIRECT(ADDRESS(22,ROW()-31,1)),AX$3:AX$22),"")</f>
        <v/>
      </c>
      <c r="AY79" t="str">
        <f ca="1">IF(AND(((COLUMN()-10)&lt;=playercnt),((ROW()-41)&lt;=playercnt)),SUMPRODUCT(INDIRECT(ADDRESS(3,ROW()-31,1)):INDIRECT(ADDRESS(22,ROW()-31,1)),AY$3:AY$22),"")</f>
        <v/>
      </c>
      <c r="AZ79" t="str">
        <f ca="1">IF(AND(((COLUMN()-10)&lt;=playercnt),((ROW()-41)&lt;=playercnt)),SUMPRODUCT(INDIRECT(ADDRESS(3,ROW()-31,1)):INDIRECT(ADDRESS(22,ROW()-31,1)),AZ$3:AZ$22),"")</f>
        <v/>
      </c>
      <c r="BA79" t="str">
        <f ca="1">IF(AND(((COLUMN()-10)&lt;=playercnt),((ROW()-41)&lt;=playercnt)),SUMPRODUCT(INDIRECT(ADDRESS(3,ROW()-31,1)):INDIRECT(ADDRESS(22,ROW()-31,1)),BA$3:BA$22),"")</f>
        <v/>
      </c>
      <c r="BB79" t="str">
        <f ca="1">IF(AND(((COLUMN()-10)&lt;=playercnt),((ROW()-41)&lt;=playercnt)),SUMPRODUCT(INDIRECT(ADDRESS(3,ROW()-31,1)):INDIRECT(ADDRESS(22,ROW()-31,1)),BB$3:BB$22),"")</f>
        <v/>
      </c>
      <c r="BC79" t="str">
        <f ca="1">IF(AND(((COLUMN()-10)&lt;=playercnt),((ROW()-41)&lt;=playercnt)),SUMPRODUCT(INDIRECT(ADDRESS(3,ROW()-31,1)):INDIRECT(ADDRESS(22,ROW()-31,1)),BC$3:BC$22),"")</f>
        <v/>
      </c>
      <c r="BD79" t="str">
        <f ca="1">IF(AND(((COLUMN()-10)&lt;=playercnt),((ROW()-41)&lt;=playercnt)),SUMPRODUCT(INDIRECT(ADDRESS(3,ROW()-31,1)):INDIRECT(ADDRESS(22,ROW()-31,1)),BD$3:BD$22),"")</f>
        <v/>
      </c>
      <c r="BE79" t="str">
        <f ca="1">IF(AND(((COLUMN()-10)&lt;=playercnt),((ROW()-41)&lt;=playercnt)),SUMPRODUCT(INDIRECT(ADDRESS(3,ROW()-31,1)):INDIRECT(ADDRESS(22,ROW()-31,1)),BE$3:BE$22),"")</f>
        <v/>
      </c>
      <c r="BF79" t="str">
        <f ca="1">IF(AND(((COLUMN()-10)&lt;=playercnt),((ROW()-41)&lt;=playercnt)),SUMPRODUCT(INDIRECT(ADDRESS(3,ROW()-31,1)):INDIRECT(ADDRESS(22,ROW()-31,1)),BF$3:BF$22),"")</f>
        <v/>
      </c>
      <c r="BG79" t="str">
        <f ca="1">IF(AND(((COLUMN()-10)&lt;=playercnt),((ROW()-41)&lt;=playercnt)),SUMPRODUCT(INDIRECT(ADDRESS(3,ROW()-31,1)):INDIRECT(ADDRESS(22,ROW()-31,1)),BG$3:BG$22),"")</f>
        <v/>
      </c>
      <c r="BH79" t="str">
        <f ca="1">IF(AND(((COLUMN()-10)&lt;=playercnt),((ROW()-41)&lt;=playercnt)),SUMPRODUCT(INDIRECT(ADDRESS(3,ROW()-31,1)):INDIRECT(ADDRESS(22,ROW()-31,1)),BH$3:BH$22),"")</f>
        <v/>
      </c>
      <c r="BI79" t="str">
        <f ca="1">IF(AND(((COLUMN()-10)&lt;=playercnt),((ROW()-41)&lt;=playercnt)),SUMPRODUCT(INDIRECT(ADDRESS(3,ROW()-31,1)):INDIRECT(ADDRESS(22,ROW()-31,1)),BI$3:BI$22),"")</f>
        <v/>
      </c>
      <c r="BJ79" t="str">
        <f ca="1">IF(AND(((COLUMN()-10)&lt;=playercnt),((ROW()-41)&lt;=playercnt)),SUMPRODUCT(INDIRECT(ADDRESS(3,ROW()-31,1)):INDIRECT(ADDRESS(22,ROW()-31,1)),BJ$3:BJ$22),"")</f>
        <v/>
      </c>
      <c r="BK79" t="str">
        <f ca="1">IF(AND(((COLUMN()-10)&lt;=playercnt),((ROW()-41)&lt;=playercnt)),SUMPRODUCT(INDIRECT(ADDRESS(3,ROW()-31,1)):INDIRECT(ADDRESS(22,ROW()-31,1)),BK$3:BK$22),"")</f>
        <v/>
      </c>
      <c r="BL79" t="str">
        <f ca="1">IF(AND(((COLUMN()-10)&lt;=playercnt),((ROW()-41)&lt;=playercnt)),SUMPRODUCT(INDIRECT(ADDRESS(3,ROW()-31,1)):INDIRECT(ADDRESS(22,ROW()-31,1)),BL$3:BL$22),"")</f>
        <v/>
      </c>
      <c r="BM79" t="str">
        <f ca="1">IF(AND(((COLUMN()-10)&lt;=playercnt),((ROW()-41)&lt;=playercnt)),SUMPRODUCT(INDIRECT(ADDRESS(3,ROW()-31,1)):INDIRECT(ADDRESS(22,ROW()-31,1)),BM$3:BM$22),"")</f>
        <v/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>
      <c r="B80" s="27" t="str">
        <f t="shared" ca="1" si="29"/>
        <v/>
      </c>
      <c r="C80" t="str">
        <f t="shared" ca="1" si="30"/>
        <v/>
      </c>
      <c r="G80" t="str">
        <f ca="1">IF(AND(((COLUMN()-10)&lt;=playercnt),((ROW()-41)&lt;=playercnt)),SUMPRODUCT(INDIRECT(ADDRESS(3,ROW()-31,1)):INDIRECT(ADDRESS(22,ROW()-31,1)),G$3:G$22),"")</f>
        <v/>
      </c>
      <c r="H80" t="str">
        <f ca="1">IF(AND(((COLUMN()-10)&lt;=playercnt),((ROW()-41)&lt;=playercnt)),SUMPRODUCT(INDIRECT(ADDRESS(3,ROW()-31,1)):INDIRECT(ADDRESS(22,ROW()-31,1)),H$3:H$22),"")</f>
        <v/>
      </c>
      <c r="I80" t="str">
        <f ca="1">IF(AND(((COLUMN()-10)&lt;=playercnt),((ROW()-41)&lt;=playercnt)),SUMPRODUCT(INDIRECT(ADDRESS(3,ROW()-31,1)):INDIRECT(ADDRESS(22,ROW()-31,1)),I$3:I$22),"")</f>
        <v/>
      </c>
      <c r="J80" t="str">
        <f ca="1">IF(AND(((COLUMN()-10)&lt;=playercnt),((ROW()-41)&lt;=playercnt)),SUMPRODUCT(INDIRECT(ADDRESS(3,ROW()-31,1)):INDIRECT(ADDRESS(22,ROW()-31,1)),J$3:J$22),"")</f>
        <v/>
      </c>
      <c r="K80" t="str">
        <f ca="1">IF(AND(((COLUMN()-10)&lt;=playercnt),((ROW()-41)&lt;=playercnt)),SUMPRODUCT(INDIRECT(ADDRESS(3,ROW()-31,1)):INDIRECT(ADDRESS(22,ROW()-31,1)),K$3:K$22),"")</f>
        <v/>
      </c>
      <c r="L80" t="str">
        <f ca="1">IF(AND(((COLUMN()-10)&lt;=playercnt),((ROW()-41)&lt;=playercnt)),SUMPRODUCT(INDIRECT(ADDRESS(3,ROW()-31,1)):INDIRECT(ADDRESS(22,ROW()-31,1)),L$3:L$22),"")</f>
        <v/>
      </c>
      <c r="M80" t="str">
        <f ca="1">IF(AND(((COLUMN()-10)&lt;=playercnt),((ROW()-41)&lt;=playercnt)),SUMPRODUCT(INDIRECT(ADDRESS(3,ROW()-31,1)):INDIRECT(ADDRESS(22,ROW()-31,1)),M$3:M$22),"")</f>
        <v/>
      </c>
      <c r="N80" t="str">
        <f ca="1">IF(AND(((COLUMN()-10)&lt;=playercnt),((ROW()-41)&lt;=playercnt)),SUMPRODUCT(INDIRECT(ADDRESS(3,ROW()-31,1)):INDIRECT(ADDRESS(22,ROW()-31,1)),N$3:N$22),"")</f>
        <v/>
      </c>
      <c r="O80" t="str">
        <f ca="1">IF(AND(((COLUMN()-10)&lt;=playercnt),((ROW()-41)&lt;=playercnt)),SUMPRODUCT(INDIRECT(ADDRESS(3,ROW()-31,1)):INDIRECT(ADDRESS(22,ROW()-31,1)),O$3:O$22),"")</f>
        <v/>
      </c>
      <c r="P80" t="str">
        <f ca="1">IF(AND(((COLUMN()-10)&lt;=playercnt),((ROW()-41)&lt;=playercnt)),SUMPRODUCT(INDIRECT(ADDRESS(3,ROW()-31,1)):INDIRECT(ADDRESS(22,ROW()-31,1)),P$3:P$22),"")</f>
        <v/>
      </c>
      <c r="Q80" t="str">
        <f ca="1">IF(AND(((COLUMN()-10)&lt;=playercnt),((ROW()-41)&lt;=playercnt)),SUMPRODUCT(INDIRECT(ADDRESS(3,ROW()-31,1)):INDIRECT(ADDRESS(22,ROW()-31,1)),Q$3:Q$22),"")</f>
        <v/>
      </c>
      <c r="R80" t="str">
        <f ca="1">IF(AND(((COLUMN()-10)&lt;=playercnt),((ROW()-41)&lt;=playercnt)),SUMPRODUCT(INDIRECT(ADDRESS(3,ROW()-31,1)):INDIRECT(ADDRESS(22,ROW()-31,1)),R$3:R$22),"")</f>
        <v/>
      </c>
      <c r="S80" t="str">
        <f ca="1">IF(AND(((COLUMN()-10)&lt;=playercnt),((ROW()-41)&lt;=playercnt)),SUMPRODUCT(INDIRECT(ADDRESS(3,ROW()-31,1)):INDIRECT(ADDRESS(22,ROW()-31,1)),S$3:S$22),"")</f>
        <v/>
      </c>
      <c r="T80" t="str">
        <f ca="1">IF(AND(((COLUMN()-10)&lt;=playercnt),((ROW()-41)&lt;=playercnt)),SUMPRODUCT(INDIRECT(ADDRESS(3,ROW()-31,1)):INDIRECT(ADDRESS(22,ROW()-31,1)),T$3:T$22),"")</f>
        <v/>
      </c>
      <c r="U80" t="str">
        <f ca="1">IF(AND(((COLUMN()-10)&lt;=playercnt),((ROW()-41)&lt;=playercnt)),SUMPRODUCT(INDIRECT(ADDRESS(3,ROW()-31,1)):INDIRECT(ADDRESS(22,ROW()-31,1)),U$3:U$22),"")</f>
        <v/>
      </c>
      <c r="V80" t="str">
        <f ca="1">IF(AND(((COLUMN()-10)&lt;=playercnt),((ROW()-41)&lt;=playercnt)),SUMPRODUCT(INDIRECT(ADDRESS(3,ROW()-31,1)):INDIRECT(ADDRESS(22,ROW()-31,1)),V$3:V$22),"")</f>
        <v/>
      </c>
      <c r="W80" t="str">
        <f ca="1">IF(AND(((COLUMN()-10)&lt;=playercnt),((ROW()-41)&lt;=playercnt)),SUMPRODUCT(INDIRECT(ADDRESS(3,ROW()-31,1)):INDIRECT(ADDRESS(22,ROW()-31,1)),W$3:W$22),"")</f>
        <v/>
      </c>
      <c r="X80" t="str">
        <f ca="1">IF(AND(((COLUMN()-10)&lt;=playercnt),((ROW()-41)&lt;=playercnt)),SUMPRODUCT(INDIRECT(ADDRESS(3,ROW()-31,1)):INDIRECT(ADDRESS(22,ROW()-31,1)),X$3:X$22),"")</f>
        <v/>
      </c>
      <c r="Y80" t="str">
        <f ca="1">IF(AND(((COLUMN()-10)&lt;=playercnt),((ROW()-41)&lt;=playercnt)),SUMPRODUCT(INDIRECT(ADDRESS(3,ROW()-31,1)):INDIRECT(ADDRESS(22,ROW()-31,1)),Y$3:Y$22),"")</f>
        <v/>
      </c>
      <c r="Z80" t="str">
        <f ca="1">IF(AND(((COLUMN()-10)&lt;=playercnt),((ROW()-41)&lt;=playercnt)),SUMPRODUCT(INDIRECT(ADDRESS(3,ROW()-31,1)):INDIRECT(ADDRESS(22,ROW()-31,1)),Z$3:Z$22),"")</f>
        <v/>
      </c>
      <c r="AA80" t="str">
        <f ca="1">IF(AND(((COLUMN()-10)&lt;=playercnt),((ROW()-41)&lt;=playercnt)),SUMPRODUCT(INDIRECT(ADDRESS(3,ROW()-31,1)):INDIRECT(ADDRESS(22,ROW()-31,1)),AA$3:AA$22),"")</f>
        <v/>
      </c>
      <c r="AB80" t="str">
        <f ca="1">IF(AND(((COLUMN()-10)&lt;=playercnt),((ROW()-41)&lt;=playercnt)),SUMPRODUCT(INDIRECT(ADDRESS(3,ROW()-31,1)):INDIRECT(ADDRESS(22,ROW()-31,1)),AB$3:AB$22),"")</f>
        <v/>
      </c>
      <c r="AC80" t="str">
        <f ca="1">IF(AND(((COLUMN()-10)&lt;=playercnt),((ROW()-41)&lt;=playercnt)),SUMPRODUCT(INDIRECT(ADDRESS(3,ROW()-31,1)):INDIRECT(ADDRESS(22,ROW()-31,1)),AC$3:AC$22),"")</f>
        <v/>
      </c>
      <c r="AD80" t="str">
        <f ca="1">IF(AND(((COLUMN()-10)&lt;=playercnt),((ROW()-41)&lt;=playercnt)),SUMPRODUCT(INDIRECT(ADDRESS(3,ROW()-31,1)):INDIRECT(ADDRESS(22,ROW()-31,1)),AD$3:AD$22),"")</f>
        <v/>
      </c>
      <c r="AE80" t="str">
        <f ca="1">IF(AND(((COLUMN()-10)&lt;=playercnt),((ROW()-41)&lt;=playercnt)),SUMPRODUCT(INDIRECT(ADDRESS(3,ROW()-31,1)):INDIRECT(ADDRESS(22,ROW()-31,1)),AE$3:AE$22),"")</f>
        <v/>
      </c>
      <c r="AF80" t="str">
        <f ca="1">IF(AND(((COLUMN()-10)&lt;=playercnt),((ROW()-41)&lt;=playercnt)),SUMPRODUCT(INDIRECT(ADDRESS(3,ROW()-31,1)):INDIRECT(ADDRESS(22,ROW()-31,1)),AF$3:AF$22),"")</f>
        <v/>
      </c>
      <c r="AG80" t="str">
        <f ca="1">IF(AND(((COLUMN()-10)&lt;=playercnt),((ROW()-41)&lt;=playercnt)),SUMPRODUCT(INDIRECT(ADDRESS(3,ROW()-31,1)):INDIRECT(ADDRESS(22,ROW()-31,1)),AG$3:AG$22),"")</f>
        <v/>
      </c>
      <c r="AH80" t="str">
        <f ca="1">IF(AND(((COLUMN()-10)&lt;=playercnt),((ROW()-41)&lt;=playercnt)),SUMPRODUCT(INDIRECT(ADDRESS(3,ROW()-31,1)):INDIRECT(ADDRESS(22,ROW()-31,1)),AH$3:AH$22),"")</f>
        <v/>
      </c>
      <c r="AI80" t="str">
        <f ca="1">IF(AND(((COLUMN()-10)&lt;=playercnt),((ROW()-41)&lt;=playercnt)),SUMPRODUCT(INDIRECT(ADDRESS(3,ROW()-31,1)):INDIRECT(ADDRESS(22,ROW()-31,1)),AI$3:AI$22),"")</f>
        <v/>
      </c>
      <c r="AJ80" t="str">
        <f ca="1">IF(AND(((COLUMN()-10)&lt;=playercnt),((ROW()-41)&lt;=playercnt)),SUMPRODUCT(INDIRECT(ADDRESS(3,ROW()-31,1)):INDIRECT(ADDRESS(22,ROW()-31,1)),AJ$3:AJ$22),"")</f>
        <v/>
      </c>
      <c r="AK80" t="str">
        <f ca="1">IF(AND(((COLUMN()-10)&lt;=playercnt),((ROW()-41)&lt;=playercnt)),SUMPRODUCT(INDIRECT(ADDRESS(3,ROW()-31,1)):INDIRECT(ADDRESS(22,ROW()-31,1)),AK$3:AK$22),"")</f>
        <v/>
      </c>
      <c r="AL80" t="str">
        <f ca="1">IF(AND(((COLUMN()-10)&lt;=playercnt),((ROW()-41)&lt;=playercnt)),SUMPRODUCT(INDIRECT(ADDRESS(3,ROW()-31,1)):INDIRECT(ADDRESS(22,ROW()-31,1)),AL$3:AL$22),"")</f>
        <v/>
      </c>
      <c r="AM80" t="str">
        <f ca="1">IF(AND(((COLUMN()-10)&lt;=playercnt),((ROW()-41)&lt;=playercnt)),SUMPRODUCT(INDIRECT(ADDRESS(3,ROW()-31,1)):INDIRECT(ADDRESS(22,ROW()-31,1)),AM$3:AM$22),"")</f>
        <v/>
      </c>
      <c r="AN80" t="str">
        <f ca="1">IF(AND(((COLUMN()-10)&lt;=playercnt),((ROW()-41)&lt;=playercnt)),SUMPRODUCT(INDIRECT(ADDRESS(3,ROW()-31,1)):INDIRECT(ADDRESS(22,ROW()-31,1)),AN$3:AN$22),"")</f>
        <v/>
      </c>
      <c r="AO80" t="str">
        <f ca="1">IF(AND(((COLUMN()-10)&lt;=playercnt),((ROW()-41)&lt;=playercnt)),SUMPRODUCT(INDIRECT(ADDRESS(3,ROW()-31,1)):INDIRECT(ADDRESS(22,ROW()-31,1)),AO$3:AO$22),"")</f>
        <v/>
      </c>
      <c r="AP80" t="str">
        <f ca="1">IF(AND(((COLUMN()-10)&lt;=playercnt),((ROW()-41)&lt;=playercnt)),SUMPRODUCT(INDIRECT(ADDRESS(3,ROW()-31,1)):INDIRECT(ADDRESS(22,ROW()-31,1)),AP$3:AP$22),"")</f>
        <v/>
      </c>
      <c r="AQ80" t="str">
        <f ca="1">IF(AND(((COLUMN()-10)&lt;=playercnt),((ROW()-41)&lt;=playercnt)),SUMPRODUCT(INDIRECT(ADDRESS(3,ROW()-31,1)):INDIRECT(ADDRESS(22,ROW()-31,1)),AQ$3:AQ$22),"")</f>
        <v/>
      </c>
      <c r="AR80" t="str">
        <f ca="1">IF(AND(((COLUMN()-10)&lt;=playercnt),((ROW()-41)&lt;=playercnt)),SUMPRODUCT(INDIRECT(ADDRESS(3,ROW()-31,1)):INDIRECT(ADDRESS(22,ROW()-31,1)),AR$3:AR$22),"")</f>
        <v/>
      </c>
      <c r="AS80" t="str">
        <f ca="1">IF(AND(((COLUMN()-10)&lt;=playercnt),((ROW()-41)&lt;=playercnt)),SUMPRODUCT(INDIRECT(ADDRESS(3,ROW()-31,1)):INDIRECT(ADDRESS(22,ROW()-31,1)),AS$3:AS$22),"")</f>
        <v/>
      </c>
      <c r="AT80" t="str">
        <f ca="1">IF(AND(((COLUMN()-10)&lt;=playercnt),((ROW()-41)&lt;=playercnt)),SUMPRODUCT(INDIRECT(ADDRESS(3,ROW()-31,1)):INDIRECT(ADDRESS(22,ROW()-31,1)),AT$3:AT$22),"")</f>
        <v/>
      </c>
      <c r="AU80" t="str">
        <f ca="1">IF(AND(((COLUMN()-10)&lt;=playercnt),((ROW()-41)&lt;=playercnt)),SUMPRODUCT(INDIRECT(ADDRESS(3,ROW()-31,1)):INDIRECT(ADDRESS(22,ROW()-31,1)),AU$3:AU$22),"")</f>
        <v/>
      </c>
      <c r="AV80" t="str">
        <f ca="1">IF(AND(((COLUMN()-10)&lt;=playercnt),((ROW()-41)&lt;=playercnt)),SUMPRODUCT(INDIRECT(ADDRESS(3,ROW()-31,1)):INDIRECT(ADDRESS(22,ROW()-31,1)),AV$3:AV$22),"")</f>
        <v/>
      </c>
      <c r="AW80" t="str">
        <f ca="1">IF(AND(((COLUMN()-10)&lt;=playercnt),((ROW()-41)&lt;=playercnt)),SUMPRODUCT(INDIRECT(ADDRESS(3,ROW()-31,1)):INDIRECT(ADDRESS(22,ROW()-31,1)),AW$3:AW$22),"")</f>
        <v/>
      </c>
      <c r="AX80" t="str">
        <f ca="1">IF(AND(((COLUMN()-10)&lt;=playercnt),((ROW()-41)&lt;=playercnt)),SUMPRODUCT(INDIRECT(ADDRESS(3,ROW()-31,1)):INDIRECT(ADDRESS(22,ROW()-31,1)),AX$3:AX$22),"")</f>
        <v/>
      </c>
      <c r="AY80" t="str">
        <f ca="1">IF(AND(((COLUMN()-10)&lt;=playercnt),((ROW()-41)&lt;=playercnt)),SUMPRODUCT(INDIRECT(ADDRESS(3,ROW()-31,1)):INDIRECT(ADDRESS(22,ROW()-31,1)),AY$3:AY$22),"")</f>
        <v/>
      </c>
      <c r="AZ80" t="str">
        <f ca="1">IF(AND(((COLUMN()-10)&lt;=playercnt),((ROW()-41)&lt;=playercnt)),SUMPRODUCT(INDIRECT(ADDRESS(3,ROW()-31,1)):INDIRECT(ADDRESS(22,ROW()-31,1)),AZ$3:AZ$22),"")</f>
        <v/>
      </c>
      <c r="BA80" t="str">
        <f ca="1">IF(AND(((COLUMN()-10)&lt;=playercnt),((ROW()-41)&lt;=playercnt)),SUMPRODUCT(INDIRECT(ADDRESS(3,ROW()-31,1)):INDIRECT(ADDRESS(22,ROW()-31,1)),BA$3:BA$22),"")</f>
        <v/>
      </c>
      <c r="BB80" t="str">
        <f ca="1">IF(AND(((COLUMN()-10)&lt;=playercnt),((ROW()-41)&lt;=playercnt)),SUMPRODUCT(INDIRECT(ADDRESS(3,ROW()-31,1)):INDIRECT(ADDRESS(22,ROW()-31,1)),BB$3:BB$22),"")</f>
        <v/>
      </c>
      <c r="BC80" t="str">
        <f ca="1">IF(AND(((COLUMN()-10)&lt;=playercnt),((ROW()-41)&lt;=playercnt)),SUMPRODUCT(INDIRECT(ADDRESS(3,ROW()-31,1)):INDIRECT(ADDRESS(22,ROW()-31,1)),BC$3:BC$22),"")</f>
        <v/>
      </c>
      <c r="BD80" t="str">
        <f ca="1">IF(AND(((COLUMN()-10)&lt;=playercnt),((ROW()-41)&lt;=playercnt)),SUMPRODUCT(INDIRECT(ADDRESS(3,ROW()-31,1)):INDIRECT(ADDRESS(22,ROW()-31,1)),BD$3:BD$22),"")</f>
        <v/>
      </c>
      <c r="BE80" t="str">
        <f ca="1">IF(AND(((COLUMN()-10)&lt;=playercnt),((ROW()-41)&lt;=playercnt)),SUMPRODUCT(INDIRECT(ADDRESS(3,ROW()-31,1)):INDIRECT(ADDRESS(22,ROW()-31,1)),BE$3:BE$22),"")</f>
        <v/>
      </c>
      <c r="BF80" t="str">
        <f ca="1">IF(AND(((COLUMN()-10)&lt;=playercnt),((ROW()-41)&lt;=playercnt)),SUMPRODUCT(INDIRECT(ADDRESS(3,ROW()-31,1)):INDIRECT(ADDRESS(22,ROW()-31,1)),BF$3:BF$22),"")</f>
        <v/>
      </c>
      <c r="BG80" t="str">
        <f ca="1">IF(AND(((COLUMN()-10)&lt;=playercnt),((ROW()-41)&lt;=playercnt)),SUMPRODUCT(INDIRECT(ADDRESS(3,ROW()-31,1)):INDIRECT(ADDRESS(22,ROW()-31,1)),BG$3:BG$22),"")</f>
        <v/>
      </c>
      <c r="BH80" t="str">
        <f ca="1">IF(AND(((COLUMN()-10)&lt;=playercnt),((ROW()-41)&lt;=playercnt)),SUMPRODUCT(INDIRECT(ADDRESS(3,ROW()-31,1)):INDIRECT(ADDRESS(22,ROW()-31,1)),BH$3:BH$22),"")</f>
        <v/>
      </c>
      <c r="BI80" t="str">
        <f ca="1">IF(AND(((COLUMN()-10)&lt;=playercnt),((ROW()-41)&lt;=playercnt)),SUMPRODUCT(INDIRECT(ADDRESS(3,ROW()-31,1)):INDIRECT(ADDRESS(22,ROW()-31,1)),BI$3:BI$22),"")</f>
        <v/>
      </c>
      <c r="BJ80" t="str">
        <f ca="1">IF(AND(((COLUMN()-10)&lt;=playercnt),((ROW()-41)&lt;=playercnt)),SUMPRODUCT(INDIRECT(ADDRESS(3,ROW()-31,1)):INDIRECT(ADDRESS(22,ROW()-31,1)),BJ$3:BJ$22),"")</f>
        <v/>
      </c>
      <c r="BK80" t="str">
        <f ca="1">IF(AND(((COLUMN()-10)&lt;=playercnt),((ROW()-41)&lt;=playercnt)),SUMPRODUCT(INDIRECT(ADDRESS(3,ROW()-31,1)):INDIRECT(ADDRESS(22,ROW()-31,1)),BK$3:BK$22),"")</f>
        <v/>
      </c>
      <c r="BL80" t="str">
        <f ca="1">IF(AND(((COLUMN()-10)&lt;=playercnt),((ROW()-41)&lt;=playercnt)),SUMPRODUCT(INDIRECT(ADDRESS(3,ROW()-31,1)):INDIRECT(ADDRESS(22,ROW()-31,1)),BL$3:BL$22),"")</f>
        <v/>
      </c>
      <c r="BM80" t="str">
        <f ca="1">IF(AND(((COLUMN()-10)&lt;=playercnt),((ROW()-41)&lt;=playercnt)),SUMPRODUCT(INDIRECT(ADDRESS(3,ROW()-31,1)):INDIRECT(ADDRESS(22,ROW()-31,1)),BM$3:BM$22),"")</f>
        <v/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>
      <c r="B81" s="27" t="str">
        <f t="shared" ca="1" si="29"/>
        <v/>
      </c>
      <c r="C81" t="str">
        <f t="shared" ca="1" si="30"/>
        <v/>
      </c>
      <c r="G81" t="str">
        <f ca="1">IF(AND(((COLUMN()-10)&lt;=playercnt),((ROW()-41)&lt;=playercnt)),SUMPRODUCT(INDIRECT(ADDRESS(3,ROW()-31,1)):INDIRECT(ADDRESS(22,ROW()-31,1)),G$3:G$22),"")</f>
        <v/>
      </c>
      <c r="H81" t="str">
        <f ca="1">IF(AND(((COLUMN()-10)&lt;=playercnt),((ROW()-41)&lt;=playercnt)),SUMPRODUCT(INDIRECT(ADDRESS(3,ROW()-31,1)):INDIRECT(ADDRESS(22,ROW()-31,1)),H$3:H$22),"")</f>
        <v/>
      </c>
      <c r="I81" t="str">
        <f ca="1">IF(AND(((COLUMN()-10)&lt;=playercnt),((ROW()-41)&lt;=playercnt)),SUMPRODUCT(INDIRECT(ADDRESS(3,ROW()-31,1)):INDIRECT(ADDRESS(22,ROW()-31,1)),I$3:I$22),"")</f>
        <v/>
      </c>
      <c r="J81" t="str">
        <f ca="1">IF(AND(((COLUMN()-10)&lt;=playercnt),((ROW()-41)&lt;=playercnt)),SUMPRODUCT(INDIRECT(ADDRESS(3,ROW()-31,1)):INDIRECT(ADDRESS(22,ROW()-31,1)),J$3:J$22),"")</f>
        <v/>
      </c>
      <c r="K81" t="str">
        <f ca="1">IF(AND(((COLUMN()-10)&lt;=playercnt),((ROW()-41)&lt;=playercnt)),SUMPRODUCT(INDIRECT(ADDRESS(3,ROW()-31,1)):INDIRECT(ADDRESS(22,ROW()-31,1)),K$3:K$22),"")</f>
        <v/>
      </c>
      <c r="L81" t="str">
        <f ca="1">IF(AND(((COLUMN()-10)&lt;=playercnt),((ROW()-41)&lt;=playercnt)),SUMPRODUCT(INDIRECT(ADDRESS(3,ROW()-31,1)):INDIRECT(ADDRESS(22,ROW()-31,1)),L$3:L$22),"")</f>
        <v/>
      </c>
      <c r="M81" t="str">
        <f ca="1">IF(AND(((COLUMN()-10)&lt;=playercnt),((ROW()-41)&lt;=playercnt)),SUMPRODUCT(INDIRECT(ADDRESS(3,ROW()-31,1)):INDIRECT(ADDRESS(22,ROW()-31,1)),M$3:M$22),"")</f>
        <v/>
      </c>
      <c r="N81" t="str">
        <f ca="1">IF(AND(((COLUMN()-10)&lt;=playercnt),((ROW()-41)&lt;=playercnt)),SUMPRODUCT(INDIRECT(ADDRESS(3,ROW()-31,1)):INDIRECT(ADDRESS(22,ROW()-31,1)),N$3:N$22),"")</f>
        <v/>
      </c>
      <c r="O81" t="str">
        <f ca="1">IF(AND(((COLUMN()-10)&lt;=playercnt),((ROW()-41)&lt;=playercnt)),SUMPRODUCT(INDIRECT(ADDRESS(3,ROW()-31,1)):INDIRECT(ADDRESS(22,ROW()-31,1)),O$3:O$22),"")</f>
        <v/>
      </c>
      <c r="P81" t="str">
        <f ca="1">IF(AND(((COLUMN()-10)&lt;=playercnt),((ROW()-41)&lt;=playercnt)),SUMPRODUCT(INDIRECT(ADDRESS(3,ROW()-31,1)):INDIRECT(ADDRESS(22,ROW()-31,1)),P$3:P$22),"")</f>
        <v/>
      </c>
      <c r="Q81" t="str">
        <f ca="1">IF(AND(((COLUMN()-10)&lt;=playercnt),((ROW()-41)&lt;=playercnt)),SUMPRODUCT(INDIRECT(ADDRESS(3,ROW()-31,1)):INDIRECT(ADDRESS(22,ROW()-31,1)),Q$3:Q$22),"")</f>
        <v/>
      </c>
      <c r="R81" t="str">
        <f ca="1">IF(AND(((COLUMN()-10)&lt;=playercnt),((ROW()-41)&lt;=playercnt)),SUMPRODUCT(INDIRECT(ADDRESS(3,ROW()-31,1)):INDIRECT(ADDRESS(22,ROW()-31,1)),R$3:R$22),"")</f>
        <v/>
      </c>
      <c r="S81" t="str">
        <f ca="1">IF(AND(((COLUMN()-10)&lt;=playercnt),((ROW()-41)&lt;=playercnt)),SUMPRODUCT(INDIRECT(ADDRESS(3,ROW()-31,1)):INDIRECT(ADDRESS(22,ROW()-31,1)),S$3:S$22),"")</f>
        <v/>
      </c>
      <c r="T81" t="str">
        <f ca="1">IF(AND(((COLUMN()-10)&lt;=playercnt),((ROW()-41)&lt;=playercnt)),SUMPRODUCT(INDIRECT(ADDRESS(3,ROW()-31,1)):INDIRECT(ADDRESS(22,ROW()-31,1)),T$3:T$22),"")</f>
        <v/>
      </c>
      <c r="U81" t="str">
        <f ca="1">IF(AND(((COLUMN()-10)&lt;=playercnt),((ROW()-41)&lt;=playercnt)),SUMPRODUCT(INDIRECT(ADDRESS(3,ROW()-31,1)):INDIRECT(ADDRESS(22,ROW()-31,1)),U$3:U$22),"")</f>
        <v/>
      </c>
      <c r="V81" t="str">
        <f ca="1">IF(AND(((COLUMN()-10)&lt;=playercnt),((ROW()-41)&lt;=playercnt)),SUMPRODUCT(INDIRECT(ADDRESS(3,ROW()-31,1)):INDIRECT(ADDRESS(22,ROW()-31,1)),V$3:V$22),"")</f>
        <v/>
      </c>
      <c r="W81" t="str">
        <f ca="1">IF(AND(((COLUMN()-10)&lt;=playercnt),((ROW()-41)&lt;=playercnt)),SUMPRODUCT(INDIRECT(ADDRESS(3,ROW()-31,1)):INDIRECT(ADDRESS(22,ROW()-31,1)),W$3:W$22),"")</f>
        <v/>
      </c>
      <c r="X81" t="str">
        <f ca="1">IF(AND(((COLUMN()-10)&lt;=playercnt),((ROW()-41)&lt;=playercnt)),SUMPRODUCT(INDIRECT(ADDRESS(3,ROW()-31,1)):INDIRECT(ADDRESS(22,ROW()-31,1)),X$3:X$22),"")</f>
        <v/>
      </c>
      <c r="Y81" t="str">
        <f ca="1">IF(AND(((COLUMN()-10)&lt;=playercnt),((ROW()-41)&lt;=playercnt)),SUMPRODUCT(INDIRECT(ADDRESS(3,ROW()-31,1)):INDIRECT(ADDRESS(22,ROW()-31,1)),Y$3:Y$22),"")</f>
        <v/>
      </c>
      <c r="Z81" t="str">
        <f ca="1">IF(AND(((COLUMN()-10)&lt;=playercnt),((ROW()-41)&lt;=playercnt)),SUMPRODUCT(INDIRECT(ADDRESS(3,ROW()-31,1)):INDIRECT(ADDRESS(22,ROW()-31,1)),Z$3:Z$22),"")</f>
        <v/>
      </c>
      <c r="AA81" t="str">
        <f ca="1">IF(AND(((COLUMN()-10)&lt;=playercnt),((ROW()-41)&lt;=playercnt)),SUMPRODUCT(INDIRECT(ADDRESS(3,ROW()-31,1)):INDIRECT(ADDRESS(22,ROW()-31,1)),AA$3:AA$22),"")</f>
        <v/>
      </c>
      <c r="AB81" t="str">
        <f ca="1">IF(AND(((COLUMN()-10)&lt;=playercnt),((ROW()-41)&lt;=playercnt)),SUMPRODUCT(INDIRECT(ADDRESS(3,ROW()-31,1)):INDIRECT(ADDRESS(22,ROW()-31,1)),AB$3:AB$22),"")</f>
        <v/>
      </c>
      <c r="AC81" t="str">
        <f ca="1">IF(AND(((COLUMN()-10)&lt;=playercnt),((ROW()-41)&lt;=playercnt)),SUMPRODUCT(INDIRECT(ADDRESS(3,ROW()-31,1)):INDIRECT(ADDRESS(22,ROW()-31,1)),AC$3:AC$22),"")</f>
        <v/>
      </c>
      <c r="AD81" t="str">
        <f ca="1">IF(AND(((COLUMN()-10)&lt;=playercnt),((ROW()-41)&lt;=playercnt)),SUMPRODUCT(INDIRECT(ADDRESS(3,ROW()-31,1)):INDIRECT(ADDRESS(22,ROW()-31,1)),AD$3:AD$22),"")</f>
        <v/>
      </c>
      <c r="AE81" t="str">
        <f ca="1">IF(AND(((COLUMN()-10)&lt;=playercnt),((ROW()-41)&lt;=playercnt)),SUMPRODUCT(INDIRECT(ADDRESS(3,ROW()-31,1)):INDIRECT(ADDRESS(22,ROW()-31,1)),AE$3:AE$22),"")</f>
        <v/>
      </c>
      <c r="AF81" t="str">
        <f ca="1">IF(AND(((COLUMN()-10)&lt;=playercnt),((ROW()-41)&lt;=playercnt)),SUMPRODUCT(INDIRECT(ADDRESS(3,ROW()-31,1)):INDIRECT(ADDRESS(22,ROW()-31,1)),AF$3:AF$22),"")</f>
        <v/>
      </c>
      <c r="AG81" t="str">
        <f ca="1">IF(AND(((COLUMN()-10)&lt;=playercnt),((ROW()-41)&lt;=playercnt)),SUMPRODUCT(INDIRECT(ADDRESS(3,ROW()-31,1)):INDIRECT(ADDRESS(22,ROW()-31,1)),AG$3:AG$22),"")</f>
        <v/>
      </c>
      <c r="AH81" t="str">
        <f ca="1">IF(AND(((COLUMN()-10)&lt;=playercnt),((ROW()-41)&lt;=playercnt)),SUMPRODUCT(INDIRECT(ADDRESS(3,ROW()-31,1)):INDIRECT(ADDRESS(22,ROW()-31,1)),AH$3:AH$22),"")</f>
        <v/>
      </c>
      <c r="AI81" t="str">
        <f ca="1">IF(AND(((COLUMN()-10)&lt;=playercnt),((ROW()-41)&lt;=playercnt)),SUMPRODUCT(INDIRECT(ADDRESS(3,ROW()-31,1)):INDIRECT(ADDRESS(22,ROW()-31,1)),AI$3:AI$22),"")</f>
        <v/>
      </c>
      <c r="AJ81" t="str">
        <f ca="1">IF(AND(((COLUMN()-10)&lt;=playercnt),((ROW()-41)&lt;=playercnt)),SUMPRODUCT(INDIRECT(ADDRESS(3,ROW()-31,1)):INDIRECT(ADDRESS(22,ROW()-31,1)),AJ$3:AJ$22),"")</f>
        <v/>
      </c>
      <c r="AK81" t="str">
        <f ca="1">IF(AND(((COLUMN()-10)&lt;=playercnt),((ROW()-41)&lt;=playercnt)),SUMPRODUCT(INDIRECT(ADDRESS(3,ROW()-31,1)):INDIRECT(ADDRESS(22,ROW()-31,1)),AK$3:AK$22),"")</f>
        <v/>
      </c>
      <c r="AL81" t="str">
        <f ca="1">IF(AND(((COLUMN()-10)&lt;=playercnt),((ROW()-41)&lt;=playercnt)),SUMPRODUCT(INDIRECT(ADDRESS(3,ROW()-31,1)):INDIRECT(ADDRESS(22,ROW()-31,1)),AL$3:AL$22),"")</f>
        <v/>
      </c>
      <c r="AM81" t="str">
        <f ca="1">IF(AND(((COLUMN()-10)&lt;=playercnt),((ROW()-41)&lt;=playercnt)),SUMPRODUCT(INDIRECT(ADDRESS(3,ROW()-31,1)):INDIRECT(ADDRESS(22,ROW()-31,1)),AM$3:AM$22),"")</f>
        <v/>
      </c>
      <c r="AN81" t="str">
        <f ca="1">IF(AND(((COLUMN()-10)&lt;=playercnt),((ROW()-41)&lt;=playercnt)),SUMPRODUCT(INDIRECT(ADDRESS(3,ROW()-31,1)):INDIRECT(ADDRESS(22,ROW()-31,1)),AN$3:AN$22),"")</f>
        <v/>
      </c>
      <c r="AO81" t="str">
        <f ca="1">IF(AND(((COLUMN()-10)&lt;=playercnt),((ROW()-41)&lt;=playercnt)),SUMPRODUCT(INDIRECT(ADDRESS(3,ROW()-31,1)):INDIRECT(ADDRESS(22,ROW()-31,1)),AO$3:AO$22),"")</f>
        <v/>
      </c>
      <c r="AP81" t="str">
        <f ca="1">IF(AND(((COLUMN()-10)&lt;=playercnt),((ROW()-41)&lt;=playercnt)),SUMPRODUCT(INDIRECT(ADDRESS(3,ROW()-31,1)):INDIRECT(ADDRESS(22,ROW()-31,1)),AP$3:AP$22),"")</f>
        <v/>
      </c>
      <c r="AQ81" t="str">
        <f ca="1">IF(AND(((COLUMN()-10)&lt;=playercnt),((ROW()-41)&lt;=playercnt)),SUMPRODUCT(INDIRECT(ADDRESS(3,ROW()-31,1)):INDIRECT(ADDRESS(22,ROW()-31,1)),AQ$3:AQ$22),"")</f>
        <v/>
      </c>
      <c r="AR81" t="str">
        <f ca="1">IF(AND(((COLUMN()-10)&lt;=playercnt),((ROW()-41)&lt;=playercnt)),SUMPRODUCT(INDIRECT(ADDRESS(3,ROW()-31,1)):INDIRECT(ADDRESS(22,ROW()-31,1)),AR$3:AR$22),"")</f>
        <v/>
      </c>
      <c r="AS81" t="str">
        <f ca="1">IF(AND(((COLUMN()-10)&lt;=playercnt),((ROW()-41)&lt;=playercnt)),SUMPRODUCT(INDIRECT(ADDRESS(3,ROW()-31,1)):INDIRECT(ADDRESS(22,ROW()-31,1)),AS$3:AS$22),"")</f>
        <v/>
      </c>
      <c r="AT81" t="str">
        <f ca="1">IF(AND(((COLUMN()-10)&lt;=playercnt),((ROW()-41)&lt;=playercnt)),SUMPRODUCT(INDIRECT(ADDRESS(3,ROW()-31,1)):INDIRECT(ADDRESS(22,ROW()-31,1)),AT$3:AT$22),"")</f>
        <v/>
      </c>
      <c r="AU81" t="str">
        <f ca="1">IF(AND(((COLUMN()-10)&lt;=playercnt),((ROW()-41)&lt;=playercnt)),SUMPRODUCT(INDIRECT(ADDRESS(3,ROW()-31,1)):INDIRECT(ADDRESS(22,ROW()-31,1)),AU$3:AU$22),"")</f>
        <v/>
      </c>
      <c r="AV81" t="str">
        <f ca="1">IF(AND(((COLUMN()-10)&lt;=playercnt),((ROW()-41)&lt;=playercnt)),SUMPRODUCT(INDIRECT(ADDRESS(3,ROW()-31,1)):INDIRECT(ADDRESS(22,ROW()-31,1)),AV$3:AV$22),"")</f>
        <v/>
      </c>
      <c r="AW81" t="str">
        <f ca="1">IF(AND(((COLUMN()-10)&lt;=playercnt),((ROW()-41)&lt;=playercnt)),SUMPRODUCT(INDIRECT(ADDRESS(3,ROW()-31,1)):INDIRECT(ADDRESS(22,ROW()-31,1)),AW$3:AW$22),"")</f>
        <v/>
      </c>
      <c r="AX81" t="str">
        <f ca="1">IF(AND(((COLUMN()-10)&lt;=playercnt),((ROW()-41)&lt;=playercnt)),SUMPRODUCT(INDIRECT(ADDRESS(3,ROW()-31,1)):INDIRECT(ADDRESS(22,ROW()-31,1)),AX$3:AX$22),"")</f>
        <v/>
      </c>
      <c r="AY81" t="str">
        <f ca="1">IF(AND(((COLUMN()-10)&lt;=playercnt),((ROW()-41)&lt;=playercnt)),SUMPRODUCT(INDIRECT(ADDRESS(3,ROW()-31,1)):INDIRECT(ADDRESS(22,ROW()-31,1)),AY$3:AY$22),"")</f>
        <v/>
      </c>
      <c r="AZ81" t="str">
        <f ca="1">IF(AND(((COLUMN()-10)&lt;=playercnt),((ROW()-41)&lt;=playercnt)),SUMPRODUCT(INDIRECT(ADDRESS(3,ROW()-31,1)):INDIRECT(ADDRESS(22,ROW()-31,1)),AZ$3:AZ$22),"")</f>
        <v/>
      </c>
      <c r="BA81" t="str">
        <f ca="1">IF(AND(((COLUMN()-10)&lt;=playercnt),((ROW()-41)&lt;=playercnt)),SUMPRODUCT(INDIRECT(ADDRESS(3,ROW()-31,1)):INDIRECT(ADDRESS(22,ROW()-31,1)),BA$3:BA$22),"")</f>
        <v/>
      </c>
      <c r="BB81" t="str">
        <f ca="1">IF(AND(((COLUMN()-10)&lt;=playercnt),((ROW()-41)&lt;=playercnt)),SUMPRODUCT(INDIRECT(ADDRESS(3,ROW()-31,1)):INDIRECT(ADDRESS(22,ROW()-31,1)),BB$3:BB$22),"")</f>
        <v/>
      </c>
      <c r="BC81" t="str">
        <f ca="1">IF(AND(((COLUMN()-10)&lt;=playercnt),((ROW()-41)&lt;=playercnt)),SUMPRODUCT(INDIRECT(ADDRESS(3,ROW()-31,1)):INDIRECT(ADDRESS(22,ROW()-31,1)),BC$3:BC$22),"")</f>
        <v/>
      </c>
      <c r="BD81" t="str">
        <f ca="1">IF(AND(((COLUMN()-10)&lt;=playercnt),((ROW()-41)&lt;=playercnt)),SUMPRODUCT(INDIRECT(ADDRESS(3,ROW()-31,1)):INDIRECT(ADDRESS(22,ROW()-31,1)),BD$3:BD$22),"")</f>
        <v/>
      </c>
      <c r="BE81" t="str">
        <f ca="1">IF(AND(((COLUMN()-10)&lt;=playercnt),((ROW()-41)&lt;=playercnt)),SUMPRODUCT(INDIRECT(ADDRESS(3,ROW()-31,1)):INDIRECT(ADDRESS(22,ROW()-31,1)),BE$3:BE$22),"")</f>
        <v/>
      </c>
      <c r="BF81" t="str">
        <f ca="1">IF(AND(((COLUMN()-10)&lt;=playercnt),((ROW()-41)&lt;=playercnt)),SUMPRODUCT(INDIRECT(ADDRESS(3,ROW()-31,1)):INDIRECT(ADDRESS(22,ROW()-31,1)),BF$3:BF$22),"")</f>
        <v/>
      </c>
      <c r="BG81" t="str">
        <f ca="1">IF(AND(((COLUMN()-10)&lt;=playercnt),((ROW()-41)&lt;=playercnt)),SUMPRODUCT(INDIRECT(ADDRESS(3,ROW()-31,1)):INDIRECT(ADDRESS(22,ROW()-31,1)),BG$3:BG$22),"")</f>
        <v/>
      </c>
      <c r="BH81" t="str">
        <f ca="1">IF(AND(((COLUMN()-10)&lt;=playercnt),((ROW()-41)&lt;=playercnt)),SUMPRODUCT(INDIRECT(ADDRESS(3,ROW()-31,1)):INDIRECT(ADDRESS(22,ROW()-31,1)),BH$3:BH$22),"")</f>
        <v/>
      </c>
      <c r="BI81" t="str">
        <f ca="1">IF(AND(((COLUMN()-10)&lt;=playercnt),((ROW()-41)&lt;=playercnt)),SUMPRODUCT(INDIRECT(ADDRESS(3,ROW()-31,1)):INDIRECT(ADDRESS(22,ROW()-31,1)),BI$3:BI$22),"")</f>
        <v/>
      </c>
      <c r="BJ81" t="str">
        <f ca="1">IF(AND(((COLUMN()-10)&lt;=playercnt),((ROW()-41)&lt;=playercnt)),SUMPRODUCT(INDIRECT(ADDRESS(3,ROW()-31,1)):INDIRECT(ADDRESS(22,ROW()-31,1)),BJ$3:BJ$22),"")</f>
        <v/>
      </c>
      <c r="BK81" t="str">
        <f ca="1">IF(AND(((COLUMN()-10)&lt;=playercnt),((ROW()-41)&lt;=playercnt)),SUMPRODUCT(INDIRECT(ADDRESS(3,ROW()-31,1)):INDIRECT(ADDRESS(22,ROW()-31,1)),BK$3:BK$22),"")</f>
        <v/>
      </c>
      <c r="BL81" t="str">
        <f ca="1">IF(AND(((COLUMN()-10)&lt;=playercnt),((ROW()-41)&lt;=playercnt)),SUMPRODUCT(INDIRECT(ADDRESS(3,ROW()-31,1)):INDIRECT(ADDRESS(22,ROW()-31,1)),BL$3:BL$22),"")</f>
        <v/>
      </c>
      <c r="BM81" t="str">
        <f ca="1">IF(AND(((COLUMN()-10)&lt;=playercnt),((ROW()-41)&lt;=playercnt)),SUMPRODUCT(INDIRECT(ADDRESS(3,ROW()-31,1)):INDIRECT(ADDRESS(22,ROW()-31,1)),BM$3:BM$22),"")</f>
        <v/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>
      <c r="B82" s="27" t="str">
        <f t="shared" ca="1" si="29"/>
        <v/>
      </c>
      <c r="C82" t="str">
        <f t="shared" ca="1" si="30"/>
        <v/>
      </c>
      <c r="G82" t="str">
        <f ca="1">IF(AND(((COLUMN()-10)&lt;=playercnt),((ROW()-41)&lt;=playercnt)),SUMPRODUCT(INDIRECT(ADDRESS(3,ROW()-31,1)):INDIRECT(ADDRESS(22,ROW()-31,1)),G$3:G$22),"")</f>
        <v/>
      </c>
      <c r="H82" t="str">
        <f ca="1">IF(AND(((COLUMN()-10)&lt;=playercnt),((ROW()-41)&lt;=playercnt)),SUMPRODUCT(INDIRECT(ADDRESS(3,ROW()-31,1)):INDIRECT(ADDRESS(22,ROW()-31,1)),H$3:H$22),"")</f>
        <v/>
      </c>
      <c r="I82" t="str">
        <f ca="1">IF(AND(((COLUMN()-10)&lt;=playercnt),((ROW()-41)&lt;=playercnt)),SUMPRODUCT(INDIRECT(ADDRESS(3,ROW()-31,1)):INDIRECT(ADDRESS(22,ROW()-31,1)),I$3:I$22),"")</f>
        <v/>
      </c>
      <c r="J82" t="str">
        <f ca="1">IF(AND(((COLUMN()-10)&lt;=playercnt),((ROW()-41)&lt;=playercnt)),SUMPRODUCT(INDIRECT(ADDRESS(3,ROW()-31,1)):INDIRECT(ADDRESS(22,ROW()-31,1)),J$3:J$22),"")</f>
        <v/>
      </c>
      <c r="K82" t="str">
        <f ca="1">IF(AND(((COLUMN()-10)&lt;=playercnt),((ROW()-41)&lt;=playercnt)),SUMPRODUCT(INDIRECT(ADDRESS(3,ROW()-31,1)):INDIRECT(ADDRESS(22,ROW()-31,1)),K$3:K$22),"")</f>
        <v/>
      </c>
      <c r="L82" t="str">
        <f ca="1">IF(AND(((COLUMN()-10)&lt;=playercnt),((ROW()-41)&lt;=playercnt)),SUMPRODUCT(INDIRECT(ADDRESS(3,ROW()-31,1)):INDIRECT(ADDRESS(22,ROW()-31,1)),L$3:L$22),"")</f>
        <v/>
      </c>
      <c r="M82" t="str">
        <f ca="1">IF(AND(((COLUMN()-10)&lt;=playercnt),((ROW()-41)&lt;=playercnt)),SUMPRODUCT(INDIRECT(ADDRESS(3,ROW()-31,1)):INDIRECT(ADDRESS(22,ROW()-31,1)),M$3:M$22),"")</f>
        <v/>
      </c>
      <c r="N82" t="str">
        <f ca="1">IF(AND(((COLUMN()-10)&lt;=playercnt),((ROW()-41)&lt;=playercnt)),SUMPRODUCT(INDIRECT(ADDRESS(3,ROW()-31,1)):INDIRECT(ADDRESS(22,ROW()-31,1)),N$3:N$22),"")</f>
        <v/>
      </c>
      <c r="O82" t="str">
        <f ca="1">IF(AND(((COLUMN()-10)&lt;=playercnt),((ROW()-41)&lt;=playercnt)),SUMPRODUCT(INDIRECT(ADDRESS(3,ROW()-31,1)):INDIRECT(ADDRESS(22,ROW()-31,1)),O$3:O$22),"")</f>
        <v/>
      </c>
      <c r="P82" t="str">
        <f ca="1">IF(AND(((COLUMN()-10)&lt;=playercnt),((ROW()-41)&lt;=playercnt)),SUMPRODUCT(INDIRECT(ADDRESS(3,ROW()-31,1)):INDIRECT(ADDRESS(22,ROW()-31,1)),P$3:P$22),"")</f>
        <v/>
      </c>
      <c r="Q82" t="str">
        <f ca="1">IF(AND(((COLUMN()-10)&lt;=playercnt),((ROW()-41)&lt;=playercnt)),SUMPRODUCT(INDIRECT(ADDRESS(3,ROW()-31,1)):INDIRECT(ADDRESS(22,ROW()-31,1)),Q$3:Q$22),"")</f>
        <v/>
      </c>
      <c r="R82" t="str">
        <f ca="1">IF(AND(((COLUMN()-10)&lt;=playercnt),((ROW()-41)&lt;=playercnt)),SUMPRODUCT(INDIRECT(ADDRESS(3,ROW()-31,1)):INDIRECT(ADDRESS(22,ROW()-31,1)),R$3:R$22),"")</f>
        <v/>
      </c>
      <c r="S82" t="str">
        <f ca="1">IF(AND(((COLUMN()-10)&lt;=playercnt),((ROW()-41)&lt;=playercnt)),SUMPRODUCT(INDIRECT(ADDRESS(3,ROW()-31,1)):INDIRECT(ADDRESS(22,ROW()-31,1)),S$3:S$22),"")</f>
        <v/>
      </c>
      <c r="T82" t="str">
        <f ca="1">IF(AND(((COLUMN()-10)&lt;=playercnt),((ROW()-41)&lt;=playercnt)),SUMPRODUCT(INDIRECT(ADDRESS(3,ROW()-31,1)):INDIRECT(ADDRESS(22,ROW()-31,1)),T$3:T$22),"")</f>
        <v/>
      </c>
      <c r="U82" t="str">
        <f ca="1">IF(AND(((COLUMN()-10)&lt;=playercnt),((ROW()-41)&lt;=playercnt)),SUMPRODUCT(INDIRECT(ADDRESS(3,ROW()-31,1)):INDIRECT(ADDRESS(22,ROW()-31,1)),U$3:U$22),"")</f>
        <v/>
      </c>
      <c r="V82" t="str">
        <f ca="1">IF(AND(((COLUMN()-10)&lt;=playercnt),((ROW()-41)&lt;=playercnt)),SUMPRODUCT(INDIRECT(ADDRESS(3,ROW()-31,1)):INDIRECT(ADDRESS(22,ROW()-31,1)),V$3:V$22),"")</f>
        <v/>
      </c>
      <c r="W82" t="str">
        <f ca="1">IF(AND(((COLUMN()-10)&lt;=playercnt),((ROW()-41)&lt;=playercnt)),SUMPRODUCT(INDIRECT(ADDRESS(3,ROW()-31,1)):INDIRECT(ADDRESS(22,ROW()-31,1)),W$3:W$22),"")</f>
        <v/>
      </c>
      <c r="X82" t="str">
        <f ca="1">IF(AND(((COLUMN()-10)&lt;=playercnt),((ROW()-41)&lt;=playercnt)),SUMPRODUCT(INDIRECT(ADDRESS(3,ROW()-31,1)):INDIRECT(ADDRESS(22,ROW()-31,1)),X$3:X$22),"")</f>
        <v/>
      </c>
      <c r="Y82" t="str">
        <f ca="1">IF(AND(((COLUMN()-10)&lt;=playercnt),((ROW()-41)&lt;=playercnt)),SUMPRODUCT(INDIRECT(ADDRESS(3,ROW()-31,1)):INDIRECT(ADDRESS(22,ROW()-31,1)),Y$3:Y$22),"")</f>
        <v/>
      </c>
      <c r="Z82" t="str">
        <f ca="1">IF(AND(((COLUMN()-10)&lt;=playercnt),((ROW()-41)&lt;=playercnt)),SUMPRODUCT(INDIRECT(ADDRESS(3,ROW()-31,1)):INDIRECT(ADDRESS(22,ROW()-31,1)),Z$3:Z$22),"")</f>
        <v/>
      </c>
      <c r="AA82" t="str">
        <f ca="1">IF(AND(((COLUMN()-10)&lt;=playercnt),((ROW()-41)&lt;=playercnt)),SUMPRODUCT(INDIRECT(ADDRESS(3,ROW()-31,1)):INDIRECT(ADDRESS(22,ROW()-31,1)),AA$3:AA$22),"")</f>
        <v/>
      </c>
      <c r="AB82" t="str">
        <f ca="1">IF(AND(((COLUMN()-10)&lt;=playercnt),((ROW()-41)&lt;=playercnt)),SUMPRODUCT(INDIRECT(ADDRESS(3,ROW()-31,1)):INDIRECT(ADDRESS(22,ROW()-31,1)),AB$3:AB$22),"")</f>
        <v/>
      </c>
      <c r="AC82" t="str">
        <f ca="1">IF(AND(((COLUMN()-10)&lt;=playercnt),((ROW()-41)&lt;=playercnt)),SUMPRODUCT(INDIRECT(ADDRESS(3,ROW()-31,1)):INDIRECT(ADDRESS(22,ROW()-31,1)),AC$3:AC$22),"")</f>
        <v/>
      </c>
      <c r="AD82" t="str">
        <f ca="1">IF(AND(((COLUMN()-10)&lt;=playercnt),((ROW()-41)&lt;=playercnt)),SUMPRODUCT(INDIRECT(ADDRESS(3,ROW()-31,1)):INDIRECT(ADDRESS(22,ROW()-31,1)),AD$3:AD$22),"")</f>
        <v/>
      </c>
      <c r="AE82" t="str">
        <f ca="1">IF(AND(((COLUMN()-10)&lt;=playercnt),((ROW()-41)&lt;=playercnt)),SUMPRODUCT(INDIRECT(ADDRESS(3,ROW()-31,1)):INDIRECT(ADDRESS(22,ROW()-31,1)),AE$3:AE$22),"")</f>
        <v/>
      </c>
      <c r="AF82" t="str">
        <f ca="1">IF(AND(((COLUMN()-10)&lt;=playercnt),((ROW()-41)&lt;=playercnt)),SUMPRODUCT(INDIRECT(ADDRESS(3,ROW()-31,1)):INDIRECT(ADDRESS(22,ROW()-31,1)),AF$3:AF$22),"")</f>
        <v/>
      </c>
      <c r="AG82" t="str">
        <f ca="1">IF(AND(((COLUMN()-10)&lt;=playercnt),((ROW()-41)&lt;=playercnt)),SUMPRODUCT(INDIRECT(ADDRESS(3,ROW()-31,1)):INDIRECT(ADDRESS(22,ROW()-31,1)),AG$3:AG$22),"")</f>
        <v/>
      </c>
      <c r="AH82" t="str">
        <f ca="1">IF(AND(((COLUMN()-10)&lt;=playercnt),((ROW()-41)&lt;=playercnt)),SUMPRODUCT(INDIRECT(ADDRESS(3,ROW()-31,1)):INDIRECT(ADDRESS(22,ROW()-31,1)),AH$3:AH$22),"")</f>
        <v/>
      </c>
      <c r="AI82" t="str">
        <f ca="1">IF(AND(((COLUMN()-10)&lt;=playercnt),((ROW()-41)&lt;=playercnt)),SUMPRODUCT(INDIRECT(ADDRESS(3,ROW()-31,1)):INDIRECT(ADDRESS(22,ROW()-31,1)),AI$3:AI$22),"")</f>
        <v/>
      </c>
      <c r="AJ82" t="str">
        <f ca="1">IF(AND(((COLUMN()-10)&lt;=playercnt),((ROW()-41)&lt;=playercnt)),SUMPRODUCT(INDIRECT(ADDRESS(3,ROW()-31,1)):INDIRECT(ADDRESS(22,ROW()-31,1)),AJ$3:AJ$22),"")</f>
        <v/>
      </c>
      <c r="AK82" t="str">
        <f ca="1">IF(AND(((COLUMN()-10)&lt;=playercnt),((ROW()-41)&lt;=playercnt)),SUMPRODUCT(INDIRECT(ADDRESS(3,ROW()-31,1)):INDIRECT(ADDRESS(22,ROW()-31,1)),AK$3:AK$22),"")</f>
        <v/>
      </c>
      <c r="AL82" t="str">
        <f ca="1">IF(AND(((COLUMN()-10)&lt;=playercnt),((ROW()-41)&lt;=playercnt)),SUMPRODUCT(INDIRECT(ADDRESS(3,ROW()-31,1)):INDIRECT(ADDRESS(22,ROW()-31,1)),AL$3:AL$22),"")</f>
        <v/>
      </c>
      <c r="AM82" t="str">
        <f ca="1">IF(AND(((COLUMN()-10)&lt;=playercnt),((ROW()-41)&lt;=playercnt)),SUMPRODUCT(INDIRECT(ADDRESS(3,ROW()-31,1)):INDIRECT(ADDRESS(22,ROW()-31,1)),AM$3:AM$22),"")</f>
        <v/>
      </c>
      <c r="AN82" t="str">
        <f ca="1">IF(AND(((COLUMN()-10)&lt;=playercnt),((ROW()-41)&lt;=playercnt)),SUMPRODUCT(INDIRECT(ADDRESS(3,ROW()-31,1)):INDIRECT(ADDRESS(22,ROW()-31,1)),AN$3:AN$22),"")</f>
        <v/>
      </c>
      <c r="AO82" t="str">
        <f ca="1">IF(AND(((COLUMN()-10)&lt;=playercnt),((ROW()-41)&lt;=playercnt)),SUMPRODUCT(INDIRECT(ADDRESS(3,ROW()-31,1)):INDIRECT(ADDRESS(22,ROW()-31,1)),AO$3:AO$22),"")</f>
        <v/>
      </c>
      <c r="AP82" t="str">
        <f ca="1">IF(AND(((COLUMN()-10)&lt;=playercnt),((ROW()-41)&lt;=playercnt)),SUMPRODUCT(INDIRECT(ADDRESS(3,ROW()-31,1)):INDIRECT(ADDRESS(22,ROW()-31,1)),AP$3:AP$22),"")</f>
        <v/>
      </c>
      <c r="AQ82" t="str">
        <f ca="1">IF(AND(((COLUMN()-10)&lt;=playercnt),((ROW()-41)&lt;=playercnt)),SUMPRODUCT(INDIRECT(ADDRESS(3,ROW()-31,1)):INDIRECT(ADDRESS(22,ROW()-31,1)),AQ$3:AQ$22),"")</f>
        <v/>
      </c>
      <c r="AR82" t="str">
        <f ca="1">IF(AND(((COLUMN()-10)&lt;=playercnt),((ROW()-41)&lt;=playercnt)),SUMPRODUCT(INDIRECT(ADDRESS(3,ROW()-31,1)):INDIRECT(ADDRESS(22,ROW()-31,1)),AR$3:AR$22),"")</f>
        <v/>
      </c>
      <c r="AS82" t="str">
        <f ca="1">IF(AND(((COLUMN()-10)&lt;=playercnt),((ROW()-41)&lt;=playercnt)),SUMPRODUCT(INDIRECT(ADDRESS(3,ROW()-31,1)):INDIRECT(ADDRESS(22,ROW()-31,1)),AS$3:AS$22),"")</f>
        <v/>
      </c>
      <c r="AT82" t="str">
        <f ca="1">IF(AND(((COLUMN()-10)&lt;=playercnt),((ROW()-41)&lt;=playercnt)),SUMPRODUCT(INDIRECT(ADDRESS(3,ROW()-31,1)):INDIRECT(ADDRESS(22,ROW()-31,1)),AT$3:AT$22),"")</f>
        <v/>
      </c>
      <c r="AU82" t="str">
        <f ca="1">IF(AND(((COLUMN()-10)&lt;=playercnt),((ROW()-41)&lt;=playercnt)),SUMPRODUCT(INDIRECT(ADDRESS(3,ROW()-31,1)):INDIRECT(ADDRESS(22,ROW()-31,1)),AU$3:AU$22),"")</f>
        <v/>
      </c>
      <c r="AV82" t="str">
        <f ca="1">IF(AND(((COLUMN()-10)&lt;=playercnt),((ROW()-41)&lt;=playercnt)),SUMPRODUCT(INDIRECT(ADDRESS(3,ROW()-31,1)):INDIRECT(ADDRESS(22,ROW()-31,1)),AV$3:AV$22),"")</f>
        <v/>
      </c>
      <c r="AW82" t="str">
        <f ca="1">IF(AND(((COLUMN()-10)&lt;=playercnt),((ROW()-41)&lt;=playercnt)),SUMPRODUCT(INDIRECT(ADDRESS(3,ROW()-31,1)):INDIRECT(ADDRESS(22,ROW()-31,1)),AW$3:AW$22),"")</f>
        <v/>
      </c>
      <c r="AX82" t="str">
        <f ca="1">IF(AND(((COLUMN()-10)&lt;=playercnt),((ROW()-41)&lt;=playercnt)),SUMPRODUCT(INDIRECT(ADDRESS(3,ROW()-31,1)):INDIRECT(ADDRESS(22,ROW()-31,1)),AX$3:AX$22),"")</f>
        <v/>
      </c>
      <c r="AY82" t="str">
        <f ca="1">IF(AND(((COLUMN()-10)&lt;=playercnt),((ROW()-41)&lt;=playercnt)),SUMPRODUCT(INDIRECT(ADDRESS(3,ROW()-31,1)):INDIRECT(ADDRESS(22,ROW()-31,1)),AY$3:AY$22),"")</f>
        <v/>
      </c>
      <c r="AZ82" t="str">
        <f ca="1">IF(AND(((COLUMN()-10)&lt;=playercnt),((ROW()-41)&lt;=playercnt)),SUMPRODUCT(INDIRECT(ADDRESS(3,ROW()-31,1)):INDIRECT(ADDRESS(22,ROW()-31,1)),AZ$3:AZ$22),"")</f>
        <v/>
      </c>
      <c r="BA82" t="str">
        <f ca="1">IF(AND(((COLUMN()-10)&lt;=playercnt),((ROW()-41)&lt;=playercnt)),SUMPRODUCT(INDIRECT(ADDRESS(3,ROW()-31,1)):INDIRECT(ADDRESS(22,ROW()-31,1)),BA$3:BA$22),"")</f>
        <v/>
      </c>
      <c r="BB82" t="str">
        <f ca="1">IF(AND(((COLUMN()-10)&lt;=playercnt),((ROW()-41)&lt;=playercnt)),SUMPRODUCT(INDIRECT(ADDRESS(3,ROW()-31,1)):INDIRECT(ADDRESS(22,ROW()-31,1)),BB$3:BB$22),"")</f>
        <v/>
      </c>
      <c r="BC82" t="str">
        <f ca="1">IF(AND(((COLUMN()-10)&lt;=playercnt),((ROW()-41)&lt;=playercnt)),SUMPRODUCT(INDIRECT(ADDRESS(3,ROW()-31,1)):INDIRECT(ADDRESS(22,ROW()-31,1)),BC$3:BC$22),"")</f>
        <v/>
      </c>
      <c r="BD82" t="str">
        <f ca="1">IF(AND(((COLUMN()-10)&lt;=playercnt),((ROW()-41)&lt;=playercnt)),SUMPRODUCT(INDIRECT(ADDRESS(3,ROW()-31,1)):INDIRECT(ADDRESS(22,ROW()-31,1)),BD$3:BD$22),"")</f>
        <v/>
      </c>
      <c r="BE82" t="str">
        <f ca="1">IF(AND(((COLUMN()-10)&lt;=playercnt),((ROW()-41)&lt;=playercnt)),SUMPRODUCT(INDIRECT(ADDRESS(3,ROW()-31,1)):INDIRECT(ADDRESS(22,ROW()-31,1)),BE$3:BE$22),"")</f>
        <v/>
      </c>
      <c r="BF82" t="str">
        <f ca="1">IF(AND(((COLUMN()-10)&lt;=playercnt),((ROW()-41)&lt;=playercnt)),SUMPRODUCT(INDIRECT(ADDRESS(3,ROW()-31,1)):INDIRECT(ADDRESS(22,ROW()-31,1)),BF$3:BF$22),"")</f>
        <v/>
      </c>
      <c r="BG82" t="str">
        <f ca="1">IF(AND(((COLUMN()-10)&lt;=playercnt),((ROW()-41)&lt;=playercnt)),SUMPRODUCT(INDIRECT(ADDRESS(3,ROW()-31,1)):INDIRECT(ADDRESS(22,ROW()-31,1)),BG$3:BG$22),"")</f>
        <v/>
      </c>
      <c r="BH82" t="str">
        <f ca="1">IF(AND(((COLUMN()-10)&lt;=playercnt),((ROW()-41)&lt;=playercnt)),SUMPRODUCT(INDIRECT(ADDRESS(3,ROW()-31,1)):INDIRECT(ADDRESS(22,ROW()-31,1)),BH$3:BH$22),"")</f>
        <v/>
      </c>
      <c r="BI82" t="str">
        <f ca="1">IF(AND(((COLUMN()-10)&lt;=playercnt),((ROW()-41)&lt;=playercnt)),SUMPRODUCT(INDIRECT(ADDRESS(3,ROW()-31,1)):INDIRECT(ADDRESS(22,ROW()-31,1)),BI$3:BI$22),"")</f>
        <v/>
      </c>
      <c r="BJ82" t="str">
        <f ca="1">IF(AND(((COLUMN()-10)&lt;=playercnt),((ROW()-41)&lt;=playercnt)),SUMPRODUCT(INDIRECT(ADDRESS(3,ROW()-31,1)):INDIRECT(ADDRESS(22,ROW()-31,1)),BJ$3:BJ$22),"")</f>
        <v/>
      </c>
      <c r="BK82" t="str">
        <f ca="1">IF(AND(((COLUMN()-10)&lt;=playercnt),((ROW()-41)&lt;=playercnt)),SUMPRODUCT(INDIRECT(ADDRESS(3,ROW()-31,1)):INDIRECT(ADDRESS(22,ROW()-31,1)),BK$3:BK$22),"")</f>
        <v/>
      </c>
      <c r="BL82" t="str">
        <f ca="1">IF(AND(((COLUMN()-10)&lt;=playercnt),((ROW()-41)&lt;=playercnt)),SUMPRODUCT(INDIRECT(ADDRESS(3,ROW()-31,1)):INDIRECT(ADDRESS(22,ROW()-31,1)),BL$3:BL$22),"")</f>
        <v/>
      </c>
      <c r="BM82" t="str">
        <f ca="1">IF(AND(((COLUMN()-10)&lt;=playercnt),((ROW()-41)&lt;=playercnt)),SUMPRODUCT(INDIRECT(ADDRESS(3,ROW()-31,1)):INDIRECT(ADDRESS(22,ROW()-31,1)),BM$3:BM$22),"")</f>
        <v/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>
      <c r="B83" s="27" t="str">
        <f t="shared" ca="1" si="29"/>
        <v/>
      </c>
      <c r="C83" t="str">
        <f t="shared" ca="1" si="30"/>
        <v/>
      </c>
      <c r="G83" t="str">
        <f ca="1">IF(AND(((COLUMN()-10)&lt;=playercnt),((ROW()-41)&lt;=playercnt)),SUMPRODUCT(INDIRECT(ADDRESS(3,ROW()-31,1)):INDIRECT(ADDRESS(22,ROW()-31,1)),G$3:G$22),"")</f>
        <v/>
      </c>
      <c r="H83" t="str">
        <f ca="1">IF(AND(((COLUMN()-10)&lt;=playercnt),((ROW()-41)&lt;=playercnt)),SUMPRODUCT(INDIRECT(ADDRESS(3,ROW()-31,1)):INDIRECT(ADDRESS(22,ROW()-31,1)),H$3:H$22),"")</f>
        <v/>
      </c>
      <c r="I83" t="str">
        <f ca="1">IF(AND(((COLUMN()-10)&lt;=playercnt),((ROW()-41)&lt;=playercnt)),SUMPRODUCT(INDIRECT(ADDRESS(3,ROW()-31,1)):INDIRECT(ADDRESS(22,ROW()-31,1)),I$3:I$22),"")</f>
        <v/>
      </c>
      <c r="J83" t="str">
        <f ca="1">IF(AND(((COLUMN()-10)&lt;=playercnt),((ROW()-41)&lt;=playercnt)),SUMPRODUCT(INDIRECT(ADDRESS(3,ROW()-31,1)):INDIRECT(ADDRESS(22,ROW()-31,1)),J$3:J$22),"")</f>
        <v/>
      </c>
      <c r="K83" t="str">
        <f ca="1">IF(AND(((COLUMN()-10)&lt;=playercnt),((ROW()-41)&lt;=playercnt)),SUMPRODUCT(INDIRECT(ADDRESS(3,ROW()-31,1)):INDIRECT(ADDRESS(22,ROW()-31,1)),K$3:K$22),"")</f>
        <v/>
      </c>
      <c r="L83" t="str">
        <f ca="1">IF(AND(((COLUMN()-10)&lt;=playercnt),((ROW()-41)&lt;=playercnt)),SUMPRODUCT(INDIRECT(ADDRESS(3,ROW()-31,1)):INDIRECT(ADDRESS(22,ROW()-31,1)),L$3:L$22),"")</f>
        <v/>
      </c>
      <c r="M83" t="str">
        <f ca="1">IF(AND(((COLUMN()-10)&lt;=playercnt),((ROW()-41)&lt;=playercnt)),SUMPRODUCT(INDIRECT(ADDRESS(3,ROW()-31,1)):INDIRECT(ADDRESS(22,ROW()-31,1)),M$3:M$22),"")</f>
        <v/>
      </c>
      <c r="N83" t="str">
        <f ca="1">IF(AND(((COLUMN()-10)&lt;=playercnt),((ROW()-41)&lt;=playercnt)),SUMPRODUCT(INDIRECT(ADDRESS(3,ROW()-31,1)):INDIRECT(ADDRESS(22,ROW()-31,1)),N$3:N$22),"")</f>
        <v/>
      </c>
      <c r="O83" t="str">
        <f ca="1">IF(AND(((COLUMN()-10)&lt;=playercnt),((ROW()-41)&lt;=playercnt)),SUMPRODUCT(INDIRECT(ADDRESS(3,ROW()-31,1)):INDIRECT(ADDRESS(22,ROW()-31,1)),O$3:O$22),"")</f>
        <v/>
      </c>
      <c r="P83" t="str">
        <f ca="1">IF(AND(((COLUMN()-10)&lt;=playercnt),((ROW()-41)&lt;=playercnt)),SUMPRODUCT(INDIRECT(ADDRESS(3,ROW()-31,1)):INDIRECT(ADDRESS(22,ROW()-31,1)),P$3:P$22),"")</f>
        <v/>
      </c>
      <c r="Q83" t="str">
        <f ca="1">IF(AND(((COLUMN()-10)&lt;=playercnt),((ROW()-41)&lt;=playercnt)),SUMPRODUCT(INDIRECT(ADDRESS(3,ROW()-31,1)):INDIRECT(ADDRESS(22,ROW()-31,1)),Q$3:Q$22),"")</f>
        <v/>
      </c>
      <c r="R83" t="str">
        <f ca="1">IF(AND(((COLUMN()-10)&lt;=playercnt),((ROW()-41)&lt;=playercnt)),SUMPRODUCT(INDIRECT(ADDRESS(3,ROW()-31,1)):INDIRECT(ADDRESS(22,ROW()-31,1)),R$3:R$22),"")</f>
        <v/>
      </c>
      <c r="S83" t="str">
        <f ca="1">IF(AND(((COLUMN()-10)&lt;=playercnt),((ROW()-41)&lt;=playercnt)),SUMPRODUCT(INDIRECT(ADDRESS(3,ROW()-31,1)):INDIRECT(ADDRESS(22,ROW()-31,1)),S$3:S$22),"")</f>
        <v/>
      </c>
      <c r="T83" t="str">
        <f ca="1">IF(AND(((COLUMN()-10)&lt;=playercnt),((ROW()-41)&lt;=playercnt)),SUMPRODUCT(INDIRECT(ADDRESS(3,ROW()-31,1)):INDIRECT(ADDRESS(22,ROW()-31,1)),T$3:T$22),"")</f>
        <v/>
      </c>
      <c r="U83" t="str">
        <f ca="1">IF(AND(((COLUMN()-10)&lt;=playercnt),((ROW()-41)&lt;=playercnt)),SUMPRODUCT(INDIRECT(ADDRESS(3,ROW()-31,1)):INDIRECT(ADDRESS(22,ROW()-31,1)),U$3:U$22),"")</f>
        <v/>
      </c>
      <c r="V83" t="str">
        <f ca="1">IF(AND(((COLUMN()-10)&lt;=playercnt),((ROW()-41)&lt;=playercnt)),SUMPRODUCT(INDIRECT(ADDRESS(3,ROW()-31,1)):INDIRECT(ADDRESS(22,ROW()-31,1)),V$3:V$22),"")</f>
        <v/>
      </c>
      <c r="W83" t="str">
        <f ca="1">IF(AND(((COLUMN()-10)&lt;=playercnt),((ROW()-41)&lt;=playercnt)),SUMPRODUCT(INDIRECT(ADDRESS(3,ROW()-31,1)):INDIRECT(ADDRESS(22,ROW()-31,1)),W$3:W$22),"")</f>
        <v/>
      </c>
      <c r="X83" t="str">
        <f ca="1">IF(AND(((COLUMN()-10)&lt;=playercnt),((ROW()-41)&lt;=playercnt)),SUMPRODUCT(INDIRECT(ADDRESS(3,ROW()-31,1)):INDIRECT(ADDRESS(22,ROW()-31,1)),X$3:X$22),"")</f>
        <v/>
      </c>
      <c r="Y83" t="str">
        <f ca="1">IF(AND(((COLUMN()-10)&lt;=playercnt),((ROW()-41)&lt;=playercnt)),SUMPRODUCT(INDIRECT(ADDRESS(3,ROW()-31,1)):INDIRECT(ADDRESS(22,ROW()-31,1)),Y$3:Y$22),"")</f>
        <v/>
      </c>
      <c r="Z83" t="str">
        <f ca="1">IF(AND(((COLUMN()-10)&lt;=playercnt),((ROW()-41)&lt;=playercnt)),SUMPRODUCT(INDIRECT(ADDRESS(3,ROW()-31,1)):INDIRECT(ADDRESS(22,ROW()-31,1)),Z$3:Z$22),"")</f>
        <v/>
      </c>
      <c r="AA83" t="str">
        <f ca="1">IF(AND(((COLUMN()-10)&lt;=playercnt),((ROW()-41)&lt;=playercnt)),SUMPRODUCT(INDIRECT(ADDRESS(3,ROW()-31,1)):INDIRECT(ADDRESS(22,ROW()-31,1)),AA$3:AA$22),"")</f>
        <v/>
      </c>
      <c r="AB83" t="str">
        <f ca="1">IF(AND(((COLUMN()-10)&lt;=playercnt),((ROW()-41)&lt;=playercnt)),SUMPRODUCT(INDIRECT(ADDRESS(3,ROW()-31,1)):INDIRECT(ADDRESS(22,ROW()-31,1)),AB$3:AB$22),"")</f>
        <v/>
      </c>
      <c r="AC83" t="str">
        <f ca="1">IF(AND(((COLUMN()-10)&lt;=playercnt),((ROW()-41)&lt;=playercnt)),SUMPRODUCT(INDIRECT(ADDRESS(3,ROW()-31,1)):INDIRECT(ADDRESS(22,ROW()-31,1)),AC$3:AC$22),"")</f>
        <v/>
      </c>
      <c r="AD83" t="str">
        <f ca="1">IF(AND(((COLUMN()-10)&lt;=playercnt),((ROW()-41)&lt;=playercnt)),SUMPRODUCT(INDIRECT(ADDRESS(3,ROW()-31,1)):INDIRECT(ADDRESS(22,ROW()-31,1)),AD$3:AD$22),"")</f>
        <v/>
      </c>
      <c r="AE83" t="str">
        <f ca="1">IF(AND(((COLUMN()-10)&lt;=playercnt),((ROW()-41)&lt;=playercnt)),SUMPRODUCT(INDIRECT(ADDRESS(3,ROW()-31,1)):INDIRECT(ADDRESS(22,ROW()-31,1)),AE$3:AE$22),"")</f>
        <v/>
      </c>
      <c r="AF83" t="str">
        <f ca="1">IF(AND(((COLUMN()-10)&lt;=playercnt),((ROW()-41)&lt;=playercnt)),SUMPRODUCT(INDIRECT(ADDRESS(3,ROW()-31,1)):INDIRECT(ADDRESS(22,ROW()-31,1)),AF$3:AF$22),"")</f>
        <v/>
      </c>
      <c r="AG83" t="str">
        <f ca="1">IF(AND(((COLUMN()-10)&lt;=playercnt),((ROW()-41)&lt;=playercnt)),SUMPRODUCT(INDIRECT(ADDRESS(3,ROW()-31,1)):INDIRECT(ADDRESS(22,ROW()-31,1)),AG$3:AG$22),"")</f>
        <v/>
      </c>
      <c r="AH83" t="str">
        <f ca="1">IF(AND(((COLUMN()-10)&lt;=playercnt),((ROW()-41)&lt;=playercnt)),SUMPRODUCT(INDIRECT(ADDRESS(3,ROW()-31,1)):INDIRECT(ADDRESS(22,ROW()-31,1)),AH$3:AH$22),"")</f>
        <v/>
      </c>
      <c r="AI83" t="str">
        <f ca="1">IF(AND(((COLUMN()-10)&lt;=playercnt),((ROW()-41)&lt;=playercnt)),SUMPRODUCT(INDIRECT(ADDRESS(3,ROW()-31,1)):INDIRECT(ADDRESS(22,ROW()-31,1)),AI$3:AI$22),"")</f>
        <v/>
      </c>
      <c r="AJ83" t="str">
        <f ca="1">IF(AND(((COLUMN()-10)&lt;=playercnt),((ROW()-41)&lt;=playercnt)),SUMPRODUCT(INDIRECT(ADDRESS(3,ROW()-31,1)):INDIRECT(ADDRESS(22,ROW()-31,1)),AJ$3:AJ$22),"")</f>
        <v/>
      </c>
      <c r="AK83" t="str">
        <f ca="1">IF(AND(((COLUMN()-10)&lt;=playercnt),((ROW()-41)&lt;=playercnt)),SUMPRODUCT(INDIRECT(ADDRESS(3,ROW()-31,1)):INDIRECT(ADDRESS(22,ROW()-31,1)),AK$3:AK$22),"")</f>
        <v/>
      </c>
      <c r="AL83" t="str">
        <f ca="1">IF(AND(((COLUMN()-10)&lt;=playercnt),((ROW()-41)&lt;=playercnt)),SUMPRODUCT(INDIRECT(ADDRESS(3,ROW()-31,1)):INDIRECT(ADDRESS(22,ROW()-31,1)),AL$3:AL$22),"")</f>
        <v/>
      </c>
      <c r="AM83" t="str">
        <f ca="1">IF(AND(((COLUMN()-10)&lt;=playercnt),((ROW()-41)&lt;=playercnt)),SUMPRODUCT(INDIRECT(ADDRESS(3,ROW()-31,1)):INDIRECT(ADDRESS(22,ROW()-31,1)),AM$3:AM$22),"")</f>
        <v/>
      </c>
      <c r="AN83" t="str">
        <f ca="1">IF(AND(((COLUMN()-10)&lt;=playercnt),((ROW()-41)&lt;=playercnt)),SUMPRODUCT(INDIRECT(ADDRESS(3,ROW()-31,1)):INDIRECT(ADDRESS(22,ROW()-31,1)),AN$3:AN$22),"")</f>
        <v/>
      </c>
      <c r="AO83" t="str">
        <f ca="1">IF(AND(((COLUMN()-10)&lt;=playercnt),((ROW()-41)&lt;=playercnt)),SUMPRODUCT(INDIRECT(ADDRESS(3,ROW()-31,1)):INDIRECT(ADDRESS(22,ROW()-31,1)),AO$3:AO$22),"")</f>
        <v/>
      </c>
      <c r="AP83" t="str">
        <f ca="1">IF(AND(((COLUMN()-10)&lt;=playercnt),((ROW()-41)&lt;=playercnt)),SUMPRODUCT(INDIRECT(ADDRESS(3,ROW()-31,1)):INDIRECT(ADDRESS(22,ROW()-31,1)),AP$3:AP$22),"")</f>
        <v/>
      </c>
      <c r="AQ83" t="str">
        <f ca="1">IF(AND(((COLUMN()-10)&lt;=playercnt),((ROW()-41)&lt;=playercnt)),SUMPRODUCT(INDIRECT(ADDRESS(3,ROW()-31,1)):INDIRECT(ADDRESS(22,ROW()-31,1)),AQ$3:AQ$22),"")</f>
        <v/>
      </c>
      <c r="AR83" t="str">
        <f ca="1">IF(AND(((COLUMN()-10)&lt;=playercnt),((ROW()-41)&lt;=playercnt)),SUMPRODUCT(INDIRECT(ADDRESS(3,ROW()-31,1)):INDIRECT(ADDRESS(22,ROW()-31,1)),AR$3:AR$22),"")</f>
        <v/>
      </c>
      <c r="AS83" t="str">
        <f ca="1">IF(AND(((COLUMN()-10)&lt;=playercnt),((ROW()-41)&lt;=playercnt)),SUMPRODUCT(INDIRECT(ADDRESS(3,ROW()-31,1)):INDIRECT(ADDRESS(22,ROW()-31,1)),AS$3:AS$22),"")</f>
        <v/>
      </c>
      <c r="AT83" t="str">
        <f ca="1">IF(AND(((COLUMN()-10)&lt;=playercnt),((ROW()-41)&lt;=playercnt)),SUMPRODUCT(INDIRECT(ADDRESS(3,ROW()-31,1)):INDIRECT(ADDRESS(22,ROW()-31,1)),AT$3:AT$22),"")</f>
        <v/>
      </c>
      <c r="AU83" t="str">
        <f ca="1">IF(AND(((COLUMN()-10)&lt;=playercnt),((ROW()-41)&lt;=playercnt)),SUMPRODUCT(INDIRECT(ADDRESS(3,ROW()-31,1)):INDIRECT(ADDRESS(22,ROW()-31,1)),AU$3:AU$22),"")</f>
        <v/>
      </c>
      <c r="AV83" t="str">
        <f ca="1">IF(AND(((COLUMN()-10)&lt;=playercnt),((ROW()-41)&lt;=playercnt)),SUMPRODUCT(INDIRECT(ADDRESS(3,ROW()-31,1)):INDIRECT(ADDRESS(22,ROW()-31,1)),AV$3:AV$22),"")</f>
        <v/>
      </c>
      <c r="AW83" t="str">
        <f ca="1">IF(AND(((COLUMN()-10)&lt;=playercnt),((ROW()-41)&lt;=playercnt)),SUMPRODUCT(INDIRECT(ADDRESS(3,ROW()-31,1)):INDIRECT(ADDRESS(22,ROW()-31,1)),AW$3:AW$22),"")</f>
        <v/>
      </c>
      <c r="AX83" t="str">
        <f ca="1">IF(AND(((COLUMN()-10)&lt;=playercnt),((ROW()-41)&lt;=playercnt)),SUMPRODUCT(INDIRECT(ADDRESS(3,ROW()-31,1)):INDIRECT(ADDRESS(22,ROW()-31,1)),AX$3:AX$22),"")</f>
        <v/>
      </c>
      <c r="AY83" t="str">
        <f ca="1">IF(AND(((COLUMN()-10)&lt;=playercnt),((ROW()-41)&lt;=playercnt)),SUMPRODUCT(INDIRECT(ADDRESS(3,ROW()-31,1)):INDIRECT(ADDRESS(22,ROW()-31,1)),AY$3:AY$22),"")</f>
        <v/>
      </c>
      <c r="AZ83" t="str">
        <f ca="1">IF(AND(((COLUMN()-10)&lt;=playercnt),((ROW()-41)&lt;=playercnt)),SUMPRODUCT(INDIRECT(ADDRESS(3,ROW()-31,1)):INDIRECT(ADDRESS(22,ROW()-31,1)),AZ$3:AZ$22),"")</f>
        <v/>
      </c>
      <c r="BA83" t="str">
        <f ca="1">IF(AND(((COLUMN()-10)&lt;=playercnt),((ROW()-41)&lt;=playercnt)),SUMPRODUCT(INDIRECT(ADDRESS(3,ROW()-31,1)):INDIRECT(ADDRESS(22,ROW()-31,1)),BA$3:BA$22),"")</f>
        <v/>
      </c>
      <c r="BB83" t="str">
        <f ca="1">IF(AND(((COLUMN()-10)&lt;=playercnt),((ROW()-41)&lt;=playercnt)),SUMPRODUCT(INDIRECT(ADDRESS(3,ROW()-31,1)):INDIRECT(ADDRESS(22,ROW()-31,1)),BB$3:BB$22),"")</f>
        <v/>
      </c>
      <c r="BC83" t="str">
        <f ca="1">IF(AND(((COLUMN()-10)&lt;=playercnt),((ROW()-41)&lt;=playercnt)),SUMPRODUCT(INDIRECT(ADDRESS(3,ROW()-31,1)):INDIRECT(ADDRESS(22,ROW()-31,1)),BC$3:BC$22),"")</f>
        <v/>
      </c>
      <c r="BD83" t="str">
        <f ca="1">IF(AND(((COLUMN()-10)&lt;=playercnt),((ROW()-41)&lt;=playercnt)),SUMPRODUCT(INDIRECT(ADDRESS(3,ROW()-31,1)):INDIRECT(ADDRESS(22,ROW()-31,1)),BD$3:BD$22),"")</f>
        <v/>
      </c>
      <c r="BE83" t="str">
        <f ca="1">IF(AND(((COLUMN()-10)&lt;=playercnt),((ROW()-41)&lt;=playercnt)),SUMPRODUCT(INDIRECT(ADDRESS(3,ROW()-31,1)):INDIRECT(ADDRESS(22,ROW()-31,1)),BE$3:BE$22),"")</f>
        <v/>
      </c>
      <c r="BF83" t="str">
        <f ca="1">IF(AND(((COLUMN()-10)&lt;=playercnt),((ROW()-41)&lt;=playercnt)),SUMPRODUCT(INDIRECT(ADDRESS(3,ROW()-31,1)):INDIRECT(ADDRESS(22,ROW()-31,1)),BF$3:BF$22),"")</f>
        <v/>
      </c>
      <c r="BG83" t="str">
        <f ca="1">IF(AND(((COLUMN()-10)&lt;=playercnt),((ROW()-41)&lt;=playercnt)),SUMPRODUCT(INDIRECT(ADDRESS(3,ROW()-31,1)):INDIRECT(ADDRESS(22,ROW()-31,1)),BG$3:BG$22),"")</f>
        <v/>
      </c>
      <c r="BH83" t="str">
        <f ca="1">IF(AND(((COLUMN()-10)&lt;=playercnt),((ROW()-41)&lt;=playercnt)),SUMPRODUCT(INDIRECT(ADDRESS(3,ROW()-31,1)):INDIRECT(ADDRESS(22,ROW()-31,1)),BH$3:BH$22),"")</f>
        <v/>
      </c>
      <c r="BI83" t="str">
        <f ca="1">IF(AND(((COLUMN()-10)&lt;=playercnt),((ROW()-41)&lt;=playercnt)),SUMPRODUCT(INDIRECT(ADDRESS(3,ROW()-31,1)):INDIRECT(ADDRESS(22,ROW()-31,1)),BI$3:BI$22),"")</f>
        <v/>
      </c>
      <c r="BJ83" t="str">
        <f ca="1">IF(AND(((COLUMN()-10)&lt;=playercnt),((ROW()-41)&lt;=playercnt)),SUMPRODUCT(INDIRECT(ADDRESS(3,ROW()-31,1)):INDIRECT(ADDRESS(22,ROW()-31,1)),BJ$3:BJ$22),"")</f>
        <v/>
      </c>
      <c r="BK83" t="str">
        <f ca="1">IF(AND(((COLUMN()-10)&lt;=playercnt),((ROW()-41)&lt;=playercnt)),SUMPRODUCT(INDIRECT(ADDRESS(3,ROW()-31,1)):INDIRECT(ADDRESS(22,ROW()-31,1)),BK$3:BK$22),"")</f>
        <v/>
      </c>
      <c r="BL83" t="str">
        <f ca="1">IF(AND(((COLUMN()-10)&lt;=playercnt),((ROW()-41)&lt;=playercnt)),SUMPRODUCT(INDIRECT(ADDRESS(3,ROW()-31,1)):INDIRECT(ADDRESS(22,ROW()-31,1)),BL$3:BL$22),"")</f>
        <v/>
      </c>
      <c r="BM83" t="str">
        <f ca="1">IF(AND(((COLUMN()-10)&lt;=playercnt),((ROW()-41)&lt;=playercnt)),SUMPRODUCT(INDIRECT(ADDRESS(3,ROW()-31,1)):INDIRECT(ADDRESS(22,ROW()-31,1)),BM$3:BM$22),"")</f>
        <v/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>
      <c r="B84" s="27" t="str">
        <f t="shared" ca="1" si="29"/>
        <v/>
      </c>
      <c r="C84" t="str">
        <f t="shared" ca="1" si="30"/>
        <v/>
      </c>
      <c r="G84" t="str">
        <f ca="1">IF(AND(((COLUMN()-10)&lt;=playercnt),((ROW()-41)&lt;=playercnt)),SUMPRODUCT(INDIRECT(ADDRESS(3,ROW()-31,1)):INDIRECT(ADDRESS(22,ROW()-31,1)),G$3:G$22),"")</f>
        <v/>
      </c>
      <c r="H84" t="str">
        <f ca="1">IF(AND(((COLUMN()-10)&lt;=playercnt),((ROW()-41)&lt;=playercnt)),SUMPRODUCT(INDIRECT(ADDRESS(3,ROW()-31,1)):INDIRECT(ADDRESS(22,ROW()-31,1)),H$3:H$22),"")</f>
        <v/>
      </c>
      <c r="I84" t="str">
        <f ca="1">IF(AND(((COLUMN()-10)&lt;=playercnt),((ROW()-41)&lt;=playercnt)),SUMPRODUCT(INDIRECT(ADDRESS(3,ROW()-31,1)):INDIRECT(ADDRESS(22,ROW()-31,1)),I$3:I$22),"")</f>
        <v/>
      </c>
      <c r="J84" t="str">
        <f ca="1">IF(AND(((COLUMN()-10)&lt;=playercnt),((ROW()-41)&lt;=playercnt)),SUMPRODUCT(INDIRECT(ADDRESS(3,ROW()-31,1)):INDIRECT(ADDRESS(22,ROW()-31,1)),J$3:J$22),"")</f>
        <v/>
      </c>
      <c r="K84" t="str">
        <f ca="1">IF(AND(((COLUMN()-10)&lt;=playercnt),((ROW()-41)&lt;=playercnt)),SUMPRODUCT(INDIRECT(ADDRESS(3,ROW()-31,1)):INDIRECT(ADDRESS(22,ROW()-31,1)),K$3:K$22),"")</f>
        <v/>
      </c>
      <c r="L84" t="str">
        <f ca="1">IF(AND(((COLUMN()-10)&lt;=playercnt),((ROW()-41)&lt;=playercnt)),SUMPRODUCT(INDIRECT(ADDRESS(3,ROW()-31,1)):INDIRECT(ADDRESS(22,ROW()-31,1)),L$3:L$22),"")</f>
        <v/>
      </c>
      <c r="M84" t="str">
        <f ca="1">IF(AND(((COLUMN()-10)&lt;=playercnt),((ROW()-41)&lt;=playercnt)),SUMPRODUCT(INDIRECT(ADDRESS(3,ROW()-31,1)):INDIRECT(ADDRESS(22,ROW()-31,1)),M$3:M$22),"")</f>
        <v/>
      </c>
      <c r="N84" t="str">
        <f ca="1">IF(AND(((COLUMN()-10)&lt;=playercnt),((ROW()-41)&lt;=playercnt)),SUMPRODUCT(INDIRECT(ADDRESS(3,ROW()-31,1)):INDIRECT(ADDRESS(22,ROW()-31,1)),N$3:N$22),"")</f>
        <v/>
      </c>
      <c r="O84" t="str">
        <f ca="1">IF(AND(((COLUMN()-10)&lt;=playercnt),((ROW()-41)&lt;=playercnt)),SUMPRODUCT(INDIRECT(ADDRESS(3,ROW()-31,1)):INDIRECT(ADDRESS(22,ROW()-31,1)),O$3:O$22),"")</f>
        <v/>
      </c>
      <c r="P84" t="str">
        <f ca="1">IF(AND(((COLUMN()-10)&lt;=playercnt),((ROW()-41)&lt;=playercnt)),SUMPRODUCT(INDIRECT(ADDRESS(3,ROW()-31,1)):INDIRECT(ADDRESS(22,ROW()-31,1)),P$3:P$22),"")</f>
        <v/>
      </c>
      <c r="Q84" t="str">
        <f ca="1">IF(AND(((COLUMN()-10)&lt;=playercnt),((ROW()-41)&lt;=playercnt)),SUMPRODUCT(INDIRECT(ADDRESS(3,ROW()-31,1)):INDIRECT(ADDRESS(22,ROW()-31,1)),Q$3:Q$22),"")</f>
        <v/>
      </c>
      <c r="R84" t="str">
        <f ca="1">IF(AND(((COLUMN()-10)&lt;=playercnt),((ROW()-41)&lt;=playercnt)),SUMPRODUCT(INDIRECT(ADDRESS(3,ROW()-31,1)):INDIRECT(ADDRESS(22,ROW()-31,1)),R$3:R$22),"")</f>
        <v/>
      </c>
      <c r="S84" t="str">
        <f ca="1">IF(AND(((COLUMN()-10)&lt;=playercnt),((ROW()-41)&lt;=playercnt)),SUMPRODUCT(INDIRECT(ADDRESS(3,ROW()-31,1)):INDIRECT(ADDRESS(22,ROW()-31,1)),S$3:S$22),"")</f>
        <v/>
      </c>
      <c r="T84" t="str">
        <f ca="1">IF(AND(((COLUMN()-10)&lt;=playercnt),((ROW()-41)&lt;=playercnt)),SUMPRODUCT(INDIRECT(ADDRESS(3,ROW()-31,1)):INDIRECT(ADDRESS(22,ROW()-31,1)),T$3:T$22),"")</f>
        <v/>
      </c>
      <c r="U84" t="str">
        <f ca="1">IF(AND(((COLUMN()-10)&lt;=playercnt),((ROW()-41)&lt;=playercnt)),SUMPRODUCT(INDIRECT(ADDRESS(3,ROW()-31,1)):INDIRECT(ADDRESS(22,ROW()-31,1)),U$3:U$22),"")</f>
        <v/>
      </c>
      <c r="V84" t="str">
        <f ca="1">IF(AND(((COLUMN()-10)&lt;=playercnt),((ROW()-41)&lt;=playercnt)),SUMPRODUCT(INDIRECT(ADDRESS(3,ROW()-31,1)):INDIRECT(ADDRESS(22,ROW()-31,1)),V$3:V$22),"")</f>
        <v/>
      </c>
      <c r="W84" t="str">
        <f ca="1">IF(AND(((COLUMN()-10)&lt;=playercnt),((ROW()-41)&lt;=playercnt)),SUMPRODUCT(INDIRECT(ADDRESS(3,ROW()-31,1)):INDIRECT(ADDRESS(22,ROW()-31,1)),W$3:W$22),"")</f>
        <v/>
      </c>
      <c r="X84" t="str">
        <f ca="1">IF(AND(((COLUMN()-10)&lt;=playercnt),((ROW()-41)&lt;=playercnt)),SUMPRODUCT(INDIRECT(ADDRESS(3,ROW()-31,1)):INDIRECT(ADDRESS(22,ROW()-31,1)),X$3:X$22),"")</f>
        <v/>
      </c>
      <c r="Y84" t="str">
        <f ca="1">IF(AND(((COLUMN()-10)&lt;=playercnt),((ROW()-41)&lt;=playercnt)),SUMPRODUCT(INDIRECT(ADDRESS(3,ROW()-31,1)):INDIRECT(ADDRESS(22,ROW()-31,1)),Y$3:Y$22),"")</f>
        <v/>
      </c>
      <c r="Z84" t="str">
        <f ca="1">IF(AND(((COLUMN()-10)&lt;=playercnt),((ROW()-41)&lt;=playercnt)),SUMPRODUCT(INDIRECT(ADDRESS(3,ROW()-31,1)):INDIRECT(ADDRESS(22,ROW()-31,1)),Z$3:Z$22),"")</f>
        <v/>
      </c>
      <c r="AA84" t="str">
        <f ca="1">IF(AND(((COLUMN()-10)&lt;=playercnt),((ROW()-41)&lt;=playercnt)),SUMPRODUCT(INDIRECT(ADDRESS(3,ROW()-31,1)):INDIRECT(ADDRESS(22,ROW()-31,1)),AA$3:AA$22),"")</f>
        <v/>
      </c>
      <c r="AB84" t="str">
        <f ca="1">IF(AND(((COLUMN()-10)&lt;=playercnt),((ROW()-41)&lt;=playercnt)),SUMPRODUCT(INDIRECT(ADDRESS(3,ROW()-31,1)):INDIRECT(ADDRESS(22,ROW()-31,1)),AB$3:AB$22),"")</f>
        <v/>
      </c>
      <c r="AC84" t="str">
        <f ca="1">IF(AND(((COLUMN()-10)&lt;=playercnt),((ROW()-41)&lt;=playercnt)),SUMPRODUCT(INDIRECT(ADDRESS(3,ROW()-31,1)):INDIRECT(ADDRESS(22,ROW()-31,1)),AC$3:AC$22),"")</f>
        <v/>
      </c>
      <c r="AD84" t="str">
        <f ca="1">IF(AND(((COLUMN()-10)&lt;=playercnt),((ROW()-41)&lt;=playercnt)),SUMPRODUCT(INDIRECT(ADDRESS(3,ROW()-31,1)):INDIRECT(ADDRESS(22,ROW()-31,1)),AD$3:AD$22),"")</f>
        <v/>
      </c>
      <c r="AE84" t="str">
        <f ca="1">IF(AND(((COLUMN()-10)&lt;=playercnt),((ROW()-41)&lt;=playercnt)),SUMPRODUCT(INDIRECT(ADDRESS(3,ROW()-31,1)):INDIRECT(ADDRESS(22,ROW()-31,1)),AE$3:AE$22),"")</f>
        <v/>
      </c>
      <c r="AF84" t="str">
        <f ca="1">IF(AND(((COLUMN()-10)&lt;=playercnt),((ROW()-41)&lt;=playercnt)),SUMPRODUCT(INDIRECT(ADDRESS(3,ROW()-31,1)):INDIRECT(ADDRESS(22,ROW()-31,1)),AF$3:AF$22),"")</f>
        <v/>
      </c>
      <c r="AG84" t="str">
        <f ca="1">IF(AND(((COLUMN()-10)&lt;=playercnt),((ROW()-41)&lt;=playercnt)),SUMPRODUCT(INDIRECT(ADDRESS(3,ROW()-31,1)):INDIRECT(ADDRESS(22,ROW()-31,1)),AG$3:AG$22),"")</f>
        <v/>
      </c>
      <c r="AH84" t="str">
        <f ca="1">IF(AND(((COLUMN()-10)&lt;=playercnt),((ROW()-41)&lt;=playercnt)),SUMPRODUCT(INDIRECT(ADDRESS(3,ROW()-31,1)):INDIRECT(ADDRESS(22,ROW()-31,1)),AH$3:AH$22),"")</f>
        <v/>
      </c>
      <c r="AI84" t="str">
        <f ca="1">IF(AND(((COLUMN()-10)&lt;=playercnt),((ROW()-41)&lt;=playercnt)),SUMPRODUCT(INDIRECT(ADDRESS(3,ROW()-31,1)):INDIRECT(ADDRESS(22,ROW()-31,1)),AI$3:AI$22),"")</f>
        <v/>
      </c>
      <c r="AJ84" t="str">
        <f ca="1">IF(AND(((COLUMN()-10)&lt;=playercnt),((ROW()-41)&lt;=playercnt)),SUMPRODUCT(INDIRECT(ADDRESS(3,ROW()-31,1)):INDIRECT(ADDRESS(22,ROW()-31,1)),AJ$3:AJ$22),"")</f>
        <v/>
      </c>
      <c r="AK84" t="str">
        <f ca="1">IF(AND(((COLUMN()-10)&lt;=playercnt),((ROW()-41)&lt;=playercnt)),SUMPRODUCT(INDIRECT(ADDRESS(3,ROW()-31,1)):INDIRECT(ADDRESS(22,ROW()-31,1)),AK$3:AK$22),"")</f>
        <v/>
      </c>
      <c r="AL84" t="str">
        <f ca="1">IF(AND(((COLUMN()-10)&lt;=playercnt),((ROW()-41)&lt;=playercnt)),SUMPRODUCT(INDIRECT(ADDRESS(3,ROW()-31,1)):INDIRECT(ADDRESS(22,ROW()-31,1)),AL$3:AL$22),"")</f>
        <v/>
      </c>
      <c r="AM84" t="str">
        <f ca="1">IF(AND(((COLUMN()-10)&lt;=playercnt),((ROW()-41)&lt;=playercnt)),SUMPRODUCT(INDIRECT(ADDRESS(3,ROW()-31,1)):INDIRECT(ADDRESS(22,ROW()-31,1)),AM$3:AM$22),"")</f>
        <v/>
      </c>
      <c r="AN84" t="str">
        <f ca="1">IF(AND(((COLUMN()-10)&lt;=playercnt),((ROW()-41)&lt;=playercnt)),SUMPRODUCT(INDIRECT(ADDRESS(3,ROW()-31,1)):INDIRECT(ADDRESS(22,ROW()-31,1)),AN$3:AN$22),"")</f>
        <v/>
      </c>
      <c r="AO84" t="str">
        <f ca="1">IF(AND(((COLUMN()-10)&lt;=playercnt),((ROW()-41)&lt;=playercnt)),SUMPRODUCT(INDIRECT(ADDRESS(3,ROW()-31,1)):INDIRECT(ADDRESS(22,ROW()-31,1)),AO$3:AO$22),"")</f>
        <v/>
      </c>
      <c r="AP84" t="str">
        <f ca="1">IF(AND(((COLUMN()-10)&lt;=playercnt),((ROW()-41)&lt;=playercnt)),SUMPRODUCT(INDIRECT(ADDRESS(3,ROW()-31,1)):INDIRECT(ADDRESS(22,ROW()-31,1)),AP$3:AP$22),"")</f>
        <v/>
      </c>
      <c r="AQ84" t="str">
        <f ca="1">IF(AND(((COLUMN()-10)&lt;=playercnt),((ROW()-41)&lt;=playercnt)),SUMPRODUCT(INDIRECT(ADDRESS(3,ROW()-31,1)):INDIRECT(ADDRESS(22,ROW()-31,1)),AQ$3:AQ$22),"")</f>
        <v/>
      </c>
      <c r="AR84" t="str">
        <f ca="1">IF(AND(((COLUMN()-10)&lt;=playercnt),((ROW()-41)&lt;=playercnt)),SUMPRODUCT(INDIRECT(ADDRESS(3,ROW()-31,1)):INDIRECT(ADDRESS(22,ROW()-31,1)),AR$3:AR$22),"")</f>
        <v/>
      </c>
      <c r="AS84" t="str">
        <f ca="1">IF(AND(((COLUMN()-10)&lt;=playercnt),((ROW()-41)&lt;=playercnt)),SUMPRODUCT(INDIRECT(ADDRESS(3,ROW()-31,1)):INDIRECT(ADDRESS(22,ROW()-31,1)),AS$3:AS$22),"")</f>
        <v/>
      </c>
      <c r="AT84" t="str">
        <f ca="1">IF(AND(((COLUMN()-10)&lt;=playercnt),((ROW()-41)&lt;=playercnt)),SUMPRODUCT(INDIRECT(ADDRESS(3,ROW()-31,1)):INDIRECT(ADDRESS(22,ROW()-31,1)),AT$3:AT$22),"")</f>
        <v/>
      </c>
      <c r="AU84" t="str">
        <f ca="1">IF(AND(((COLUMN()-10)&lt;=playercnt),((ROW()-41)&lt;=playercnt)),SUMPRODUCT(INDIRECT(ADDRESS(3,ROW()-31,1)):INDIRECT(ADDRESS(22,ROW()-31,1)),AU$3:AU$22),"")</f>
        <v/>
      </c>
      <c r="AV84" t="str">
        <f ca="1">IF(AND(((COLUMN()-10)&lt;=playercnt),((ROW()-41)&lt;=playercnt)),SUMPRODUCT(INDIRECT(ADDRESS(3,ROW()-31,1)):INDIRECT(ADDRESS(22,ROW()-31,1)),AV$3:AV$22),"")</f>
        <v/>
      </c>
      <c r="AW84" t="str">
        <f ca="1">IF(AND(((COLUMN()-10)&lt;=playercnt),((ROW()-41)&lt;=playercnt)),SUMPRODUCT(INDIRECT(ADDRESS(3,ROW()-31,1)):INDIRECT(ADDRESS(22,ROW()-31,1)),AW$3:AW$22),"")</f>
        <v/>
      </c>
      <c r="AX84" t="str">
        <f ca="1">IF(AND(((COLUMN()-10)&lt;=playercnt),((ROW()-41)&lt;=playercnt)),SUMPRODUCT(INDIRECT(ADDRESS(3,ROW()-31,1)):INDIRECT(ADDRESS(22,ROW()-31,1)),AX$3:AX$22),"")</f>
        <v/>
      </c>
      <c r="AY84" t="str">
        <f ca="1">IF(AND(((COLUMN()-10)&lt;=playercnt),((ROW()-41)&lt;=playercnt)),SUMPRODUCT(INDIRECT(ADDRESS(3,ROW()-31,1)):INDIRECT(ADDRESS(22,ROW()-31,1)),AY$3:AY$22),"")</f>
        <v/>
      </c>
      <c r="AZ84" t="str">
        <f ca="1">IF(AND(((COLUMN()-10)&lt;=playercnt),((ROW()-41)&lt;=playercnt)),SUMPRODUCT(INDIRECT(ADDRESS(3,ROW()-31,1)):INDIRECT(ADDRESS(22,ROW()-31,1)),AZ$3:AZ$22),"")</f>
        <v/>
      </c>
      <c r="BA84" t="str">
        <f ca="1">IF(AND(((COLUMN()-10)&lt;=playercnt),((ROW()-41)&lt;=playercnt)),SUMPRODUCT(INDIRECT(ADDRESS(3,ROW()-31,1)):INDIRECT(ADDRESS(22,ROW()-31,1)),BA$3:BA$22),"")</f>
        <v/>
      </c>
      <c r="BB84" t="str">
        <f ca="1">IF(AND(((COLUMN()-10)&lt;=playercnt),((ROW()-41)&lt;=playercnt)),SUMPRODUCT(INDIRECT(ADDRESS(3,ROW()-31,1)):INDIRECT(ADDRESS(22,ROW()-31,1)),BB$3:BB$22),"")</f>
        <v/>
      </c>
      <c r="BC84" t="str">
        <f ca="1">IF(AND(((COLUMN()-10)&lt;=playercnt),((ROW()-41)&lt;=playercnt)),SUMPRODUCT(INDIRECT(ADDRESS(3,ROW()-31,1)):INDIRECT(ADDRESS(22,ROW()-31,1)),BC$3:BC$22),"")</f>
        <v/>
      </c>
      <c r="BD84" t="str">
        <f ca="1">IF(AND(((COLUMN()-10)&lt;=playercnt),((ROW()-41)&lt;=playercnt)),SUMPRODUCT(INDIRECT(ADDRESS(3,ROW()-31,1)):INDIRECT(ADDRESS(22,ROW()-31,1)),BD$3:BD$22),"")</f>
        <v/>
      </c>
      <c r="BE84" t="str">
        <f ca="1">IF(AND(((COLUMN()-10)&lt;=playercnt),((ROW()-41)&lt;=playercnt)),SUMPRODUCT(INDIRECT(ADDRESS(3,ROW()-31,1)):INDIRECT(ADDRESS(22,ROW()-31,1)),BE$3:BE$22),"")</f>
        <v/>
      </c>
      <c r="BF84" t="str">
        <f ca="1">IF(AND(((COLUMN()-10)&lt;=playercnt),((ROW()-41)&lt;=playercnt)),SUMPRODUCT(INDIRECT(ADDRESS(3,ROW()-31,1)):INDIRECT(ADDRESS(22,ROW()-31,1)),BF$3:BF$22),"")</f>
        <v/>
      </c>
      <c r="BG84" t="str">
        <f ca="1">IF(AND(((COLUMN()-10)&lt;=playercnt),((ROW()-41)&lt;=playercnt)),SUMPRODUCT(INDIRECT(ADDRESS(3,ROW()-31,1)):INDIRECT(ADDRESS(22,ROW()-31,1)),BG$3:BG$22),"")</f>
        <v/>
      </c>
      <c r="BH84" t="str">
        <f ca="1">IF(AND(((COLUMN()-10)&lt;=playercnt),((ROW()-41)&lt;=playercnt)),SUMPRODUCT(INDIRECT(ADDRESS(3,ROW()-31,1)):INDIRECT(ADDRESS(22,ROW()-31,1)),BH$3:BH$22),"")</f>
        <v/>
      </c>
      <c r="BI84" t="str">
        <f ca="1">IF(AND(((COLUMN()-10)&lt;=playercnt),((ROW()-41)&lt;=playercnt)),SUMPRODUCT(INDIRECT(ADDRESS(3,ROW()-31,1)):INDIRECT(ADDRESS(22,ROW()-31,1)),BI$3:BI$22),"")</f>
        <v/>
      </c>
      <c r="BJ84" t="str">
        <f ca="1">IF(AND(((COLUMN()-10)&lt;=playercnt),((ROW()-41)&lt;=playercnt)),SUMPRODUCT(INDIRECT(ADDRESS(3,ROW()-31,1)):INDIRECT(ADDRESS(22,ROW()-31,1)),BJ$3:BJ$22),"")</f>
        <v/>
      </c>
      <c r="BK84" t="str">
        <f ca="1">IF(AND(((COLUMN()-10)&lt;=playercnt),((ROW()-41)&lt;=playercnt)),SUMPRODUCT(INDIRECT(ADDRESS(3,ROW()-31,1)):INDIRECT(ADDRESS(22,ROW()-31,1)),BK$3:BK$22),"")</f>
        <v/>
      </c>
      <c r="BL84" t="str">
        <f ca="1">IF(AND(((COLUMN()-10)&lt;=playercnt),((ROW()-41)&lt;=playercnt)),SUMPRODUCT(INDIRECT(ADDRESS(3,ROW()-31,1)):INDIRECT(ADDRESS(22,ROW()-31,1)),BL$3:BL$22),"")</f>
        <v/>
      </c>
      <c r="BM84" t="str">
        <f ca="1">IF(AND(((COLUMN()-10)&lt;=playercnt),((ROW()-41)&lt;=playercnt)),SUMPRODUCT(INDIRECT(ADDRESS(3,ROW()-31,1)):INDIRECT(ADDRESS(22,ROW()-31,1)),BM$3:BM$22),"")</f>
        <v/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>
      <c r="B85" s="27" t="str">
        <f t="shared" ca="1" si="29"/>
        <v/>
      </c>
      <c r="C85" t="str">
        <f t="shared" ca="1" si="30"/>
        <v/>
      </c>
      <c r="G85" t="str">
        <f ca="1">IF(AND(((COLUMN()-10)&lt;=playercnt),((ROW()-41)&lt;=playercnt)),SUMPRODUCT(INDIRECT(ADDRESS(3,ROW()-31,1)):INDIRECT(ADDRESS(22,ROW()-31,1)),G$3:G$22),"")</f>
        <v/>
      </c>
      <c r="H85" t="str">
        <f ca="1">IF(AND(((COLUMN()-10)&lt;=playercnt),((ROW()-41)&lt;=playercnt)),SUMPRODUCT(INDIRECT(ADDRESS(3,ROW()-31,1)):INDIRECT(ADDRESS(22,ROW()-31,1)),H$3:H$22),"")</f>
        <v/>
      </c>
      <c r="I85" t="str">
        <f ca="1">IF(AND(((COLUMN()-10)&lt;=playercnt),((ROW()-41)&lt;=playercnt)),SUMPRODUCT(INDIRECT(ADDRESS(3,ROW()-31,1)):INDIRECT(ADDRESS(22,ROW()-31,1)),I$3:I$22),"")</f>
        <v/>
      </c>
      <c r="J85" t="str">
        <f ca="1">IF(AND(((COLUMN()-10)&lt;=playercnt),((ROW()-41)&lt;=playercnt)),SUMPRODUCT(INDIRECT(ADDRESS(3,ROW()-31,1)):INDIRECT(ADDRESS(22,ROW()-31,1)),J$3:J$22),"")</f>
        <v/>
      </c>
      <c r="K85" t="str">
        <f ca="1">IF(AND(((COLUMN()-10)&lt;=playercnt),((ROW()-41)&lt;=playercnt)),SUMPRODUCT(INDIRECT(ADDRESS(3,ROW()-31,1)):INDIRECT(ADDRESS(22,ROW()-31,1)),K$3:K$22),"")</f>
        <v/>
      </c>
      <c r="L85" t="str">
        <f ca="1">IF(AND(((COLUMN()-10)&lt;=playercnt),((ROW()-41)&lt;=playercnt)),SUMPRODUCT(INDIRECT(ADDRESS(3,ROW()-31,1)):INDIRECT(ADDRESS(22,ROW()-31,1)),L$3:L$22),"")</f>
        <v/>
      </c>
      <c r="M85" t="str">
        <f ca="1">IF(AND(((COLUMN()-10)&lt;=playercnt),((ROW()-41)&lt;=playercnt)),SUMPRODUCT(INDIRECT(ADDRESS(3,ROW()-31,1)):INDIRECT(ADDRESS(22,ROW()-31,1)),M$3:M$22),"")</f>
        <v/>
      </c>
      <c r="N85" t="str">
        <f ca="1">IF(AND(((COLUMN()-10)&lt;=playercnt),((ROW()-41)&lt;=playercnt)),SUMPRODUCT(INDIRECT(ADDRESS(3,ROW()-31,1)):INDIRECT(ADDRESS(22,ROW()-31,1)),N$3:N$22),"")</f>
        <v/>
      </c>
      <c r="O85" t="str">
        <f ca="1">IF(AND(((COLUMN()-10)&lt;=playercnt),((ROW()-41)&lt;=playercnt)),SUMPRODUCT(INDIRECT(ADDRESS(3,ROW()-31,1)):INDIRECT(ADDRESS(22,ROW()-31,1)),O$3:O$22),"")</f>
        <v/>
      </c>
      <c r="P85" t="str">
        <f ca="1">IF(AND(((COLUMN()-10)&lt;=playercnt),((ROW()-41)&lt;=playercnt)),SUMPRODUCT(INDIRECT(ADDRESS(3,ROW()-31,1)):INDIRECT(ADDRESS(22,ROW()-31,1)),P$3:P$22),"")</f>
        <v/>
      </c>
      <c r="Q85" t="str">
        <f ca="1">IF(AND(((COLUMN()-10)&lt;=playercnt),((ROW()-41)&lt;=playercnt)),SUMPRODUCT(INDIRECT(ADDRESS(3,ROW()-31,1)):INDIRECT(ADDRESS(22,ROW()-31,1)),Q$3:Q$22),"")</f>
        <v/>
      </c>
      <c r="R85" t="str">
        <f ca="1">IF(AND(((COLUMN()-10)&lt;=playercnt),((ROW()-41)&lt;=playercnt)),SUMPRODUCT(INDIRECT(ADDRESS(3,ROW()-31,1)):INDIRECT(ADDRESS(22,ROW()-31,1)),R$3:R$22),"")</f>
        <v/>
      </c>
      <c r="S85" t="str">
        <f ca="1">IF(AND(((COLUMN()-10)&lt;=playercnt),((ROW()-41)&lt;=playercnt)),SUMPRODUCT(INDIRECT(ADDRESS(3,ROW()-31,1)):INDIRECT(ADDRESS(22,ROW()-31,1)),S$3:S$22),"")</f>
        <v/>
      </c>
      <c r="T85" t="str">
        <f ca="1">IF(AND(((COLUMN()-10)&lt;=playercnt),((ROW()-41)&lt;=playercnt)),SUMPRODUCT(INDIRECT(ADDRESS(3,ROW()-31,1)):INDIRECT(ADDRESS(22,ROW()-31,1)),T$3:T$22),"")</f>
        <v/>
      </c>
      <c r="U85" t="str">
        <f ca="1">IF(AND(((COLUMN()-10)&lt;=playercnt),((ROW()-41)&lt;=playercnt)),SUMPRODUCT(INDIRECT(ADDRESS(3,ROW()-31,1)):INDIRECT(ADDRESS(22,ROW()-31,1)),U$3:U$22),"")</f>
        <v/>
      </c>
      <c r="V85" t="str">
        <f ca="1">IF(AND(((COLUMN()-10)&lt;=playercnt),((ROW()-41)&lt;=playercnt)),SUMPRODUCT(INDIRECT(ADDRESS(3,ROW()-31,1)):INDIRECT(ADDRESS(22,ROW()-31,1)),V$3:V$22),"")</f>
        <v/>
      </c>
      <c r="W85" t="str">
        <f ca="1">IF(AND(((COLUMN()-10)&lt;=playercnt),((ROW()-41)&lt;=playercnt)),SUMPRODUCT(INDIRECT(ADDRESS(3,ROW()-31,1)):INDIRECT(ADDRESS(22,ROW()-31,1)),W$3:W$22),"")</f>
        <v/>
      </c>
      <c r="X85" t="str">
        <f ca="1">IF(AND(((COLUMN()-10)&lt;=playercnt),((ROW()-41)&lt;=playercnt)),SUMPRODUCT(INDIRECT(ADDRESS(3,ROW()-31,1)):INDIRECT(ADDRESS(22,ROW()-31,1)),X$3:X$22),"")</f>
        <v/>
      </c>
      <c r="Y85" t="str">
        <f ca="1">IF(AND(((COLUMN()-10)&lt;=playercnt),((ROW()-41)&lt;=playercnt)),SUMPRODUCT(INDIRECT(ADDRESS(3,ROW()-31,1)):INDIRECT(ADDRESS(22,ROW()-31,1)),Y$3:Y$22),"")</f>
        <v/>
      </c>
      <c r="Z85" t="str">
        <f ca="1">IF(AND(((COLUMN()-10)&lt;=playercnt),((ROW()-41)&lt;=playercnt)),SUMPRODUCT(INDIRECT(ADDRESS(3,ROW()-31,1)):INDIRECT(ADDRESS(22,ROW()-31,1)),Z$3:Z$22),"")</f>
        <v/>
      </c>
      <c r="AA85" t="str">
        <f ca="1">IF(AND(((COLUMN()-10)&lt;=playercnt),((ROW()-41)&lt;=playercnt)),SUMPRODUCT(INDIRECT(ADDRESS(3,ROW()-31,1)):INDIRECT(ADDRESS(22,ROW()-31,1)),AA$3:AA$22),"")</f>
        <v/>
      </c>
      <c r="AB85" t="str">
        <f ca="1">IF(AND(((COLUMN()-10)&lt;=playercnt),((ROW()-41)&lt;=playercnt)),SUMPRODUCT(INDIRECT(ADDRESS(3,ROW()-31,1)):INDIRECT(ADDRESS(22,ROW()-31,1)),AB$3:AB$22),"")</f>
        <v/>
      </c>
      <c r="AC85" t="str">
        <f ca="1">IF(AND(((COLUMN()-10)&lt;=playercnt),((ROW()-41)&lt;=playercnt)),SUMPRODUCT(INDIRECT(ADDRESS(3,ROW()-31,1)):INDIRECT(ADDRESS(22,ROW()-31,1)),AC$3:AC$22),"")</f>
        <v/>
      </c>
      <c r="AD85" t="str">
        <f ca="1">IF(AND(((COLUMN()-10)&lt;=playercnt),((ROW()-41)&lt;=playercnt)),SUMPRODUCT(INDIRECT(ADDRESS(3,ROW()-31,1)):INDIRECT(ADDRESS(22,ROW()-31,1)),AD$3:AD$22),"")</f>
        <v/>
      </c>
      <c r="AE85" t="str">
        <f ca="1">IF(AND(((COLUMN()-10)&lt;=playercnt),((ROW()-41)&lt;=playercnt)),SUMPRODUCT(INDIRECT(ADDRESS(3,ROW()-31,1)):INDIRECT(ADDRESS(22,ROW()-31,1)),AE$3:AE$22),"")</f>
        <v/>
      </c>
      <c r="AF85" t="str">
        <f ca="1">IF(AND(((COLUMN()-10)&lt;=playercnt),((ROW()-41)&lt;=playercnt)),SUMPRODUCT(INDIRECT(ADDRESS(3,ROW()-31,1)):INDIRECT(ADDRESS(22,ROW()-31,1)),AF$3:AF$22),"")</f>
        <v/>
      </c>
      <c r="AG85" t="str">
        <f ca="1">IF(AND(((COLUMN()-10)&lt;=playercnt),((ROW()-41)&lt;=playercnt)),SUMPRODUCT(INDIRECT(ADDRESS(3,ROW()-31,1)):INDIRECT(ADDRESS(22,ROW()-31,1)),AG$3:AG$22),"")</f>
        <v/>
      </c>
      <c r="AH85" t="str">
        <f ca="1">IF(AND(((COLUMN()-10)&lt;=playercnt),((ROW()-41)&lt;=playercnt)),SUMPRODUCT(INDIRECT(ADDRESS(3,ROW()-31,1)):INDIRECT(ADDRESS(22,ROW()-31,1)),AH$3:AH$22),"")</f>
        <v/>
      </c>
      <c r="AI85" t="str">
        <f ca="1">IF(AND(((COLUMN()-10)&lt;=playercnt),((ROW()-41)&lt;=playercnt)),SUMPRODUCT(INDIRECT(ADDRESS(3,ROW()-31,1)):INDIRECT(ADDRESS(22,ROW()-31,1)),AI$3:AI$22),"")</f>
        <v/>
      </c>
      <c r="AJ85" t="str">
        <f ca="1">IF(AND(((COLUMN()-10)&lt;=playercnt),((ROW()-41)&lt;=playercnt)),SUMPRODUCT(INDIRECT(ADDRESS(3,ROW()-31,1)):INDIRECT(ADDRESS(22,ROW()-31,1)),AJ$3:AJ$22),"")</f>
        <v/>
      </c>
      <c r="AK85" t="str">
        <f ca="1">IF(AND(((COLUMN()-10)&lt;=playercnt),((ROW()-41)&lt;=playercnt)),SUMPRODUCT(INDIRECT(ADDRESS(3,ROW()-31,1)):INDIRECT(ADDRESS(22,ROW()-31,1)),AK$3:AK$22),"")</f>
        <v/>
      </c>
      <c r="AL85" t="str">
        <f ca="1">IF(AND(((COLUMN()-10)&lt;=playercnt),((ROW()-41)&lt;=playercnt)),SUMPRODUCT(INDIRECT(ADDRESS(3,ROW()-31,1)):INDIRECT(ADDRESS(22,ROW()-31,1)),AL$3:AL$22),"")</f>
        <v/>
      </c>
      <c r="AM85" t="str">
        <f ca="1">IF(AND(((COLUMN()-10)&lt;=playercnt),((ROW()-41)&lt;=playercnt)),SUMPRODUCT(INDIRECT(ADDRESS(3,ROW()-31,1)):INDIRECT(ADDRESS(22,ROW()-31,1)),AM$3:AM$22),"")</f>
        <v/>
      </c>
      <c r="AN85" t="str">
        <f ca="1">IF(AND(((COLUMN()-10)&lt;=playercnt),((ROW()-41)&lt;=playercnt)),SUMPRODUCT(INDIRECT(ADDRESS(3,ROW()-31,1)):INDIRECT(ADDRESS(22,ROW()-31,1)),AN$3:AN$22),"")</f>
        <v/>
      </c>
      <c r="AO85" t="str">
        <f ca="1">IF(AND(((COLUMN()-10)&lt;=playercnt),((ROW()-41)&lt;=playercnt)),SUMPRODUCT(INDIRECT(ADDRESS(3,ROW()-31,1)):INDIRECT(ADDRESS(22,ROW()-31,1)),AO$3:AO$22),"")</f>
        <v/>
      </c>
      <c r="AP85" t="str">
        <f ca="1">IF(AND(((COLUMN()-10)&lt;=playercnt),((ROW()-41)&lt;=playercnt)),SUMPRODUCT(INDIRECT(ADDRESS(3,ROW()-31,1)):INDIRECT(ADDRESS(22,ROW()-31,1)),AP$3:AP$22),"")</f>
        <v/>
      </c>
      <c r="AQ85" t="str">
        <f ca="1">IF(AND(((COLUMN()-10)&lt;=playercnt),((ROW()-41)&lt;=playercnt)),SUMPRODUCT(INDIRECT(ADDRESS(3,ROW()-31,1)):INDIRECT(ADDRESS(22,ROW()-31,1)),AQ$3:AQ$22),"")</f>
        <v/>
      </c>
      <c r="AR85" t="str">
        <f ca="1">IF(AND(((COLUMN()-10)&lt;=playercnt),((ROW()-41)&lt;=playercnt)),SUMPRODUCT(INDIRECT(ADDRESS(3,ROW()-31,1)):INDIRECT(ADDRESS(22,ROW()-31,1)),AR$3:AR$22),"")</f>
        <v/>
      </c>
      <c r="AS85" t="str">
        <f ca="1">IF(AND(((COLUMN()-10)&lt;=playercnt),((ROW()-41)&lt;=playercnt)),SUMPRODUCT(INDIRECT(ADDRESS(3,ROW()-31,1)):INDIRECT(ADDRESS(22,ROW()-31,1)),AS$3:AS$22),"")</f>
        <v/>
      </c>
      <c r="AT85" t="str">
        <f ca="1">IF(AND(((COLUMN()-10)&lt;=playercnt),((ROW()-41)&lt;=playercnt)),SUMPRODUCT(INDIRECT(ADDRESS(3,ROW()-31,1)):INDIRECT(ADDRESS(22,ROW()-31,1)),AT$3:AT$22),"")</f>
        <v/>
      </c>
      <c r="AU85" t="str">
        <f ca="1">IF(AND(((COLUMN()-10)&lt;=playercnt),((ROW()-41)&lt;=playercnt)),SUMPRODUCT(INDIRECT(ADDRESS(3,ROW()-31,1)):INDIRECT(ADDRESS(22,ROW()-31,1)),AU$3:AU$22),"")</f>
        <v/>
      </c>
      <c r="AV85" t="str">
        <f ca="1">IF(AND(((COLUMN()-10)&lt;=playercnt),((ROW()-41)&lt;=playercnt)),SUMPRODUCT(INDIRECT(ADDRESS(3,ROW()-31,1)):INDIRECT(ADDRESS(22,ROW()-31,1)),AV$3:AV$22),"")</f>
        <v/>
      </c>
      <c r="AW85" t="str">
        <f ca="1">IF(AND(((COLUMN()-10)&lt;=playercnt),((ROW()-41)&lt;=playercnt)),SUMPRODUCT(INDIRECT(ADDRESS(3,ROW()-31,1)):INDIRECT(ADDRESS(22,ROW()-31,1)),AW$3:AW$22),"")</f>
        <v/>
      </c>
      <c r="AX85" t="str">
        <f ca="1">IF(AND(((COLUMN()-10)&lt;=playercnt),((ROW()-41)&lt;=playercnt)),SUMPRODUCT(INDIRECT(ADDRESS(3,ROW()-31,1)):INDIRECT(ADDRESS(22,ROW()-31,1)),AX$3:AX$22),"")</f>
        <v/>
      </c>
      <c r="AY85" t="str">
        <f ca="1">IF(AND(((COLUMN()-10)&lt;=playercnt),((ROW()-41)&lt;=playercnt)),SUMPRODUCT(INDIRECT(ADDRESS(3,ROW()-31,1)):INDIRECT(ADDRESS(22,ROW()-31,1)),AY$3:AY$22),"")</f>
        <v/>
      </c>
      <c r="AZ85" t="str">
        <f ca="1">IF(AND(((COLUMN()-10)&lt;=playercnt),((ROW()-41)&lt;=playercnt)),SUMPRODUCT(INDIRECT(ADDRESS(3,ROW()-31,1)):INDIRECT(ADDRESS(22,ROW()-31,1)),AZ$3:AZ$22),"")</f>
        <v/>
      </c>
      <c r="BA85" t="str">
        <f ca="1">IF(AND(((COLUMN()-10)&lt;=playercnt),((ROW()-41)&lt;=playercnt)),SUMPRODUCT(INDIRECT(ADDRESS(3,ROW()-31,1)):INDIRECT(ADDRESS(22,ROW()-31,1)),BA$3:BA$22),"")</f>
        <v/>
      </c>
      <c r="BB85" t="str">
        <f ca="1">IF(AND(((COLUMN()-10)&lt;=playercnt),((ROW()-41)&lt;=playercnt)),SUMPRODUCT(INDIRECT(ADDRESS(3,ROW()-31,1)):INDIRECT(ADDRESS(22,ROW()-31,1)),BB$3:BB$22),"")</f>
        <v/>
      </c>
      <c r="BC85" t="str">
        <f ca="1">IF(AND(((COLUMN()-10)&lt;=playercnt),((ROW()-41)&lt;=playercnt)),SUMPRODUCT(INDIRECT(ADDRESS(3,ROW()-31,1)):INDIRECT(ADDRESS(22,ROW()-31,1)),BC$3:BC$22),"")</f>
        <v/>
      </c>
      <c r="BD85" t="str">
        <f ca="1">IF(AND(((COLUMN()-10)&lt;=playercnt),((ROW()-41)&lt;=playercnt)),SUMPRODUCT(INDIRECT(ADDRESS(3,ROW()-31,1)):INDIRECT(ADDRESS(22,ROW()-31,1)),BD$3:BD$22),"")</f>
        <v/>
      </c>
      <c r="BE85" t="str">
        <f ca="1">IF(AND(((COLUMN()-10)&lt;=playercnt),((ROW()-41)&lt;=playercnt)),SUMPRODUCT(INDIRECT(ADDRESS(3,ROW()-31,1)):INDIRECT(ADDRESS(22,ROW()-31,1)),BE$3:BE$22),"")</f>
        <v/>
      </c>
      <c r="BF85" t="str">
        <f ca="1">IF(AND(((COLUMN()-10)&lt;=playercnt),((ROW()-41)&lt;=playercnt)),SUMPRODUCT(INDIRECT(ADDRESS(3,ROW()-31,1)):INDIRECT(ADDRESS(22,ROW()-31,1)),BF$3:BF$22),"")</f>
        <v/>
      </c>
      <c r="BG85" t="str">
        <f ca="1">IF(AND(((COLUMN()-10)&lt;=playercnt),((ROW()-41)&lt;=playercnt)),SUMPRODUCT(INDIRECT(ADDRESS(3,ROW()-31,1)):INDIRECT(ADDRESS(22,ROW()-31,1)),BG$3:BG$22),"")</f>
        <v/>
      </c>
      <c r="BH85" t="str">
        <f ca="1">IF(AND(((COLUMN()-10)&lt;=playercnt),((ROW()-41)&lt;=playercnt)),SUMPRODUCT(INDIRECT(ADDRESS(3,ROW()-31,1)):INDIRECT(ADDRESS(22,ROW()-31,1)),BH$3:BH$22),"")</f>
        <v/>
      </c>
      <c r="BI85" t="str">
        <f ca="1">IF(AND(((COLUMN()-10)&lt;=playercnt),((ROW()-41)&lt;=playercnt)),SUMPRODUCT(INDIRECT(ADDRESS(3,ROW()-31,1)):INDIRECT(ADDRESS(22,ROW()-31,1)),BI$3:BI$22),"")</f>
        <v/>
      </c>
      <c r="BJ85" t="str">
        <f ca="1">IF(AND(((COLUMN()-10)&lt;=playercnt),((ROW()-41)&lt;=playercnt)),SUMPRODUCT(INDIRECT(ADDRESS(3,ROW()-31,1)):INDIRECT(ADDRESS(22,ROW()-31,1)),BJ$3:BJ$22),"")</f>
        <v/>
      </c>
      <c r="BK85" t="str">
        <f ca="1">IF(AND(((COLUMN()-10)&lt;=playercnt),((ROW()-41)&lt;=playercnt)),SUMPRODUCT(INDIRECT(ADDRESS(3,ROW()-31,1)):INDIRECT(ADDRESS(22,ROW()-31,1)),BK$3:BK$22),"")</f>
        <v/>
      </c>
      <c r="BL85" t="str">
        <f ca="1">IF(AND(((COLUMN()-10)&lt;=playercnt),((ROW()-41)&lt;=playercnt)),SUMPRODUCT(INDIRECT(ADDRESS(3,ROW()-31,1)):INDIRECT(ADDRESS(22,ROW()-31,1)),BL$3:BL$22),"")</f>
        <v/>
      </c>
      <c r="BM85" t="str">
        <f ca="1">IF(AND(((COLUMN()-10)&lt;=playercnt),((ROW()-41)&lt;=playercnt)),SUMPRODUCT(INDIRECT(ADDRESS(3,ROW()-31,1)):INDIRECT(ADDRESS(22,ROW()-31,1)),BM$3:BM$22),"")</f>
        <v/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>
      <c r="B86" s="27" t="str">
        <f t="shared" ca="1" si="29"/>
        <v/>
      </c>
      <c r="C86" t="str">
        <f t="shared" ca="1" si="30"/>
        <v/>
      </c>
      <c r="G86" t="str">
        <f ca="1">IF(AND(((COLUMN()-10)&lt;=playercnt),((ROW()-41)&lt;=playercnt)),SUMPRODUCT(INDIRECT(ADDRESS(3,ROW()-31,1)):INDIRECT(ADDRESS(22,ROW()-31,1)),G$3:G$22),"")</f>
        <v/>
      </c>
      <c r="H86" t="str">
        <f ca="1">IF(AND(((COLUMN()-10)&lt;=playercnt),((ROW()-41)&lt;=playercnt)),SUMPRODUCT(INDIRECT(ADDRESS(3,ROW()-31,1)):INDIRECT(ADDRESS(22,ROW()-31,1)),H$3:H$22),"")</f>
        <v/>
      </c>
      <c r="I86" t="str">
        <f ca="1">IF(AND(((COLUMN()-10)&lt;=playercnt),((ROW()-41)&lt;=playercnt)),SUMPRODUCT(INDIRECT(ADDRESS(3,ROW()-31,1)):INDIRECT(ADDRESS(22,ROW()-31,1)),I$3:I$22),"")</f>
        <v/>
      </c>
      <c r="J86" t="str">
        <f ca="1">IF(AND(((COLUMN()-10)&lt;=playercnt),((ROW()-41)&lt;=playercnt)),SUMPRODUCT(INDIRECT(ADDRESS(3,ROW()-31,1)):INDIRECT(ADDRESS(22,ROW()-31,1)),J$3:J$22),"")</f>
        <v/>
      </c>
      <c r="K86" t="str">
        <f ca="1">IF(AND(((COLUMN()-10)&lt;=playercnt),((ROW()-41)&lt;=playercnt)),SUMPRODUCT(INDIRECT(ADDRESS(3,ROW()-31,1)):INDIRECT(ADDRESS(22,ROW()-31,1)),K$3:K$22),"")</f>
        <v/>
      </c>
      <c r="L86" t="str">
        <f ca="1">IF(AND(((COLUMN()-10)&lt;=playercnt),((ROW()-41)&lt;=playercnt)),SUMPRODUCT(INDIRECT(ADDRESS(3,ROW()-31,1)):INDIRECT(ADDRESS(22,ROW()-31,1)),L$3:L$22),"")</f>
        <v/>
      </c>
      <c r="M86" t="str">
        <f ca="1">IF(AND(((COLUMN()-10)&lt;=playercnt),((ROW()-41)&lt;=playercnt)),SUMPRODUCT(INDIRECT(ADDRESS(3,ROW()-31,1)):INDIRECT(ADDRESS(22,ROW()-31,1)),M$3:M$22),"")</f>
        <v/>
      </c>
      <c r="N86" t="str">
        <f ca="1">IF(AND(((COLUMN()-10)&lt;=playercnt),((ROW()-41)&lt;=playercnt)),SUMPRODUCT(INDIRECT(ADDRESS(3,ROW()-31,1)):INDIRECT(ADDRESS(22,ROW()-31,1)),N$3:N$22),"")</f>
        <v/>
      </c>
      <c r="O86" t="str">
        <f ca="1">IF(AND(((COLUMN()-10)&lt;=playercnt),((ROW()-41)&lt;=playercnt)),SUMPRODUCT(INDIRECT(ADDRESS(3,ROW()-31,1)):INDIRECT(ADDRESS(22,ROW()-31,1)),O$3:O$22),"")</f>
        <v/>
      </c>
      <c r="P86" t="str">
        <f ca="1">IF(AND(((COLUMN()-10)&lt;=playercnt),((ROW()-41)&lt;=playercnt)),SUMPRODUCT(INDIRECT(ADDRESS(3,ROW()-31,1)):INDIRECT(ADDRESS(22,ROW()-31,1)),P$3:P$22),"")</f>
        <v/>
      </c>
      <c r="Q86" t="str">
        <f ca="1">IF(AND(((COLUMN()-10)&lt;=playercnt),((ROW()-41)&lt;=playercnt)),SUMPRODUCT(INDIRECT(ADDRESS(3,ROW()-31,1)):INDIRECT(ADDRESS(22,ROW()-31,1)),Q$3:Q$22),"")</f>
        <v/>
      </c>
      <c r="R86" t="str">
        <f ca="1">IF(AND(((COLUMN()-10)&lt;=playercnt),((ROW()-41)&lt;=playercnt)),SUMPRODUCT(INDIRECT(ADDRESS(3,ROW()-31,1)):INDIRECT(ADDRESS(22,ROW()-31,1)),R$3:R$22),"")</f>
        <v/>
      </c>
      <c r="S86" t="str">
        <f ca="1">IF(AND(((COLUMN()-10)&lt;=playercnt),((ROW()-41)&lt;=playercnt)),SUMPRODUCT(INDIRECT(ADDRESS(3,ROW()-31,1)):INDIRECT(ADDRESS(22,ROW()-31,1)),S$3:S$22),"")</f>
        <v/>
      </c>
      <c r="T86" t="str">
        <f ca="1">IF(AND(((COLUMN()-10)&lt;=playercnt),((ROW()-41)&lt;=playercnt)),SUMPRODUCT(INDIRECT(ADDRESS(3,ROW()-31,1)):INDIRECT(ADDRESS(22,ROW()-31,1)),T$3:T$22),"")</f>
        <v/>
      </c>
      <c r="U86" t="str">
        <f ca="1">IF(AND(((COLUMN()-10)&lt;=playercnt),((ROW()-41)&lt;=playercnt)),SUMPRODUCT(INDIRECT(ADDRESS(3,ROW()-31,1)):INDIRECT(ADDRESS(22,ROW()-31,1)),U$3:U$22),"")</f>
        <v/>
      </c>
      <c r="V86" t="str">
        <f ca="1">IF(AND(((COLUMN()-10)&lt;=playercnt),((ROW()-41)&lt;=playercnt)),SUMPRODUCT(INDIRECT(ADDRESS(3,ROW()-31,1)):INDIRECT(ADDRESS(22,ROW()-31,1)),V$3:V$22),"")</f>
        <v/>
      </c>
      <c r="W86" t="str">
        <f ca="1">IF(AND(((COLUMN()-10)&lt;=playercnt),((ROW()-41)&lt;=playercnt)),SUMPRODUCT(INDIRECT(ADDRESS(3,ROW()-31,1)):INDIRECT(ADDRESS(22,ROW()-31,1)),W$3:W$22),"")</f>
        <v/>
      </c>
      <c r="X86" t="str">
        <f ca="1">IF(AND(((COLUMN()-10)&lt;=playercnt),((ROW()-41)&lt;=playercnt)),SUMPRODUCT(INDIRECT(ADDRESS(3,ROW()-31,1)):INDIRECT(ADDRESS(22,ROW()-31,1)),X$3:X$22),"")</f>
        <v/>
      </c>
      <c r="Y86" t="str">
        <f ca="1">IF(AND(((COLUMN()-10)&lt;=playercnt),((ROW()-41)&lt;=playercnt)),SUMPRODUCT(INDIRECT(ADDRESS(3,ROW()-31,1)):INDIRECT(ADDRESS(22,ROW()-31,1)),Y$3:Y$22),"")</f>
        <v/>
      </c>
      <c r="Z86" t="str">
        <f ca="1">IF(AND(((COLUMN()-10)&lt;=playercnt),((ROW()-41)&lt;=playercnt)),SUMPRODUCT(INDIRECT(ADDRESS(3,ROW()-31,1)):INDIRECT(ADDRESS(22,ROW()-31,1)),Z$3:Z$22),"")</f>
        <v/>
      </c>
      <c r="AA86" t="str">
        <f ca="1">IF(AND(((COLUMN()-10)&lt;=playercnt),((ROW()-41)&lt;=playercnt)),SUMPRODUCT(INDIRECT(ADDRESS(3,ROW()-31,1)):INDIRECT(ADDRESS(22,ROW()-31,1)),AA$3:AA$22),"")</f>
        <v/>
      </c>
      <c r="AB86" t="str">
        <f ca="1">IF(AND(((COLUMN()-10)&lt;=playercnt),((ROW()-41)&lt;=playercnt)),SUMPRODUCT(INDIRECT(ADDRESS(3,ROW()-31,1)):INDIRECT(ADDRESS(22,ROW()-31,1)),AB$3:AB$22),"")</f>
        <v/>
      </c>
      <c r="AC86" t="str">
        <f ca="1">IF(AND(((COLUMN()-10)&lt;=playercnt),((ROW()-41)&lt;=playercnt)),SUMPRODUCT(INDIRECT(ADDRESS(3,ROW()-31,1)):INDIRECT(ADDRESS(22,ROW()-31,1)),AC$3:AC$22),"")</f>
        <v/>
      </c>
      <c r="AD86" t="str">
        <f ca="1">IF(AND(((COLUMN()-10)&lt;=playercnt),((ROW()-41)&lt;=playercnt)),SUMPRODUCT(INDIRECT(ADDRESS(3,ROW()-31,1)):INDIRECT(ADDRESS(22,ROW()-31,1)),AD$3:AD$22),"")</f>
        <v/>
      </c>
      <c r="AE86" t="str">
        <f ca="1">IF(AND(((COLUMN()-10)&lt;=playercnt),((ROW()-41)&lt;=playercnt)),SUMPRODUCT(INDIRECT(ADDRESS(3,ROW()-31,1)):INDIRECT(ADDRESS(22,ROW()-31,1)),AE$3:AE$22),"")</f>
        <v/>
      </c>
      <c r="AF86" t="str">
        <f ca="1">IF(AND(((COLUMN()-10)&lt;=playercnt),((ROW()-41)&lt;=playercnt)),SUMPRODUCT(INDIRECT(ADDRESS(3,ROW()-31,1)):INDIRECT(ADDRESS(22,ROW()-31,1)),AF$3:AF$22),"")</f>
        <v/>
      </c>
      <c r="AG86" t="str">
        <f ca="1">IF(AND(((COLUMN()-10)&lt;=playercnt),((ROW()-41)&lt;=playercnt)),SUMPRODUCT(INDIRECT(ADDRESS(3,ROW()-31,1)):INDIRECT(ADDRESS(22,ROW()-31,1)),AG$3:AG$22),"")</f>
        <v/>
      </c>
      <c r="AH86" t="str">
        <f ca="1">IF(AND(((COLUMN()-10)&lt;=playercnt),((ROW()-41)&lt;=playercnt)),SUMPRODUCT(INDIRECT(ADDRESS(3,ROW()-31,1)):INDIRECT(ADDRESS(22,ROW()-31,1)),AH$3:AH$22),"")</f>
        <v/>
      </c>
      <c r="AI86" t="str">
        <f ca="1">IF(AND(((COLUMN()-10)&lt;=playercnt),((ROW()-41)&lt;=playercnt)),SUMPRODUCT(INDIRECT(ADDRESS(3,ROW()-31,1)):INDIRECT(ADDRESS(22,ROW()-31,1)),AI$3:AI$22),"")</f>
        <v/>
      </c>
      <c r="AJ86" t="str">
        <f ca="1">IF(AND(((COLUMN()-10)&lt;=playercnt),((ROW()-41)&lt;=playercnt)),SUMPRODUCT(INDIRECT(ADDRESS(3,ROW()-31,1)):INDIRECT(ADDRESS(22,ROW()-31,1)),AJ$3:AJ$22),"")</f>
        <v/>
      </c>
      <c r="AK86" t="str">
        <f ca="1">IF(AND(((COLUMN()-10)&lt;=playercnt),((ROW()-41)&lt;=playercnt)),SUMPRODUCT(INDIRECT(ADDRESS(3,ROW()-31,1)):INDIRECT(ADDRESS(22,ROW()-31,1)),AK$3:AK$22),"")</f>
        <v/>
      </c>
      <c r="AL86" t="str">
        <f ca="1">IF(AND(((COLUMN()-10)&lt;=playercnt),((ROW()-41)&lt;=playercnt)),SUMPRODUCT(INDIRECT(ADDRESS(3,ROW()-31,1)):INDIRECT(ADDRESS(22,ROW()-31,1)),AL$3:AL$22),"")</f>
        <v/>
      </c>
      <c r="AM86" t="str">
        <f ca="1">IF(AND(((COLUMN()-10)&lt;=playercnt),((ROW()-41)&lt;=playercnt)),SUMPRODUCT(INDIRECT(ADDRESS(3,ROW()-31,1)):INDIRECT(ADDRESS(22,ROW()-31,1)),AM$3:AM$22),"")</f>
        <v/>
      </c>
      <c r="AN86" t="str">
        <f ca="1">IF(AND(((COLUMN()-10)&lt;=playercnt),((ROW()-41)&lt;=playercnt)),SUMPRODUCT(INDIRECT(ADDRESS(3,ROW()-31,1)):INDIRECT(ADDRESS(22,ROW()-31,1)),AN$3:AN$22),"")</f>
        <v/>
      </c>
      <c r="AO86" t="str">
        <f ca="1">IF(AND(((COLUMN()-10)&lt;=playercnt),((ROW()-41)&lt;=playercnt)),SUMPRODUCT(INDIRECT(ADDRESS(3,ROW()-31,1)):INDIRECT(ADDRESS(22,ROW()-31,1)),AO$3:AO$22),"")</f>
        <v/>
      </c>
      <c r="AP86" t="str">
        <f ca="1">IF(AND(((COLUMN()-10)&lt;=playercnt),((ROW()-41)&lt;=playercnt)),SUMPRODUCT(INDIRECT(ADDRESS(3,ROW()-31,1)):INDIRECT(ADDRESS(22,ROW()-31,1)),AP$3:AP$22),"")</f>
        <v/>
      </c>
      <c r="AQ86" t="str">
        <f ca="1">IF(AND(((COLUMN()-10)&lt;=playercnt),((ROW()-41)&lt;=playercnt)),SUMPRODUCT(INDIRECT(ADDRESS(3,ROW()-31,1)):INDIRECT(ADDRESS(22,ROW()-31,1)),AQ$3:AQ$22),"")</f>
        <v/>
      </c>
      <c r="AR86" t="str">
        <f ca="1">IF(AND(((COLUMN()-10)&lt;=playercnt),((ROW()-41)&lt;=playercnt)),SUMPRODUCT(INDIRECT(ADDRESS(3,ROW()-31,1)):INDIRECT(ADDRESS(22,ROW()-31,1)),AR$3:AR$22),"")</f>
        <v/>
      </c>
      <c r="AS86" t="str">
        <f ca="1">IF(AND(((COLUMN()-10)&lt;=playercnt),((ROW()-41)&lt;=playercnt)),SUMPRODUCT(INDIRECT(ADDRESS(3,ROW()-31,1)):INDIRECT(ADDRESS(22,ROW()-31,1)),AS$3:AS$22),"")</f>
        <v/>
      </c>
      <c r="AT86" t="str">
        <f ca="1">IF(AND(((COLUMN()-10)&lt;=playercnt),((ROW()-41)&lt;=playercnt)),SUMPRODUCT(INDIRECT(ADDRESS(3,ROW()-31,1)):INDIRECT(ADDRESS(22,ROW()-31,1)),AT$3:AT$22),"")</f>
        <v/>
      </c>
      <c r="AU86" t="str">
        <f ca="1">IF(AND(((COLUMN()-10)&lt;=playercnt),((ROW()-41)&lt;=playercnt)),SUMPRODUCT(INDIRECT(ADDRESS(3,ROW()-31,1)):INDIRECT(ADDRESS(22,ROW()-31,1)),AU$3:AU$22),"")</f>
        <v/>
      </c>
      <c r="AV86" t="str">
        <f ca="1">IF(AND(((COLUMN()-10)&lt;=playercnt),((ROW()-41)&lt;=playercnt)),SUMPRODUCT(INDIRECT(ADDRESS(3,ROW()-31,1)):INDIRECT(ADDRESS(22,ROW()-31,1)),AV$3:AV$22),"")</f>
        <v/>
      </c>
      <c r="AW86" t="str">
        <f ca="1">IF(AND(((COLUMN()-10)&lt;=playercnt),((ROW()-41)&lt;=playercnt)),SUMPRODUCT(INDIRECT(ADDRESS(3,ROW()-31,1)):INDIRECT(ADDRESS(22,ROW()-31,1)),AW$3:AW$22),"")</f>
        <v/>
      </c>
      <c r="AX86" t="str">
        <f ca="1">IF(AND(((COLUMN()-10)&lt;=playercnt),((ROW()-41)&lt;=playercnt)),SUMPRODUCT(INDIRECT(ADDRESS(3,ROW()-31,1)):INDIRECT(ADDRESS(22,ROW()-31,1)),AX$3:AX$22),"")</f>
        <v/>
      </c>
      <c r="AY86" t="str">
        <f ca="1">IF(AND(((COLUMN()-10)&lt;=playercnt),((ROW()-41)&lt;=playercnt)),SUMPRODUCT(INDIRECT(ADDRESS(3,ROW()-31,1)):INDIRECT(ADDRESS(22,ROW()-31,1)),AY$3:AY$22),"")</f>
        <v/>
      </c>
      <c r="AZ86" t="str">
        <f ca="1">IF(AND(((COLUMN()-10)&lt;=playercnt),((ROW()-41)&lt;=playercnt)),SUMPRODUCT(INDIRECT(ADDRESS(3,ROW()-31,1)):INDIRECT(ADDRESS(22,ROW()-31,1)),AZ$3:AZ$22),"")</f>
        <v/>
      </c>
      <c r="BA86" t="str">
        <f ca="1">IF(AND(((COLUMN()-10)&lt;=playercnt),((ROW()-41)&lt;=playercnt)),SUMPRODUCT(INDIRECT(ADDRESS(3,ROW()-31,1)):INDIRECT(ADDRESS(22,ROW()-31,1)),BA$3:BA$22),"")</f>
        <v/>
      </c>
      <c r="BB86" t="str">
        <f ca="1">IF(AND(((COLUMN()-10)&lt;=playercnt),((ROW()-41)&lt;=playercnt)),SUMPRODUCT(INDIRECT(ADDRESS(3,ROW()-31,1)):INDIRECT(ADDRESS(22,ROW()-31,1)),BB$3:BB$22),"")</f>
        <v/>
      </c>
      <c r="BC86" t="str">
        <f ca="1">IF(AND(((COLUMN()-10)&lt;=playercnt),((ROW()-41)&lt;=playercnt)),SUMPRODUCT(INDIRECT(ADDRESS(3,ROW()-31,1)):INDIRECT(ADDRESS(22,ROW()-31,1)),BC$3:BC$22),"")</f>
        <v/>
      </c>
      <c r="BD86" t="str">
        <f ca="1">IF(AND(((COLUMN()-10)&lt;=playercnt),((ROW()-41)&lt;=playercnt)),SUMPRODUCT(INDIRECT(ADDRESS(3,ROW()-31,1)):INDIRECT(ADDRESS(22,ROW()-31,1)),BD$3:BD$22),"")</f>
        <v/>
      </c>
      <c r="BE86" t="str">
        <f ca="1">IF(AND(((COLUMN()-10)&lt;=playercnt),((ROW()-41)&lt;=playercnt)),SUMPRODUCT(INDIRECT(ADDRESS(3,ROW()-31,1)):INDIRECT(ADDRESS(22,ROW()-31,1)),BE$3:BE$22),"")</f>
        <v/>
      </c>
      <c r="BF86" t="str">
        <f ca="1">IF(AND(((COLUMN()-10)&lt;=playercnt),((ROW()-41)&lt;=playercnt)),SUMPRODUCT(INDIRECT(ADDRESS(3,ROW()-31,1)):INDIRECT(ADDRESS(22,ROW()-31,1)),BF$3:BF$22),"")</f>
        <v/>
      </c>
      <c r="BG86" t="str">
        <f ca="1">IF(AND(((COLUMN()-10)&lt;=playercnt),((ROW()-41)&lt;=playercnt)),SUMPRODUCT(INDIRECT(ADDRESS(3,ROW()-31,1)):INDIRECT(ADDRESS(22,ROW()-31,1)),BG$3:BG$22),"")</f>
        <v/>
      </c>
      <c r="BH86" t="str">
        <f ca="1">IF(AND(((COLUMN()-10)&lt;=playercnt),((ROW()-41)&lt;=playercnt)),SUMPRODUCT(INDIRECT(ADDRESS(3,ROW()-31,1)):INDIRECT(ADDRESS(22,ROW()-31,1)),BH$3:BH$22),"")</f>
        <v/>
      </c>
      <c r="BI86" t="str">
        <f ca="1">IF(AND(((COLUMN()-10)&lt;=playercnt),((ROW()-41)&lt;=playercnt)),SUMPRODUCT(INDIRECT(ADDRESS(3,ROW()-31,1)):INDIRECT(ADDRESS(22,ROW()-31,1)),BI$3:BI$22),"")</f>
        <v/>
      </c>
      <c r="BJ86" t="str">
        <f ca="1">IF(AND(((COLUMN()-10)&lt;=playercnt),((ROW()-41)&lt;=playercnt)),SUMPRODUCT(INDIRECT(ADDRESS(3,ROW()-31,1)):INDIRECT(ADDRESS(22,ROW()-31,1)),BJ$3:BJ$22),"")</f>
        <v/>
      </c>
      <c r="BK86" t="str">
        <f ca="1">IF(AND(((COLUMN()-10)&lt;=playercnt),((ROW()-41)&lt;=playercnt)),SUMPRODUCT(INDIRECT(ADDRESS(3,ROW()-31,1)):INDIRECT(ADDRESS(22,ROW()-31,1)),BK$3:BK$22),"")</f>
        <v/>
      </c>
      <c r="BL86" t="str">
        <f ca="1">IF(AND(((COLUMN()-10)&lt;=playercnt),((ROW()-41)&lt;=playercnt)),SUMPRODUCT(INDIRECT(ADDRESS(3,ROW()-31,1)):INDIRECT(ADDRESS(22,ROW()-31,1)),BL$3:BL$22),"")</f>
        <v/>
      </c>
      <c r="BM86" t="str">
        <f ca="1">IF(AND(((COLUMN()-10)&lt;=playercnt),((ROW()-41)&lt;=playercnt)),SUMPRODUCT(INDIRECT(ADDRESS(3,ROW()-31,1)):INDIRECT(ADDRESS(22,ROW()-31,1)),BM$3:BM$22),"")</f>
        <v/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>
      <c r="B87" s="27" t="str">
        <f t="shared" ca="1" si="29"/>
        <v/>
      </c>
      <c r="C87" t="str">
        <f t="shared" ca="1" si="30"/>
        <v/>
      </c>
      <c r="G87" t="str">
        <f ca="1">IF(AND(((COLUMN()-10)&lt;=playercnt),((ROW()-41)&lt;=playercnt)),SUMPRODUCT(INDIRECT(ADDRESS(3,ROW()-31,1)):INDIRECT(ADDRESS(22,ROW()-31,1)),G$3:G$22),"")</f>
        <v/>
      </c>
      <c r="H87" t="str">
        <f ca="1">IF(AND(((COLUMN()-10)&lt;=playercnt),((ROW()-41)&lt;=playercnt)),SUMPRODUCT(INDIRECT(ADDRESS(3,ROW()-31,1)):INDIRECT(ADDRESS(22,ROW()-31,1)),H$3:H$22),"")</f>
        <v/>
      </c>
      <c r="I87" t="str">
        <f ca="1">IF(AND(((COLUMN()-10)&lt;=playercnt),((ROW()-41)&lt;=playercnt)),SUMPRODUCT(INDIRECT(ADDRESS(3,ROW()-31,1)):INDIRECT(ADDRESS(22,ROW()-31,1)),I$3:I$22),"")</f>
        <v/>
      </c>
      <c r="J87" t="str">
        <f ca="1">IF(AND(((COLUMN()-10)&lt;=playercnt),((ROW()-41)&lt;=playercnt)),SUMPRODUCT(INDIRECT(ADDRESS(3,ROW()-31,1)):INDIRECT(ADDRESS(22,ROW()-31,1)),J$3:J$22),"")</f>
        <v/>
      </c>
      <c r="K87" t="str">
        <f ca="1">IF(AND(((COLUMN()-10)&lt;=playercnt),((ROW()-41)&lt;=playercnt)),SUMPRODUCT(INDIRECT(ADDRESS(3,ROW()-31,1)):INDIRECT(ADDRESS(22,ROW()-31,1)),K$3:K$22),"")</f>
        <v/>
      </c>
      <c r="L87" t="str">
        <f ca="1">IF(AND(((COLUMN()-10)&lt;=playercnt),((ROW()-41)&lt;=playercnt)),SUMPRODUCT(INDIRECT(ADDRESS(3,ROW()-31,1)):INDIRECT(ADDRESS(22,ROW()-31,1)),L$3:L$22),"")</f>
        <v/>
      </c>
      <c r="M87" t="str">
        <f ca="1">IF(AND(((COLUMN()-10)&lt;=playercnt),((ROW()-41)&lt;=playercnt)),SUMPRODUCT(INDIRECT(ADDRESS(3,ROW()-31,1)):INDIRECT(ADDRESS(22,ROW()-31,1)),M$3:M$22),"")</f>
        <v/>
      </c>
      <c r="N87" t="str">
        <f ca="1">IF(AND(((COLUMN()-10)&lt;=playercnt),((ROW()-41)&lt;=playercnt)),SUMPRODUCT(INDIRECT(ADDRESS(3,ROW()-31,1)):INDIRECT(ADDRESS(22,ROW()-31,1)),N$3:N$22),"")</f>
        <v/>
      </c>
      <c r="O87" t="str">
        <f ca="1">IF(AND(((COLUMN()-10)&lt;=playercnt),((ROW()-41)&lt;=playercnt)),SUMPRODUCT(INDIRECT(ADDRESS(3,ROW()-31,1)):INDIRECT(ADDRESS(22,ROW()-31,1)),O$3:O$22),"")</f>
        <v/>
      </c>
      <c r="P87" t="str">
        <f ca="1">IF(AND(((COLUMN()-10)&lt;=playercnt),((ROW()-41)&lt;=playercnt)),SUMPRODUCT(INDIRECT(ADDRESS(3,ROW()-31,1)):INDIRECT(ADDRESS(22,ROW()-31,1)),P$3:P$22),"")</f>
        <v/>
      </c>
      <c r="Q87" t="str">
        <f ca="1">IF(AND(((COLUMN()-10)&lt;=playercnt),((ROW()-41)&lt;=playercnt)),SUMPRODUCT(INDIRECT(ADDRESS(3,ROW()-31,1)):INDIRECT(ADDRESS(22,ROW()-31,1)),Q$3:Q$22),"")</f>
        <v/>
      </c>
      <c r="R87" t="str">
        <f ca="1">IF(AND(((COLUMN()-10)&lt;=playercnt),((ROW()-41)&lt;=playercnt)),SUMPRODUCT(INDIRECT(ADDRESS(3,ROW()-31,1)):INDIRECT(ADDRESS(22,ROW()-31,1)),R$3:R$22),"")</f>
        <v/>
      </c>
      <c r="S87" t="str">
        <f ca="1">IF(AND(((COLUMN()-10)&lt;=playercnt),((ROW()-41)&lt;=playercnt)),SUMPRODUCT(INDIRECT(ADDRESS(3,ROW()-31,1)):INDIRECT(ADDRESS(22,ROW()-31,1)),S$3:S$22),"")</f>
        <v/>
      </c>
      <c r="T87" t="str">
        <f ca="1">IF(AND(((COLUMN()-10)&lt;=playercnt),((ROW()-41)&lt;=playercnt)),SUMPRODUCT(INDIRECT(ADDRESS(3,ROW()-31,1)):INDIRECT(ADDRESS(22,ROW()-31,1)),T$3:T$22),"")</f>
        <v/>
      </c>
      <c r="U87" t="str">
        <f ca="1">IF(AND(((COLUMN()-10)&lt;=playercnt),((ROW()-41)&lt;=playercnt)),SUMPRODUCT(INDIRECT(ADDRESS(3,ROW()-31,1)):INDIRECT(ADDRESS(22,ROW()-31,1)),U$3:U$22),"")</f>
        <v/>
      </c>
      <c r="V87" t="str">
        <f ca="1">IF(AND(((COLUMN()-10)&lt;=playercnt),((ROW()-41)&lt;=playercnt)),SUMPRODUCT(INDIRECT(ADDRESS(3,ROW()-31,1)):INDIRECT(ADDRESS(22,ROW()-31,1)),V$3:V$22),"")</f>
        <v/>
      </c>
      <c r="W87" t="str">
        <f ca="1">IF(AND(((COLUMN()-10)&lt;=playercnt),((ROW()-41)&lt;=playercnt)),SUMPRODUCT(INDIRECT(ADDRESS(3,ROW()-31,1)):INDIRECT(ADDRESS(22,ROW()-31,1)),W$3:W$22),"")</f>
        <v/>
      </c>
      <c r="X87" t="str">
        <f ca="1">IF(AND(((COLUMN()-10)&lt;=playercnt),((ROW()-41)&lt;=playercnt)),SUMPRODUCT(INDIRECT(ADDRESS(3,ROW()-31,1)):INDIRECT(ADDRESS(22,ROW()-31,1)),X$3:X$22),"")</f>
        <v/>
      </c>
      <c r="Y87" t="str">
        <f ca="1">IF(AND(((COLUMN()-10)&lt;=playercnt),((ROW()-41)&lt;=playercnt)),SUMPRODUCT(INDIRECT(ADDRESS(3,ROW()-31,1)):INDIRECT(ADDRESS(22,ROW()-31,1)),Y$3:Y$22),"")</f>
        <v/>
      </c>
      <c r="Z87" t="str">
        <f ca="1">IF(AND(((COLUMN()-10)&lt;=playercnt),((ROW()-41)&lt;=playercnt)),SUMPRODUCT(INDIRECT(ADDRESS(3,ROW()-31,1)):INDIRECT(ADDRESS(22,ROW()-31,1)),Z$3:Z$22),"")</f>
        <v/>
      </c>
      <c r="AA87" t="str">
        <f ca="1">IF(AND(((COLUMN()-10)&lt;=playercnt),((ROW()-41)&lt;=playercnt)),SUMPRODUCT(INDIRECT(ADDRESS(3,ROW()-31,1)):INDIRECT(ADDRESS(22,ROW()-31,1)),AA$3:AA$22),"")</f>
        <v/>
      </c>
      <c r="AB87" t="str">
        <f ca="1">IF(AND(((COLUMN()-10)&lt;=playercnt),((ROW()-41)&lt;=playercnt)),SUMPRODUCT(INDIRECT(ADDRESS(3,ROW()-31,1)):INDIRECT(ADDRESS(22,ROW()-31,1)),AB$3:AB$22),"")</f>
        <v/>
      </c>
      <c r="AC87" t="str">
        <f ca="1">IF(AND(((COLUMN()-10)&lt;=playercnt),((ROW()-41)&lt;=playercnt)),SUMPRODUCT(INDIRECT(ADDRESS(3,ROW()-31,1)):INDIRECT(ADDRESS(22,ROW()-31,1)),AC$3:AC$22),"")</f>
        <v/>
      </c>
      <c r="AD87" t="str">
        <f ca="1">IF(AND(((COLUMN()-10)&lt;=playercnt),((ROW()-41)&lt;=playercnt)),SUMPRODUCT(INDIRECT(ADDRESS(3,ROW()-31,1)):INDIRECT(ADDRESS(22,ROW()-31,1)),AD$3:AD$22),"")</f>
        <v/>
      </c>
      <c r="AE87" t="str">
        <f ca="1">IF(AND(((COLUMN()-10)&lt;=playercnt),((ROW()-41)&lt;=playercnt)),SUMPRODUCT(INDIRECT(ADDRESS(3,ROW()-31,1)):INDIRECT(ADDRESS(22,ROW()-31,1)),AE$3:AE$22),"")</f>
        <v/>
      </c>
      <c r="AF87" t="str">
        <f ca="1">IF(AND(((COLUMN()-10)&lt;=playercnt),((ROW()-41)&lt;=playercnt)),SUMPRODUCT(INDIRECT(ADDRESS(3,ROW()-31,1)):INDIRECT(ADDRESS(22,ROW()-31,1)),AF$3:AF$22),"")</f>
        <v/>
      </c>
      <c r="AG87" t="str">
        <f ca="1">IF(AND(((COLUMN()-10)&lt;=playercnt),((ROW()-41)&lt;=playercnt)),SUMPRODUCT(INDIRECT(ADDRESS(3,ROW()-31,1)):INDIRECT(ADDRESS(22,ROW()-31,1)),AG$3:AG$22),"")</f>
        <v/>
      </c>
      <c r="AH87" t="str">
        <f ca="1">IF(AND(((COLUMN()-10)&lt;=playercnt),((ROW()-41)&lt;=playercnt)),SUMPRODUCT(INDIRECT(ADDRESS(3,ROW()-31,1)):INDIRECT(ADDRESS(22,ROW()-31,1)),AH$3:AH$22),"")</f>
        <v/>
      </c>
      <c r="AI87" t="str">
        <f ca="1">IF(AND(((COLUMN()-10)&lt;=playercnt),((ROW()-41)&lt;=playercnt)),SUMPRODUCT(INDIRECT(ADDRESS(3,ROW()-31,1)):INDIRECT(ADDRESS(22,ROW()-31,1)),AI$3:AI$22),"")</f>
        <v/>
      </c>
      <c r="AJ87" t="str">
        <f ca="1">IF(AND(((COLUMN()-10)&lt;=playercnt),((ROW()-41)&lt;=playercnt)),SUMPRODUCT(INDIRECT(ADDRESS(3,ROW()-31,1)):INDIRECT(ADDRESS(22,ROW()-31,1)),AJ$3:AJ$22),"")</f>
        <v/>
      </c>
      <c r="AK87" t="str">
        <f ca="1">IF(AND(((COLUMN()-10)&lt;=playercnt),((ROW()-41)&lt;=playercnt)),SUMPRODUCT(INDIRECT(ADDRESS(3,ROW()-31,1)):INDIRECT(ADDRESS(22,ROW()-31,1)),AK$3:AK$22),"")</f>
        <v/>
      </c>
      <c r="AL87" t="str">
        <f ca="1">IF(AND(((COLUMN()-10)&lt;=playercnt),((ROW()-41)&lt;=playercnt)),SUMPRODUCT(INDIRECT(ADDRESS(3,ROW()-31,1)):INDIRECT(ADDRESS(22,ROW()-31,1)),AL$3:AL$22),"")</f>
        <v/>
      </c>
      <c r="AM87" t="str">
        <f ca="1">IF(AND(((COLUMN()-10)&lt;=playercnt),((ROW()-41)&lt;=playercnt)),SUMPRODUCT(INDIRECT(ADDRESS(3,ROW()-31,1)):INDIRECT(ADDRESS(22,ROW()-31,1)),AM$3:AM$22),"")</f>
        <v/>
      </c>
      <c r="AN87" t="str">
        <f ca="1">IF(AND(((COLUMN()-10)&lt;=playercnt),((ROW()-41)&lt;=playercnt)),SUMPRODUCT(INDIRECT(ADDRESS(3,ROW()-31,1)):INDIRECT(ADDRESS(22,ROW()-31,1)),AN$3:AN$22),"")</f>
        <v/>
      </c>
      <c r="AO87" t="str">
        <f ca="1">IF(AND(((COLUMN()-10)&lt;=playercnt),((ROW()-41)&lt;=playercnt)),SUMPRODUCT(INDIRECT(ADDRESS(3,ROW()-31,1)):INDIRECT(ADDRESS(22,ROW()-31,1)),AO$3:AO$22),"")</f>
        <v/>
      </c>
      <c r="AP87" t="str">
        <f ca="1">IF(AND(((COLUMN()-10)&lt;=playercnt),((ROW()-41)&lt;=playercnt)),SUMPRODUCT(INDIRECT(ADDRESS(3,ROW()-31,1)):INDIRECT(ADDRESS(22,ROW()-31,1)),AP$3:AP$22),"")</f>
        <v/>
      </c>
      <c r="AQ87" t="str">
        <f ca="1">IF(AND(((COLUMN()-10)&lt;=playercnt),((ROW()-41)&lt;=playercnt)),SUMPRODUCT(INDIRECT(ADDRESS(3,ROW()-31,1)):INDIRECT(ADDRESS(22,ROW()-31,1)),AQ$3:AQ$22),"")</f>
        <v/>
      </c>
      <c r="AR87" t="str">
        <f ca="1">IF(AND(((COLUMN()-10)&lt;=playercnt),((ROW()-41)&lt;=playercnt)),SUMPRODUCT(INDIRECT(ADDRESS(3,ROW()-31,1)):INDIRECT(ADDRESS(22,ROW()-31,1)),AR$3:AR$22),"")</f>
        <v/>
      </c>
      <c r="AS87" t="str">
        <f ca="1">IF(AND(((COLUMN()-10)&lt;=playercnt),((ROW()-41)&lt;=playercnt)),SUMPRODUCT(INDIRECT(ADDRESS(3,ROW()-31,1)):INDIRECT(ADDRESS(22,ROW()-31,1)),AS$3:AS$22),"")</f>
        <v/>
      </c>
      <c r="AT87" t="str">
        <f ca="1">IF(AND(((COLUMN()-10)&lt;=playercnt),((ROW()-41)&lt;=playercnt)),SUMPRODUCT(INDIRECT(ADDRESS(3,ROW()-31,1)):INDIRECT(ADDRESS(22,ROW()-31,1)),AT$3:AT$22),"")</f>
        <v/>
      </c>
      <c r="AU87" t="str">
        <f ca="1">IF(AND(((COLUMN()-10)&lt;=playercnt),((ROW()-41)&lt;=playercnt)),SUMPRODUCT(INDIRECT(ADDRESS(3,ROW()-31,1)):INDIRECT(ADDRESS(22,ROW()-31,1)),AU$3:AU$22),"")</f>
        <v/>
      </c>
      <c r="AV87" t="str">
        <f ca="1">IF(AND(((COLUMN()-10)&lt;=playercnt),((ROW()-41)&lt;=playercnt)),SUMPRODUCT(INDIRECT(ADDRESS(3,ROW()-31,1)):INDIRECT(ADDRESS(22,ROW()-31,1)),AV$3:AV$22),"")</f>
        <v/>
      </c>
      <c r="AW87" t="str">
        <f ca="1">IF(AND(((COLUMN()-10)&lt;=playercnt),((ROW()-41)&lt;=playercnt)),SUMPRODUCT(INDIRECT(ADDRESS(3,ROW()-31,1)):INDIRECT(ADDRESS(22,ROW()-31,1)),AW$3:AW$22),"")</f>
        <v/>
      </c>
      <c r="AX87" t="str">
        <f ca="1">IF(AND(((COLUMN()-10)&lt;=playercnt),((ROW()-41)&lt;=playercnt)),SUMPRODUCT(INDIRECT(ADDRESS(3,ROW()-31,1)):INDIRECT(ADDRESS(22,ROW()-31,1)),AX$3:AX$22),"")</f>
        <v/>
      </c>
      <c r="AY87" t="str">
        <f ca="1">IF(AND(((COLUMN()-10)&lt;=playercnt),((ROW()-41)&lt;=playercnt)),SUMPRODUCT(INDIRECT(ADDRESS(3,ROW()-31,1)):INDIRECT(ADDRESS(22,ROW()-31,1)),AY$3:AY$22),"")</f>
        <v/>
      </c>
      <c r="AZ87" t="str">
        <f ca="1">IF(AND(((COLUMN()-10)&lt;=playercnt),((ROW()-41)&lt;=playercnt)),SUMPRODUCT(INDIRECT(ADDRESS(3,ROW()-31,1)):INDIRECT(ADDRESS(22,ROW()-31,1)),AZ$3:AZ$22),"")</f>
        <v/>
      </c>
      <c r="BA87" t="str">
        <f ca="1">IF(AND(((COLUMN()-10)&lt;=playercnt),((ROW()-41)&lt;=playercnt)),SUMPRODUCT(INDIRECT(ADDRESS(3,ROW()-31,1)):INDIRECT(ADDRESS(22,ROW()-31,1)),BA$3:BA$22),"")</f>
        <v/>
      </c>
      <c r="BB87" t="str">
        <f ca="1">IF(AND(((COLUMN()-10)&lt;=playercnt),((ROW()-41)&lt;=playercnt)),SUMPRODUCT(INDIRECT(ADDRESS(3,ROW()-31,1)):INDIRECT(ADDRESS(22,ROW()-31,1)),BB$3:BB$22),"")</f>
        <v/>
      </c>
      <c r="BC87" t="str">
        <f ca="1">IF(AND(((COLUMN()-10)&lt;=playercnt),((ROW()-41)&lt;=playercnt)),SUMPRODUCT(INDIRECT(ADDRESS(3,ROW()-31,1)):INDIRECT(ADDRESS(22,ROW()-31,1)),BC$3:BC$22),"")</f>
        <v/>
      </c>
      <c r="BD87" t="str">
        <f ca="1">IF(AND(((COLUMN()-10)&lt;=playercnt),((ROW()-41)&lt;=playercnt)),SUMPRODUCT(INDIRECT(ADDRESS(3,ROW()-31,1)):INDIRECT(ADDRESS(22,ROW()-31,1)),BD$3:BD$22),"")</f>
        <v/>
      </c>
      <c r="BE87" t="str">
        <f ca="1">IF(AND(((COLUMN()-10)&lt;=playercnt),((ROW()-41)&lt;=playercnt)),SUMPRODUCT(INDIRECT(ADDRESS(3,ROW()-31,1)):INDIRECT(ADDRESS(22,ROW()-31,1)),BE$3:BE$22),"")</f>
        <v/>
      </c>
      <c r="BF87" t="str">
        <f ca="1">IF(AND(((COLUMN()-10)&lt;=playercnt),((ROW()-41)&lt;=playercnt)),SUMPRODUCT(INDIRECT(ADDRESS(3,ROW()-31,1)):INDIRECT(ADDRESS(22,ROW()-31,1)),BF$3:BF$22),"")</f>
        <v/>
      </c>
      <c r="BG87" t="str">
        <f ca="1">IF(AND(((COLUMN()-10)&lt;=playercnt),((ROW()-41)&lt;=playercnt)),SUMPRODUCT(INDIRECT(ADDRESS(3,ROW()-31,1)):INDIRECT(ADDRESS(22,ROW()-31,1)),BG$3:BG$22),"")</f>
        <v/>
      </c>
      <c r="BH87" t="str">
        <f ca="1">IF(AND(((COLUMN()-10)&lt;=playercnt),((ROW()-41)&lt;=playercnt)),SUMPRODUCT(INDIRECT(ADDRESS(3,ROW()-31,1)):INDIRECT(ADDRESS(22,ROW()-31,1)),BH$3:BH$22),"")</f>
        <v/>
      </c>
      <c r="BI87" t="str">
        <f ca="1">IF(AND(((COLUMN()-10)&lt;=playercnt),((ROW()-41)&lt;=playercnt)),SUMPRODUCT(INDIRECT(ADDRESS(3,ROW()-31,1)):INDIRECT(ADDRESS(22,ROW()-31,1)),BI$3:BI$22),"")</f>
        <v/>
      </c>
      <c r="BJ87" t="str">
        <f ca="1">IF(AND(((COLUMN()-10)&lt;=playercnt),((ROW()-41)&lt;=playercnt)),SUMPRODUCT(INDIRECT(ADDRESS(3,ROW()-31,1)):INDIRECT(ADDRESS(22,ROW()-31,1)),BJ$3:BJ$22),"")</f>
        <v/>
      </c>
      <c r="BK87" t="str">
        <f ca="1">IF(AND(((COLUMN()-10)&lt;=playercnt),((ROW()-41)&lt;=playercnt)),SUMPRODUCT(INDIRECT(ADDRESS(3,ROW()-31,1)):INDIRECT(ADDRESS(22,ROW()-31,1)),BK$3:BK$22),"")</f>
        <v/>
      </c>
      <c r="BL87" t="str">
        <f ca="1">IF(AND(((COLUMN()-10)&lt;=playercnt),((ROW()-41)&lt;=playercnt)),SUMPRODUCT(INDIRECT(ADDRESS(3,ROW()-31,1)):INDIRECT(ADDRESS(22,ROW()-31,1)),BL$3:BL$22),"")</f>
        <v/>
      </c>
      <c r="BM87" t="str">
        <f ca="1">IF(AND(((COLUMN()-10)&lt;=playercnt),((ROW()-41)&lt;=playercnt)),SUMPRODUCT(INDIRECT(ADDRESS(3,ROW()-31,1)):INDIRECT(ADDRESS(22,ROW()-31,1)),BM$3:BM$22),"")</f>
        <v/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>
      <c r="B88" s="27" t="str">
        <f t="shared" ca="1" si="29"/>
        <v/>
      </c>
      <c r="C88" t="str">
        <f t="shared" ca="1" si="30"/>
        <v/>
      </c>
      <c r="G88" t="str">
        <f ca="1">IF(AND(((COLUMN()-10)&lt;=playercnt),((ROW()-41)&lt;=playercnt)),SUMPRODUCT(INDIRECT(ADDRESS(3,ROW()-31,1)):INDIRECT(ADDRESS(22,ROW()-31,1)),G$3:G$22),"")</f>
        <v/>
      </c>
      <c r="H88" t="str">
        <f ca="1">IF(AND(((COLUMN()-10)&lt;=playercnt),((ROW()-41)&lt;=playercnt)),SUMPRODUCT(INDIRECT(ADDRESS(3,ROW()-31,1)):INDIRECT(ADDRESS(22,ROW()-31,1)),H$3:H$22),"")</f>
        <v/>
      </c>
      <c r="I88" t="str">
        <f ca="1">IF(AND(((COLUMN()-10)&lt;=playercnt),((ROW()-41)&lt;=playercnt)),SUMPRODUCT(INDIRECT(ADDRESS(3,ROW()-31,1)):INDIRECT(ADDRESS(22,ROW()-31,1)),I$3:I$22),"")</f>
        <v/>
      </c>
      <c r="J88" t="str">
        <f ca="1">IF(AND(((COLUMN()-10)&lt;=playercnt),((ROW()-41)&lt;=playercnt)),SUMPRODUCT(INDIRECT(ADDRESS(3,ROW()-31,1)):INDIRECT(ADDRESS(22,ROW()-31,1)),J$3:J$22),"")</f>
        <v/>
      </c>
      <c r="K88" t="str">
        <f ca="1">IF(AND(((COLUMN()-10)&lt;=playercnt),((ROW()-41)&lt;=playercnt)),SUMPRODUCT(INDIRECT(ADDRESS(3,ROW()-31,1)):INDIRECT(ADDRESS(22,ROW()-31,1)),K$3:K$22),"")</f>
        <v/>
      </c>
      <c r="L88" t="str">
        <f ca="1">IF(AND(((COLUMN()-10)&lt;=playercnt),((ROW()-41)&lt;=playercnt)),SUMPRODUCT(INDIRECT(ADDRESS(3,ROW()-31,1)):INDIRECT(ADDRESS(22,ROW()-31,1)),L$3:L$22),"")</f>
        <v/>
      </c>
      <c r="M88" t="str">
        <f ca="1">IF(AND(((COLUMN()-10)&lt;=playercnt),((ROW()-41)&lt;=playercnt)),SUMPRODUCT(INDIRECT(ADDRESS(3,ROW()-31,1)):INDIRECT(ADDRESS(22,ROW()-31,1)),M$3:M$22),"")</f>
        <v/>
      </c>
      <c r="N88" t="str">
        <f ca="1">IF(AND(((COLUMN()-10)&lt;=playercnt),((ROW()-41)&lt;=playercnt)),SUMPRODUCT(INDIRECT(ADDRESS(3,ROW()-31,1)):INDIRECT(ADDRESS(22,ROW()-31,1)),N$3:N$22),"")</f>
        <v/>
      </c>
      <c r="O88" t="str">
        <f ca="1">IF(AND(((COLUMN()-10)&lt;=playercnt),((ROW()-41)&lt;=playercnt)),SUMPRODUCT(INDIRECT(ADDRESS(3,ROW()-31,1)):INDIRECT(ADDRESS(22,ROW()-31,1)),O$3:O$22),"")</f>
        <v/>
      </c>
      <c r="P88" t="str">
        <f ca="1">IF(AND(((COLUMN()-10)&lt;=playercnt),((ROW()-41)&lt;=playercnt)),SUMPRODUCT(INDIRECT(ADDRESS(3,ROW()-31,1)):INDIRECT(ADDRESS(22,ROW()-31,1)),P$3:P$22),"")</f>
        <v/>
      </c>
      <c r="Q88" t="str">
        <f ca="1">IF(AND(((COLUMN()-10)&lt;=playercnt),((ROW()-41)&lt;=playercnt)),SUMPRODUCT(INDIRECT(ADDRESS(3,ROW()-31,1)):INDIRECT(ADDRESS(22,ROW()-31,1)),Q$3:Q$22),"")</f>
        <v/>
      </c>
      <c r="R88" t="str">
        <f ca="1">IF(AND(((COLUMN()-10)&lt;=playercnt),((ROW()-41)&lt;=playercnt)),SUMPRODUCT(INDIRECT(ADDRESS(3,ROW()-31,1)):INDIRECT(ADDRESS(22,ROW()-31,1)),R$3:R$22),"")</f>
        <v/>
      </c>
      <c r="S88" t="str">
        <f ca="1">IF(AND(((COLUMN()-10)&lt;=playercnt),((ROW()-41)&lt;=playercnt)),SUMPRODUCT(INDIRECT(ADDRESS(3,ROW()-31,1)):INDIRECT(ADDRESS(22,ROW()-31,1)),S$3:S$22),"")</f>
        <v/>
      </c>
      <c r="T88" t="str">
        <f ca="1">IF(AND(((COLUMN()-10)&lt;=playercnt),((ROW()-41)&lt;=playercnt)),SUMPRODUCT(INDIRECT(ADDRESS(3,ROW()-31,1)):INDIRECT(ADDRESS(22,ROW()-31,1)),T$3:T$22),"")</f>
        <v/>
      </c>
      <c r="U88" t="str">
        <f ca="1">IF(AND(((COLUMN()-10)&lt;=playercnt),((ROW()-41)&lt;=playercnt)),SUMPRODUCT(INDIRECT(ADDRESS(3,ROW()-31,1)):INDIRECT(ADDRESS(22,ROW()-31,1)),U$3:U$22),"")</f>
        <v/>
      </c>
      <c r="V88" t="str">
        <f ca="1">IF(AND(((COLUMN()-10)&lt;=playercnt),((ROW()-41)&lt;=playercnt)),SUMPRODUCT(INDIRECT(ADDRESS(3,ROW()-31,1)):INDIRECT(ADDRESS(22,ROW()-31,1)),V$3:V$22),"")</f>
        <v/>
      </c>
      <c r="W88" t="str">
        <f ca="1">IF(AND(((COLUMN()-10)&lt;=playercnt),((ROW()-41)&lt;=playercnt)),SUMPRODUCT(INDIRECT(ADDRESS(3,ROW()-31,1)):INDIRECT(ADDRESS(22,ROW()-31,1)),W$3:W$22),"")</f>
        <v/>
      </c>
      <c r="X88" t="str">
        <f ca="1">IF(AND(((COLUMN()-10)&lt;=playercnt),((ROW()-41)&lt;=playercnt)),SUMPRODUCT(INDIRECT(ADDRESS(3,ROW()-31,1)):INDIRECT(ADDRESS(22,ROW()-31,1)),X$3:X$22),"")</f>
        <v/>
      </c>
      <c r="Y88" t="str">
        <f ca="1">IF(AND(((COLUMN()-10)&lt;=playercnt),((ROW()-41)&lt;=playercnt)),SUMPRODUCT(INDIRECT(ADDRESS(3,ROW()-31,1)):INDIRECT(ADDRESS(22,ROW()-31,1)),Y$3:Y$22),"")</f>
        <v/>
      </c>
      <c r="Z88" t="str">
        <f ca="1">IF(AND(((COLUMN()-10)&lt;=playercnt),((ROW()-41)&lt;=playercnt)),SUMPRODUCT(INDIRECT(ADDRESS(3,ROW()-31,1)):INDIRECT(ADDRESS(22,ROW()-31,1)),Z$3:Z$22),"")</f>
        <v/>
      </c>
      <c r="AA88" t="str">
        <f ca="1">IF(AND(((COLUMN()-10)&lt;=playercnt),((ROW()-41)&lt;=playercnt)),SUMPRODUCT(INDIRECT(ADDRESS(3,ROW()-31,1)):INDIRECT(ADDRESS(22,ROW()-31,1)),AA$3:AA$22),"")</f>
        <v/>
      </c>
      <c r="AB88" t="str">
        <f ca="1">IF(AND(((COLUMN()-10)&lt;=playercnt),((ROW()-41)&lt;=playercnt)),SUMPRODUCT(INDIRECT(ADDRESS(3,ROW()-31,1)):INDIRECT(ADDRESS(22,ROW()-31,1)),AB$3:AB$22),"")</f>
        <v/>
      </c>
      <c r="AC88" t="str">
        <f ca="1">IF(AND(((COLUMN()-10)&lt;=playercnt),((ROW()-41)&lt;=playercnt)),SUMPRODUCT(INDIRECT(ADDRESS(3,ROW()-31,1)):INDIRECT(ADDRESS(22,ROW()-31,1)),AC$3:AC$22),"")</f>
        <v/>
      </c>
      <c r="AD88" t="str">
        <f ca="1">IF(AND(((COLUMN()-10)&lt;=playercnt),((ROW()-41)&lt;=playercnt)),SUMPRODUCT(INDIRECT(ADDRESS(3,ROW()-31,1)):INDIRECT(ADDRESS(22,ROW()-31,1)),AD$3:AD$22),"")</f>
        <v/>
      </c>
      <c r="AE88" t="str">
        <f ca="1">IF(AND(((COLUMN()-10)&lt;=playercnt),((ROW()-41)&lt;=playercnt)),SUMPRODUCT(INDIRECT(ADDRESS(3,ROW()-31,1)):INDIRECT(ADDRESS(22,ROW()-31,1)),AE$3:AE$22),"")</f>
        <v/>
      </c>
      <c r="AF88" t="str">
        <f ca="1">IF(AND(((COLUMN()-10)&lt;=playercnt),((ROW()-41)&lt;=playercnt)),SUMPRODUCT(INDIRECT(ADDRESS(3,ROW()-31,1)):INDIRECT(ADDRESS(22,ROW()-31,1)),AF$3:AF$22),"")</f>
        <v/>
      </c>
      <c r="AG88" t="str">
        <f ca="1">IF(AND(((COLUMN()-10)&lt;=playercnt),((ROW()-41)&lt;=playercnt)),SUMPRODUCT(INDIRECT(ADDRESS(3,ROW()-31,1)):INDIRECT(ADDRESS(22,ROW()-31,1)),AG$3:AG$22),"")</f>
        <v/>
      </c>
      <c r="AH88" t="str">
        <f ca="1">IF(AND(((COLUMN()-10)&lt;=playercnt),((ROW()-41)&lt;=playercnt)),SUMPRODUCT(INDIRECT(ADDRESS(3,ROW()-31,1)):INDIRECT(ADDRESS(22,ROW()-31,1)),AH$3:AH$22),"")</f>
        <v/>
      </c>
      <c r="AI88" t="str">
        <f ca="1">IF(AND(((COLUMN()-10)&lt;=playercnt),((ROW()-41)&lt;=playercnt)),SUMPRODUCT(INDIRECT(ADDRESS(3,ROW()-31,1)):INDIRECT(ADDRESS(22,ROW()-31,1)),AI$3:AI$22),"")</f>
        <v/>
      </c>
      <c r="AJ88" t="str">
        <f ca="1">IF(AND(((COLUMN()-10)&lt;=playercnt),((ROW()-41)&lt;=playercnt)),SUMPRODUCT(INDIRECT(ADDRESS(3,ROW()-31,1)):INDIRECT(ADDRESS(22,ROW()-31,1)),AJ$3:AJ$22),"")</f>
        <v/>
      </c>
      <c r="AK88" t="str">
        <f ca="1">IF(AND(((COLUMN()-10)&lt;=playercnt),((ROW()-41)&lt;=playercnt)),SUMPRODUCT(INDIRECT(ADDRESS(3,ROW()-31,1)):INDIRECT(ADDRESS(22,ROW()-31,1)),AK$3:AK$22),"")</f>
        <v/>
      </c>
      <c r="AL88" t="str">
        <f ca="1">IF(AND(((COLUMN()-10)&lt;=playercnt),((ROW()-41)&lt;=playercnt)),SUMPRODUCT(INDIRECT(ADDRESS(3,ROW()-31,1)):INDIRECT(ADDRESS(22,ROW()-31,1)),AL$3:AL$22),"")</f>
        <v/>
      </c>
      <c r="AM88" t="str">
        <f ca="1">IF(AND(((COLUMN()-10)&lt;=playercnt),((ROW()-41)&lt;=playercnt)),SUMPRODUCT(INDIRECT(ADDRESS(3,ROW()-31,1)):INDIRECT(ADDRESS(22,ROW()-31,1)),AM$3:AM$22),"")</f>
        <v/>
      </c>
      <c r="AN88" t="str">
        <f ca="1">IF(AND(((COLUMN()-10)&lt;=playercnt),((ROW()-41)&lt;=playercnt)),SUMPRODUCT(INDIRECT(ADDRESS(3,ROW()-31,1)):INDIRECT(ADDRESS(22,ROW()-31,1)),AN$3:AN$22),"")</f>
        <v/>
      </c>
      <c r="AO88" t="str">
        <f ca="1">IF(AND(((COLUMN()-10)&lt;=playercnt),((ROW()-41)&lt;=playercnt)),SUMPRODUCT(INDIRECT(ADDRESS(3,ROW()-31,1)):INDIRECT(ADDRESS(22,ROW()-31,1)),AO$3:AO$22),"")</f>
        <v/>
      </c>
      <c r="AP88" t="str">
        <f ca="1">IF(AND(((COLUMN()-10)&lt;=playercnt),((ROW()-41)&lt;=playercnt)),SUMPRODUCT(INDIRECT(ADDRESS(3,ROW()-31,1)):INDIRECT(ADDRESS(22,ROW()-31,1)),AP$3:AP$22),"")</f>
        <v/>
      </c>
      <c r="AQ88" t="str">
        <f ca="1">IF(AND(((COLUMN()-10)&lt;=playercnt),((ROW()-41)&lt;=playercnt)),SUMPRODUCT(INDIRECT(ADDRESS(3,ROW()-31,1)):INDIRECT(ADDRESS(22,ROW()-31,1)),AQ$3:AQ$22),"")</f>
        <v/>
      </c>
      <c r="AR88" t="str">
        <f ca="1">IF(AND(((COLUMN()-10)&lt;=playercnt),((ROW()-41)&lt;=playercnt)),SUMPRODUCT(INDIRECT(ADDRESS(3,ROW()-31,1)):INDIRECT(ADDRESS(22,ROW()-31,1)),AR$3:AR$22),"")</f>
        <v/>
      </c>
      <c r="AS88" t="str">
        <f ca="1">IF(AND(((COLUMN()-10)&lt;=playercnt),((ROW()-41)&lt;=playercnt)),SUMPRODUCT(INDIRECT(ADDRESS(3,ROW()-31,1)):INDIRECT(ADDRESS(22,ROW()-31,1)),AS$3:AS$22),"")</f>
        <v/>
      </c>
      <c r="AT88" t="str">
        <f ca="1">IF(AND(((COLUMN()-10)&lt;=playercnt),((ROW()-41)&lt;=playercnt)),SUMPRODUCT(INDIRECT(ADDRESS(3,ROW()-31,1)):INDIRECT(ADDRESS(22,ROW()-31,1)),AT$3:AT$22),"")</f>
        <v/>
      </c>
      <c r="AU88" t="str">
        <f ca="1">IF(AND(((COLUMN()-10)&lt;=playercnt),((ROW()-41)&lt;=playercnt)),SUMPRODUCT(INDIRECT(ADDRESS(3,ROW()-31,1)):INDIRECT(ADDRESS(22,ROW()-31,1)),AU$3:AU$22),"")</f>
        <v/>
      </c>
      <c r="AV88" t="str">
        <f ca="1">IF(AND(((COLUMN()-10)&lt;=playercnt),((ROW()-41)&lt;=playercnt)),SUMPRODUCT(INDIRECT(ADDRESS(3,ROW()-31,1)):INDIRECT(ADDRESS(22,ROW()-31,1)),AV$3:AV$22),"")</f>
        <v/>
      </c>
      <c r="AW88" t="str">
        <f ca="1">IF(AND(((COLUMN()-10)&lt;=playercnt),((ROW()-41)&lt;=playercnt)),SUMPRODUCT(INDIRECT(ADDRESS(3,ROW()-31,1)):INDIRECT(ADDRESS(22,ROW()-31,1)),AW$3:AW$22),"")</f>
        <v/>
      </c>
      <c r="AX88" t="str">
        <f ca="1">IF(AND(((COLUMN()-10)&lt;=playercnt),((ROW()-41)&lt;=playercnt)),SUMPRODUCT(INDIRECT(ADDRESS(3,ROW()-31,1)):INDIRECT(ADDRESS(22,ROW()-31,1)),AX$3:AX$22),"")</f>
        <v/>
      </c>
      <c r="AY88" t="str">
        <f ca="1">IF(AND(((COLUMN()-10)&lt;=playercnt),((ROW()-41)&lt;=playercnt)),SUMPRODUCT(INDIRECT(ADDRESS(3,ROW()-31,1)):INDIRECT(ADDRESS(22,ROW()-31,1)),AY$3:AY$22),"")</f>
        <v/>
      </c>
      <c r="AZ88" t="str">
        <f ca="1">IF(AND(((COLUMN()-10)&lt;=playercnt),((ROW()-41)&lt;=playercnt)),SUMPRODUCT(INDIRECT(ADDRESS(3,ROW()-31,1)):INDIRECT(ADDRESS(22,ROW()-31,1)),AZ$3:AZ$22),"")</f>
        <v/>
      </c>
      <c r="BA88" t="str">
        <f ca="1">IF(AND(((COLUMN()-10)&lt;=playercnt),((ROW()-41)&lt;=playercnt)),SUMPRODUCT(INDIRECT(ADDRESS(3,ROW()-31,1)):INDIRECT(ADDRESS(22,ROW()-31,1)),BA$3:BA$22),"")</f>
        <v/>
      </c>
      <c r="BB88" t="str">
        <f ca="1">IF(AND(((COLUMN()-10)&lt;=playercnt),((ROW()-41)&lt;=playercnt)),SUMPRODUCT(INDIRECT(ADDRESS(3,ROW()-31,1)):INDIRECT(ADDRESS(22,ROW()-31,1)),BB$3:BB$22),"")</f>
        <v/>
      </c>
      <c r="BC88" t="str">
        <f ca="1">IF(AND(((COLUMN()-10)&lt;=playercnt),((ROW()-41)&lt;=playercnt)),SUMPRODUCT(INDIRECT(ADDRESS(3,ROW()-31,1)):INDIRECT(ADDRESS(22,ROW()-31,1)),BC$3:BC$22),"")</f>
        <v/>
      </c>
      <c r="BD88" t="str">
        <f ca="1">IF(AND(((COLUMN()-10)&lt;=playercnt),((ROW()-41)&lt;=playercnt)),SUMPRODUCT(INDIRECT(ADDRESS(3,ROW()-31,1)):INDIRECT(ADDRESS(22,ROW()-31,1)),BD$3:BD$22),"")</f>
        <v/>
      </c>
      <c r="BE88" t="str">
        <f ca="1">IF(AND(((COLUMN()-10)&lt;=playercnt),((ROW()-41)&lt;=playercnt)),SUMPRODUCT(INDIRECT(ADDRESS(3,ROW()-31,1)):INDIRECT(ADDRESS(22,ROW()-31,1)),BE$3:BE$22),"")</f>
        <v/>
      </c>
      <c r="BF88" t="str">
        <f ca="1">IF(AND(((COLUMN()-10)&lt;=playercnt),((ROW()-41)&lt;=playercnt)),SUMPRODUCT(INDIRECT(ADDRESS(3,ROW()-31,1)):INDIRECT(ADDRESS(22,ROW()-31,1)),BF$3:BF$22),"")</f>
        <v/>
      </c>
      <c r="BG88" t="str">
        <f ca="1">IF(AND(((COLUMN()-10)&lt;=playercnt),((ROW()-41)&lt;=playercnt)),SUMPRODUCT(INDIRECT(ADDRESS(3,ROW()-31,1)):INDIRECT(ADDRESS(22,ROW()-31,1)),BG$3:BG$22),"")</f>
        <v/>
      </c>
      <c r="BH88" t="str">
        <f ca="1">IF(AND(((COLUMN()-10)&lt;=playercnt),((ROW()-41)&lt;=playercnt)),SUMPRODUCT(INDIRECT(ADDRESS(3,ROW()-31,1)):INDIRECT(ADDRESS(22,ROW()-31,1)),BH$3:BH$22),"")</f>
        <v/>
      </c>
      <c r="BI88" t="str">
        <f ca="1">IF(AND(((COLUMN()-10)&lt;=playercnt),((ROW()-41)&lt;=playercnt)),SUMPRODUCT(INDIRECT(ADDRESS(3,ROW()-31,1)):INDIRECT(ADDRESS(22,ROW()-31,1)),BI$3:BI$22),"")</f>
        <v/>
      </c>
      <c r="BJ88" t="str">
        <f ca="1">IF(AND(((COLUMN()-10)&lt;=playercnt),((ROW()-41)&lt;=playercnt)),SUMPRODUCT(INDIRECT(ADDRESS(3,ROW()-31,1)):INDIRECT(ADDRESS(22,ROW()-31,1)),BJ$3:BJ$22),"")</f>
        <v/>
      </c>
      <c r="BK88" t="str">
        <f ca="1">IF(AND(((COLUMN()-10)&lt;=playercnt),((ROW()-41)&lt;=playercnt)),SUMPRODUCT(INDIRECT(ADDRESS(3,ROW()-31,1)):INDIRECT(ADDRESS(22,ROW()-31,1)),BK$3:BK$22),"")</f>
        <v/>
      </c>
      <c r="BL88" t="str">
        <f ca="1">IF(AND(((COLUMN()-10)&lt;=playercnt),((ROW()-41)&lt;=playercnt)),SUMPRODUCT(INDIRECT(ADDRESS(3,ROW()-31,1)):INDIRECT(ADDRESS(22,ROW()-31,1)),BL$3:BL$22),"")</f>
        <v/>
      </c>
      <c r="BM88" t="str">
        <f ca="1">IF(AND(((COLUMN()-10)&lt;=playercnt),((ROW()-41)&lt;=playercnt)),SUMPRODUCT(INDIRECT(ADDRESS(3,ROW()-31,1)):INDIRECT(ADDRESS(22,ROW()-31,1)),BM$3:BM$22),"")</f>
        <v/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>
      <c r="B89" s="27" t="str">
        <f t="shared" ca="1" si="29"/>
        <v/>
      </c>
      <c r="C89" t="str">
        <f t="shared" ca="1" si="30"/>
        <v/>
      </c>
      <c r="G89" t="str">
        <f ca="1">IF(AND(((COLUMN()-10)&lt;=playercnt),((ROW()-41)&lt;=playercnt)),SUMPRODUCT(INDIRECT(ADDRESS(3,ROW()-31,1)):INDIRECT(ADDRESS(22,ROW()-31,1)),G$3:G$22),"")</f>
        <v/>
      </c>
      <c r="H89" t="str">
        <f ca="1">IF(AND(((COLUMN()-10)&lt;=playercnt),((ROW()-41)&lt;=playercnt)),SUMPRODUCT(INDIRECT(ADDRESS(3,ROW()-31,1)):INDIRECT(ADDRESS(22,ROW()-31,1)),H$3:H$22),"")</f>
        <v/>
      </c>
      <c r="I89" t="str">
        <f ca="1">IF(AND(((COLUMN()-10)&lt;=playercnt),((ROW()-41)&lt;=playercnt)),SUMPRODUCT(INDIRECT(ADDRESS(3,ROW()-31,1)):INDIRECT(ADDRESS(22,ROW()-31,1)),I$3:I$22),"")</f>
        <v/>
      </c>
      <c r="J89" t="str">
        <f ca="1">IF(AND(((COLUMN()-10)&lt;=playercnt),((ROW()-41)&lt;=playercnt)),SUMPRODUCT(INDIRECT(ADDRESS(3,ROW()-31,1)):INDIRECT(ADDRESS(22,ROW()-31,1)),J$3:J$22),"")</f>
        <v/>
      </c>
      <c r="K89" t="str">
        <f ca="1">IF(AND(((COLUMN()-10)&lt;=playercnt),((ROW()-41)&lt;=playercnt)),SUMPRODUCT(INDIRECT(ADDRESS(3,ROW()-31,1)):INDIRECT(ADDRESS(22,ROW()-31,1)),K$3:K$22),"")</f>
        <v/>
      </c>
      <c r="L89" t="str">
        <f ca="1">IF(AND(((COLUMN()-10)&lt;=playercnt),((ROW()-41)&lt;=playercnt)),SUMPRODUCT(INDIRECT(ADDRESS(3,ROW()-31,1)):INDIRECT(ADDRESS(22,ROW()-31,1)),L$3:L$22),"")</f>
        <v/>
      </c>
      <c r="M89" t="str">
        <f ca="1">IF(AND(((COLUMN()-10)&lt;=playercnt),((ROW()-41)&lt;=playercnt)),SUMPRODUCT(INDIRECT(ADDRESS(3,ROW()-31,1)):INDIRECT(ADDRESS(22,ROW()-31,1)),M$3:M$22),"")</f>
        <v/>
      </c>
      <c r="N89" t="str">
        <f ca="1">IF(AND(((COLUMN()-10)&lt;=playercnt),((ROW()-41)&lt;=playercnt)),SUMPRODUCT(INDIRECT(ADDRESS(3,ROW()-31,1)):INDIRECT(ADDRESS(22,ROW()-31,1)),N$3:N$22),"")</f>
        <v/>
      </c>
      <c r="O89" t="str">
        <f ca="1">IF(AND(((COLUMN()-10)&lt;=playercnt),((ROW()-41)&lt;=playercnt)),SUMPRODUCT(INDIRECT(ADDRESS(3,ROW()-31,1)):INDIRECT(ADDRESS(22,ROW()-31,1)),O$3:O$22),"")</f>
        <v/>
      </c>
      <c r="P89" t="str">
        <f ca="1">IF(AND(((COLUMN()-10)&lt;=playercnt),((ROW()-41)&lt;=playercnt)),SUMPRODUCT(INDIRECT(ADDRESS(3,ROW()-31,1)):INDIRECT(ADDRESS(22,ROW()-31,1)),P$3:P$22),"")</f>
        <v/>
      </c>
      <c r="Q89" t="str">
        <f ca="1">IF(AND(((COLUMN()-10)&lt;=playercnt),((ROW()-41)&lt;=playercnt)),SUMPRODUCT(INDIRECT(ADDRESS(3,ROW()-31,1)):INDIRECT(ADDRESS(22,ROW()-31,1)),Q$3:Q$22),"")</f>
        <v/>
      </c>
      <c r="R89" t="str">
        <f ca="1">IF(AND(((COLUMN()-10)&lt;=playercnt),((ROW()-41)&lt;=playercnt)),SUMPRODUCT(INDIRECT(ADDRESS(3,ROW()-31,1)):INDIRECT(ADDRESS(22,ROW()-31,1)),R$3:R$22),"")</f>
        <v/>
      </c>
      <c r="S89" t="str">
        <f ca="1">IF(AND(((COLUMN()-10)&lt;=playercnt),((ROW()-41)&lt;=playercnt)),SUMPRODUCT(INDIRECT(ADDRESS(3,ROW()-31,1)):INDIRECT(ADDRESS(22,ROW()-31,1)),S$3:S$22),"")</f>
        <v/>
      </c>
      <c r="T89" t="str">
        <f ca="1">IF(AND(((COLUMN()-10)&lt;=playercnt),((ROW()-41)&lt;=playercnt)),SUMPRODUCT(INDIRECT(ADDRESS(3,ROW()-31,1)):INDIRECT(ADDRESS(22,ROW()-31,1)),T$3:T$22),"")</f>
        <v/>
      </c>
      <c r="U89" t="str">
        <f ca="1">IF(AND(((COLUMN()-10)&lt;=playercnt),((ROW()-41)&lt;=playercnt)),SUMPRODUCT(INDIRECT(ADDRESS(3,ROW()-31,1)):INDIRECT(ADDRESS(22,ROW()-31,1)),U$3:U$22),"")</f>
        <v/>
      </c>
      <c r="V89" t="str">
        <f ca="1">IF(AND(((COLUMN()-10)&lt;=playercnt),((ROW()-41)&lt;=playercnt)),SUMPRODUCT(INDIRECT(ADDRESS(3,ROW()-31,1)):INDIRECT(ADDRESS(22,ROW()-31,1)),V$3:V$22),"")</f>
        <v/>
      </c>
      <c r="W89" t="str">
        <f ca="1">IF(AND(((COLUMN()-10)&lt;=playercnt),((ROW()-41)&lt;=playercnt)),SUMPRODUCT(INDIRECT(ADDRESS(3,ROW()-31,1)):INDIRECT(ADDRESS(22,ROW()-31,1)),W$3:W$22),"")</f>
        <v/>
      </c>
      <c r="X89" t="str">
        <f ca="1">IF(AND(((COLUMN()-10)&lt;=playercnt),((ROW()-41)&lt;=playercnt)),SUMPRODUCT(INDIRECT(ADDRESS(3,ROW()-31,1)):INDIRECT(ADDRESS(22,ROW()-31,1)),X$3:X$22),"")</f>
        <v/>
      </c>
      <c r="Y89" t="str">
        <f ca="1">IF(AND(((COLUMN()-10)&lt;=playercnt),((ROW()-41)&lt;=playercnt)),SUMPRODUCT(INDIRECT(ADDRESS(3,ROW()-31,1)):INDIRECT(ADDRESS(22,ROW()-31,1)),Y$3:Y$22),"")</f>
        <v/>
      </c>
      <c r="Z89" t="str">
        <f ca="1">IF(AND(((COLUMN()-10)&lt;=playercnt),((ROW()-41)&lt;=playercnt)),SUMPRODUCT(INDIRECT(ADDRESS(3,ROW()-31,1)):INDIRECT(ADDRESS(22,ROW()-31,1)),Z$3:Z$22),"")</f>
        <v/>
      </c>
      <c r="AA89" t="str">
        <f ca="1">IF(AND(((COLUMN()-10)&lt;=playercnt),((ROW()-41)&lt;=playercnt)),SUMPRODUCT(INDIRECT(ADDRESS(3,ROW()-31,1)):INDIRECT(ADDRESS(22,ROW()-31,1)),AA$3:AA$22),"")</f>
        <v/>
      </c>
      <c r="AB89" t="str">
        <f ca="1">IF(AND(((COLUMN()-10)&lt;=playercnt),((ROW()-41)&lt;=playercnt)),SUMPRODUCT(INDIRECT(ADDRESS(3,ROW()-31,1)):INDIRECT(ADDRESS(22,ROW()-31,1)),AB$3:AB$22),"")</f>
        <v/>
      </c>
      <c r="AC89" t="str">
        <f ca="1">IF(AND(((COLUMN()-10)&lt;=playercnt),((ROW()-41)&lt;=playercnt)),SUMPRODUCT(INDIRECT(ADDRESS(3,ROW()-31,1)):INDIRECT(ADDRESS(22,ROW()-31,1)),AC$3:AC$22),"")</f>
        <v/>
      </c>
      <c r="AD89" t="str">
        <f ca="1">IF(AND(((COLUMN()-10)&lt;=playercnt),((ROW()-41)&lt;=playercnt)),SUMPRODUCT(INDIRECT(ADDRESS(3,ROW()-31,1)):INDIRECT(ADDRESS(22,ROW()-31,1)),AD$3:AD$22),"")</f>
        <v/>
      </c>
      <c r="AE89" t="str">
        <f ca="1">IF(AND(((COLUMN()-10)&lt;=playercnt),((ROW()-41)&lt;=playercnt)),SUMPRODUCT(INDIRECT(ADDRESS(3,ROW()-31,1)):INDIRECT(ADDRESS(22,ROW()-31,1)),AE$3:AE$22),"")</f>
        <v/>
      </c>
      <c r="AF89" t="str">
        <f ca="1">IF(AND(((COLUMN()-10)&lt;=playercnt),((ROW()-41)&lt;=playercnt)),SUMPRODUCT(INDIRECT(ADDRESS(3,ROW()-31,1)):INDIRECT(ADDRESS(22,ROW()-31,1)),AF$3:AF$22),"")</f>
        <v/>
      </c>
      <c r="AG89" t="str">
        <f ca="1">IF(AND(((COLUMN()-10)&lt;=playercnt),((ROW()-41)&lt;=playercnt)),SUMPRODUCT(INDIRECT(ADDRESS(3,ROW()-31,1)):INDIRECT(ADDRESS(22,ROW()-31,1)),AG$3:AG$22),"")</f>
        <v/>
      </c>
      <c r="AH89" t="str">
        <f ca="1">IF(AND(((COLUMN()-10)&lt;=playercnt),((ROW()-41)&lt;=playercnt)),SUMPRODUCT(INDIRECT(ADDRESS(3,ROW()-31,1)):INDIRECT(ADDRESS(22,ROW()-31,1)),AH$3:AH$22),"")</f>
        <v/>
      </c>
      <c r="AI89" t="str">
        <f ca="1">IF(AND(((COLUMN()-10)&lt;=playercnt),((ROW()-41)&lt;=playercnt)),SUMPRODUCT(INDIRECT(ADDRESS(3,ROW()-31,1)):INDIRECT(ADDRESS(22,ROW()-31,1)),AI$3:AI$22),"")</f>
        <v/>
      </c>
      <c r="AJ89" t="str">
        <f ca="1">IF(AND(((COLUMN()-10)&lt;=playercnt),((ROW()-41)&lt;=playercnt)),SUMPRODUCT(INDIRECT(ADDRESS(3,ROW()-31,1)):INDIRECT(ADDRESS(22,ROW()-31,1)),AJ$3:AJ$22),"")</f>
        <v/>
      </c>
      <c r="AK89" t="str">
        <f ca="1">IF(AND(((COLUMN()-10)&lt;=playercnt),((ROW()-41)&lt;=playercnt)),SUMPRODUCT(INDIRECT(ADDRESS(3,ROW()-31,1)):INDIRECT(ADDRESS(22,ROW()-31,1)),AK$3:AK$22),"")</f>
        <v/>
      </c>
      <c r="AL89" t="str">
        <f ca="1">IF(AND(((COLUMN()-10)&lt;=playercnt),((ROW()-41)&lt;=playercnt)),SUMPRODUCT(INDIRECT(ADDRESS(3,ROW()-31,1)):INDIRECT(ADDRESS(22,ROW()-31,1)),AL$3:AL$22),"")</f>
        <v/>
      </c>
      <c r="AM89" t="str">
        <f ca="1">IF(AND(((COLUMN()-10)&lt;=playercnt),((ROW()-41)&lt;=playercnt)),SUMPRODUCT(INDIRECT(ADDRESS(3,ROW()-31,1)):INDIRECT(ADDRESS(22,ROW()-31,1)),AM$3:AM$22),"")</f>
        <v/>
      </c>
      <c r="AN89" t="str">
        <f ca="1">IF(AND(((COLUMN()-10)&lt;=playercnt),((ROW()-41)&lt;=playercnt)),SUMPRODUCT(INDIRECT(ADDRESS(3,ROW()-31,1)):INDIRECT(ADDRESS(22,ROW()-31,1)),AN$3:AN$22),"")</f>
        <v/>
      </c>
      <c r="AO89" t="str">
        <f ca="1">IF(AND(((COLUMN()-10)&lt;=playercnt),((ROW()-41)&lt;=playercnt)),SUMPRODUCT(INDIRECT(ADDRESS(3,ROW()-31,1)):INDIRECT(ADDRESS(22,ROW()-31,1)),AO$3:AO$22),"")</f>
        <v/>
      </c>
      <c r="AP89" t="str">
        <f ca="1">IF(AND(((COLUMN()-10)&lt;=playercnt),((ROW()-41)&lt;=playercnt)),SUMPRODUCT(INDIRECT(ADDRESS(3,ROW()-31,1)):INDIRECT(ADDRESS(22,ROW()-31,1)),AP$3:AP$22),"")</f>
        <v/>
      </c>
      <c r="AQ89" t="str">
        <f ca="1">IF(AND(((COLUMN()-10)&lt;=playercnt),((ROW()-41)&lt;=playercnt)),SUMPRODUCT(INDIRECT(ADDRESS(3,ROW()-31,1)):INDIRECT(ADDRESS(22,ROW()-31,1)),AQ$3:AQ$22),"")</f>
        <v/>
      </c>
      <c r="AR89" t="str">
        <f ca="1">IF(AND(((COLUMN()-10)&lt;=playercnt),((ROW()-41)&lt;=playercnt)),SUMPRODUCT(INDIRECT(ADDRESS(3,ROW()-31,1)):INDIRECT(ADDRESS(22,ROW()-31,1)),AR$3:AR$22),"")</f>
        <v/>
      </c>
      <c r="AS89" t="str">
        <f ca="1">IF(AND(((COLUMN()-10)&lt;=playercnt),((ROW()-41)&lt;=playercnt)),SUMPRODUCT(INDIRECT(ADDRESS(3,ROW()-31,1)):INDIRECT(ADDRESS(22,ROW()-31,1)),AS$3:AS$22),"")</f>
        <v/>
      </c>
      <c r="AT89" t="str">
        <f ca="1">IF(AND(((COLUMN()-10)&lt;=playercnt),((ROW()-41)&lt;=playercnt)),SUMPRODUCT(INDIRECT(ADDRESS(3,ROW()-31,1)):INDIRECT(ADDRESS(22,ROW()-31,1)),AT$3:AT$22),"")</f>
        <v/>
      </c>
      <c r="AU89" t="str">
        <f ca="1">IF(AND(((COLUMN()-10)&lt;=playercnt),((ROW()-41)&lt;=playercnt)),SUMPRODUCT(INDIRECT(ADDRESS(3,ROW()-31,1)):INDIRECT(ADDRESS(22,ROW()-31,1)),AU$3:AU$22),"")</f>
        <v/>
      </c>
      <c r="AV89" t="str">
        <f ca="1">IF(AND(((COLUMN()-10)&lt;=playercnt),((ROW()-41)&lt;=playercnt)),SUMPRODUCT(INDIRECT(ADDRESS(3,ROW()-31,1)):INDIRECT(ADDRESS(22,ROW()-31,1)),AV$3:AV$22),"")</f>
        <v/>
      </c>
      <c r="AW89" t="str">
        <f ca="1">IF(AND(((COLUMN()-10)&lt;=playercnt),((ROW()-41)&lt;=playercnt)),SUMPRODUCT(INDIRECT(ADDRESS(3,ROW()-31,1)):INDIRECT(ADDRESS(22,ROW()-31,1)),AW$3:AW$22),"")</f>
        <v/>
      </c>
      <c r="AX89" t="str">
        <f ca="1">IF(AND(((COLUMN()-10)&lt;=playercnt),((ROW()-41)&lt;=playercnt)),SUMPRODUCT(INDIRECT(ADDRESS(3,ROW()-31,1)):INDIRECT(ADDRESS(22,ROW()-31,1)),AX$3:AX$22),"")</f>
        <v/>
      </c>
      <c r="AY89" t="str">
        <f ca="1">IF(AND(((COLUMN()-10)&lt;=playercnt),((ROW()-41)&lt;=playercnt)),SUMPRODUCT(INDIRECT(ADDRESS(3,ROW()-31,1)):INDIRECT(ADDRESS(22,ROW()-31,1)),AY$3:AY$22),"")</f>
        <v/>
      </c>
      <c r="AZ89" t="str">
        <f ca="1">IF(AND(((COLUMN()-10)&lt;=playercnt),((ROW()-41)&lt;=playercnt)),SUMPRODUCT(INDIRECT(ADDRESS(3,ROW()-31,1)):INDIRECT(ADDRESS(22,ROW()-31,1)),AZ$3:AZ$22),"")</f>
        <v/>
      </c>
      <c r="BA89" t="str">
        <f ca="1">IF(AND(((COLUMN()-10)&lt;=playercnt),((ROW()-41)&lt;=playercnt)),SUMPRODUCT(INDIRECT(ADDRESS(3,ROW()-31,1)):INDIRECT(ADDRESS(22,ROW()-31,1)),BA$3:BA$22),"")</f>
        <v/>
      </c>
      <c r="BB89" t="str">
        <f ca="1">IF(AND(((COLUMN()-10)&lt;=playercnt),((ROW()-41)&lt;=playercnt)),SUMPRODUCT(INDIRECT(ADDRESS(3,ROW()-31,1)):INDIRECT(ADDRESS(22,ROW()-31,1)),BB$3:BB$22),"")</f>
        <v/>
      </c>
      <c r="BC89" t="str">
        <f ca="1">IF(AND(((COLUMN()-10)&lt;=playercnt),((ROW()-41)&lt;=playercnt)),SUMPRODUCT(INDIRECT(ADDRESS(3,ROW()-31,1)):INDIRECT(ADDRESS(22,ROW()-31,1)),BC$3:BC$22),"")</f>
        <v/>
      </c>
      <c r="BD89" t="str">
        <f ca="1">IF(AND(((COLUMN()-10)&lt;=playercnt),((ROW()-41)&lt;=playercnt)),SUMPRODUCT(INDIRECT(ADDRESS(3,ROW()-31,1)):INDIRECT(ADDRESS(22,ROW()-31,1)),BD$3:BD$22),"")</f>
        <v/>
      </c>
      <c r="BE89" t="str">
        <f ca="1">IF(AND(((COLUMN()-10)&lt;=playercnt),((ROW()-41)&lt;=playercnt)),SUMPRODUCT(INDIRECT(ADDRESS(3,ROW()-31,1)):INDIRECT(ADDRESS(22,ROW()-31,1)),BE$3:BE$22),"")</f>
        <v/>
      </c>
      <c r="BF89" t="str">
        <f ca="1">IF(AND(((COLUMN()-10)&lt;=playercnt),((ROW()-41)&lt;=playercnt)),SUMPRODUCT(INDIRECT(ADDRESS(3,ROW()-31,1)):INDIRECT(ADDRESS(22,ROW()-31,1)),BF$3:BF$22),"")</f>
        <v/>
      </c>
      <c r="BG89" t="str">
        <f ca="1">IF(AND(((COLUMN()-10)&lt;=playercnt),((ROW()-41)&lt;=playercnt)),SUMPRODUCT(INDIRECT(ADDRESS(3,ROW()-31,1)):INDIRECT(ADDRESS(22,ROW()-31,1)),BG$3:BG$22),"")</f>
        <v/>
      </c>
      <c r="BH89" t="str">
        <f ca="1">IF(AND(((COLUMN()-10)&lt;=playercnt),((ROW()-41)&lt;=playercnt)),SUMPRODUCT(INDIRECT(ADDRESS(3,ROW()-31,1)):INDIRECT(ADDRESS(22,ROW()-31,1)),BH$3:BH$22),"")</f>
        <v/>
      </c>
      <c r="BI89" t="str">
        <f ca="1">IF(AND(((COLUMN()-10)&lt;=playercnt),((ROW()-41)&lt;=playercnt)),SUMPRODUCT(INDIRECT(ADDRESS(3,ROW()-31,1)):INDIRECT(ADDRESS(22,ROW()-31,1)),BI$3:BI$22),"")</f>
        <v/>
      </c>
      <c r="BJ89" t="str">
        <f ca="1">IF(AND(((COLUMN()-10)&lt;=playercnt),((ROW()-41)&lt;=playercnt)),SUMPRODUCT(INDIRECT(ADDRESS(3,ROW()-31,1)):INDIRECT(ADDRESS(22,ROW()-31,1)),BJ$3:BJ$22),"")</f>
        <v/>
      </c>
      <c r="BK89" t="str">
        <f ca="1">IF(AND(((COLUMN()-10)&lt;=playercnt),((ROW()-41)&lt;=playercnt)),SUMPRODUCT(INDIRECT(ADDRESS(3,ROW()-31,1)):INDIRECT(ADDRESS(22,ROW()-31,1)),BK$3:BK$22),"")</f>
        <v/>
      </c>
      <c r="BL89" t="str">
        <f ca="1">IF(AND(((COLUMN()-10)&lt;=playercnt),((ROW()-41)&lt;=playercnt)),SUMPRODUCT(INDIRECT(ADDRESS(3,ROW()-31,1)):INDIRECT(ADDRESS(22,ROW()-31,1)),BL$3:BL$22),"")</f>
        <v/>
      </c>
      <c r="BM89" t="str">
        <f ca="1">IF(AND(((COLUMN()-10)&lt;=playercnt),((ROW()-41)&lt;=playercnt)),SUMPRODUCT(INDIRECT(ADDRESS(3,ROW()-31,1)):INDIRECT(ADDRESS(22,ROW()-31,1)),BM$3:BM$22),"")</f>
        <v/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>
      <c r="B90" s="27" t="str">
        <f t="shared" ca="1" si="29"/>
        <v/>
      </c>
      <c r="C90" t="str">
        <f t="shared" ca="1" si="30"/>
        <v/>
      </c>
      <c r="G90" t="str">
        <f ca="1">IF(AND(((COLUMN()-10)&lt;=playercnt),((ROW()-41)&lt;=playercnt)),SUMPRODUCT(INDIRECT(ADDRESS(3,ROW()-31,1)):INDIRECT(ADDRESS(22,ROW()-31,1)),G$3:G$22),"")</f>
        <v/>
      </c>
      <c r="H90" t="str">
        <f ca="1">IF(AND(((COLUMN()-10)&lt;=playercnt),((ROW()-41)&lt;=playercnt)),SUMPRODUCT(INDIRECT(ADDRESS(3,ROW()-31,1)):INDIRECT(ADDRESS(22,ROW()-31,1)),H$3:H$22),"")</f>
        <v/>
      </c>
      <c r="I90" t="str">
        <f ca="1">IF(AND(((COLUMN()-10)&lt;=playercnt),((ROW()-41)&lt;=playercnt)),SUMPRODUCT(INDIRECT(ADDRESS(3,ROW()-31,1)):INDIRECT(ADDRESS(22,ROW()-31,1)),I$3:I$22),"")</f>
        <v/>
      </c>
      <c r="J90" t="str">
        <f ca="1">IF(AND(((COLUMN()-10)&lt;=playercnt),((ROW()-41)&lt;=playercnt)),SUMPRODUCT(INDIRECT(ADDRESS(3,ROW()-31,1)):INDIRECT(ADDRESS(22,ROW()-31,1)),J$3:J$22),"")</f>
        <v/>
      </c>
      <c r="K90" t="str">
        <f ca="1">IF(AND(((COLUMN()-10)&lt;=playercnt),((ROW()-41)&lt;=playercnt)),SUMPRODUCT(INDIRECT(ADDRESS(3,ROW()-31,1)):INDIRECT(ADDRESS(22,ROW()-31,1)),K$3:K$22),"")</f>
        <v/>
      </c>
      <c r="L90" t="str">
        <f ca="1">IF(AND(((COLUMN()-10)&lt;=playercnt),((ROW()-41)&lt;=playercnt)),SUMPRODUCT(INDIRECT(ADDRESS(3,ROW()-31,1)):INDIRECT(ADDRESS(22,ROW()-31,1)),L$3:L$22),"")</f>
        <v/>
      </c>
      <c r="M90" t="str">
        <f ca="1">IF(AND(((COLUMN()-10)&lt;=playercnt),((ROW()-41)&lt;=playercnt)),SUMPRODUCT(INDIRECT(ADDRESS(3,ROW()-31,1)):INDIRECT(ADDRESS(22,ROW()-31,1)),M$3:M$22),"")</f>
        <v/>
      </c>
      <c r="N90" t="str">
        <f ca="1">IF(AND(((COLUMN()-10)&lt;=playercnt),((ROW()-41)&lt;=playercnt)),SUMPRODUCT(INDIRECT(ADDRESS(3,ROW()-31,1)):INDIRECT(ADDRESS(22,ROW()-31,1)),N$3:N$22),"")</f>
        <v/>
      </c>
      <c r="O90" t="str">
        <f ca="1">IF(AND(((COLUMN()-10)&lt;=playercnt),((ROW()-41)&lt;=playercnt)),SUMPRODUCT(INDIRECT(ADDRESS(3,ROW()-31,1)):INDIRECT(ADDRESS(22,ROW()-31,1)),O$3:O$22),"")</f>
        <v/>
      </c>
      <c r="P90" t="str">
        <f ca="1">IF(AND(((COLUMN()-10)&lt;=playercnt),((ROW()-41)&lt;=playercnt)),SUMPRODUCT(INDIRECT(ADDRESS(3,ROW()-31,1)):INDIRECT(ADDRESS(22,ROW()-31,1)),P$3:P$22),"")</f>
        <v/>
      </c>
      <c r="Q90" t="str">
        <f ca="1">IF(AND(((COLUMN()-10)&lt;=playercnt),((ROW()-41)&lt;=playercnt)),SUMPRODUCT(INDIRECT(ADDRESS(3,ROW()-31,1)):INDIRECT(ADDRESS(22,ROW()-31,1)),Q$3:Q$22),"")</f>
        <v/>
      </c>
      <c r="R90" t="str">
        <f ca="1">IF(AND(((COLUMN()-10)&lt;=playercnt),((ROW()-41)&lt;=playercnt)),SUMPRODUCT(INDIRECT(ADDRESS(3,ROW()-31,1)):INDIRECT(ADDRESS(22,ROW()-31,1)),R$3:R$22),"")</f>
        <v/>
      </c>
      <c r="S90" t="str">
        <f ca="1">IF(AND(((COLUMN()-10)&lt;=playercnt),((ROW()-41)&lt;=playercnt)),SUMPRODUCT(INDIRECT(ADDRESS(3,ROW()-31,1)):INDIRECT(ADDRESS(22,ROW()-31,1)),S$3:S$22),"")</f>
        <v/>
      </c>
      <c r="T90" t="str">
        <f ca="1">IF(AND(((COLUMN()-10)&lt;=playercnt),((ROW()-41)&lt;=playercnt)),SUMPRODUCT(INDIRECT(ADDRESS(3,ROW()-31,1)):INDIRECT(ADDRESS(22,ROW()-31,1)),T$3:T$22),"")</f>
        <v/>
      </c>
      <c r="U90" t="str">
        <f ca="1">IF(AND(((COLUMN()-10)&lt;=playercnt),((ROW()-41)&lt;=playercnt)),SUMPRODUCT(INDIRECT(ADDRESS(3,ROW()-31,1)):INDIRECT(ADDRESS(22,ROW()-31,1)),U$3:U$22),"")</f>
        <v/>
      </c>
      <c r="V90" t="str">
        <f ca="1">IF(AND(((COLUMN()-10)&lt;=playercnt),((ROW()-41)&lt;=playercnt)),SUMPRODUCT(INDIRECT(ADDRESS(3,ROW()-31,1)):INDIRECT(ADDRESS(22,ROW()-31,1)),V$3:V$22),"")</f>
        <v/>
      </c>
      <c r="W90" t="str">
        <f ca="1">IF(AND(((COLUMN()-10)&lt;=playercnt),((ROW()-41)&lt;=playercnt)),SUMPRODUCT(INDIRECT(ADDRESS(3,ROW()-31,1)):INDIRECT(ADDRESS(22,ROW()-31,1)),W$3:W$22),"")</f>
        <v/>
      </c>
      <c r="X90" t="str">
        <f ca="1">IF(AND(((COLUMN()-10)&lt;=playercnt),((ROW()-41)&lt;=playercnt)),SUMPRODUCT(INDIRECT(ADDRESS(3,ROW()-31,1)):INDIRECT(ADDRESS(22,ROW()-31,1)),X$3:X$22),"")</f>
        <v/>
      </c>
      <c r="Y90" t="str">
        <f ca="1">IF(AND(((COLUMN()-10)&lt;=playercnt),((ROW()-41)&lt;=playercnt)),SUMPRODUCT(INDIRECT(ADDRESS(3,ROW()-31,1)):INDIRECT(ADDRESS(22,ROW()-31,1)),Y$3:Y$22),"")</f>
        <v/>
      </c>
      <c r="Z90" t="str">
        <f ca="1">IF(AND(((COLUMN()-10)&lt;=playercnt),((ROW()-41)&lt;=playercnt)),SUMPRODUCT(INDIRECT(ADDRESS(3,ROW()-31,1)):INDIRECT(ADDRESS(22,ROW()-31,1)),Z$3:Z$22),"")</f>
        <v/>
      </c>
      <c r="AA90" t="str">
        <f ca="1">IF(AND(((COLUMN()-10)&lt;=playercnt),((ROW()-41)&lt;=playercnt)),SUMPRODUCT(INDIRECT(ADDRESS(3,ROW()-31,1)):INDIRECT(ADDRESS(22,ROW()-31,1)),AA$3:AA$22),"")</f>
        <v/>
      </c>
      <c r="AB90" t="str">
        <f ca="1">IF(AND(((COLUMN()-10)&lt;=playercnt),((ROW()-41)&lt;=playercnt)),SUMPRODUCT(INDIRECT(ADDRESS(3,ROW()-31,1)):INDIRECT(ADDRESS(22,ROW()-31,1)),AB$3:AB$22),"")</f>
        <v/>
      </c>
      <c r="AC90" t="str">
        <f ca="1">IF(AND(((COLUMN()-10)&lt;=playercnt),((ROW()-41)&lt;=playercnt)),SUMPRODUCT(INDIRECT(ADDRESS(3,ROW()-31,1)):INDIRECT(ADDRESS(22,ROW()-31,1)),AC$3:AC$22),"")</f>
        <v/>
      </c>
      <c r="AD90" t="str">
        <f ca="1">IF(AND(((COLUMN()-10)&lt;=playercnt),((ROW()-41)&lt;=playercnt)),SUMPRODUCT(INDIRECT(ADDRESS(3,ROW()-31,1)):INDIRECT(ADDRESS(22,ROW()-31,1)),AD$3:AD$22),"")</f>
        <v/>
      </c>
      <c r="AE90" t="str">
        <f ca="1">IF(AND(((COLUMN()-10)&lt;=playercnt),((ROW()-41)&lt;=playercnt)),SUMPRODUCT(INDIRECT(ADDRESS(3,ROW()-31,1)):INDIRECT(ADDRESS(22,ROW()-31,1)),AE$3:AE$22),"")</f>
        <v/>
      </c>
      <c r="AF90" t="str">
        <f ca="1">IF(AND(((COLUMN()-10)&lt;=playercnt),((ROW()-41)&lt;=playercnt)),SUMPRODUCT(INDIRECT(ADDRESS(3,ROW()-31,1)):INDIRECT(ADDRESS(22,ROW()-31,1)),AF$3:AF$22),"")</f>
        <v/>
      </c>
      <c r="AG90" t="str">
        <f ca="1">IF(AND(((COLUMN()-10)&lt;=playercnt),((ROW()-41)&lt;=playercnt)),SUMPRODUCT(INDIRECT(ADDRESS(3,ROW()-31,1)):INDIRECT(ADDRESS(22,ROW()-31,1)),AG$3:AG$22),"")</f>
        <v/>
      </c>
      <c r="AH90" t="str">
        <f ca="1">IF(AND(((COLUMN()-10)&lt;=playercnt),((ROW()-41)&lt;=playercnt)),SUMPRODUCT(INDIRECT(ADDRESS(3,ROW()-31,1)):INDIRECT(ADDRESS(22,ROW()-31,1)),AH$3:AH$22),"")</f>
        <v/>
      </c>
      <c r="AI90" t="str">
        <f ca="1">IF(AND(((COLUMN()-10)&lt;=playercnt),((ROW()-41)&lt;=playercnt)),SUMPRODUCT(INDIRECT(ADDRESS(3,ROW()-31,1)):INDIRECT(ADDRESS(22,ROW()-31,1)),AI$3:AI$22),"")</f>
        <v/>
      </c>
      <c r="AJ90" t="str">
        <f ca="1">IF(AND(((COLUMN()-10)&lt;=playercnt),((ROW()-41)&lt;=playercnt)),SUMPRODUCT(INDIRECT(ADDRESS(3,ROW()-31,1)):INDIRECT(ADDRESS(22,ROW()-31,1)),AJ$3:AJ$22),"")</f>
        <v/>
      </c>
      <c r="AK90" t="str">
        <f ca="1">IF(AND(((COLUMN()-10)&lt;=playercnt),((ROW()-41)&lt;=playercnt)),SUMPRODUCT(INDIRECT(ADDRESS(3,ROW()-31,1)):INDIRECT(ADDRESS(22,ROW()-31,1)),AK$3:AK$22),"")</f>
        <v/>
      </c>
      <c r="AL90" t="str">
        <f ca="1">IF(AND(((COLUMN()-10)&lt;=playercnt),((ROW()-41)&lt;=playercnt)),SUMPRODUCT(INDIRECT(ADDRESS(3,ROW()-31,1)):INDIRECT(ADDRESS(22,ROW()-31,1)),AL$3:AL$22),"")</f>
        <v/>
      </c>
      <c r="AM90" t="str">
        <f ca="1">IF(AND(((COLUMN()-10)&lt;=playercnt),((ROW()-41)&lt;=playercnt)),SUMPRODUCT(INDIRECT(ADDRESS(3,ROW()-31,1)):INDIRECT(ADDRESS(22,ROW()-31,1)),AM$3:AM$22),"")</f>
        <v/>
      </c>
      <c r="AN90" t="str">
        <f ca="1">IF(AND(((COLUMN()-10)&lt;=playercnt),((ROW()-41)&lt;=playercnt)),SUMPRODUCT(INDIRECT(ADDRESS(3,ROW()-31,1)):INDIRECT(ADDRESS(22,ROW()-31,1)),AN$3:AN$22),"")</f>
        <v/>
      </c>
      <c r="AO90" t="str">
        <f ca="1">IF(AND(((COLUMN()-10)&lt;=playercnt),((ROW()-41)&lt;=playercnt)),SUMPRODUCT(INDIRECT(ADDRESS(3,ROW()-31,1)):INDIRECT(ADDRESS(22,ROW()-31,1)),AO$3:AO$22),"")</f>
        <v/>
      </c>
      <c r="AP90" t="str">
        <f ca="1">IF(AND(((COLUMN()-10)&lt;=playercnt),((ROW()-41)&lt;=playercnt)),SUMPRODUCT(INDIRECT(ADDRESS(3,ROW()-31,1)):INDIRECT(ADDRESS(22,ROW()-31,1)),AP$3:AP$22),"")</f>
        <v/>
      </c>
      <c r="AQ90" t="str">
        <f ca="1">IF(AND(((COLUMN()-10)&lt;=playercnt),((ROW()-41)&lt;=playercnt)),SUMPRODUCT(INDIRECT(ADDRESS(3,ROW()-31,1)):INDIRECT(ADDRESS(22,ROW()-31,1)),AQ$3:AQ$22),"")</f>
        <v/>
      </c>
      <c r="AR90" t="str">
        <f ca="1">IF(AND(((COLUMN()-10)&lt;=playercnt),((ROW()-41)&lt;=playercnt)),SUMPRODUCT(INDIRECT(ADDRESS(3,ROW()-31,1)):INDIRECT(ADDRESS(22,ROW()-31,1)),AR$3:AR$22),"")</f>
        <v/>
      </c>
      <c r="AS90" t="str">
        <f ca="1">IF(AND(((COLUMN()-10)&lt;=playercnt),((ROW()-41)&lt;=playercnt)),SUMPRODUCT(INDIRECT(ADDRESS(3,ROW()-31,1)):INDIRECT(ADDRESS(22,ROW()-31,1)),AS$3:AS$22),"")</f>
        <v/>
      </c>
      <c r="AT90" t="str">
        <f ca="1">IF(AND(((COLUMN()-10)&lt;=playercnt),((ROW()-41)&lt;=playercnt)),SUMPRODUCT(INDIRECT(ADDRESS(3,ROW()-31,1)):INDIRECT(ADDRESS(22,ROW()-31,1)),AT$3:AT$22),"")</f>
        <v/>
      </c>
      <c r="AU90" t="str">
        <f ca="1">IF(AND(((COLUMN()-10)&lt;=playercnt),((ROW()-41)&lt;=playercnt)),SUMPRODUCT(INDIRECT(ADDRESS(3,ROW()-31,1)):INDIRECT(ADDRESS(22,ROW()-31,1)),AU$3:AU$22),"")</f>
        <v/>
      </c>
      <c r="AV90" t="str">
        <f ca="1">IF(AND(((COLUMN()-10)&lt;=playercnt),((ROW()-41)&lt;=playercnt)),SUMPRODUCT(INDIRECT(ADDRESS(3,ROW()-31,1)):INDIRECT(ADDRESS(22,ROW()-31,1)),AV$3:AV$22),"")</f>
        <v/>
      </c>
      <c r="AW90" t="str">
        <f ca="1">IF(AND(((COLUMN()-10)&lt;=playercnt),((ROW()-41)&lt;=playercnt)),SUMPRODUCT(INDIRECT(ADDRESS(3,ROW()-31,1)):INDIRECT(ADDRESS(22,ROW()-31,1)),AW$3:AW$22),"")</f>
        <v/>
      </c>
      <c r="AX90" t="str">
        <f ca="1">IF(AND(((COLUMN()-10)&lt;=playercnt),((ROW()-41)&lt;=playercnt)),SUMPRODUCT(INDIRECT(ADDRESS(3,ROW()-31,1)):INDIRECT(ADDRESS(22,ROW()-31,1)),AX$3:AX$22),"")</f>
        <v/>
      </c>
      <c r="AY90" t="str">
        <f ca="1">IF(AND(((COLUMN()-10)&lt;=playercnt),((ROW()-41)&lt;=playercnt)),SUMPRODUCT(INDIRECT(ADDRESS(3,ROW()-31,1)):INDIRECT(ADDRESS(22,ROW()-31,1)),AY$3:AY$22),"")</f>
        <v/>
      </c>
      <c r="AZ90" t="str">
        <f ca="1">IF(AND(((COLUMN()-10)&lt;=playercnt),((ROW()-41)&lt;=playercnt)),SUMPRODUCT(INDIRECT(ADDRESS(3,ROW()-31,1)):INDIRECT(ADDRESS(22,ROW()-31,1)),AZ$3:AZ$22),"")</f>
        <v/>
      </c>
      <c r="BA90" t="str">
        <f ca="1">IF(AND(((COLUMN()-10)&lt;=playercnt),((ROW()-41)&lt;=playercnt)),SUMPRODUCT(INDIRECT(ADDRESS(3,ROW()-31,1)):INDIRECT(ADDRESS(22,ROW()-31,1)),BA$3:BA$22),"")</f>
        <v/>
      </c>
      <c r="BB90" t="str">
        <f ca="1">IF(AND(((COLUMN()-10)&lt;=playercnt),((ROW()-41)&lt;=playercnt)),SUMPRODUCT(INDIRECT(ADDRESS(3,ROW()-31,1)):INDIRECT(ADDRESS(22,ROW()-31,1)),BB$3:BB$22),"")</f>
        <v/>
      </c>
      <c r="BC90" t="str">
        <f ca="1">IF(AND(((COLUMN()-10)&lt;=playercnt),((ROW()-41)&lt;=playercnt)),SUMPRODUCT(INDIRECT(ADDRESS(3,ROW()-31,1)):INDIRECT(ADDRESS(22,ROW()-31,1)),BC$3:BC$22),"")</f>
        <v/>
      </c>
      <c r="BD90" t="str">
        <f ca="1">IF(AND(((COLUMN()-10)&lt;=playercnt),((ROW()-41)&lt;=playercnt)),SUMPRODUCT(INDIRECT(ADDRESS(3,ROW()-31,1)):INDIRECT(ADDRESS(22,ROW()-31,1)),BD$3:BD$22),"")</f>
        <v/>
      </c>
      <c r="BE90" t="str">
        <f ca="1">IF(AND(((COLUMN()-10)&lt;=playercnt),((ROW()-41)&lt;=playercnt)),SUMPRODUCT(INDIRECT(ADDRESS(3,ROW()-31,1)):INDIRECT(ADDRESS(22,ROW()-31,1)),BE$3:BE$22),"")</f>
        <v/>
      </c>
      <c r="BF90" t="str">
        <f ca="1">IF(AND(((COLUMN()-10)&lt;=playercnt),((ROW()-41)&lt;=playercnt)),SUMPRODUCT(INDIRECT(ADDRESS(3,ROW()-31,1)):INDIRECT(ADDRESS(22,ROW()-31,1)),BF$3:BF$22),"")</f>
        <v/>
      </c>
      <c r="BG90" t="str">
        <f ca="1">IF(AND(((COLUMN()-10)&lt;=playercnt),((ROW()-41)&lt;=playercnt)),SUMPRODUCT(INDIRECT(ADDRESS(3,ROW()-31,1)):INDIRECT(ADDRESS(22,ROW()-31,1)),BG$3:BG$22),"")</f>
        <v/>
      </c>
      <c r="BH90" t="str">
        <f ca="1">IF(AND(((COLUMN()-10)&lt;=playercnt),((ROW()-41)&lt;=playercnt)),SUMPRODUCT(INDIRECT(ADDRESS(3,ROW()-31,1)):INDIRECT(ADDRESS(22,ROW()-31,1)),BH$3:BH$22),"")</f>
        <v/>
      </c>
      <c r="BI90" t="str">
        <f ca="1">IF(AND(((COLUMN()-10)&lt;=playercnt),((ROW()-41)&lt;=playercnt)),SUMPRODUCT(INDIRECT(ADDRESS(3,ROW()-31,1)):INDIRECT(ADDRESS(22,ROW()-31,1)),BI$3:BI$22),"")</f>
        <v/>
      </c>
      <c r="BJ90" t="str">
        <f ca="1">IF(AND(((COLUMN()-10)&lt;=playercnt),((ROW()-41)&lt;=playercnt)),SUMPRODUCT(INDIRECT(ADDRESS(3,ROW()-31,1)):INDIRECT(ADDRESS(22,ROW()-31,1)),BJ$3:BJ$22),"")</f>
        <v/>
      </c>
      <c r="BK90" t="str">
        <f ca="1">IF(AND(((COLUMN()-10)&lt;=playercnt),((ROW()-41)&lt;=playercnt)),SUMPRODUCT(INDIRECT(ADDRESS(3,ROW()-31,1)):INDIRECT(ADDRESS(22,ROW()-31,1)),BK$3:BK$22),"")</f>
        <v/>
      </c>
      <c r="BL90" t="str">
        <f ca="1">IF(AND(((COLUMN()-10)&lt;=playercnt),((ROW()-41)&lt;=playercnt)),SUMPRODUCT(INDIRECT(ADDRESS(3,ROW()-31,1)):INDIRECT(ADDRESS(22,ROW()-31,1)),BL$3:BL$22),"")</f>
        <v/>
      </c>
      <c r="BM90" t="str">
        <f ca="1">IF(AND(((COLUMN()-10)&lt;=playercnt),((ROW()-41)&lt;=playercnt)),SUMPRODUCT(INDIRECT(ADDRESS(3,ROW()-31,1)):INDIRECT(ADDRESS(22,ROW()-31,1)),BM$3:BM$22),"")</f>
        <v/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>
      <c r="B91" s="27" t="str">
        <f t="shared" ca="1" si="29"/>
        <v/>
      </c>
      <c r="C91" t="str">
        <f t="shared" ca="1" si="30"/>
        <v/>
      </c>
      <c r="G91" t="str">
        <f ca="1">IF(AND(((COLUMN()-10)&lt;=playercnt),((ROW()-41)&lt;=playercnt)),SUMPRODUCT(INDIRECT(ADDRESS(3,ROW()-31,1)):INDIRECT(ADDRESS(22,ROW()-31,1)),G$3:G$22),"")</f>
        <v/>
      </c>
      <c r="H91" t="str">
        <f ca="1">IF(AND(((COLUMN()-10)&lt;=playercnt),((ROW()-41)&lt;=playercnt)),SUMPRODUCT(INDIRECT(ADDRESS(3,ROW()-31,1)):INDIRECT(ADDRESS(22,ROW()-31,1)),H$3:H$22),"")</f>
        <v/>
      </c>
      <c r="I91" t="str">
        <f ca="1">IF(AND(((COLUMN()-10)&lt;=playercnt),((ROW()-41)&lt;=playercnt)),SUMPRODUCT(INDIRECT(ADDRESS(3,ROW()-31,1)):INDIRECT(ADDRESS(22,ROW()-31,1)),I$3:I$22),"")</f>
        <v/>
      </c>
      <c r="J91" t="str">
        <f ca="1">IF(AND(((COLUMN()-10)&lt;=playercnt),((ROW()-41)&lt;=playercnt)),SUMPRODUCT(INDIRECT(ADDRESS(3,ROW()-31,1)):INDIRECT(ADDRESS(22,ROW()-31,1)),J$3:J$22),"")</f>
        <v/>
      </c>
      <c r="K91" t="str">
        <f ca="1">IF(AND(((COLUMN()-10)&lt;=playercnt),((ROW()-41)&lt;=playercnt)),SUMPRODUCT(INDIRECT(ADDRESS(3,ROW()-31,1)):INDIRECT(ADDRESS(22,ROW()-31,1)),K$3:K$22),"")</f>
        <v/>
      </c>
      <c r="L91" t="str">
        <f ca="1">IF(AND(((COLUMN()-10)&lt;=playercnt),((ROW()-41)&lt;=playercnt)),SUMPRODUCT(INDIRECT(ADDRESS(3,ROW()-31,1)):INDIRECT(ADDRESS(22,ROW()-31,1)),L$3:L$22),"")</f>
        <v/>
      </c>
      <c r="M91" t="str">
        <f ca="1">IF(AND(((COLUMN()-10)&lt;=playercnt),((ROW()-41)&lt;=playercnt)),SUMPRODUCT(INDIRECT(ADDRESS(3,ROW()-31,1)):INDIRECT(ADDRESS(22,ROW()-31,1)),M$3:M$22),"")</f>
        <v/>
      </c>
      <c r="N91" t="str">
        <f ca="1">IF(AND(((COLUMN()-10)&lt;=playercnt),((ROW()-41)&lt;=playercnt)),SUMPRODUCT(INDIRECT(ADDRESS(3,ROW()-31,1)):INDIRECT(ADDRESS(22,ROW()-31,1)),N$3:N$22),"")</f>
        <v/>
      </c>
      <c r="O91" t="str">
        <f ca="1">IF(AND(((COLUMN()-10)&lt;=playercnt),((ROW()-41)&lt;=playercnt)),SUMPRODUCT(INDIRECT(ADDRESS(3,ROW()-31,1)):INDIRECT(ADDRESS(22,ROW()-31,1)),O$3:O$22),"")</f>
        <v/>
      </c>
      <c r="P91" t="str">
        <f ca="1">IF(AND(((COLUMN()-10)&lt;=playercnt),((ROW()-41)&lt;=playercnt)),SUMPRODUCT(INDIRECT(ADDRESS(3,ROW()-31,1)):INDIRECT(ADDRESS(22,ROW()-31,1)),P$3:P$22),"")</f>
        <v/>
      </c>
      <c r="Q91" t="str">
        <f ca="1">IF(AND(((COLUMN()-10)&lt;=playercnt),((ROW()-41)&lt;=playercnt)),SUMPRODUCT(INDIRECT(ADDRESS(3,ROW()-31,1)):INDIRECT(ADDRESS(22,ROW()-31,1)),Q$3:Q$22),"")</f>
        <v/>
      </c>
      <c r="R91" t="str">
        <f ca="1">IF(AND(((COLUMN()-10)&lt;=playercnt),((ROW()-41)&lt;=playercnt)),SUMPRODUCT(INDIRECT(ADDRESS(3,ROW()-31,1)):INDIRECT(ADDRESS(22,ROW()-31,1)),R$3:R$22),"")</f>
        <v/>
      </c>
      <c r="S91" t="str">
        <f ca="1">IF(AND(((COLUMN()-10)&lt;=playercnt),((ROW()-41)&lt;=playercnt)),SUMPRODUCT(INDIRECT(ADDRESS(3,ROW()-31,1)):INDIRECT(ADDRESS(22,ROW()-31,1)),S$3:S$22),"")</f>
        <v/>
      </c>
      <c r="T91" t="str">
        <f ca="1">IF(AND(((COLUMN()-10)&lt;=playercnt),((ROW()-41)&lt;=playercnt)),SUMPRODUCT(INDIRECT(ADDRESS(3,ROW()-31,1)):INDIRECT(ADDRESS(22,ROW()-31,1)),T$3:T$22),"")</f>
        <v/>
      </c>
      <c r="U91" t="str">
        <f ca="1">IF(AND(((COLUMN()-10)&lt;=playercnt),((ROW()-41)&lt;=playercnt)),SUMPRODUCT(INDIRECT(ADDRESS(3,ROW()-31,1)):INDIRECT(ADDRESS(22,ROW()-31,1)),U$3:U$22),"")</f>
        <v/>
      </c>
      <c r="V91" t="str">
        <f ca="1">IF(AND(((COLUMN()-10)&lt;=playercnt),((ROW()-41)&lt;=playercnt)),SUMPRODUCT(INDIRECT(ADDRESS(3,ROW()-31,1)):INDIRECT(ADDRESS(22,ROW()-31,1)),V$3:V$22),"")</f>
        <v/>
      </c>
      <c r="W91" t="str">
        <f ca="1">IF(AND(((COLUMN()-10)&lt;=playercnt),((ROW()-41)&lt;=playercnt)),SUMPRODUCT(INDIRECT(ADDRESS(3,ROW()-31,1)):INDIRECT(ADDRESS(22,ROW()-31,1)),W$3:W$22),"")</f>
        <v/>
      </c>
      <c r="X91" t="str">
        <f ca="1">IF(AND(((COLUMN()-10)&lt;=playercnt),((ROW()-41)&lt;=playercnt)),SUMPRODUCT(INDIRECT(ADDRESS(3,ROW()-31,1)):INDIRECT(ADDRESS(22,ROW()-31,1)),X$3:X$22),"")</f>
        <v/>
      </c>
      <c r="Y91" t="str">
        <f ca="1">IF(AND(((COLUMN()-10)&lt;=playercnt),((ROW()-41)&lt;=playercnt)),SUMPRODUCT(INDIRECT(ADDRESS(3,ROW()-31,1)):INDIRECT(ADDRESS(22,ROW()-31,1)),Y$3:Y$22),"")</f>
        <v/>
      </c>
      <c r="Z91" t="str">
        <f ca="1">IF(AND(((COLUMN()-10)&lt;=playercnt),((ROW()-41)&lt;=playercnt)),SUMPRODUCT(INDIRECT(ADDRESS(3,ROW()-31,1)):INDIRECT(ADDRESS(22,ROW()-31,1)),Z$3:Z$22),"")</f>
        <v/>
      </c>
      <c r="AA91" t="str">
        <f ca="1">IF(AND(((COLUMN()-10)&lt;=playercnt),((ROW()-41)&lt;=playercnt)),SUMPRODUCT(INDIRECT(ADDRESS(3,ROW()-31,1)):INDIRECT(ADDRESS(22,ROW()-31,1)),AA$3:AA$22),"")</f>
        <v/>
      </c>
      <c r="AB91" t="str">
        <f ca="1">IF(AND(((COLUMN()-10)&lt;=playercnt),((ROW()-41)&lt;=playercnt)),SUMPRODUCT(INDIRECT(ADDRESS(3,ROW()-31,1)):INDIRECT(ADDRESS(22,ROW()-31,1)),AB$3:AB$22),"")</f>
        <v/>
      </c>
      <c r="AC91" t="str">
        <f ca="1">IF(AND(((COLUMN()-10)&lt;=playercnt),((ROW()-41)&lt;=playercnt)),SUMPRODUCT(INDIRECT(ADDRESS(3,ROW()-31,1)):INDIRECT(ADDRESS(22,ROW()-31,1)),AC$3:AC$22),"")</f>
        <v/>
      </c>
      <c r="AD91" t="str">
        <f ca="1">IF(AND(((COLUMN()-10)&lt;=playercnt),((ROW()-41)&lt;=playercnt)),SUMPRODUCT(INDIRECT(ADDRESS(3,ROW()-31,1)):INDIRECT(ADDRESS(22,ROW()-31,1)),AD$3:AD$22),"")</f>
        <v/>
      </c>
      <c r="AE91" t="str">
        <f ca="1">IF(AND(((COLUMN()-10)&lt;=playercnt),((ROW()-41)&lt;=playercnt)),SUMPRODUCT(INDIRECT(ADDRESS(3,ROW()-31,1)):INDIRECT(ADDRESS(22,ROW()-31,1)),AE$3:AE$22),"")</f>
        <v/>
      </c>
      <c r="AF91" t="str">
        <f ca="1">IF(AND(((COLUMN()-10)&lt;=playercnt),((ROW()-41)&lt;=playercnt)),SUMPRODUCT(INDIRECT(ADDRESS(3,ROW()-31,1)):INDIRECT(ADDRESS(22,ROW()-31,1)),AF$3:AF$22),"")</f>
        <v/>
      </c>
      <c r="AG91" t="str">
        <f ca="1">IF(AND(((COLUMN()-10)&lt;=playercnt),((ROW()-41)&lt;=playercnt)),SUMPRODUCT(INDIRECT(ADDRESS(3,ROW()-31,1)):INDIRECT(ADDRESS(22,ROW()-31,1)),AG$3:AG$22),"")</f>
        <v/>
      </c>
      <c r="AH91" t="str">
        <f ca="1">IF(AND(((COLUMN()-10)&lt;=playercnt),((ROW()-41)&lt;=playercnt)),SUMPRODUCT(INDIRECT(ADDRESS(3,ROW()-31,1)):INDIRECT(ADDRESS(22,ROW()-31,1)),AH$3:AH$22),"")</f>
        <v/>
      </c>
      <c r="AI91" t="str">
        <f ca="1">IF(AND(((COLUMN()-10)&lt;=playercnt),((ROW()-41)&lt;=playercnt)),SUMPRODUCT(INDIRECT(ADDRESS(3,ROW()-31,1)):INDIRECT(ADDRESS(22,ROW()-31,1)),AI$3:AI$22),"")</f>
        <v/>
      </c>
      <c r="AJ91" t="str">
        <f ca="1">IF(AND(((COLUMN()-10)&lt;=playercnt),((ROW()-41)&lt;=playercnt)),SUMPRODUCT(INDIRECT(ADDRESS(3,ROW()-31,1)):INDIRECT(ADDRESS(22,ROW()-31,1)),AJ$3:AJ$22),"")</f>
        <v/>
      </c>
      <c r="AK91" t="str">
        <f ca="1">IF(AND(((COLUMN()-10)&lt;=playercnt),((ROW()-41)&lt;=playercnt)),SUMPRODUCT(INDIRECT(ADDRESS(3,ROW()-31,1)):INDIRECT(ADDRESS(22,ROW()-31,1)),AK$3:AK$22),"")</f>
        <v/>
      </c>
      <c r="AL91" t="str">
        <f ca="1">IF(AND(((COLUMN()-10)&lt;=playercnt),((ROW()-41)&lt;=playercnt)),SUMPRODUCT(INDIRECT(ADDRESS(3,ROW()-31,1)):INDIRECT(ADDRESS(22,ROW()-31,1)),AL$3:AL$22),"")</f>
        <v/>
      </c>
      <c r="AM91" t="str">
        <f ca="1">IF(AND(((COLUMN()-10)&lt;=playercnt),((ROW()-41)&lt;=playercnt)),SUMPRODUCT(INDIRECT(ADDRESS(3,ROW()-31,1)):INDIRECT(ADDRESS(22,ROW()-31,1)),AM$3:AM$22),"")</f>
        <v/>
      </c>
      <c r="AN91" t="str">
        <f ca="1">IF(AND(((COLUMN()-10)&lt;=playercnt),((ROW()-41)&lt;=playercnt)),SUMPRODUCT(INDIRECT(ADDRESS(3,ROW()-31,1)):INDIRECT(ADDRESS(22,ROW()-31,1)),AN$3:AN$22),"")</f>
        <v/>
      </c>
      <c r="AO91" t="str">
        <f ca="1">IF(AND(((COLUMN()-10)&lt;=playercnt),((ROW()-41)&lt;=playercnt)),SUMPRODUCT(INDIRECT(ADDRESS(3,ROW()-31,1)):INDIRECT(ADDRESS(22,ROW()-31,1)),AO$3:AO$22),"")</f>
        <v/>
      </c>
      <c r="AP91" t="str">
        <f ca="1">IF(AND(((COLUMN()-10)&lt;=playercnt),((ROW()-41)&lt;=playercnt)),SUMPRODUCT(INDIRECT(ADDRESS(3,ROW()-31,1)):INDIRECT(ADDRESS(22,ROW()-31,1)),AP$3:AP$22),"")</f>
        <v/>
      </c>
      <c r="AQ91" t="str">
        <f ca="1">IF(AND(((COLUMN()-10)&lt;=playercnt),((ROW()-41)&lt;=playercnt)),SUMPRODUCT(INDIRECT(ADDRESS(3,ROW()-31,1)):INDIRECT(ADDRESS(22,ROW()-31,1)),AQ$3:AQ$22),"")</f>
        <v/>
      </c>
      <c r="AR91" t="str">
        <f ca="1">IF(AND(((COLUMN()-10)&lt;=playercnt),((ROW()-41)&lt;=playercnt)),SUMPRODUCT(INDIRECT(ADDRESS(3,ROW()-31,1)):INDIRECT(ADDRESS(22,ROW()-31,1)),AR$3:AR$22),"")</f>
        <v/>
      </c>
      <c r="AS91" t="str">
        <f ca="1">IF(AND(((COLUMN()-10)&lt;=playercnt),((ROW()-41)&lt;=playercnt)),SUMPRODUCT(INDIRECT(ADDRESS(3,ROW()-31,1)):INDIRECT(ADDRESS(22,ROW()-31,1)),AS$3:AS$22),"")</f>
        <v/>
      </c>
      <c r="AT91" t="str">
        <f ca="1">IF(AND(((COLUMN()-10)&lt;=playercnt),((ROW()-41)&lt;=playercnt)),SUMPRODUCT(INDIRECT(ADDRESS(3,ROW()-31,1)):INDIRECT(ADDRESS(22,ROW()-31,1)),AT$3:AT$22),"")</f>
        <v/>
      </c>
      <c r="AU91" t="str">
        <f ca="1">IF(AND(((COLUMN()-10)&lt;=playercnt),((ROW()-41)&lt;=playercnt)),SUMPRODUCT(INDIRECT(ADDRESS(3,ROW()-31,1)):INDIRECT(ADDRESS(22,ROW()-31,1)),AU$3:AU$22),"")</f>
        <v/>
      </c>
      <c r="AV91" t="str">
        <f ca="1">IF(AND(((COLUMN()-10)&lt;=playercnt),((ROW()-41)&lt;=playercnt)),SUMPRODUCT(INDIRECT(ADDRESS(3,ROW()-31,1)):INDIRECT(ADDRESS(22,ROW()-31,1)),AV$3:AV$22),"")</f>
        <v/>
      </c>
      <c r="AW91" t="str">
        <f ca="1">IF(AND(((COLUMN()-10)&lt;=playercnt),((ROW()-41)&lt;=playercnt)),SUMPRODUCT(INDIRECT(ADDRESS(3,ROW()-31,1)):INDIRECT(ADDRESS(22,ROW()-31,1)),AW$3:AW$22),"")</f>
        <v/>
      </c>
      <c r="AX91" t="str">
        <f ca="1">IF(AND(((COLUMN()-10)&lt;=playercnt),((ROW()-41)&lt;=playercnt)),SUMPRODUCT(INDIRECT(ADDRESS(3,ROW()-31,1)):INDIRECT(ADDRESS(22,ROW()-31,1)),AX$3:AX$22),"")</f>
        <v/>
      </c>
      <c r="AY91" t="str">
        <f ca="1">IF(AND(((COLUMN()-10)&lt;=playercnt),((ROW()-41)&lt;=playercnt)),SUMPRODUCT(INDIRECT(ADDRESS(3,ROW()-31,1)):INDIRECT(ADDRESS(22,ROW()-31,1)),AY$3:AY$22),"")</f>
        <v/>
      </c>
      <c r="AZ91" t="str">
        <f ca="1">IF(AND(((COLUMN()-10)&lt;=playercnt),((ROW()-41)&lt;=playercnt)),SUMPRODUCT(INDIRECT(ADDRESS(3,ROW()-31,1)):INDIRECT(ADDRESS(22,ROW()-31,1)),AZ$3:AZ$22),"")</f>
        <v/>
      </c>
      <c r="BA91" t="str">
        <f ca="1">IF(AND(((COLUMN()-10)&lt;=playercnt),((ROW()-41)&lt;=playercnt)),SUMPRODUCT(INDIRECT(ADDRESS(3,ROW()-31,1)):INDIRECT(ADDRESS(22,ROW()-31,1)),BA$3:BA$22),"")</f>
        <v/>
      </c>
      <c r="BB91" t="str">
        <f ca="1">IF(AND(((COLUMN()-10)&lt;=playercnt),((ROW()-41)&lt;=playercnt)),SUMPRODUCT(INDIRECT(ADDRESS(3,ROW()-31,1)):INDIRECT(ADDRESS(22,ROW()-31,1)),BB$3:BB$22),"")</f>
        <v/>
      </c>
      <c r="BC91" t="str">
        <f ca="1">IF(AND(((COLUMN()-10)&lt;=playercnt),((ROW()-41)&lt;=playercnt)),SUMPRODUCT(INDIRECT(ADDRESS(3,ROW()-31,1)):INDIRECT(ADDRESS(22,ROW()-31,1)),BC$3:BC$22),"")</f>
        <v/>
      </c>
      <c r="BD91" t="str">
        <f ca="1">IF(AND(((COLUMN()-10)&lt;=playercnt),((ROW()-41)&lt;=playercnt)),SUMPRODUCT(INDIRECT(ADDRESS(3,ROW()-31,1)):INDIRECT(ADDRESS(22,ROW()-31,1)),BD$3:BD$22),"")</f>
        <v/>
      </c>
      <c r="BE91" t="str">
        <f ca="1">IF(AND(((COLUMN()-10)&lt;=playercnt),((ROW()-41)&lt;=playercnt)),SUMPRODUCT(INDIRECT(ADDRESS(3,ROW()-31,1)):INDIRECT(ADDRESS(22,ROW()-31,1)),BE$3:BE$22),"")</f>
        <v/>
      </c>
      <c r="BF91" t="str">
        <f ca="1">IF(AND(((COLUMN()-10)&lt;=playercnt),((ROW()-41)&lt;=playercnt)),SUMPRODUCT(INDIRECT(ADDRESS(3,ROW()-31,1)):INDIRECT(ADDRESS(22,ROW()-31,1)),BF$3:BF$22),"")</f>
        <v/>
      </c>
      <c r="BG91" t="str">
        <f ca="1">IF(AND(((COLUMN()-10)&lt;=playercnt),((ROW()-41)&lt;=playercnt)),SUMPRODUCT(INDIRECT(ADDRESS(3,ROW()-31,1)):INDIRECT(ADDRESS(22,ROW()-31,1)),BG$3:BG$22),"")</f>
        <v/>
      </c>
      <c r="BH91" t="str">
        <f ca="1">IF(AND(((COLUMN()-10)&lt;=playercnt),((ROW()-41)&lt;=playercnt)),SUMPRODUCT(INDIRECT(ADDRESS(3,ROW()-31,1)):INDIRECT(ADDRESS(22,ROW()-31,1)),BH$3:BH$22),"")</f>
        <v/>
      </c>
      <c r="BI91" t="str">
        <f ca="1">IF(AND(((COLUMN()-10)&lt;=playercnt),((ROW()-41)&lt;=playercnt)),SUMPRODUCT(INDIRECT(ADDRESS(3,ROW()-31,1)):INDIRECT(ADDRESS(22,ROW()-31,1)),BI$3:BI$22),"")</f>
        <v/>
      </c>
      <c r="BJ91" t="str">
        <f ca="1">IF(AND(((COLUMN()-10)&lt;=playercnt),((ROW()-41)&lt;=playercnt)),SUMPRODUCT(INDIRECT(ADDRESS(3,ROW()-31,1)):INDIRECT(ADDRESS(22,ROW()-31,1)),BJ$3:BJ$22),"")</f>
        <v/>
      </c>
      <c r="BK91" t="str">
        <f ca="1">IF(AND(((COLUMN()-10)&lt;=playercnt),((ROW()-41)&lt;=playercnt)),SUMPRODUCT(INDIRECT(ADDRESS(3,ROW()-31,1)):INDIRECT(ADDRESS(22,ROW()-31,1)),BK$3:BK$22),"")</f>
        <v/>
      </c>
      <c r="BL91" t="str">
        <f ca="1">IF(AND(((COLUMN()-10)&lt;=playercnt),((ROW()-41)&lt;=playercnt)),SUMPRODUCT(INDIRECT(ADDRESS(3,ROW()-31,1)):INDIRECT(ADDRESS(22,ROW()-31,1)),BL$3:BL$22),"")</f>
        <v/>
      </c>
      <c r="BM91" t="str">
        <f ca="1">IF(AND(((COLUMN()-10)&lt;=playercnt),((ROW()-41)&lt;=playercnt)),SUMPRODUCT(INDIRECT(ADDRESS(3,ROW()-31,1)):INDIRECT(ADDRESS(22,ROW()-31,1)),BM$3:BM$22),"")</f>
        <v/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>
      <c r="B92" s="27" t="str">
        <f t="shared" ca="1" si="29"/>
        <v/>
      </c>
      <c r="C92" t="str">
        <f t="shared" ca="1" si="30"/>
        <v/>
      </c>
      <c r="G92" t="str">
        <f ca="1">IF(AND(((COLUMN()-10)&lt;=playercnt),((ROW()-41)&lt;=playercnt)),SUMPRODUCT(INDIRECT(ADDRESS(3,ROW()-31,1)):INDIRECT(ADDRESS(22,ROW()-31,1)),G$3:G$22),"")</f>
        <v/>
      </c>
      <c r="H92" t="str">
        <f ca="1">IF(AND(((COLUMN()-10)&lt;=playercnt),((ROW()-41)&lt;=playercnt)),SUMPRODUCT(INDIRECT(ADDRESS(3,ROW()-31,1)):INDIRECT(ADDRESS(22,ROW()-31,1)),H$3:H$22),"")</f>
        <v/>
      </c>
      <c r="I92" t="str">
        <f ca="1">IF(AND(((COLUMN()-10)&lt;=playercnt),((ROW()-41)&lt;=playercnt)),SUMPRODUCT(INDIRECT(ADDRESS(3,ROW()-31,1)):INDIRECT(ADDRESS(22,ROW()-31,1)),I$3:I$22),"")</f>
        <v/>
      </c>
      <c r="J92" t="str">
        <f ca="1">IF(AND(((COLUMN()-10)&lt;=playercnt),((ROW()-41)&lt;=playercnt)),SUMPRODUCT(INDIRECT(ADDRESS(3,ROW()-31,1)):INDIRECT(ADDRESS(22,ROW()-31,1)),J$3:J$22),"")</f>
        <v/>
      </c>
      <c r="K92" t="str">
        <f ca="1">IF(AND(((COLUMN()-10)&lt;=playercnt),((ROW()-41)&lt;=playercnt)),SUMPRODUCT(INDIRECT(ADDRESS(3,ROW()-31,1)):INDIRECT(ADDRESS(22,ROW()-31,1)),K$3:K$22),"")</f>
        <v/>
      </c>
      <c r="L92" t="str">
        <f ca="1">IF(AND(((COLUMN()-10)&lt;=playercnt),((ROW()-41)&lt;=playercnt)),SUMPRODUCT(INDIRECT(ADDRESS(3,ROW()-31,1)):INDIRECT(ADDRESS(22,ROW()-31,1)),L$3:L$22),"")</f>
        <v/>
      </c>
      <c r="M92" t="str">
        <f ca="1">IF(AND(((COLUMN()-10)&lt;=playercnt),((ROW()-41)&lt;=playercnt)),SUMPRODUCT(INDIRECT(ADDRESS(3,ROW()-31,1)):INDIRECT(ADDRESS(22,ROW()-31,1)),M$3:M$22),"")</f>
        <v/>
      </c>
      <c r="N92" t="str">
        <f ca="1">IF(AND(((COLUMN()-10)&lt;=playercnt),((ROW()-41)&lt;=playercnt)),SUMPRODUCT(INDIRECT(ADDRESS(3,ROW()-31,1)):INDIRECT(ADDRESS(22,ROW()-31,1)),N$3:N$22),"")</f>
        <v/>
      </c>
      <c r="O92" t="str">
        <f ca="1">IF(AND(((COLUMN()-10)&lt;=playercnt),((ROW()-41)&lt;=playercnt)),SUMPRODUCT(INDIRECT(ADDRESS(3,ROW()-31,1)):INDIRECT(ADDRESS(22,ROW()-31,1)),O$3:O$22),"")</f>
        <v/>
      </c>
      <c r="P92" t="str">
        <f ca="1">IF(AND(((COLUMN()-10)&lt;=playercnt),((ROW()-41)&lt;=playercnt)),SUMPRODUCT(INDIRECT(ADDRESS(3,ROW()-31,1)):INDIRECT(ADDRESS(22,ROW()-31,1)),P$3:P$22),"")</f>
        <v/>
      </c>
      <c r="Q92" t="str">
        <f ca="1">IF(AND(((COLUMN()-10)&lt;=playercnt),((ROW()-41)&lt;=playercnt)),SUMPRODUCT(INDIRECT(ADDRESS(3,ROW()-31,1)):INDIRECT(ADDRESS(22,ROW()-31,1)),Q$3:Q$22),"")</f>
        <v/>
      </c>
      <c r="R92" t="str">
        <f ca="1">IF(AND(((COLUMN()-10)&lt;=playercnt),((ROW()-41)&lt;=playercnt)),SUMPRODUCT(INDIRECT(ADDRESS(3,ROW()-31,1)):INDIRECT(ADDRESS(22,ROW()-31,1)),R$3:R$22),"")</f>
        <v/>
      </c>
      <c r="S92" t="str">
        <f ca="1">IF(AND(((COLUMN()-10)&lt;=playercnt),((ROW()-41)&lt;=playercnt)),SUMPRODUCT(INDIRECT(ADDRESS(3,ROW()-31,1)):INDIRECT(ADDRESS(22,ROW()-31,1)),S$3:S$22),"")</f>
        <v/>
      </c>
      <c r="T92" t="str">
        <f ca="1">IF(AND(((COLUMN()-10)&lt;=playercnt),((ROW()-41)&lt;=playercnt)),SUMPRODUCT(INDIRECT(ADDRESS(3,ROW()-31,1)):INDIRECT(ADDRESS(22,ROW()-31,1)),T$3:T$22),"")</f>
        <v/>
      </c>
      <c r="U92" t="str">
        <f ca="1">IF(AND(((COLUMN()-10)&lt;=playercnt),((ROW()-41)&lt;=playercnt)),SUMPRODUCT(INDIRECT(ADDRESS(3,ROW()-31,1)):INDIRECT(ADDRESS(22,ROW()-31,1)),U$3:U$22),"")</f>
        <v/>
      </c>
      <c r="V92" t="str">
        <f ca="1">IF(AND(((COLUMN()-10)&lt;=playercnt),((ROW()-41)&lt;=playercnt)),SUMPRODUCT(INDIRECT(ADDRESS(3,ROW()-31,1)):INDIRECT(ADDRESS(22,ROW()-31,1)),V$3:V$22),"")</f>
        <v/>
      </c>
      <c r="W92" t="str">
        <f ca="1">IF(AND(((COLUMN()-10)&lt;=playercnt),((ROW()-41)&lt;=playercnt)),SUMPRODUCT(INDIRECT(ADDRESS(3,ROW()-31,1)):INDIRECT(ADDRESS(22,ROW()-31,1)),W$3:W$22),"")</f>
        <v/>
      </c>
      <c r="X92" t="str">
        <f ca="1">IF(AND(((COLUMN()-10)&lt;=playercnt),((ROW()-41)&lt;=playercnt)),SUMPRODUCT(INDIRECT(ADDRESS(3,ROW()-31,1)):INDIRECT(ADDRESS(22,ROW()-31,1)),X$3:X$22),"")</f>
        <v/>
      </c>
      <c r="Y92" t="str">
        <f ca="1">IF(AND(((COLUMN()-10)&lt;=playercnt),((ROW()-41)&lt;=playercnt)),SUMPRODUCT(INDIRECT(ADDRESS(3,ROW()-31,1)):INDIRECT(ADDRESS(22,ROW()-31,1)),Y$3:Y$22),"")</f>
        <v/>
      </c>
      <c r="Z92" t="str">
        <f ca="1">IF(AND(((COLUMN()-10)&lt;=playercnt),((ROW()-41)&lt;=playercnt)),SUMPRODUCT(INDIRECT(ADDRESS(3,ROW()-31,1)):INDIRECT(ADDRESS(22,ROW()-31,1)),Z$3:Z$22),"")</f>
        <v/>
      </c>
      <c r="AA92" t="str">
        <f ca="1">IF(AND(((COLUMN()-10)&lt;=playercnt),((ROW()-41)&lt;=playercnt)),SUMPRODUCT(INDIRECT(ADDRESS(3,ROW()-31,1)):INDIRECT(ADDRESS(22,ROW()-31,1)),AA$3:AA$22),"")</f>
        <v/>
      </c>
      <c r="AB92" t="str">
        <f ca="1">IF(AND(((COLUMN()-10)&lt;=playercnt),((ROW()-41)&lt;=playercnt)),SUMPRODUCT(INDIRECT(ADDRESS(3,ROW()-31,1)):INDIRECT(ADDRESS(22,ROW()-31,1)),AB$3:AB$22),"")</f>
        <v/>
      </c>
      <c r="AC92" t="str">
        <f ca="1">IF(AND(((COLUMN()-10)&lt;=playercnt),((ROW()-41)&lt;=playercnt)),SUMPRODUCT(INDIRECT(ADDRESS(3,ROW()-31,1)):INDIRECT(ADDRESS(22,ROW()-31,1)),AC$3:AC$22),"")</f>
        <v/>
      </c>
      <c r="AD92" t="str">
        <f ca="1">IF(AND(((COLUMN()-10)&lt;=playercnt),((ROW()-41)&lt;=playercnt)),SUMPRODUCT(INDIRECT(ADDRESS(3,ROW()-31,1)):INDIRECT(ADDRESS(22,ROW()-31,1)),AD$3:AD$22),"")</f>
        <v/>
      </c>
      <c r="AE92" t="str">
        <f ca="1">IF(AND(((COLUMN()-10)&lt;=playercnt),((ROW()-41)&lt;=playercnt)),SUMPRODUCT(INDIRECT(ADDRESS(3,ROW()-31,1)):INDIRECT(ADDRESS(22,ROW()-31,1)),AE$3:AE$22),"")</f>
        <v/>
      </c>
      <c r="AF92" t="str">
        <f ca="1">IF(AND(((COLUMN()-10)&lt;=playercnt),((ROW()-41)&lt;=playercnt)),SUMPRODUCT(INDIRECT(ADDRESS(3,ROW()-31,1)):INDIRECT(ADDRESS(22,ROW()-31,1)),AF$3:AF$22),"")</f>
        <v/>
      </c>
      <c r="AG92" t="str">
        <f ca="1">IF(AND(((COLUMN()-10)&lt;=playercnt),((ROW()-41)&lt;=playercnt)),SUMPRODUCT(INDIRECT(ADDRESS(3,ROW()-31,1)):INDIRECT(ADDRESS(22,ROW()-31,1)),AG$3:AG$22),"")</f>
        <v/>
      </c>
      <c r="AH92" t="str">
        <f ca="1">IF(AND(((COLUMN()-10)&lt;=playercnt),((ROW()-41)&lt;=playercnt)),SUMPRODUCT(INDIRECT(ADDRESS(3,ROW()-31,1)):INDIRECT(ADDRESS(22,ROW()-31,1)),AH$3:AH$22),"")</f>
        <v/>
      </c>
      <c r="AI92" t="str">
        <f ca="1">IF(AND(((COLUMN()-10)&lt;=playercnt),((ROW()-41)&lt;=playercnt)),SUMPRODUCT(INDIRECT(ADDRESS(3,ROW()-31,1)):INDIRECT(ADDRESS(22,ROW()-31,1)),AI$3:AI$22),"")</f>
        <v/>
      </c>
      <c r="AJ92" t="str">
        <f ca="1">IF(AND(((COLUMN()-10)&lt;=playercnt),((ROW()-41)&lt;=playercnt)),SUMPRODUCT(INDIRECT(ADDRESS(3,ROW()-31,1)):INDIRECT(ADDRESS(22,ROW()-31,1)),AJ$3:AJ$22),"")</f>
        <v/>
      </c>
      <c r="AK92" t="str">
        <f ca="1">IF(AND(((COLUMN()-10)&lt;=playercnt),((ROW()-41)&lt;=playercnt)),SUMPRODUCT(INDIRECT(ADDRESS(3,ROW()-31,1)):INDIRECT(ADDRESS(22,ROW()-31,1)),AK$3:AK$22),"")</f>
        <v/>
      </c>
      <c r="AL92" t="str">
        <f ca="1">IF(AND(((COLUMN()-10)&lt;=playercnt),((ROW()-41)&lt;=playercnt)),SUMPRODUCT(INDIRECT(ADDRESS(3,ROW()-31,1)):INDIRECT(ADDRESS(22,ROW()-31,1)),AL$3:AL$22),"")</f>
        <v/>
      </c>
      <c r="AM92" t="str">
        <f ca="1">IF(AND(((COLUMN()-10)&lt;=playercnt),((ROW()-41)&lt;=playercnt)),SUMPRODUCT(INDIRECT(ADDRESS(3,ROW()-31,1)):INDIRECT(ADDRESS(22,ROW()-31,1)),AM$3:AM$22),"")</f>
        <v/>
      </c>
      <c r="AN92" t="str">
        <f ca="1">IF(AND(((COLUMN()-10)&lt;=playercnt),((ROW()-41)&lt;=playercnt)),SUMPRODUCT(INDIRECT(ADDRESS(3,ROW()-31,1)):INDIRECT(ADDRESS(22,ROW()-31,1)),AN$3:AN$22),"")</f>
        <v/>
      </c>
      <c r="AO92" t="str">
        <f ca="1">IF(AND(((COLUMN()-10)&lt;=playercnt),((ROW()-41)&lt;=playercnt)),SUMPRODUCT(INDIRECT(ADDRESS(3,ROW()-31,1)):INDIRECT(ADDRESS(22,ROW()-31,1)),AO$3:AO$22),"")</f>
        <v/>
      </c>
      <c r="AP92" t="str">
        <f ca="1">IF(AND(((COLUMN()-10)&lt;=playercnt),((ROW()-41)&lt;=playercnt)),SUMPRODUCT(INDIRECT(ADDRESS(3,ROW()-31,1)):INDIRECT(ADDRESS(22,ROW()-31,1)),AP$3:AP$22),"")</f>
        <v/>
      </c>
      <c r="AQ92" t="str">
        <f ca="1">IF(AND(((COLUMN()-10)&lt;=playercnt),((ROW()-41)&lt;=playercnt)),SUMPRODUCT(INDIRECT(ADDRESS(3,ROW()-31,1)):INDIRECT(ADDRESS(22,ROW()-31,1)),AQ$3:AQ$22),"")</f>
        <v/>
      </c>
      <c r="AR92" t="str">
        <f ca="1">IF(AND(((COLUMN()-10)&lt;=playercnt),((ROW()-41)&lt;=playercnt)),SUMPRODUCT(INDIRECT(ADDRESS(3,ROW()-31,1)):INDIRECT(ADDRESS(22,ROW()-31,1)),AR$3:AR$22),"")</f>
        <v/>
      </c>
      <c r="AS92" t="str">
        <f ca="1">IF(AND(((COLUMN()-10)&lt;=playercnt),((ROW()-41)&lt;=playercnt)),SUMPRODUCT(INDIRECT(ADDRESS(3,ROW()-31,1)):INDIRECT(ADDRESS(22,ROW()-31,1)),AS$3:AS$22),"")</f>
        <v/>
      </c>
      <c r="AT92" t="str">
        <f ca="1">IF(AND(((COLUMN()-10)&lt;=playercnt),((ROW()-41)&lt;=playercnt)),SUMPRODUCT(INDIRECT(ADDRESS(3,ROW()-31,1)):INDIRECT(ADDRESS(22,ROW()-31,1)),AT$3:AT$22),"")</f>
        <v/>
      </c>
      <c r="AU92" t="str">
        <f ca="1">IF(AND(((COLUMN()-10)&lt;=playercnt),((ROW()-41)&lt;=playercnt)),SUMPRODUCT(INDIRECT(ADDRESS(3,ROW()-31,1)):INDIRECT(ADDRESS(22,ROW()-31,1)),AU$3:AU$22),"")</f>
        <v/>
      </c>
      <c r="AV92" t="str">
        <f ca="1">IF(AND(((COLUMN()-10)&lt;=playercnt),((ROW()-41)&lt;=playercnt)),SUMPRODUCT(INDIRECT(ADDRESS(3,ROW()-31,1)):INDIRECT(ADDRESS(22,ROW()-31,1)),AV$3:AV$22),"")</f>
        <v/>
      </c>
      <c r="AW92" t="str">
        <f ca="1">IF(AND(((COLUMN()-10)&lt;=playercnt),((ROW()-41)&lt;=playercnt)),SUMPRODUCT(INDIRECT(ADDRESS(3,ROW()-31,1)):INDIRECT(ADDRESS(22,ROW()-31,1)),AW$3:AW$22),"")</f>
        <v/>
      </c>
      <c r="AX92" t="str">
        <f ca="1">IF(AND(((COLUMN()-10)&lt;=playercnt),((ROW()-41)&lt;=playercnt)),SUMPRODUCT(INDIRECT(ADDRESS(3,ROW()-31,1)):INDIRECT(ADDRESS(22,ROW()-31,1)),AX$3:AX$22),"")</f>
        <v/>
      </c>
      <c r="AY92" t="str">
        <f ca="1">IF(AND(((COLUMN()-10)&lt;=playercnt),((ROW()-41)&lt;=playercnt)),SUMPRODUCT(INDIRECT(ADDRESS(3,ROW()-31,1)):INDIRECT(ADDRESS(22,ROW()-31,1)),AY$3:AY$22),"")</f>
        <v/>
      </c>
      <c r="AZ92" t="str">
        <f ca="1">IF(AND(((COLUMN()-10)&lt;=playercnt),((ROW()-41)&lt;=playercnt)),SUMPRODUCT(INDIRECT(ADDRESS(3,ROW()-31,1)):INDIRECT(ADDRESS(22,ROW()-31,1)),AZ$3:AZ$22),"")</f>
        <v/>
      </c>
      <c r="BA92" t="str">
        <f ca="1">IF(AND(((COLUMN()-10)&lt;=playercnt),((ROW()-41)&lt;=playercnt)),SUMPRODUCT(INDIRECT(ADDRESS(3,ROW()-31,1)):INDIRECT(ADDRESS(22,ROW()-31,1)),BA$3:BA$22),"")</f>
        <v/>
      </c>
      <c r="BB92" t="str">
        <f ca="1">IF(AND(((COLUMN()-10)&lt;=playercnt),((ROW()-41)&lt;=playercnt)),SUMPRODUCT(INDIRECT(ADDRESS(3,ROW()-31,1)):INDIRECT(ADDRESS(22,ROW()-31,1)),BB$3:BB$22),"")</f>
        <v/>
      </c>
      <c r="BC92" t="str">
        <f ca="1">IF(AND(((COLUMN()-10)&lt;=playercnt),((ROW()-41)&lt;=playercnt)),SUMPRODUCT(INDIRECT(ADDRESS(3,ROW()-31,1)):INDIRECT(ADDRESS(22,ROW()-31,1)),BC$3:BC$22),"")</f>
        <v/>
      </c>
      <c r="BD92" t="str">
        <f ca="1">IF(AND(((COLUMN()-10)&lt;=playercnt),((ROW()-41)&lt;=playercnt)),SUMPRODUCT(INDIRECT(ADDRESS(3,ROW()-31,1)):INDIRECT(ADDRESS(22,ROW()-31,1)),BD$3:BD$22),"")</f>
        <v/>
      </c>
      <c r="BE92" t="str">
        <f ca="1">IF(AND(((COLUMN()-10)&lt;=playercnt),((ROW()-41)&lt;=playercnt)),SUMPRODUCT(INDIRECT(ADDRESS(3,ROW()-31,1)):INDIRECT(ADDRESS(22,ROW()-31,1)),BE$3:BE$22),"")</f>
        <v/>
      </c>
      <c r="BF92" t="str">
        <f ca="1">IF(AND(((COLUMN()-10)&lt;=playercnt),((ROW()-41)&lt;=playercnt)),SUMPRODUCT(INDIRECT(ADDRESS(3,ROW()-31,1)):INDIRECT(ADDRESS(22,ROW()-31,1)),BF$3:BF$22),"")</f>
        <v/>
      </c>
      <c r="BG92" t="str">
        <f ca="1">IF(AND(((COLUMN()-10)&lt;=playercnt),((ROW()-41)&lt;=playercnt)),SUMPRODUCT(INDIRECT(ADDRESS(3,ROW()-31,1)):INDIRECT(ADDRESS(22,ROW()-31,1)),BG$3:BG$22),"")</f>
        <v/>
      </c>
      <c r="BH92" t="str">
        <f ca="1">IF(AND(((COLUMN()-10)&lt;=playercnt),((ROW()-41)&lt;=playercnt)),SUMPRODUCT(INDIRECT(ADDRESS(3,ROW()-31,1)):INDIRECT(ADDRESS(22,ROW()-31,1)),BH$3:BH$22),"")</f>
        <v/>
      </c>
      <c r="BI92" t="str">
        <f ca="1">IF(AND(((COLUMN()-10)&lt;=playercnt),((ROW()-41)&lt;=playercnt)),SUMPRODUCT(INDIRECT(ADDRESS(3,ROW()-31,1)):INDIRECT(ADDRESS(22,ROW()-31,1)),BI$3:BI$22),"")</f>
        <v/>
      </c>
      <c r="BJ92" t="str">
        <f ca="1">IF(AND(((COLUMN()-10)&lt;=playercnt),((ROW()-41)&lt;=playercnt)),SUMPRODUCT(INDIRECT(ADDRESS(3,ROW()-31,1)):INDIRECT(ADDRESS(22,ROW()-31,1)),BJ$3:BJ$22),"")</f>
        <v/>
      </c>
      <c r="BK92" t="str">
        <f ca="1">IF(AND(((COLUMN()-10)&lt;=playercnt),((ROW()-41)&lt;=playercnt)),SUMPRODUCT(INDIRECT(ADDRESS(3,ROW()-31,1)):INDIRECT(ADDRESS(22,ROW()-31,1)),BK$3:BK$22),"")</f>
        <v/>
      </c>
      <c r="BL92" t="str">
        <f ca="1">IF(AND(((COLUMN()-10)&lt;=playercnt),((ROW()-41)&lt;=playercnt)),SUMPRODUCT(INDIRECT(ADDRESS(3,ROW()-31,1)):INDIRECT(ADDRESS(22,ROW()-31,1)),BL$3:BL$22),"")</f>
        <v/>
      </c>
      <c r="BM92" t="str">
        <f ca="1">IF(AND(((COLUMN()-10)&lt;=playercnt),((ROW()-41)&lt;=playercnt)),SUMPRODUCT(INDIRECT(ADDRESS(3,ROW()-31,1)):INDIRECT(ADDRESS(22,ROW()-31,1)),BM$3:BM$22),"")</f>
        <v/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>
      <c r="B93" s="27" t="str">
        <f t="shared" ca="1" si="29"/>
        <v/>
      </c>
      <c r="C93" t="str">
        <f t="shared" ca="1" si="30"/>
        <v/>
      </c>
      <c r="G93" t="str">
        <f ca="1">IF(AND(((COLUMN()-10)&lt;=playercnt),((ROW()-41)&lt;=playercnt)),SUMPRODUCT(INDIRECT(ADDRESS(3,ROW()-31,1)):INDIRECT(ADDRESS(22,ROW()-31,1)),G$3:G$22),"")</f>
        <v/>
      </c>
      <c r="H93" t="str">
        <f ca="1">IF(AND(((COLUMN()-10)&lt;=playercnt),((ROW()-41)&lt;=playercnt)),SUMPRODUCT(INDIRECT(ADDRESS(3,ROW()-31,1)):INDIRECT(ADDRESS(22,ROW()-31,1)),H$3:H$22),"")</f>
        <v/>
      </c>
      <c r="I93" t="str">
        <f ca="1">IF(AND(((COLUMN()-10)&lt;=playercnt),((ROW()-41)&lt;=playercnt)),SUMPRODUCT(INDIRECT(ADDRESS(3,ROW()-31,1)):INDIRECT(ADDRESS(22,ROW()-31,1)),I$3:I$22),"")</f>
        <v/>
      </c>
      <c r="J93" t="str">
        <f ca="1">IF(AND(((COLUMN()-10)&lt;=playercnt),((ROW()-41)&lt;=playercnt)),SUMPRODUCT(INDIRECT(ADDRESS(3,ROW()-31,1)):INDIRECT(ADDRESS(22,ROW()-31,1)),J$3:J$22),"")</f>
        <v/>
      </c>
      <c r="K93" t="str">
        <f ca="1">IF(AND(((COLUMN()-10)&lt;=playercnt),((ROW()-41)&lt;=playercnt)),SUMPRODUCT(INDIRECT(ADDRESS(3,ROW()-31,1)):INDIRECT(ADDRESS(22,ROW()-31,1)),K$3:K$22),"")</f>
        <v/>
      </c>
      <c r="L93" t="str">
        <f ca="1">IF(AND(((COLUMN()-10)&lt;=playercnt),((ROW()-41)&lt;=playercnt)),SUMPRODUCT(INDIRECT(ADDRESS(3,ROW()-31,1)):INDIRECT(ADDRESS(22,ROW()-31,1)),L$3:L$22),"")</f>
        <v/>
      </c>
      <c r="M93" t="str">
        <f ca="1">IF(AND(((COLUMN()-10)&lt;=playercnt),((ROW()-41)&lt;=playercnt)),SUMPRODUCT(INDIRECT(ADDRESS(3,ROW()-31,1)):INDIRECT(ADDRESS(22,ROW()-31,1)),M$3:M$22),"")</f>
        <v/>
      </c>
      <c r="N93" t="str">
        <f ca="1">IF(AND(((COLUMN()-10)&lt;=playercnt),((ROW()-41)&lt;=playercnt)),SUMPRODUCT(INDIRECT(ADDRESS(3,ROW()-31,1)):INDIRECT(ADDRESS(22,ROW()-31,1)),N$3:N$22),"")</f>
        <v/>
      </c>
      <c r="O93" t="str">
        <f ca="1">IF(AND(((COLUMN()-10)&lt;=playercnt),((ROW()-41)&lt;=playercnt)),SUMPRODUCT(INDIRECT(ADDRESS(3,ROW()-31,1)):INDIRECT(ADDRESS(22,ROW()-31,1)),O$3:O$22),"")</f>
        <v/>
      </c>
      <c r="P93" t="str">
        <f ca="1">IF(AND(((COLUMN()-10)&lt;=playercnt),((ROW()-41)&lt;=playercnt)),SUMPRODUCT(INDIRECT(ADDRESS(3,ROW()-31,1)):INDIRECT(ADDRESS(22,ROW()-31,1)),P$3:P$22),"")</f>
        <v/>
      </c>
      <c r="Q93" t="str">
        <f ca="1">IF(AND(((COLUMN()-10)&lt;=playercnt),((ROW()-41)&lt;=playercnt)),SUMPRODUCT(INDIRECT(ADDRESS(3,ROW()-31,1)):INDIRECT(ADDRESS(22,ROW()-31,1)),Q$3:Q$22),"")</f>
        <v/>
      </c>
      <c r="R93" t="str">
        <f ca="1">IF(AND(((COLUMN()-10)&lt;=playercnt),((ROW()-41)&lt;=playercnt)),SUMPRODUCT(INDIRECT(ADDRESS(3,ROW()-31,1)):INDIRECT(ADDRESS(22,ROW()-31,1)),R$3:R$22),"")</f>
        <v/>
      </c>
      <c r="S93" t="str">
        <f ca="1">IF(AND(((COLUMN()-10)&lt;=playercnt),((ROW()-41)&lt;=playercnt)),SUMPRODUCT(INDIRECT(ADDRESS(3,ROW()-31,1)):INDIRECT(ADDRESS(22,ROW()-31,1)),S$3:S$22),"")</f>
        <v/>
      </c>
      <c r="T93" t="str">
        <f ca="1">IF(AND(((COLUMN()-10)&lt;=playercnt),((ROW()-41)&lt;=playercnt)),SUMPRODUCT(INDIRECT(ADDRESS(3,ROW()-31,1)):INDIRECT(ADDRESS(22,ROW()-31,1)),T$3:T$22),"")</f>
        <v/>
      </c>
      <c r="U93" t="str">
        <f ca="1">IF(AND(((COLUMN()-10)&lt;=playercnt),((ROW()-41)&lt;=playercnt)),SUMPRODUCT(INDIRECT(ADDRESS(3,ROW()-31,1)):INDIRECT(ADDRESS(22,ROW()-31,1)),U$3:U$22),"")</f>
        <v/>
      </c>
      <c r="V93" t="str">
        <f ca="1">IF(AND(((COLUMN()-10)&lt;=playercnt),((ROW()-41)&lt;=playercnt)),SUMPRODUCT(INDIRECT(ADDRESS(3,ROW()-31,1)):INDIRECT(ADDRESS(22,ROW()-31,1)),V$3:V$22),"")</f>
        <v/>
      </c>
      <c r="W93" t="str">
        <f ca="1">IF(AND(((COLUMN()-10)&lt;=playercnt),((ROW()-41)&lt;=playercnt)),SUMPRODUCT(INDIRECT(ADDRESS(3,ROW()-31,1)):INDIRECT(ADDRESS(22,ROW()-31,1)),W$3:W$22),"")</f>
        <v/>
      </c>
      <c r="X93" t="str">
        <f ca="1">IF(AND(((COLUMN()-10)&lt;=playercnt),((ROW()-41)&lt;=playercnt)),SUMPRODUCT(INDIRECT(ADDRESS(3,ROW()-31,1)):INDIRECT(ADDRESS(22,ROW()-31,1)),X$3:X$22),"")</f>
        <v/>
      </c>
      <c r="Y93" t="str">
        <f ca="1">IF(AND(((COLUMN()-10)&lt;=playercnt),((ROW()-41)&lt;=playercnt)),SUMPRODUCT(INDIRECT(ADDRESS(3,ROW()-31,1)):INDIRECT(ADDRESS(22,ROW()-31,1)),Y$3:Y$22),"")</f>
        <v/>
      </c>
      <c r="Z93" t="str">
        <f ca="1">IF(AND(((COLUMN()-10)&lt;=playercnt),((ROW()-41)&lt;=playercnt)),SUMPRODUCT(INDIRECT(ADDRESS(3,ROW()-31,1)):INDIRECT(ADDRESS(22,ROW()-31,1)),Z$3:Z$22),"")</f>
        <v/>
      </c>
      <c r="AA93" t="str">
        <f ca="1">IF(AND(((COLUMN()-10)&lt;=playercnt),((ROW()-41)&lt;=playercnt)),SUMPRODUCT(INDIRECT(ADDRESS(3,ROW()-31,1)):INDIRECT(ADDRESS(22,ROW()-31,1)),AA$3:AA$22),"")</f>
        <v/>
      </c>
      <c r="AB93" t="str">
        <f ca="1">IF(AND(((COLUMN()-10)&lt;=playercnt),((ROW()-41)&lt;=playercnt)),SUMPRODUCT(INDIRECT(ADDRESS(3,ROW()-31,1)):INDIRECT(ADDRESS(22,ROW()-31,1)),AB$3:AB$22),"")</f>
        <v/>
      </c>
      <c r="AC93" t="str">
        <f ca="1">IF(AND(((COLUMN()-10)&lt;=playercnt),((ROW()-41)&lt;=playercnt)),SUMPRODUCT(INDIRECT(ADDRESS(3,ROW()-31,1)):INDIRECT(ADDRESS(22,ROW()-31,1)),AC$3:AC$22),"")</f>
        <v/>
      </c>
      <c r="AD93" t="str">
        <f ca="1">IF(AND(((COLUMN()-10)&lt;=playercnt),((ROW()-41)&lt;=playercnt)),SUMPRODUCT(INDIRECT(ADDRESS(3,ROW()-31,1)):INDIRECT(ADDRESS(22,ROW()-31,1)),AD$3:AD$22),"")</f>
        <v/>
      </c>
      <c r="AE93" t="str">
        <f ca="1">IF(AND(((COLUMN()-10)&lt;=playercnt),((ROW()-41)&lt;=playercnt)),SUMPRODUCT(INDIRECT(ADDRESS(3,ROW()-31,1)):INDIRECT(ADDRESS(22,ROW()-31,1)),AE$3:AE$22),"")</f>
        <v/>
      </c>
      <c r="AF93" t="str">
        <f ca="1">IF(AND(((COLUMN()-10)&lt;=playercnt),((ROW()-41)&lt;=playercnt)),SUMPRODUCT(INDIRECT(ADDRESS(3,ROW()-31,1)):INDIRECT(ADDRESS(22,ROW()-31,1)),AF$3:AF$22),"")</f>
        <v/>
      </c>
      <c r="AG93" t="str">
        <f ca="1">IF(AND(((COLUMN()-10)&lt;=playercnt),((ROW()-41)&lt;=playercnt)),SUMPRODUCT(INDIRECT(ADDRESS(3,ROW()-31,1)):INDIRECT(ADDRESS(22,ROW()-31,1)),AG$3:AG$22),"")</f>
        <v/>
      </c>
      <c r="AH93" t="str">
        <f ca="1">IF(AND(((COLUMN()-10)&lt;=playercnt),((ROW()-41)&lt;=playercnt)),SUMPRODUCT(INDIRECT(ADDRESS(3,ROW()-31,1)):INDIRECT(ADDRESS(22,ROW()-31,1)),AH$3:AH$22),"")</f>
        <v/>
      </c>
      <c r="AI93" t="str">
        <f ca="1">IF(AND(((COLUMN()-10)&lt;=playercnt),((ROW()-41)&lt;=playercnt)),SUMPRODUCT(INDIRECT(ADDRESS(3,ROW()-31,1)):INDIRECT(ADDRESS(22,ROW()-31,1)),AI$3:AI$22),"")</f>
        <v/>
      </c>
      <c r="AJ93" t="str">
        <f ca="1">IF(AND(((COLUMN()-10)&lt;=playercnt),((ROW()-41)&lt;=playercnt)),SUMPRODUCT(INDIRECT(ADDRESS(3,ROW()-31,1)):INDIRECT(ADDRESS(22,ROW()-31,1)),AJ$3:AJ$22),"")</f>
        <v/>
      </c>
      <c r="AK93" t="str">
        <f ca="1">IF(AND(((COLUMN()-10)&lt;=playercnt),((ROW()-41)&lt;=playercnt)),SUMPRODUCT(INDIRECT(ADDRESS(3,ROW()-31,1)):INDIRECT(ADDRESS(22,ROW()-31,1)),AK$3:AK$22),"")</f>
        <v/>
      </c>
      <c r="AL93" t="str">
        <f ca="1">IF(AND(((COLUMN()-10)&lt;=playercnt),((ROW()-41)&lt;=playercnt)),SUMPRODUCT(INDIRECT(ADDRESS(3,ROW()-31,1)):INDIRECT(ADDRESS(22,ROW()-31,1)),AL$3:AL$22),"")</f>
        <v/>
      </c>
      <c r="AM93" t="str">
        <f ca="1">IF(AND(((COLUMN()-10)&lt;=playercnt),((ROW()-41)&lt;=playercnt)),SUMPRODUCT(INDIRECT(ADDRESS(3,ROW()-31,1)):INDIRECT(ADDRESS(22,ROW()-31,1)),AM$3:AM$22),"")</f>
        <v/>
      </c>
      <c r="AN93" t="str">
        <f ca="1">IF(AND(((COLUMN()-10)&lt;=playercnt),((ROW()-41)&lt;=playercnt)),SUMPRODUCT(INDIRECT(ADDRESS(3,ROW()-31,1)):INDIRECT(ADDRESS(22,ROW()-31,1)),AN$3:AN$22),"")</f>
        <v/>
      </c>
      <c r="AO93" t="str">
        <f ca="1">IF(AND(((COLUMN()-10)&lt;=playercnt),((ROW()-41)&lt;=playercnt)),SUMPRODUCT(INDIRECT(ADDRESS(3,ROW()-31,1)):INDIRECT(ADDRESS(22,ROW()-31,1)),AO$3:AO$22),"")</f>
        <v/>
      </c>
      <c r="AP93" t="str">
        <f ca="1">IF(AND(((COLUMN()-10)&lt;=playercnt),((ROW()-41)&lt;=playercnt)),SUMPRODUCT(INDIRECT(ADDRESS(3,ROW()-31,1)):INDIRECT(ADDRESS(22,ROW()-31,1)),AP$3:AP$22),"")</f>
        <v/>
      </c>
      <c r="AQ93" t="str">
        <f ca="1">IF(AND(((COLUMN()-10)&lt;=playercnt),((ROW()-41)&lt;=playercnt)),SUMPRODUCT(INDIRECT(ADDRESS(3,ROW()-31,1)):INDIRECT(ADDRESS(22,ROW()-31,1)),AQ$3:AQ$22),"")</f>
        <v/>
      </c>
      <c r="AR93" t="str">
        <f ca="1">IF(AND(((COLUMN()-10)&lt;=playercnt),((ROW()-41)&lt;=playercnt)),SUMPRODUCT(INDIRECT(ADDRESS(3,ROW()-31,1)):INDIRECT(ADDRESS(22,ROW()-31,1)),AR$3:AR$22),"")</f>
        <v/>
      </c>
      <c r="AS93" t="str">
        <f ca="1">IF(AND(((COLUMN()-10)&lt;=playercnt),((ROW()-41)&lt;=playercnt)),SUMPRODUCT(INDIRECT(ADDRESS(3,ROW()-31,1)):INDIRECT(ADDRESS(22,ROW()-31,1)),AS$3:AS$22),"")</f>
        <v/>
      </c>
      <c r="AT93" t="str">
        <f ca="1">IF(AND(((COLUMN()-10)&lt;=playercnt),((ROW()-41)&lt;=playercnt)),SUMPRODUCT(INDIRECT(ADDRESS(3,ROW()-31,1)):INDIRECT(ADDRESS(22,ROW()-31,1)),AT$3:AT$22),"")</f>
        <v/>
      </c>
      <c r="AU93" t="str">
        <f ca="1">IF(AND(((COLUMN()-10)&lt;=playercnt),((ROW()-41)&lt;=playercnt)),SUMPRODUCT(INDIRECT(ADDRESS(3,ROW()-31,1)):INDIRECT(ADDRESS(22,ROW()-31,1)),AU$3:AU$22),"")</f>
        <v/>
      </c>
      <c r="AV93" t="str">
        <f ca="1">IF(AND(((COLUMN()-10)&lt;=playercnt),((ROW()-41)&lt;=playercnt)),SUMPRODUCT(INDIRECT(ADDRESS(3,ROW()-31,1)):INDIRECT(ADDRESS(22,ROW()-31,1)),AV$3:AV$22),"")</f>
        <v/>
      </c>
      <c r="AW93" t="str">
        <f ca="1">IF(AND(((COLUMN()-10)&lt;=playercnt),((ROW()-41)&lt;=playercnt)),SUMPRODUCT(INDIRECT(ADDRESS(3,ROW()-31,1)):INDIRECT(ADDRESS(22,ROW()-31,1)),AW$3:AW$22),"")</f>
        <v/>
      </c>
      <c r="AX93" t="str">
        <f ca="1">IF(AND(((COLUMN()-10)&lt;=playercnt),((ROW()-41)&lt;=playercnt)),SUMPRODUCT(INDIRECT(ADDRESS(3,ROW()-31,1)):INDIRECT(ADDRESS(22,ROW()-31,1)),AX$3:AX$22),"")</f>
        <v/>
      </c>
      <c r="AY93" t="str">
        <f ca="1">IF(AND(((COLUMN()-10)&lt;=playercnt),((ROW()-41)&lt;=playercnt)),SUMPRODUCT(INDIRECT(ADDRESS(3,ROW()-31,1)):INDIRECT(ADDRESS(22,ROW()-31,1)),AY$3:AY$22),"")</f>
        <v/>
      </c>
      <c r="AZ93" t="str">
        <f ca="1">IF(AND(((COLUMN()-10)&lt;=playercnt),((ROW()-41)&lt;=playercnt)),SUMPRODUCT(INDIRECT(ADDRESS(3,ROW()-31,1)):INDIRECT(ADDRESS(22,ROW()-31,1)),AZ$3:AZ$22),"")</f>
        <v/>
      </c>
      <c r="BA93" t="str">
        <f ca="1">IF(AND(((COLUMN()-10)&lt;=playercnt),((ROW()-41)&lt;=playercnt)),SUMPRODUCT(INDIRECT(ADDRESS(3,ROW()-31,1)):INDIRECT(ADDRESS(22,ROW()-31,1)),BA$3:BA$22),"")</f>
        <v/>
      </c>
      <c r="BB93" t="str">
        <f ca="1">IF(AND(((COLUMN()-10)&lt;=playercnt),((ROW()-41)&lt;=playercnt)),SUMPRODUCT(INDIRECT(ADDRESS(3,ROW()-31,1)):INDIRECT(ADDRESS(22,ROW()-31,1)),BB$3:BB$22),"")</f>
        <v/>
      </c>
      <c r="BC93" t="str">
        <f ca="1">IF(AND(((COLUMN()-10)&lt;=playercnt),((ROW()-41)&lt;=playercnt)),SUMPRODUCT(INDIRECT(ADDRESS(3,ROW()-31,1)):INDIRECT(ADDRESS(22,ROW()-31,1)),BC$3:BC$22),"")</f>
        <v/>
      </c>
      <c r="BD93" t="str">
        <f ca="1">IF(AND(((COLUMN()-10)&lt;=playercnt),((ROW()-41)&lt;=playercnt)),SUMPRODUCT(INDIRECT(ADDRESS(3,ROW()-31,1)):INDIRECT(ADDRESS(22,ROW()-31,1)),BD$3:BD$22),"")</f>
        <v/>
      </c>
      <c r="BE93" t="str">
        <f ca="1">IF(AND(((COLUMN()-10)&lt;=playercnt),((ROW()-41)&lt;=playercnt)),SUMPRODUCT(INDIRECT(ADDRESS(3,ROW()-31,1)):INDIRECT(ADDRESS(22,ROW()-31,1)),BE$3:BE$22),"")</f>
        <v/>
      </c>
      <c r="BF93" t="str">
        <f ca="1">IF(AND(((COLUMN()-10)&lt;=playercnt),((ROW()-41)&lt;=playercnt)),SUMPRODUCT(INDIRECT(ADDRESS(3,ROW()-31,1)):INDIRECT(ADDRESS(22,ROW()-31,1)),BF$3:BF$22),"")</f>
        <v/>
      </c>
      <c r="BG93" t="str">
        <f ca="1">IF(AND(((COLUMN()-10)&lt;=playercnt),((ROW()-41)&lt;=playercnt)),SUMPRODUCT(INDIRECT(ADDRESS(3,ROW()-31,1)):INDIRECT(ADDRESS(22,ROW()-31,1)),BG$3:BG$22),"")</f>
        <v/>
      </c>
      <c r="BH93" t="str">
        <f ca="1">IF(AND(((COLUMN()-10)&lt;=playercnt),((ROW()-41)&lt;=playercnt)),SUMPRODUCT(INDIRECT(ADDRESS(3,ROW()-31,1)):INDIRECT(ADDRESS(22,ROW()-31,1)),BH$3:BH$22),"")</f>
        <v/>
      </c>
      <c r="BI93" t="str">
        <f ca="1">IF(AND(((COLUMN()-10)&lt;=playercnt),((ROW()-41)&lt;=playercnt)),SUMPRODUCT(INDIRECT(ADDRESS(3,ROW()-31,1)):INDIRECT(ADDRESS(22,ROW()-31,1)),BI$3:BI$22),"")</f>
        <v/>
      </c>
      <c r="BJ93" t="str">
        <f ca="1">IF(AND(((COLUMN()-10)&lt;=playercnt),((ROW()-41)&lt;=playercnt)),SUMPRODUCT(INDIRECT(ADDRESS(3,ROW()-31,1)):INDIRECT(ADDRESS(22,ROW()-31,1)),BJ$3:BJ$22),"")</f>
        <v/>
      </c>
      <c r="BK93" t="str">
        <f ca="1">IF(AND(((COLUMN()-10)&lt;=playercnt),((ROW()-41)&lt;=playercnt)),SUMPRODUCT(INDIRECT(ADDRESS(3,ROW()-31,1)):INDIRECT(ADDRESS(22,ROW()-31,1)),BK$3:BK$22),"")</f>
        <v/>
      </c>
      <c r="BL93" t="str">
        <f ca="1">IF(AND(((COLUMN()-10)&lt;=playercnt),((ROW()-41)&lt;=playercnt)),SUMPRODUCT(INDIRECT(ADDRESS(3,ROW()-31,1)):INDIRECT(ADDRESS(22,ROW()-31,1)),BL$3:BL$22),"")</f>
        <v/>
      </c>
      <c r="BM93" t="str">
        <f ca="1">IF(AND(((COLUMN()-10)&lt;=playercnt),((ROW()-41)&lt;=playercnt)),SUMPRODUCT(INDIRECT(ADDRESS(3,ROW()-31,1)):INDIRECT(ADDRESS(22,ROW()-31,1)),BM$3:BM$22),"")</f>
        <v/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>
      <c r="B94" s="27" t="str">
        <f t="shared" ca="1" si="29"/>
        <v/>
      </c>
      <c r="C94" t="str">
        <f t="shared" ca="1" si="30"/>
        <v/>
      </c>
      <c r="G94" t="str">
        <f ca="1">IF(AND(((COLUMN()-10)&lt;=playercnt),((ROW()-41)&lt;=playercnt)),SUMPRODUCT(INDIRECT(ADDRESS(3,ROW()-31,1)):INDIRECT(ADDRESS(22,ROW()-31,1)),G$3:G$22),"")</f>
        <v/>
      </c>
      <c r="H94" t="str">
        <f ca="1">IF(AND(((COLUMN()-10)&lt;=playercnt),((ROW()-41)&lt;=playercnt)),SUMPRODUCT(INDIRECT(ADDRESS(3,ROW()-31,1)):INDIRECT(ADDRESS(22,ROW()-31,1)),H$3:H$22),"")</f>
        <v/>
      </c>
      <c r="I94" t="str">
        <f ca="1">IF(AND(((COLUMN()-10)&lt;=playercnt),((ROW()-41)&lt;=playercnt)),SUMPRODUCT(INDIRECT(ADDRESS(3,ROW()-31,1)):INDIRECT(ADDRESS(22,ROW()-31,1)),I$3:I$22),"")</f>
        <v/>
      </c>
      <c r="J94" t="str">
        <f ca="1">IF(AND(((COLUMN()-10)&lt;=playercnt),((ROW()-41)&lt;=playercnt)),SUMPRODUCT(INDIRECT(ADDRESS(3,ROW()-31,1)):INDIRECT(ADDRESS(22,ROW()-31,1)),J$3:J$22),"")</f>
        <v/>
      </c>
      <c r="K94" t="str">
        <f ca="1">IF(AND(((COLUMN()-10)&lt;=playercnt),((ROW()-41)&lt;=playercnt)),SUMPRODUCT(INDIRECT(ADDRESS(3,ROW()-31,1)):INDIRECT(ADDRESS(22,ROW()-31,1)),K$3:K$22),"")</f>
        <v/>
      </c>
      <c r="L94" t="str">
        <f ca="1">IF(AND(((COLUMN()-10)&lt;=playercnt),((ROW()-41)&lt;=playercnt)),SUMPRODUCT(INDIRECT(ADDRESS(3,ROW()-31,1)):INDIRECT(ADDRESS(22,ROW()-31,1)),L$3:L$22),"")</f>
        <v/>
      </c>
      <c r="M94" t="str">
        <f ca="1">IF(AND(((COLUMN()-10)&lt;=playercnt),((ROW()-41)&lt;=playercnt)),SUMPRODUCT(INDIRECT(ADDRESS(3,ROW()-31,1)):INDIRECT(ADDRESS(22,ROW()-31,1)),M$3:M$22),"")</f>
        <v/>
      </c>
      <c r="N94" t="str">
        <f ca="1">IF(AND(((COLUMN()-10)&lt;=playercnt),((ROW()-41)&lt;=playercnt)),SUMPRODUCT(INDIRECT(ADDRESS(3,ROW()-31,1)):INDIRECT(ADDRESS(22,ROW()-31,1)),N$3:N$22),"")</f>
        <v/>
      </c>
      <c r="O94" t="str">
        <f ca="1">IF(AND(((COLUMN()-10)&lt;=playercnt),((ROW()-41)&lt;=playercnt)),SUMPRODUCT(INDIRECT(ADDRESS(3,ROW()-31,1)):INDIRECT(ADDRESS(22,ROW()-31,1)),O$3:O$22),"")</f>
        <v/>
      </c>
      <c r="P94" t="str">
        <f ca="1">IF(AND(((COLUMN()-10)&lt;=playercnt),((ROW()-41)&lt;=playercnt)),SUMPRODUCT(INDIRECT(ADDRESS(3,ROW()-31,1)):INDIRECT(ADDRESS(22,ROW()-31,1)),P$3:P$22),"")</f>
        <v/>
      </c>
      <c r="Q94" t="str">
        <f ca="1">IF(AND(((COLUMN()-10)&lt;=playercnt),((ROW()-41)&lt;=playercnt)),SUMPRODUCT(INDIRECT(ADDRESS(3,ROW()-31,1)):INDIRECT(ADDRESS(22,ROW()-31,1)),Q$3:Q$22),"")</f>
        <v/>
      </c>
      <c r="R94" t="str">
        <f ca="1">IF(AND(((COLUMN()-10)&lt;=playercnt),((ROW()-41)&lt;=playercnt)),SUMPRODUCT(INDIRECT(ADDRESS(3,ROW()-31,1)):INDIRECT(ADDRESS(22,ROW()-31,1)),R$3:R$22),"")</f>
        <v/>
      </c>
      <c r="S94" t="str">
        <f ca="1">IF(AND(((COLUMN()-10)&lt;=playercnt),((ROW()-41)&lt;=playercnt)),SUMPRODUCT(INDIRECT(ADDRESS(3,ROW()-31,1)):INDIRECT(ADDRESS(22,ROW()-31,1)),S$3:S$22),"")</f>
        <v/>
      </c>
      <c r="T94" t="str">
        <f ca="1">IF(AND(((COLUMN()-10)&lt;=playercnt),((ROW()-41)&lt;=playercnt)),SUMPRODUCT(INDIRECT(ADDRESS(3,ROW()-31,1)):INDIRECT(ADDRESS(22,ROW()-31,1)),T$3:T$22),"")</f>
        <v/>
      </c>
      <c r="U94" t="str">
        <f ca="1">IF(AND(((COLUMN()-10)&lt;=playercnt),((ROW()-41)&lt;=playercnt)),SUMPRODUCT(INDIRECT(ADDRESS(3,ROW()-31,1)):INDIRECT(ADDRESS(22,ROW()-31,1)),U$3:U$22),"")</f>
        <v/>
      </c>
      <c r="V94" t="str">
        <f ca="1">IF(AND(((COLUMN()-10)&lt;=playercnt),((ROW()-41)&lt;=playercnt)),SUMPRODUCT(INDIRECT(ADDRESS(3,ROW()-31,1)):INDIRECT(ADDRESS(22,ROW()-31,1)),V$3:V$22),"")</f>
        <v/>
      </c>
      <c r="W94" t="str">
        <f ca="1">IF(AND(((COLUMN()-10)&lt;=playercnt),((ROW()-41)&lt;=playercnt)),SUMPRODUCT(INDIRECT(ADDRESS(3,ROW()-31,1)):INDIRECT(ADDRESS(22,ROW()-31,1)),W$3:W$22),"")</f>
        <v/>
      </c>
      <c r="X94" t="str">
        <f ca="1">IF(AND(((COLUMN()-10)&lt;=playercnt),((ROW()-41)&lt;=playercnt)),SUMPRODUCT(INDIRECT(ADDRESS(3,ROW()-31,1)):INDIRECT(ADDRESS(22,ROW()-31,1)),X$3:X$22),"")</f>
        <v/>
      </c>
      <c r="Y94" t="str">
        <f ca="1">IF(AND(((COLUMN()-10)&lt;=playercnt),((ROW()-41)&lt;=playercnt)),SUMPRODUCT(INDIRECT(ADDRESS(3,ROW()-31,1)):INDIRECT(ADDRESS(22,ROW()-31,1)),Y$3:Y$22),"")</f>
        <v/>
      </c>
      <c r="Z94" t="str">
        <f ca="1">IF(AND(((COLUMN()-10)&lt;=playercnt),((ROW()-41)&lt;=playercnt)),SUMPRODUCT(INDIRECT(ADDRESS(3,ROW()-31,1)):INDIRECT(ADDRESS(22,ROW()-31,1)),Z$3:Z$22),"")</f>
        <v/>
      </c>
      <c r="AA94" t="str">
        <f ca="1">IF(AND(((COLUMN()-10)&lt;=playercnt),((ROW()-41)&lt;=playercnt)),SUMPRODUCT(INDIRECT(ADDRESS(3,ROW()-31,1)):INDIRECT(ADDRESS(22,ROW()-31,1)),AA$3:AA$22),"")</f>
        <v/>
      </c>
      <c r="AB94" t="str">
        <f ca="1">IF(AND(((COLUMN()-10)&lt;=playercnt),((ROW()-41)&lt;=playercnt)),SUMPRODUCT(INDIRECT(ADDRESS(3,ROW()-31,1)):INDIRECT(ADDRESS(22,ROW()-31,1)),AB$3:AB$22),"")</f>
        <v/>
      </c>
      <c r="AC94" t="str">
        <f ca="1">IF(AND(((COLUMN()-10)&lt;=playercnt),((ROW()-41)&lt;=playercnt)),SUMPRODUCT(INDIRECT(ADDRESS(3,ROW()-31,1)):INDIRECT(ADDRESS(22,ROW()-31,1)),AC$3:AC$22),"")</f>
        <v/>
      </c>
      <c r="AD94" t="str">
        <f ca="1">IF(AND(((COLUMN()-10)&lt;=playercnt),((ROW()-41)&lt;=playercnt)),SUMPRODUCT(INDIRECT(ADDRESS(3,ROW()-31,1)):INDIRECT(ADDRESS(22,ROW()-31,1)),AD$3:AD$22),"")</f>
        <v/>
      </c>
      <c r="AE94" t="str">
        <f ca="1">IF(AND(((COLUMN()-10)&lt;=playercnt),((ROW()-41)&lt;=playercnt)),SUMPRODUCT(INDIRECT(ADDRESS(3,ROW()-31,1)):INDIRECT(ADDRESS(22,ROW()-31,1)),AE$3:AE$22),"")</f>
        <v/>
      </c>
      <c r="AF94" t="str">
        <f ca="1">IF(AND(((COLUMN()-10)&lt;=playercnt),((ROW()-41)&lt;=playercnt)),SUMPRODUCT(INDIRECT(ADDRESS(3,ROW()-31,1)):INDIRECT(ADDRESS(22,ROW()-31,1)),AF$3:AF$22),"")</f>
        <v/>
      </c>
      <c r="AG94" t="str">
        <f ca="1">IF(AND(((COLUMN()-10)&lt;=playercnt),((ROW()-41)&lt;=playercnt)),SUMPRODUCT(INDIRECT(ADDRESS(3,ROW()-31,1)):INDIRECT(ADDRESS(22,ROW()-31,1)),AG$3:AG$22),"")</f>
        <v/>
      </c>
      <c r="AH94" t="str">
        <f ca="1">IF(AND(((COLUMN()-10)&lt;=playercnt),((ROW()-41)&lt;=playercnt)),SUMPRODUCT(INDIRECT(ADDRESS(3,ROW()-31,1)):INDIRECT(ADDRESS(22,ROW()-31,1)),AH$3:AH$22),"")</f>
        <v/>
      </c>
      <c r="AI94" t="str">
        <f ca="1">IF(AND(((COLUMN()-10)&lt;=playercnt),((ROW()-41)&lt;=playercnt)),SUMPRODUCT(INDIRECT(ADDRESS(3,ROW()-31,1)):INDIRECT(ADDRESS(22,ROW()-31,1)),AI$3:AI$22),"")</f>
        <v/>
      </c>
      <c r="AJ94" t="str">
        <f ca="1">IF(AND(((COLUMN()-10)&lt;=playercnt),((ROW()-41)&lt;=playercnt)),SUMPRODUCT(INDIRECT(ADDRESS(3,ROW()-31,1)):INDIRECT(ADDRESS(22,ROW()-31,1)),AJ$3:AJ$22),"")</f>
        <v/>
      </c>
      <c r="AK94" t="str">
        <f ca="1">IF(AND(((COLUMN()-10)&lt;=playercnt),((ROW()-41)&lt;=playercnt)),SUMPRODUCT(INDIRECT(ADDRESS(3,ROW()-31,1)):INDIRECT(ADDRESS(22,ROW()-31,1)),AK$3:AK$22),"")</f>
        <v/>
      </c>
      <c r="AL94" t="str">
        <f ca="1">IF(AND(((COLUMN()-10)&lt;=playercnt),((ROW()-41)&lt;=playercnt)),SUMPRODUCT(INDIRECT(ADDRESS(3,ROW()-31,1)):INDIRECT(ADDRESS(22,ROW()-31,1)),AL$3:AL$22),"")</f>
        <v/>
      </c>
      <c r="AM94" t="str">
        <f ca="1">IF(AND(((COLUMN()-10)&lt;=playercnt),((ROW()-41)&lt;=playercnt)),SUMPRODUCT(INDIRECT(ADDRESS(3,ROW()-31,1)):INDIRECT(ADDRESS(22,ROW()-31,1)),AM$3:AM$22),"")</f>
        <v/>
      </c>
      <c r="AN94" t="str">
        <f ca="1">IF(AND(((COLUMN()-10)&lt;=playercnt),((ROW()-41)&lt;=playercnt)),SUMPRODUCT(INDIRECT(ADDRESS(3,ROW()-31,1)):INDIRECT(ADDRESS(22,ROW()-31,1)),AN$3:AN$22),"")</f>
        <v/>
      </c>
      <c r="AO94" t="str">
        <f ca="1">IF(AND(((COLUMN()-10)&lt;=playercnt),((ROW()-41)&lt;=playercnt)),SUMPRODUCT(INDIRECT(ADDRESS(3,ROW()-31,1)):INDIRECT(ADDRESS(22,ROW()-31,1)),AO$3:AO$22),"")</f>
        <v/>
      </c>
      <c r="AP94" t="str">
        <f ca="1">IF(AND(((COLUMN()-10)&lt;=playercnt),((ROW()-41)&lt;=playercnt)),SUMPRODUCT(INDIRECT(ADDRESS(3,ROW()-31,1)):INDIRECT(ADDRESS(22,ROW()-31,1)),AP$3:AP$22),"")</f>
        <v/>
      </c>
      <c r="AQ94" t="str">
        <f ca="1">IF(AND(((COLUMN()-10)&lt;=playercnt),((ROW()-41)&lt;=playercnt)),SUMPRODUCT(INDIRECT(ADDRESS(3,ROW()-31,1)):INDIRECT(ADDRESS(22,ROW()-31,1)),AQ$3:AQ$22),"")</f>
        <v/>
      </c>
      <c r="AR94" t="str">
        <f ca="1">IF(AND(((COLUMN()-10)&lt;=playercnt),((ROW()-41)&lt;=playercnt)),SUMPRODUCT(INDIRECT(ADDRESS(3,ROW()-31,1)):INDIRECT(ADDRESS(22,ROW()-31,1)),AR$3:AR$22),"")</f>
        <v/>
      </c>
      <c r="AS94" t="str">
        <f ca="1">IF(AND(((COLUMN()-10)&lt;=playercnt),((ROW()-41)&lt;=playercnt)),SUMPRODUCT(INDIRECT(ADDRESS(3,ROW()-31,1)):INDIRECT(ADDRESS(22,ROW()-31,1)),AS$3:AS$22),"")</f>
        <v/>
      </c>
      <c r="AT94" t="str">
        <f ca="1">IF(AND(((COLUMN()-10)&lt;=playercnt),((ROW()-41)&lt;=playercnt)),SUMPRODUCT(INDIRECT(ADDRESS(3,ROW()-31,1)):INDIRECT(ADDRESS(22,ROW()-31,1)),AT$3:AT$22),"")</f>
        <v/>
      </c>
      <c r="AU94" t="str">
        <f ca="1">IF(AND(((COLUMN()-10)&lt;=playercnt),((ROW()-41)&lt;=playercnt)),SUMPRODUCT(INDIRECT(ADDRESS(3,ROW()-31,1)):INDIRECT(ADDRESS(22,ROW()-31,1)),AU$3:AU$22),"")</f>
        <v/>
      </c>
      <c r="AV94" t="str">
        <f ca="1">IF(AND(((COLUMN()-10)&lt;=playercnt),((ROW()-41)&lt;=playercnt)),SUMPRODUCT(INDIRECT(ADDRESS(3,ROW()-31,1)):INDIRECT(ADDRESS(22,ROW()-31,1)),AV$3:AV$22),"")</f>
        <v/>
      </c>
      <c r="AW94" t="str">
        <f ca="1">IF(AND(((COLUMN()-10)&lt;=playercnt),((ROW()-41)&lt;=playercnt)),SUMPRODUCT(INDIRECT(ADDRESS(3,ROW()-31,1)):INDIRECT(ADDRESS(22,ROW()-31,1)),AW$3:AW$22),"")</f>
        <v/>
      </c>
      <c r="AX94" t="str">
        <f ca="1">IF(AND(((COLUMN()-10)&lt;=playercnt),((ROW()-41)&lt;=playercnt)),SUMPRODUCT(INDIRECT(ADDRESS(3,ROW()-31,1)):INDIRECT(ADDRESS(22,ROW()-31,1)),AX$3:AX$22),"")</f>
        <v/>
      </c>
      <c r="AY94" t="str">
        <f ca="1">IF(AND(((COLUMN()-10)&lt;=playercnt),((ROW()-41)&lt;=playercnt)),SUMPRODUCT(INDIRECT(ADDRESS(3,ROW()-31,1)):INDIRECT(ADDRESS(22,ROW()-31,1)),AY$3:AY$22),"")</f>
        <v/>
      </c>
      <c r="AZ94" t="str">
        <f ca="1">IF(AND(((COLUMN()-10)&lt;=playercnt),((ROW()-41)&lt;=playercnt)),SUMPRODUCT(INDIRECT(ADDRESS(3,ROW()-31,1)):INDIRECT(ADDRESS(22,ROW()-31,1)),AZ$3:AZ$22),"")</f>
        <v/>
      </c>
      <c r="BA94" t="str">
        <f ca="1">IF(AND(((COLUMN()-10)&lt;=playercnt),((ROW()-41)&lt;=playercnt)),SUMPRODUCT(INDIRECT(ADDRESS(3,ROW()-31,1)):INDIRECT(ADDRESS(22,ROW()-31,1)),BA$3:BA$22),"")</f>
        <v/>
      </c>
      <c r="BB94" t="str">
        <f ca="1">IF(AND(((COLUMN()-10)&lt;=playercnt),((ROW()-41)&lt;=playercnt)),SUMPRODUCT(INDIRECT(ADDRESS(3,ROW()-31,1)):INDIRECT(ADDRESS(22,ROW()-31,1)),BB$3:BB$22),"")</f>
        <v/>
      </c>
      <c r="BC94" t="str">
        <f ca="1">IF(AND(((COLUMN()-10)&lt;=playercnt),((ROW()-41)&lt;=playercnt)),SUMPRODUCT(INDIRECT(ADDRESS(3,ROW()-31,1)):INDIRECT(ADDRESS(22,ROW()-31,1)),BC$3:BC$22),"")</f>
        <v/>
      </c>
      <c r="BD94" t="str">
        <f ca="1">IF(AND(((COLUMN()-10)&lt;=playercnt),((ROW()-41)&lt;=playercnt)),SUMPRODUCT(INDIRECT(ADDRESS(3,ROW()-31,1)):INDIRECT(ADDRESS(22,ROW()-31,1)),BD$3:BD$22),"")</f>
        <v/>
      </c>
      <c r="BE94" t="str">
        <f ca="1">IF(AND(((COLUMN()-10)&lt;=playercnt),((ROW()-41)&lt;=playercnt)),SUMPRODUCT(INDIRECT(ADDRESS(3,ROW()-31,1)):INDIRECT(ADDRESS(22,ROW()-31,1)),BE$3:BE$22),"")</f>
        <v/>
      </c>
      <c r="BF94" t="str">
        <f ca="1">IF(AND(((COLUMN()-10)&lt;=playercnt),((ROW()-41)&lt;=playercnt)),SUMPRODUCT(INDIRECT(ADDRESS(3,ROW()-31,1)):INDIRECT(ADDRESS(22,ROW()-31,1)),BF$3:BF$22),"")</f>
        <v/>
      </c>
      <c r="BG94" t="str">
        <f ca="1">IF(AND(((COLUMN()-10)&lt;=playercnt),((ROW()-41)&lt;=playercnt)),SUMPRODUCT(INDIRECT(ADDRESS(3,ROW()-31,1)):INDIRECT(ADDRESS(22,ROW()-31,1)),BG$3:BG$22),"")</f>
        <v/>
      </c>
      <c r="BH94" t="str">
        <f ca="1">IF(AND(((COLUMN()-10)&lt;=playercnt),((ROW()-41)&lt;=playercnt)),SUMPRODUCT(INDIRECT(ADDRESS(3,ROW()-31,1)):INDIRECT(ADDRESS(22,ROW()-31,1)),BH$3:BH$22),"")</f>
        <v/>
      </c>
      <c r="BI94" t="str">
        <f ca="1">IF(AND(((COLUMN()-10)&lt;=playercnt),((ROW()-41)&lt;=playercnt)),SUMPRODUCT(INDIRECT(ADDRESS(3,ROW()-31,1)):INDIRECT(ADDRESS(22,ROW()-31,1)),BI$3:BI$22),"")</f>
        <v/>
      </c>
      <c r="BJ94" t="str">
        <f ca="1">IF(AND(((COLUMN()-10)&lt;=playercnt),((ROW()-41)&lt;=playercnt)),SUMPRODUCT(INDIRECT(ADDRESS(3,ROW()-31,1)):INDIRECT(ADDRESS(22,ROW()-31,1)),BJ$3:BJ$22),"")</f>
        <v/>
      </c>
      <c r="BK94" t="str">
        <f ca="1">IF(AND(((COLUMN()-10)&lt;=playercnt),((ROW()-41)&lt;=playercnt)),SUMPRODUCT(INDIRECT(ADDRESS(3,ROW()-31,1)):INDIRECT(ADDRESS(22,ROW()-31,1)),BK$3:BK$22),"")</f>
        <v/>
      </c>
      <c r="BL94" t="str">
        <f ca="1">IF(AND(((COLUMN()-10)&lt;=playercnt),((ROW()-41)&lt;=playercnt)),SUMPRODUCT(INDIRECT(ADDRESS(3,ROW()-31,1)):INDIRECT(ADDRESS(22,ROW()-31,1)),BL$3:BL$22),"")</f>
        <v/>
      </c>
      <c r="BM94" t="str">
        <f ca="1">IF(AND(((COLUMN()-10)&lt;=playercnt),((ROW()-41)&lt;=playercnt)),SUMPRODUCT(INDIRECT(ADDRESS(3,ROW()-31,1)):INDIRECT(ADDRESS(22,ROW()-31,1)),BM$3:BM$22),"")</f>
        <v/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>
      <c r="B95" s="27" t="str">
        <f t="shared" ca="1" si="29"/>
        <v/>
      </c>
      <c r="C95" t="str">
        <f t="shared" ca="1" si="30"/>
        <v/>
      </c>
      <c r="G95" t="str">
        <f ca="1">IF(AND(((COLUMN()-10)&lt;=playercnt),((ROW()-41)&lt;=playercnt)),SUMPRODUCT(INDIRECT(ADDRESS(3,ROW()-31,1)):INDIRECT(ADDRESS(22,ROW()-31,1)),G$3:G$22),"")</f>
        <v/>
      </c>
      <c r="H95" t="str">
        <f ca="1">IF(AND(((COLUMN()-10)&lt;=playercnt),((ROW()-41)&lt;=playercnt)),SUMPRODUCT(INDIRECT(ADDRESS(3,ROW()-31,1)):INDIRECT(ADDRESS(22,ROW()-31,1)),H$3:H$22),"")</f>
        <v/>
      </c>
      <c r="I95" t="str">
        <f ca="1">IF(AND(((COLUMN()-10)&lt;=playercnt),((ROW()-41)&lt;=playercnt)),SUMPRODUCT(INDIRECT(ADDRESS(3,ROW()-31,1)):INDIRECT(ADDRESS(22,ROW()-31,1)),I$3:I$22),"")</f>
        <v/>
      </c>
      <c r="J95" t="str">
        <f ca="1">IF(AND(((COLUMN()-10)&lt;=playercnt),((ROW()-41)&lt;=playercnt)),SUMPRODUCT(INDIRECT(ADDRESS(3,ROW()-31,1)):INDIRECT(ADDRESS(22,ROW()-31,1)),J$3:J$22),"")</f>
        <v/>
      </c>
      <c r="K95" t="str">
        <f ca="1">IF(AND(((COLUMN()-10)&lt;=playercnt),((ROW()-41)&lt;=playercnt)),SUMPRODUCT(INDIRECT(ADDRESS(3,ROW()-31,1)):INDIRECT(ADDRESS(22,ROW()-31,1)),K$3:K$22),"")</f>
        <v/>
      </c>
      <c r="L95" t="str">
        <f ca="1">IF(AND(((COLUMN()-10)&lt;=playercnt),((ROW()-41)&lt;=playercnt)),SUMPRODUCT(INDIRECT(ADDRESS(3,ROW()-31,1)):INDIRECT(ADDRESS(22,ROW()-31,1)),L$3:L$22),"")</f>
        <v/>
      </c>
      <c r="M95" t="str">
        <f ca="1">IF(AND(((COLUMN()-10)&lt;=playercnt),((ROW()-41)&lt;=playercnt)),SUMPRODUCT(INDIRECT(ADDRESS(3,ROW()-31,1)):INDIRECT(ADDRESS(22,ROW()-31,1)),M$3:M$22),"")</f>
        <v/>
      </c>
      <c r="N95" t="str">
        <f ca="1">IF(AND(((COLUMN()-10)&lt;=playercnt),((ROW()-41)&lt;=playercnt)),SUMPRODUCT(INDIRECT(ADDRESS(3,ROW()-31,1)):INDIRECT(ADDRESS(22,ROW()-31,1)),N$3:N$22),"")</f>
        <v/>
      </c>
      <c r="O95" t="str">
        <f ca="1">IF(AND(((COLUMN()-10)&lt;=playercnt),((ROW()-41)&lt;=playercnt)),SUMPRODUCT(INDIRECT(ADDRESS(3,ROW()-31,1)):INDIRECT(ADDRESS(22,ROW()-31,1)),O$3:O$22),"")</f>
        <v/>
      </c>
      <c r="P95" t="str">
        <f ca="1">IF(AND(((COLUMN()-10)&lt;=playercnt),((ROW()-41)&lt;=playercnt)),SUMPRODUCT(INDIRECT(ADDRESS(3,ROW()-31,1)):INDIRECT(ADDRESS(22,ROW()-31,1)),P$3:P$22),"")</f>
        <v/>
      </c>
      <c r="Q95" t="str">
        <f ca="1">IF(AND(((COLUMN()-10)&lt;=playercnt),((ROW()-41)&lt;=playercnt)),SUMPRODUCT(INDIRECT(ADDRESS(3,ROW()-31,1)):INDIRECT(ADDRESS(22,ROW()-31,1)),Q$3:Q$22),"")</f>
        <v/>
      </c>
      <c r="R95" t="str">
        <f ca="1">IF(AND(((COLUMN()-10)&lt;=playercnt),((ROW()-41)&lt;=playercnt)),SUMPRODUCT(INDIRECT(ADDRESS(3,ROW()-31,1)):INDIRECT(ADDRESS(22,ROW()-31,1)),R$3:R$22),"")</f>
        <v/>
      </c>
      <c r="S95" t="str">
        <f ca="1">IF(AND(((COLUMN()-10)&lt;=playercnt),((ROW()-41)&lt;=playercnt)),SUMPRODUCT(INDIRECT(ADDRESS(3,ROW()-31,1)):INDIRECT(ADDRESS(22,ROW()-31,1)),S$3:S$22),"")</f>
        <v/>
      </c>
      <c r="T95" t="str">
        <f ca="1">IF(AND(((COLUMN()-10)&lt;=playercnt),((ROW()-41)&lt;=playercnt)),SUMPRODUCT(INDIRECT(ADDRESS(3,ROW()-31,1)):INDIRECT(ADDRESS(22,ROW()-31,1)),T$3:T$22),"")</f>
        <v/>
      </c>
      <c r="U95" t="str">
        <f ca="1">IF(AND(((COLUMN()-10)&lt;=playercnt),((ROW()-41)&lt;=playercnt)),SUMPRODUCT(INDIRECT(ADDRESS(3,ROW()-31,1)):INDIRECT(ADDRESS(22,ROW()-31,1)),U$3:U$22),"")</f>
        <v/>
      </c>
      <c r="V95" t="str">
        <f ca="1">IF(AND(((COLUMN()-10)&lt;=playercnt),((ROW()-41)&lt;=playercnt)),SUMPRODUCT(INDIRECT(ADDRESS(3,ROW()-31,1)):INDIRECT(ADDRESS(22,ROW()-31,1)),V$3:V$22),"")</f>
        <v/>
      </c>
      <c r="W95" t="str">
        <f ca="1">IF(AND(((COLUMN()-10)&lt;=playercnt),((ROW()-41)&lt;=playercnt)),SUMPRODUCT(INDIRECT(ADDRESS(3,ROW()-31,1)):INDIRECT(ADDRESS(22,ROW()-31,1)),W$3:W$22),"")</f>
        <v/>
      </c>
      <c r="X95" t="str">
        <f ca="1">IF(AND(((COLUMN()-10)&lt;=playercnt),((ROW()-41)&lt;=playercnt)),SUMPRODUCT(INDIRECT(ADDRESS(3,ROW()-31,1)):INDIRECT(ADDRESS(22,ROW()-31,1)),X$3:X$22),"")</f>
        <v/>
      </c>
      <c r="Y95" t="str">
        <f ca="1">IF(AND(((COLUMN()-10)&lt;=playercnt),((ROW()-41)&lt;=playercnt)),SUMPRODUCT(INDIRECT(ADDRESS(3,ROW()-31,1)):INDIRECT(ADDRESS(22,ROW()-31,1)),Y$3:Y$22),"")</f>
        <v/>
      </c>
      <c r="Z95" t="str">
        <f ca="1">IF(AND(((COLUMN()-10)&lt;=playercnt),((ROW()-41)&lt;=playercnt)),SUMPRODUCT(INDIRECT(ADDRESS(3,ROW()-31,1)):INDIRECT(ADDRESS(22,ROW()-31,1)),Z$3:Z$22),"")</f>
        <v/>
      </c>
      <c r="AA95" t="str">
        <f ca="1">IF(AND(((COLUMN()-10)&lt;=playercnt),((ROW()-41)&lt;=playercnt)),SUMPRODUCT(INDIRECT(ADDRESS(3,ROW()-31,1)):INDIRECT(ADDRESS(22,ROW()-31,1)),AA$3:AA$22),"")</f>
        <v/>
      </c>
      <c r="AB95" t="str">
        <f ca="1">IF(AND(((COLUMN()-10)&lt;=playercnt),((ROW()-41)&lt;=playercnt)),SUMPRODUCT(INDIRECT(ADDRESS(3,ROW()-31,1)):INDIRECT(ADDRESS(22,ROW()-31,1)),AB$3:AB$22),"")</f>
        <v/>
      </c>
      <c r="AC95" t="str">
        <f ca="1">IF(AND(((COLUMN()-10)&lt;=playercnt),((ROW()-41)&lt;=playercnt)),SUMPRODUCT(INDIRECT(ADDRESS(3,ROW()-31,1)):INDIRECT(ADDRESS(22,ROW()-31,1)),AC$3:AC$22),"")</f>
        <v/>
      </c>
      <c r="AD95" t="str">
        <f ca="1">IF(AND(((COLUMN()-10)&lt;=playercnt),((ROW()-41)&lt;=playercnt)),SUMPRODUCT(INDIRECT(ADDRESS(3,ROW()-31,1)):INDIRECT(ADDRESS(22,ROW()-31,1)),AD$3:AD$22),"")</f>
        <v/>
      </c>
      <c r="AE95" t="str">
        <f ca="1">IF(AND(((COLUMN()-10)&lt;=playercnt),((ROW()-41)&lt;=playercnt)),SUMPRODUCT(INDIRECT(ADDRESS(3,ROW()-31,1)):INDIRECT(ADDRESS(22,ROW()-31,1)),AE$3:AE$22),"")</f>
        <v/>
      </c>
      <c r="AF95" t="str">
        <f ca="1">IF(AND(((COLUMN()-10)&lt;=playercnt),((ROW()-41)&lt;=playercnt)),SUMPRODUCT(INDIRECT(ADDRESS(3,ROW()-31,1)):INDIRECT(ADDRESS(22,ROW()-31,1)),AF$3:AF$22),"")</f>
        <v/>
      </c>
      <c r="AG95" t="str">
        <f ca="1">IF(AND(((COLUMN()-10)&lt;=playercnt),((ROW()-41)&lt;=playercnt)),SUMPRODUCT(INDIRECT(ADDRESS(3,ROW()-31,1)):INDIRECT(ADDRESS(22,ROW()-31,1)),AG$3:AG$22),"")</f>
        <v/>
      </c>
      <c r="AH95" t="str">
        <f ca="1">IF(AND(((COLUMN()-10)&lt;=playercnt),((ROW()-41)&lt;=playercnt)),SUMPRODUCT(INDIRECT(ADDRESS(3,ROW()-31,1)):INDIRECT(ADDRESS(22,ROW()-31,1)),AH$3:AH$22),"")</f>
        <v/>
      </c>
      <c r="AI95" t="str">
        <f ca="1">IF(AND(((COLUMN()-10)&lt;=playercnt),((ROW()-41)&lt;=playercnt)),SUMPRODUCT(INDIRECT(ADDRESS(3,ROW()-31,1)):INDIRECT(ADDRESS(22,ROW()-31,1)),AI$3:AI$22),"")</f>
        <v/>
      </c>
      <c r="AJ95" t="str">
        <f ca="1">IF(AND(((COLUMN()-10)&lt;=playercnt),((ROW()-41)&lt;=playercnt)),SUMPRODUCT(INDIRECT(ADDRESS(3,ROW()-31,1)):INDIRECT(ADDRESS(22,ROW()-31,1)),AJ$3:AJ$22),"")</f>
        <v/>
      </c>
      <c r="AK95" t="str">
        <f ca="1">IF(AND(((COLUMN()-10)&lt;=playercnt),((ROW()-41)&lt;=playercnt)),SUMPRODUCT(INDIRECT(ADDRESS(3,ROW()-31,1)):INDIRECT(ADDRESS(22,ROW()-31,1)),AK$3:AK$22),"")</f>
        <v/>
      </c>
      <c r="AL95" t="str">
        <f ca="1">IF(AND(((COLUMN()-10)&lt;=playercnt),((ROW()-41)&lt;=playercnt)),SUMPRODUCT(INDIRECT(ADDRESS(3,ROW()-31,1)):INDIRECT(ADDRESS(22,ROW()-31,1)),AL$3:AL$22),"")</f>
        <v/>
      </c>
      <c r="AM95" t="str">
        <f ca="1">IF(AND(((COLUMN()-10)&lt;=playercnt),((ROW()-41)&lt;=playercnt)),SUMPRODUCT(INDIRECT(ADDRESS(3,ROW()-31,1)):INDIRECT(ADDRESS(22,ROW()-31,1)),AM$3:AM$22),"")</f>
        <v/>
      </c>
      <c r="AN95" t="str">
        <f ca="1">IF(AND(((COLUMN()-10)&lt;=playercnt),((ROW()-41)&lt;=playercnt)),SUMPRODUCT(INDIRECT(ADDRESS(3,ROW()-31,1)):INDIRECT(ADDRESS(22,ROW()-31,1)),AN$3:AN$22),"")</f>
        <v/>
      </c>
      <c r="AO95" t="str">
        <f ca="1">IF(AND(((COLUMN()-10)&lt;=playercnt),((ROW()-41)&lt;=playercnt)),SUMPRODUCT(INDIRECT(ADDRESS(3,ROW()-31,1)):INDIRECT(ADDRESS(22,ROW()-31,1)),AO$3:AO$22),"")</f>
        <v/>
      </c>
      <c r="AP95" t="str">
        <f ca="1">IF(AND(((COLUMN()-10)&lt;=playercnt),((ROW()-41)&lt;=playercnt)),SUMPRODUCT(INDIRECT(ADDRESS(3,ROW()-31,1)):INDIRECT(ADDRESS(22,ROW()-31,1)),AP$3:AP$22),"")</f>
        <v/>
      </c>
      <c r="AQ95" t="str">
        <f ca="1">IF(AND(((COLUMN()-10)&lt;=playercnt),((ROW()-41)&lt;=playercnt)),SUMPRODUCT(INDIRECT(ADDRESS(3,ROW()-31,1)):INDIRECT(ADDRESS(22,ROW()-31,1)),AQ$3:AQ$22),"")</f>
        <v/>
      </c>
      <c r="AR95" t="str">
        <f ca="1">IF(AND(((COLUMN()-10)&lt;=playercnt),((ROW()-41)&lt;=playercnt)),SUMPRODUCT(INDIRECT(ADDRESS(3,ROW()-31,1)):INDIRECT(ADDRESS(22,ROW()-31,1)),AR$3:AR$22),"")</f>
        <v/>
      </c>
      <c r="AS95" t="str">
        <f ca="1">IF(AND(((COLUMN()-10)&lt;=playercnt),((ROW()-41)&lt;=playercnt)),SUMPRODUCT(INDIRECT(ADDRESS(3,ROW()-31,1)):INDIRECT(ADDRESS(22,ROW()-31,1)),AS$3:AS$22),"")</f>
        <v/>
      </c>
      <c r="AT95" t="str">
        <f ca="1">IF(AND(((COLUMN()-10)&lt;=playercnt),((ROW()-41)&lt;=playercnt)),SUMPRODUCT(INDIRECT(ADDRESS(3,ROW()-31,1)):INDIRECT(ADDRESS(22,ROW()-31,1)),AT$3:AT$22),"")</f>
        <v/>
      </c>
      <c r="AU95" t="str">
        <f ca="1">IF(AND(((COLUMN()-10)&lt;=playercnt),((ROW()-41)&lt;=playercnt)),SUMPRODUCT(INDIRECT(ADDRESS(3,ROW()-31,1)):INDIRECT(ADDRESS(22,ROW()-31,1)),AU$3:AU$22),"")</f>
        <v/>
      </c>
      <c r="AV95" t="str">
        <f ca="1">IF(AND(((COLUMN()-10)&lt;=playercnt),((ROW()-41)&lt;=playercnt)),SUMPRODUCT(INDIRECT(ADDRESS(3,ROW()-31,1)):INDIRECT(ADDRESS(22,ROW()-31,1)),AV$3:AV$22),"")</f>
        <v/>
      </c>
      <c r="AW95" t="str">
        <f ca="1">IF(AND(((COLUMN()-10)&lt;=playercnt),((ROW()-41)&lt;=playercnt)),SUMPRODUCT(INDIRECT(ADDRESS(3,ROW()-31,1)):INDIRECT(ADDRESS(22,ROW()-31,1)),AW$3:AW$22),"")</f>
        <v/>
      </c>
      <c r="AX95" t="str">
        <f ca="1">IF(AND(((COLUMN()-10)&lt;=playercnt),((ROW()-41)&lt;=playercnt)),SUMPRODUCT(INDIRECT(ADDRESS(3,ROW()-31,1)):INDIRECT(ADDRESS(22,ROW()-31,1)),AX$3:AX$22),"")</f>
        <v/>
      </c>
      <c r="AY95" t="str">
        <f ca="1">IF(AND(((COLUMN()-10)&lt;=playercnt),((ROW()-41)&lt;=playercnt)),SUMPRODUCT(INDIRECT(ADDRESS(3,ROW()-31,1)):INDIRECT(ADDRESS(22,ROW()-31,1)),AY$3:AY$22),"")</f>
        <v/>
      </c>
      <c r="AZ95" t="str">
        <f ca="1">IF(AND(((COLUMN()-10)&lt;=playercnt),((ROW()-41)&lt;=playercnt)),SUMPRODUCT(INDIRECT(ADDRESS(3,ROW()-31,1)):INDIRECT(ADDRESS(22,ROW()-31,1)),AZ$3:AZ$22),"")</f>
        <v/>
      </c>
      <c r="BA95" t="str">
        <f ca="1">IF(AND(((COLUMN()-10)&lt;=playercnt),((ROW()-41)&lt;=playercnt)),SUMPRODUCT(INDIRECT(ADDRESS(3,ROW()-31,1)):INDIRECT(ADDRESS(22,ROW()-31,1)),BA$3:BA$22),"")</f>
        <v/>
      </c>
      <c r="BB95" t="str">
        <f ca="1">IF(AND(((COLUMN()-10)&lt;=playercnt),((ROW()-41)&lt;=playercnt)),SUMPRODUCT(INDIRECT(ADDRESS(3,ROW()-31,1)):INDIRECT(ADDRESS(22,ROW()-31,1)),BB$3:BB$22),"")</f>
        <v/>
      </c>
      <c r="BC95" t="str">
        <f ca="1">IF(AND(((COLUMN()-10)&lt;=playercnt),((ROW()-41)&lt;=playercnt)),SUMPRODUCT(INDIRECT(ADDRESS(3,ROW()-31,1)):INDIRECT(ADDRESS(22,ROW()-31,1)),BC$3:BC$22),"")</f>
        <v/>
      </c>
      <c r="BD95" t="str">
        <f ca="1">IF(AND(((COLUMN()-10)&lt;=playercnt),((ROW()-41)&lt;=playercnt)),SUMPRODUCT(INDIRECT(ADDRESS(3,ROW()-31,1)):INDIRECT(ADDRESS(22,ROW()-31,1)),BD$3:BD$22),"")</f>
        <v/>
      </c>
      <c r="BE95" t="str">
        <f ca="1">IF(AND(((COLUMN()-10)&lt;=playercnt),((ROW()-41)&lt;=playercnt)),SUMPRODUCT(INDIRECT(ADDRESS(3,ROW()-31,1)):INDIRECT(ADDRESS(22,ROW()-31,1)),BE$3:BE$22),"")</f>
        <v/>
      </c>
      <c r="BF95" t="str">
        <f ca="1">IF(AND(((COLUMN()-10)&lt;=playercnt),((ROW()-41)&lt;=playercnt)),SUMPRODUCT(INDIRECT(ADDRESS(3,ROW()-31,1)):INDIRECT(ADDRESS(22,ROW()-31,1)),BF$3:BF$22),"")</f>
        <v/>
      </c>
      <c r="BG95" t="str">
        <f ca="1">IF(AND(((COLUMN()-10)&lt;=playercnt),((ROW()-41)&lt;=playercnt)),SUMPRODUCT(INDIRECT(ADDRESS(3,ROW()-31,1)):INDIRECT(ADDRESS(22,ROW()-31,1)),BG$3:BG$22),"")</f>
        <v/>
      </c>
      <c r="BH95" t="str">
        <f ca="1">IF(AND(((COLUMN()-10)&lt;=playercnt),((ROW()-41)&lt;=playercnt)),SUMPRODUCT(INDIRECT(ADDRESS(3,ROW()-31,1)):INDIRECT(ADDRESS(22,ROW()-31,1)),BH$3:BH$22),"")</f>
        <v/>
      </c>
      <c r="BI95" t="str">
        <f ca="1">IF(AND(((COLUMN()-10)&lt;=playercnt),((ROW()-41)&lt;=playercnt)),SUMPRODUCT(INDIRECT(ADDRESS(3,ROW()-31,1)):INDIRECT(ADDRESS(22,ROW()-31,1)),BI$3:BI$22),"")</f>
        <v/>
      </c>
      <c r="BJ95" t="str">
        <f ca="1">IF(AND(((COLUMN()-10)&lt;=playercnt),((ROW()-41)&lt;=playercnt)),SUMPRODUCT(INDIRECT(ADDRESS(3,ROW()-31,1)):INDIRECT(ADDRESS(22,ROW()-31,1)),BJ$3:BJ$22),"")</f>
        <v/>
      </c>
      <c r="BK95" t="str">
        <f ca="1">IF(AND(((COLUMN()-10)&lt;=playercnt),((ROW()-41)&lt;=playercnt)),SUMPRODUCT(INDIRECT(ADDRESS(3,ROW()-31,1)):INDIRECT(ADDRESS(22,ROW()-31,1)),BK$3:BK$22),"")</f>
        <v/>
      </c>
      <c r="BL95" t="str">
        <f ca="1">IF(AND(((COLUMN()-10)&lt;=playercnt),((ROW()-41)&lt;=playercnt)),SUMPRODUCT(INDIRECT(ADDRESS(3,ROW()-31,1)):INDIRECT(ADDRESS(22,ROW()-31,1)),BL$3:BL$22),"")</f>
        <v/>
      </c>
      <c r="BM95" t="str">
        <f ca="1">IF(AND(((COLUMN()-10)&lt;=playercnt),((ROW()-41)&lt;=playercnt)),SUMPRODUCT(INDIRECT(ADDRESS(3,ROW()-31,1)):INDIRECT(ADDRESS(22,ROW()-31,1)),BM$3:BM$22),"")</f>
        <v/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>
      <c r="B96" s="27" t="str">
        <f t="shared" ca="1" si="29"/>
        <v/>
      </c>
      <c r="C96" t="str">
        <f t="shared" ca="1" si="30"/>
        <v/>
      </c>
      <c r="G96" t="str">
        <f ca="1">IF(AND(((COLUMN()-10)&lt;=playercnt),((ROW()-41)&lt;=playercnt)),SUMPRODUCT(INDIRECT(ADDRESS(3,ROW()-31,1)):INDIRECT(ADDRESS(22,ROW()-31,1)),G$3:G$22),"")</f>
        <v/>
      </c>
      <c r="H96" t="str">
        <f ca="1">IF(AND(((COLUMN()-10)&lt;=playercnt),((ROW()-41)&lt;=playercnt)),SUMPRODUCT(INDIRECT(ADDRESS(3,ROW()-31,1)):INDIRECT(ADDRESS(22,ROW()-31,1)),H$3:H$22),"")</f>
        <v/>
      </c>
      <c r="I96" t="str">
        <f ca="1">IF(AND(((COLUMN()-10)&lt;=playercnt),((ROW()-41)&lt;=playercnt)),SUMPRODUCT(INDIRECT(ADDRESS(3,ROW()-31,1)):INDIRECT(ADDRESS(22,ROW()-31,1)),I$3:I$22),"")</f>
        <v/>
      </c>
      <c r="J96" t="str">
        <f ca="1">IF(AND(((COLUMN()-10)&lt;=playercnt),((ROW()-41)&lt;=playercnt)),SUMPRODUCT(INDIRECT(ADDRESS(3,ROW()-31,1)):INDIRECT(ADDRESS(22,ROW()-31,1)),J$3:J$22),"")</f>
        <v/>
      </c>
      <c r="K96" t="str">
        <f ca="1">IF(AND(((COLUMN()-10)&lt;=playercnt),((ROW()-41)&lt;=playercnt)),SUMPRODUCT(INDIRECT(ADDRESS(3,ROW()-31,1)):INDIRECT(ADDRESS(22,ROW()-31,1)),K$3:K$22),"")</f>
        <v/>
      </c>
      <c r="L96" t="str">
        <f ca="1">IF(AND(((COLUMN()-10)&lt;=playercnt),((ROW()-41)&lt;=playercnt)),SUMPRODUCT(INDIRECT(ADDRESS(3,ROW()-31,1)):INDIRECT(ADDRESS(22,ROW()-31,1)),L$3:L$22),"")</f>
        <v/>
      </c>
      <c r="M96" t="str">
        <f ca="1">IF(AND(((COLUMN()-10)&lt;=playercnt),((ROW()-41)&lt;=playercnt)),SUMPRODUCT(INDIRECT(ADDRESS(3,ROW()-31,1)):INDIRECT(ADDRESS(22,ROW()-31,1)),M$3:M$22),"")</f>
        <v/>
      </c>
      <c r="N96" t="str">
        <f ca="1">IF(AND(((COLUMN()-10)&lt;=playercnt),((ROW()-41)&lt;=playercnt)),SUMPRODUCT(INDIRECT(ADDRESS(3,ROW()-31,1)):INDIRECT(ADDRESS(22,ROW()-31,1)),N$3:N$22),"")</f>
        <v/>
      </c>
      <c r="O96" t="str">
        <f ca="1">IF(AND(((COLUMN()-10)&lt;=playercnt),((ROW()-41)&lt;=playercnt)),SUMPRODUCT(INDIRECT(ADDRESS(3,ROW()-31,1)):INDIRECT(ADDRESS(22,ROW()-31,1)),O$3:O$22),"")</f>
        <v/>
      </c>
      <c r="P96" t="str">
        <f ca="1">IF(AND(((COLUMN()-10)&lt;=playercnt),((ROW()-41)&lt;=playercnt)),SUMPRODUCT(INDIRECT(ADDRESS(3,ROW()-31,1)):INDIRECT(ADDRESS(22,ROW()-31,1)),P$3:P$22),"")</f>
        <v/>
      </c>
      <c r="Q96" t="str">
        <f ca="1">IF(AND(((COLUMN()-10)&lt;=playercnt),((ROW()-41)&lt;=playercnt)),SUMPRODUCT(INDIRECT(ADDRESS(3,ROW()-31,1)):INDIRECT(ADDRESS(22,ROW()-31,1)),Q$3:Q$22),"")</f>
        <v/>
      </c>
      <c r="R96" t="str">
        <f ca="1">IF(AND(((COLUMN()-10)&lt;=playercnt),((ROW()-41)&lt;=playercnt)),SUMPRODUCT(INDIRECT(ADDRESS(3,ROW()-31,1)):INDIRECT(ADDRESS(22,ROW()-31,1)),R$3:R$22),"")</f>
        <v/>
      </c>
      <c r="S96" t="str">
        <f ca="1">IF(AND(((COLUMN()-10)&lt;=playercnt),((ROW()-41)&lt;=playercnt)),SUMPRODUCT(INDIRECT(ADDRESS(3,ROW()-31,1)):INDIRECT(ADDRESS(22,ROW()-31,1)),S$3:S$22),"")</f>
        <v/>
      </c>
      <c r="T96" t="str">
        <f ca="1">IF(AND(((COLUMN()-10)&lt;=playercnt),((ROW()-41)&lt;=playercnt)),SUMPRODUCT(INDIRECT(ADDRESS(3,ROW()-31,1)):INDIRECT(ADDRESS(22,ROW()-31,1)),T$3:T$22),"")</f>
        <v/>
      </c>
      <c r="U96" t="str">
        <f ca="1">IF(AND(((COLUMN()-10)&lt;=playercnt),((ROW()-41)&lt;=playercnt)),SUMPRODUCT(INDIRECT(ADDRESS(3,ROW()-31,1)):INDIRECT(ADDRESS(22,ROW()-31,1)),U$3:U$22),"")</f>
        <v/>
      </c>
      <c r="V96" t="str">
        <f ca="1">IF(AND(((COLUMN()-10)&lt;=playercnt),((ROW()-41)&lt;=playercnt)),SUMPRODUCT(INDIRECT(ADDRESS(3,ROW()-31,1)):INDIRECT(ADDRESS(22,ROW()-31,1)),V$3:V$22),"")</f>
        <v/>
      </c>
      <c r="W96" t="str">
        <f ca="1">IF(AND(((COLUMN()-10)&lt;=playercnt),((ROW()-41)&lt;=playercnt)),SUMPRODUCT(INDIRECT(ADDRESS(3,ROW()-31,1)):INDIRECT(ADDRESS(22,ROW()-31,1)),W$3:W$22),"")</f>
        <v/>
      </c>
      <c r="X96" t="str">
        <f ca="1">IF(AND(((COLUMN()-10)&lt;=playercnt),((ROW()-41)&lt;=playercnt)),SUMPRODUCT(INDIRECT(ADDRESS(3,ROW()-31,1)):INDIRECT(ADDRESS(22,ROW()-31,1)),X$3:X$22),"")</f>
        <v/>
      </c>
      <c r="Y96" t="str">
        <f ca="1">IF(AND(((COLUMN()-10)&lt;=playercnt),((ROW()-41)&lt;=playercnt)),SUMPRODUCT(INDIRECT(ADDRESS(3,ROW()-31,1)):INDIRECT(ADDRESS(22,ROW()-31,1)),Y$3:Y$22),"")</f>
        <v/>
      </c>
      <c r="Z96" t="str">
        <f ca="1">IF(AND(((COLUMN()-10)&lt;=playercnt),((ROW()-41)&lt;=playercnt)),SUMPRODUCT(INDIRECT(ADDRESS(3,ROW()-31,1)):INDIRECT(ADDRESS(22,ROW()-31,1)),Z$3:Z$22),"")</f>
        <v/>
      </c>
      <c r="AA96" t="str">
        <f ca="1">IF(AND(((COLUMN()-10)&lt;=playercnt),((ROW()-41)&lt;=playercnt)),SUMPRODUCT(INDIRECT(ADDRESS(3,ROW()-31,1)):INDIRECT(ADDRESS(22,ROW()-31,1)),AA$3:AA$22),"")</f>
        <v/>
      </c>
      <c r="AB96" t="str">
        <f ca="1">IF(AND(((COLUMN()-10)&lt;=playercnt),((ROW()-41)&lt;=playercnt)),SUMPRODUCT(INDIRECT(ADDRESS(3,ROW()-31,1)):INDIRECT(ADDRESS(22,ROW()-31,1)),AB$3:AB$22),"")</f>
        <v/>
      </c>
      <c r="AC96" t="str">
        <f ca="1">IF(AND(((COLUMN()-10)&lt;=playercnt),((ROW()-41)&lt;=playercnt)),SUMPRODUCT(INDIRECT(ADDRESS(3,ROW()-31,1)):INDIRECT(ADDRESS(22,ROW()-31,1)),AC$3:AC$22),"")</f>
        <v/>
      </c>
      <c r="AD96" t="str">
        <f ca="1">IF(AND(((COLUMN()-10)&lt;=playercnt),((ROW()-41)&lt;=playercnt)),SUMPRODUCT(INDIRECT(ADDRESS(3,ROW()-31,1)):INDIRECT(ADDRESS(22,ROW()-31,1)),AD$3:AD$22),"")</f>
        <v/>
      </c>
      <c r="AE96" t="str">
        <f ca="1">IF(AND(((COLUMN()-10)&lt;=playercnt),((ROW()-41)&lt;=playercnt)),SUMPRODUCT(INDIRECT(ADDRESS(3,ROW()-31,1)):INDIRECT(ADDRESS(22,ROW()-31,1)),AE$3:AE$22),"")</f>
        <v/>
      </c>
      <c r="AF96" t="str">
        <f ca="1">IF(AND(((COLUMN()-10)&lt;=playercnt),((ROW()-41)&lt;=playercnt)),SUMPRODUCT(INDIRECT(ADDRESS(3,ROW()-31,1)):INDIRECT(ADDRESS(22,ROW()-31,1)),AF$3:AF$22),"")</f>
        <v/>
      </c>
      <c r="AG96" t="str">
        <f ca="1">IF(AND(((COLUMN()-10)&lt;=playercnt),((ROW()-41)&lt;=playercnt)),SUMPRODUCT(INDIRECT(ADDRESS(3,ROW()-31,1)):INDIRECT(ADDRESS(22,ROW()-31,1)),AG$3:AG$22),"")</f>
        <v/>
      </c>
      <c r="AH96" t="str">
        <f ca="1">IF(AND(((COLUMN()-10)&lt;=playercnt),((ROW()-41)&lt;=playercnt)),SUMPRODUCT(INDIRECT(ADDRESS(3,ROW()-31,1)):INDIRECT(ADDRESS(22,ROW()-31,1)),AH$3:AH$22),"")</f>
        <v/>
      </c>
      <c r="AI96" t="str">
        <f ca="1">IF(AND(((COLUMN()-10)&lt;=playercnt),((ROW()-41)&lt;=playercnt)),SUMPRODUCT(INDIRECT(ADDRESS(3,ROW()-31,1)):INDIRECT(ADDRESS(22,ROW()-31,1)),AI$3:AI$22),"")</f>
        <v/>
      </c>
      <c r="AJ96" t="str">
        <f ca="1">IF(AND(((COLUMN()-10)&lt;=playercnt),((ROW()-41)&lt;=playercnt)),SUMPRODUCT(INDIRECT(ADDRESS(3,ROW()-31,1)):INDIRECT(ADDRESS(22,ROW()-31,1)),AJ$3:AJ$22),"")</f>
        <v/>
      </c>
      <c r="AK96" t="str">
        <f ca="1">IF(AND(((COLUMN()-10)&lt;=playercnt),((ROW()-41)&lt;=playercnt)),SUMPRODUCT(INDIRECT(ADDRESS(3,ROW()-31,1)):INDIRECT(ADDRESS(22,ROW()-31,1)),AK$3:AK$22),"")</f>
        <v/>
      </c>
      <c r="AL96" t="str">
        <f ca="1">IF(AND(((COLUMN()-10)&lt;=playercnt),((ROW()-41)&lt;=playercnt)),SUMPRODUCT(INDIRECT(ADDRESS(3,ROW()-31,1)):INDIRECT(ADDRESS(22,ROW()-31,1)),AL$3:AL$22),"")</f>
        <v/>
      </c>
      <c r="AM96" t="str">
        <f ca="1">IF(AND(((COLUMN()-10)&lt;=playercnt),((ROW()-41)&lt;=playercnt)),SUMPRODUCT(INDIRECT(ADDRESS(3,ROW()-31,1)):INDIRECT(ADDRESS(22,ROW()-31,1)),AM$3:AM$22),"")</f>
        <v/>
      </c>
      <c r="AN96" t="str">
        <f ca="1">IF(AND(((COLUMN()-10)&lt;=playercnt),((ROW()-41)&lt;=playercnt)),SUMPRODUCT(INDIRECT(ADDRESS(3,ROW()-31,1)):INDIRECT(ADDRESS(22,ROW()-31,1)),AN$3:AN$22),"")</f>
        <v/>
      </c>
      <c r="AO96" t="str">
        <f ca="1">IF(AND(((COLUMN()-10)&lt;=playercnt),((ROW()-41)&lt;=playercnt)),SUMPRODUCT(INDIRECT(ADDRESS(3,ROW()-31,1)):INDIRECT(ADDRESS(22,ROW()-31,1)),AO$3:AO$22),"")</f>
        <v/>
      </c>
      <c r="AP96" t="str">
        <f ca="1">IF(AND(((COLUMN()-10)&lt;=playercnt),((ROW()-41)&lt;=playercnt)),SUMPRODUCT(INDIRECT(ADDRESS(3,ROW()-31,1)):INDIRECT(ADDRESS(22,ROW()-31,1)),AP$3:AP$22),"")</f>
        <v/>
      </c>
      <c r="AQ96" t="str">
        <f ca="1">IF(AND(((COLUMN()-10)&lt;=playercnt),((ROW()-41)&lt;=playercnt)),SUMPRODUCT(INDIRECT(ADDRESS(3,ROW()-31,1)):INDIRECT(ADDRESS(22,ROW()-31,1)),AQ$3:AQ$22),"")</f>
        <v/>
      </c>
      <c r="AR96" t="str">
        <f ca="1">IF(AND(((COLUMN()-10)&lt;=playercnt),((ROW()-41)&lt;=playercnt)),SUMPRODUCT(INDIRECT(ADDRESS(3,ROW()-31,1)):INDIRECT(ADDRESS(22,ROW()-31,1)),AR$3:AR$22),"")</f>
        <v/>
      </c>
      <c r="AS96" t="str">
        <f ca="1">IF(AND(((COLUMN()-10)&lt;=playercnt),((ROW()-41)&lt;=playercnt)),SUMPRODUCT(INDIRECT(ADDRESS(3,ROW()-31,1)):INDIRECT(ADDRESS(22,ROW()-31,1)),AS$3:AS$22),"")</f>
        <v/>
      </c>
      <c r="AT96" t="str">
        <f ca="1">IF(AND(((COLUMN()-10)&lt;=playercnt),((ROW()-41)&lt;=playercnt)),SUMPRODUCT(INDIRECT(ADDRESS(3,ROW()-31,1)):INDIRECT(ADDRESS(22,ROW()-31,1)),AT$3:AT$22),"")</f>
        <v/>
      </c>
      <c r="AU96" t="str">
        <f ca="1">IF(AND(((COLUMN()-10)&lt;=playercnt),((ROW()-41)&lt;=playercnt)),SUMPRODUCT(INDIRECT(ADDRESS(3,ROW()-31,1)):INDIRECT(ADDRESS(22,ROW()-31,1)),AU$3:AU$22),"")</f>
        <v/>
      </c>
      <c r="AV96" t="str">
        <f ca="1">IF(AND(((COLUMN()-10)&lt;=playercnt),((ROW()-41)&lt;=playercnt)),SUMPRODUCT(INDIRECT(ADDRESS(3,ROW()-31,1)):INDIRECT(ADDRESS(22,ROW()-31,1)),AV$3:AV$22),"")</f>
        <v/>
      </c>
      <c r="AW96" t="str">
        <f ca="1">IF(AND(((COLUMN()-10)&lt;=playercnt),((ROW()-41)&lt;=playercnt)),SUMPRODUCT(INDIRECT(ADDRESS(3,ROW()-31,1)):INDIRECT(ADDRESS(22,ROW()-31,1)),AW$3:AW$22),"")</f>
        <v/>
      </c>
      <c r="AX96" t="str">
        <f ca="1">IF(AND(((COLUMN()-10)&lt;=playercnt),((ROW()-41)&lt;=playercnt)),SUMPRODUCT(INDIRECT(ADDRESS(3,ROW()-31,1)):INDIRECT(ADDRESS(22,ROW()-31,1)),AX$3:AX$22),"")</f>
        <v/>
      </c>
      <c r="AY96" t="str">
        <f ca="1">IF(AND(((COLUMN()-10)&lt;=playercnt),((ROW()-41)&lt;=playercnt)),SUMPRODUCT(INDIRECT(ADDRESS(3,ROW()-31,1)):INDIRECT(ADDRESS(22,ROW()-31,1)),AY$3:AY$22),"")</f>
        <v/>
      </c>
      <c r="AZ96" t="str">
        <f ca="1">IF(AND(((COLUMN()-10)&lt;=playercnt),((ROW()-41)&lt;=playercnt)),SUMPRODUCT(INDIRECT(ADDRESS(3,ROW()-31,1)):INDIRECT(ADDRESS(22,ROW()-31,1)),AZ$3:AZ$22),"")</f>
        <v/>
      </c>
      <c r="BA96" t="str">
        <f ca="1">IF(AND(((COLUMN()-10)&lt;=playercnt),((ROW()-41)&lt;=playercnt)),SUMPRODUCT(INDIRECT(ADDRESS(3,ROW()-31,1)):INDIRECT(ADDRESS(22,ROW()-31,1)),BA$3:BA$22),"")</f>
        <v/>
      </c>
      <c r="BB96" t="str">
        <f ca="1">IF(AND(((COLUMN()-10)&lt;=playercnt),((ROW()-41)&lt;=playercnt)),SUMPRODUCT(INDIRECT(ADDRESS(3,ROW()-31,1)):INDIRECT(ADDRESS(22,ROW()-31,1)),BB$3:BB$22),"")</f>
        <v/>
      </c>
      <c r="BC96" t="str">
        <f ca="1">IF(AND(((COLUMN()-10)&lt;=playercnt),((ROW()-41)&lt;=playercnt)),SUMPRODUCT(INDIRECT(ADDRESS(3,ROW()-31,1)):INDIRECT(ADDRESS(22,ROW()-31,1)),BC$3:BC$22),"")</f>
        <v/>
      </c>
      <c r="BD96" t="str">
        <f ca="1">IF(AND(((COLUMN()-10)&lt;=playercnt),((ROW()-41)&lt;=playercnt)),SUMPRODUCT(INDIRECT(ADDRESS(3,ROW()-31,1)):INDIRECT(ADDRESS(22,ROW()-31,1)),BD$3:BD$22),"")</f>
        <v/>
      </c>
      <c r="BE96" t="str">
        <f ca="1">IF(AND(((COLUMN()-10)&lt;=playercnt),((ROW()-41)&lt;=playercnt)),SUMPRODUCT(INDIRECT(ADDRESS(3,ROW()-31,1)):INDIRECT(ADDRESS(22,ROW()-31,1)),BE$3:BE$22),"")</f>
        <v/>
      </c>
      <c r="BF96" t="str">
        <f ca="1">IF(AND(((COLUMN()-10)&lt;=playercnt),((ROW()-41)&lt;=playercnt)),SUMPRODUCT(INDIRECT(ADDRESS(3,ROW()-31,1)):INDIRECT(ADDRESS(22,ROW()-31,1)),BF$3:BF$22),"")</f>
        <v/>
      </c>
      <c r="BG96" t="str">
        <f ca="1">IF(AND(((COLUMN()-10)&lt;=playercnt),((ROW()-41)&lt;=playercnt)),SUMPRODUCT(INDIRECT(ADDRESS(3,ROW()-31,1)):INDIRECT(ADDRESS(22,ROW()-31,1)),BG$3:BG$22),"")</f>
        <v/>
      </c>
      <c r="BH96" t="str">
        <f ca="1">IF(AND(((COLUMN()-10)&lt;=playercnt),((ROW()-41)&lt;=playercnt)),SUMPRODUCT(INDIRECT(ADDRESS(3,ROW()-31,1)):INDIRECT(ADDRESS(22,ROW()-31,1)),BH$3:BH$22),"")</f>
        <v/>
      </c>
      <c r="BI96" t="str">
        <f ca="1">IF(AND(((COLUMN()-10)&lt;=playercnt),((ROW()-41)&lt;=playercnt)),SUMPRODUCT(INDIRECT(ADDRESS(3,ROW()-31,1)):INDIRECT(ADDRESS(22,ROW()-31,1)),BI$3:BI$22),"")</f>
        <v/>
      </c>
      <c r="BJ96" t="str">
        <f ca="1">IF(AND(((COLUMN()-10)&lt;=playercnt),((ROW()-41)&lt;=playercnt)),SUMPRODUCT(INDIRECT(ADDRESS(3,ROW()-31,1)):INDIRECT(ADDRESS(22,ROW()-31,1)),BJ$3:BJ$22),"")</f>
        <v/>
      </c>
      <c r="BK96" t="str">
        <f ca="1">IF(AND(((COLUMN()-10)&lt;=playercnt),((ROW()-41)&lt;=playercnt)),SUMPRODUCT(INDIRECT(ADDRESS(3,ROW()-31,1)):INDIRECT(ADDRESS(22,ROW()-31,1)),BK$3:BK$22),"")</f>
        <v/>
      </c>
      <c r="BL96" t="str">
        <f ca="1">IF(AND(((COLUMN()-10)&lt;=playercnt),((ROW()-41)&lt;=playercnt)),SUMPRODUCT(INDIRECT(ADDRESS(3,ROW()-31,1)):INDIRECT(ADDRESS(22,ROW()-31,1)),BL$3:BL$22),"")</f>
        <v/>
      </c>
      <c r="BM96" t="str">
        <f ca="1">IF(AND(((COLUMN()-10)&lt;=playercnt),((ROW()-41)&lt;=playercnt)),SUMPRODUCT(INDIRECT(ADDRESS(3,ROW()-31,1)):INDIRECT(ADDRESS(22,ROW()-31,1)),BM$3:BM$22),"")</f>
        <v/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110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11"/>
  <dimension ref="A1:W34"/>
  <sheetViews>
    <sheetView workbookViewId="0">
      <selection activeCell="D7" sqref="D7:D26"/>
    </sheetView>
  </sheetViews>
  <sheetFormatPr defaultRowHeight="12.75"/>
  <cols>
    <col min="3" max="3" width="10.28515625" bestFit="1" customWidth="1"/>
    <col min="4" max="4" width="3.28515625" bestFit="1" customWidth="1"/>
    <col min="5" max="23" width="3.28515625" customWidth="1"/>
  </cols>
  <sheetData>
    <row r="1" spans="1:23">
      <c r="A1" t="s">
        <v>123</v>
      </c>
    </row>
    <row r="2" spans="1:23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>
      <c r="A4">
        <f>weekcnt*10</f>
        <v>130</v>
      </c>
    </row>
    <row r="34" spans="4:23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84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Barker, Chris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</v>
      </c>
      <c r="Q2" s="4" t="str">
        <f t="shared" ca="1" si="0"/>
        <v>James, Larry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>
      <c r="A3" s="59">
        <v>1</v>
      </c>
      <c r="B3" s="67" t="s">
        <v>189</v>
      </c>
      <c r="C3" s="65">
        <v>10.5</v>
      </c>
      <c r="D3" s="64">
        <v>34</v>
      </c>
      <c r="E3" s="64">
        <f>IF(ISBLANK($D3),"0",IF(($D4-$D3)&lt;($C4-$C3),1,0))</f>
        <v>1</v>
      </c>
      <c r="F3" s="64">
        <f ca="1">COUNTA(INDIRECT("RC11:RC"&amp;11+playercnt-1,FALSE))</f>
        <v>15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/>
      <c r="M3" s="69"/>
      <c r="N3" s="69" t="s">
        <v>265</v>
      </c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289</v>
      </c>
      <c r="T3" s="69" t="s">
        <v>265</v>
      </c>
      <c r="U3" s="69" t="s">
        <v>265</v>
      </c>
      <c r="V3" s="69" t="s">
        <v>265</v>
      </c>
      <c r="W3" s="69"/>
      <c r="X3" s="69" t="s">
        <v>265</v>
      </c>
      <c r="Y3" s="69" t="s">
        <v>265</v>
      </c>
      <c r="Z3" s="69" t="s">
        <v>264</v>
      </c>
      <c r="AA3" s="69" t="s">
        <v>265</v>
      </c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287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265</v>
      </c>
      <c r="M4" s="70" t="s">
        <v>265</v>
      </c>
      <c r="N4" s="70"/>
      <c r="O4" s="70"/>
      <c r="P4" s="70"/>
      <c r="Q4" s="70"/>
      <c r="R4" s="70"/>
      <c r="S4" s="70"/>
      <c r="T4" s="70"/>
      <c r="U4" s="97"/>
      <c r="V4" s="70"/>
      <c r="W4" s="70" t="s">
        <v>264</v>
      </c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>
      <c r="A5" s="59">
        <v>2</v>
      </c>
      <c r="B5" s="67" t="s">
        <v>149</v>
      </c>
      <c r="C5" s="65">
        <v>5.5</v>
      </c>
      <c r="D5" s="64">
        <v>20</v>
      </c>
      <c r="E5" s="64">
        <f>IF(ISBLANK($D5),"0",IF(($D6-$D5)&lt;($C6-$C5),1,0))</f>
        <v>0</v>
      </c>
      <c r="F5" s="64">
        <f t="shared" ca="1" si="1"/>
        <v>13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265</v>
      </c>
      <c r="M5" s="69"/>
      <c r="N5" s="69" t="s">
        <v>265</v>
      </c>
      <c r="O5" s="69" t="s">
        <v>265</v>
      </c>
      <c r="P5" s="69"/>
      <c r="Q5" s="69" t="s">
        <v>265</v>
      </c>
      <c r="R5" s="69" t="s">
        <v>264</v>
      </c>
      <c r="S5" s="69" t="s">
        <v>289</v>
      </c>
      <c r="T5" s="69" t="s">
        <v>265</v>
      </c>
      <c r="U5" s="96"/>
      <c r="V5" s="69"/>
      <c r="W5" s="69" t="s">
        <v>264</v>
      </c>
      <c r="X5" s="69" t="s">
        <v>265</v>
      </c>
      <c r="Y5" s="69" t="s">
        <v>265</v>
      </c>
      <c r="Z5" s="69" t="s">
        <v>264</v>
      </c>
      <c r="AA5" s="69" t="s">
        <v>265</v>
      </c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>
      <c r="A6" s="61" t="s">
        <v>3</v>
      </c>
      <c r="B6" s="68" t="s">
        <v>127</v>
      </c>
      <c r="C6" s="66"/>
      <c r="D6" s="64">
        <v>36</v>
      </c>
      <c r="E6" s="64">
        <f>IF(ISBLANK($D6),"0",IF(($D6-$D5)&gt;($C6-$C5),1,0))</f>
        <v>1</v>
      </c>
      <c r="F6" s="64">
        <f t="shared" ca="1" si="1"/>
        <v>5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/>
      <c r="M6" s="70" t="s">
        <v>265</v>
      </c>
      <c r="N6" s="70"/>
      <c r="O6" s="70"/>
      <c r="P6" s="70" t="s">
        <v>264</v>
      </c>
      <c r="Q6" s="70"/>
      <c r="R6" s="70"/>
      <c r="S6" s="70"/>
      <c r="T6" s="70"/>
      <c r="U6" s="70" t="s">
        <v>265</v>
      </c>
      <c r="V6" s="70" t="s">
        <v>265</v>
      </c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>
      <c r="A7" s="59">
        <v>3</v>
      </c>
      <c r="B7" s="67" t="s">
        <v>131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 t="s">
        <v>265</v>
      </c>
      <c r="O7" s="69" t="s">
        <v>265</v>
      </c>
      <c r="P7" s="69" t="s">
        <v>264</v>
      </c>
      <c r="Q7" s="69"/>
      <c r="R7" s="96" t="s">
        <v>264</v>
      </c>
      <c r="S7" s="96" t="s">
        <v>289</v>
      </c>
      <c r="T7" s="96"/>
      <c r="U7" s="96"/>
      <c r="V7" s="69"/>
      <c r="W7" s="69" t="s">
        <v>264</v>
      </c>
      <c r="X7" s="69"/>
      <c r="Y7" s="69"/>
      <c r="Z7" s="69" t="s">
        <v>264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126</v>
      </c>
      <c r="C8" s="66">
        <v>13.5</v>
      </c>
      <c r="D8" s="64">
        <v>31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 t="s">
        <v>265</v>
      </c>
      <c r="N8" s="70"/>
      <c r="O8" s="70"/>
      <c r="P8" s="70"/>
      <c r="Q8" s="70" t="s">
        <v>265</v>
      </c>
      <c r="R8" s="97"/>
      <c r="S8" s="97"/>
      <c r="T8" s="97" t="s">
        <v>265</v>
      </c>
      <c r="U8" s="97" t="s">
        <v>265</v>
      </c>
      <c r="V8" s="70" t="s">
        <v>265</v>
      </c>
      <c r="W8" s="70"/>
      <c r="X8" s="70" t="s">
        <v>265</v>
      </c>
      <c r="Y8" s="70" t="s">
        <v>265</v>
      </c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>
      <c r="A9" s="59">
        <v>4</v>
      </c>
      <c r="B9" s="108" t="s">
        <v>253</v>
      </c>
      <c r="C9" s="65"/>
      <c r="D9" s="81">
        <v>31</v>
      </c>
      <c r="E9" s="64">
        <f>IF(ISBLANK($D9),"0",IF(($D10-$D9)&lt;($C10-$C9),1,0))</f>
        <v>0</v>
      </c>
      <c r="F9" s="64">
        <f t="shared" ca="1" si="1"/>
        <v>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/>
      <c r="R9" s="96" t="s">
        <v>264</v>
      </c>
      <c r="S9" s="96"/>
      <c r="T9" s="96"/>
      <c r="U9" s="96"/>
      <c r="V9" s="69"/>
      <c r="W9" s="69" t="s">
        <v>264</v>
      </c>
      <c r="X9" s="69"/>
      <c r="Y9" s="69"/>
      <c r="Z9" s="69" t="s">
        <v>264</v>
      </c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>
      <c r="A10" s="61" t="s">
        <v>3</v>
      </c>
      <c r="B10" s="68" t="s">
        <v>146</v>
      </c>
      <c r="C10" s="66">
        <v>4.5</v>
      </c>
      <c r="D10" s="64">
        <v>38</v>
      </c>
      <c r="E10" s="64">
        <f>IF(ISBLANK($D10),"0",IF(($D10-$D9)&gt;($C10-$C9),1,0))</f>
        <v>1</v>
      </c>
      <c r="F10" s="64">
        <f t="shared" ca="1" si="1"/>
        <v>14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264</v>
      </c>
      <c r="L10" s="70" t="s">
        <v>265</v>
      </c>
      <c r="M10" s="70" t="s">
        <v>265</v>
      </c>
      <c r="N10" s="70" t="s">
        <v>265</v>
      </c>
      <c r="O10" s="70" t="s">
        <v>265</v>
      </c>
      <c r="P10" s="70" t="s">
        <v>264</v>
      </c>
      <c r="Q10" s="70" t="s">
        <v>265</v>
      </c>
      <c r="R10" s="97"/>
      <c r="S10" s="97" t="s">
        <v>289</v>
      </c>
      <c r="T10" s="97" t="s">
        <v>265</v>
      </c>
      <c r="U10" s="70" t="s">
        <v>265</v>
      </c>
      <c r="V10" s="70" t="s">
        <v>265</v>
      </c>
      <c r="W10" s="70"/>
      <c r="X10" s="70" t="s">
        <v>265</v>
      </c>
      <c r="Y10" s="70" t="s">
        <v>265</v>
      </c>
      <c r="Z10" s="70"/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>
      <c r="A11" s="59">
        <v>5</v>
      </c>
      <c r="B11" s="67" t="s">
        <v>147</v>
      </c>
      <c r="C11" s="65"/>
      <c r="D11" s="64">
        <v>0</v>
      </c>
      <c r="E11" s="64">
        <f>IF(ISBLANK($D11),"0",IF(($D12-$D11)&lt;($C12-$C11),1,0))</f>
        <v>0</v>
      </c>
      <c r="F11" s="64">
        <f t="shared" ca="1" si="1"/>
        <v>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265</v>
      </c>
      <c r="O11" s="69" t="s">
        <v>265</v>
      </c>
      <c r="P11" s="69"/>
      <c r="Q11" s="69" t="s">
        <v>265</v>
      </c>
      <c r="R11" s="96" t="s">
        <v>264</v>
      </c>
      <c r="S11" s="96"/>
      <c r="T11" s="96"/>
      <c r="U11" s="69"/>
      <c r="V11" s="69" t="s">
        <v>265</v>
      </c>
      <c r="W11" s="69"/>
      <c r="X11" s="69"/>
      <c r="Y11" s="69"/>
      <c r="Z11" s="69" t="s">
        <v>264</v>
      </c>
      <c r="AA11" s="69" t="s">
        <v>265</v>
      </c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125</v>
      </c>
      <c r="C12" s="66">
        <v>12.5</v>
      </c>
      <c r="D12" s="64">
        <v>42</v>
      </c>
      <c r="E12" s="64">
        <f>IF(ISBLANK($D12),"0",IF(($D12-$D11)&gt;($C12-$C11),1,0))</f>
        <v>1</v>
      </c>
      <c r="F12" s="64">
        <f t="shared" ca="1" si="1"/>
        <v>10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 t="s">
        <v>265</v>
      </c>
      <c r="M12" s="70" t="s">
        <v>265</v>
      </c>
      <c r="N12" s="70"/>
      <c r="O12" s="70"/>
      <c r="P12" s="70" t="s">
        <v>264</v>
      </c>
      <c r="Q12" s="70"/>
      <c r="R12" s="97"/>
      <c r="S12" s="97" t="s">
        <v>289</v>
      </c>
      <c r="T12" s="97" t="s">
        <v>265</v>
      </c>
      <c r="U12" s="97" t="s">
        <v>265</v>
      </c>
      <c r="V12" s="70"/>
      <c r="W12" s="70" t="s">
        <v>264</v>
      </c>
      <c r="X12" s="70" t="s">
        <v>265</v>
      </c>
      <c r="Y12" s="70" t="s">
        <v>265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>
      <c r="A13" s="59">
        <v>6</v>
      </c>
      <c r="B13" s="67" t="s">
        <v>212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10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265</v>
      </c>
      <c r="M13" s="69"/>
      <c r="N13" s="69" t="s">
        <v>265</v>
      </c>
      <c r="O13" s="69" t="s">
        <v>265</v>
      </c>
      <c r="P13" s="69"/>
      <c r="Q13" s="69" t="s">
        <v>265</v>
      </c>
      <c r="R13" s="96" t="s">
        <v>264</v>
      </c>
      <c r="S13" s="96"/>
      <c r="T13" s="96" t="s">
        <v>265</v>
      </c>
      <c r="U13" s="69" t="s">
        <v>265</v>
      </c>
      <c r="V13" s="69"/>
      <c r="W13" s="69" t="s">
        <v>264</v>
      </c>
      <c r="X13" s="69"/>
      <c r="Y13" s="69"/>
      <c r="Z13" s="69"/>
      <c r="AA13" s="69" t="s">
        <v>265</v>
      </c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>
      <c r="A14" s="61" t="s">
        <v>3</v>
      </c>
      <c r="B14" s="68" t="s">
        <v>137</v>
      </c>
      <c r="C14" s="66">
        <v>19.5</v>
      </c>
      <c r="D14" s="64">
        <v>38</v>
      </c>
      <c r="E14" s="64">
        <f>IF(ISBLANK($D14),"0",IF(($D14-$D13)&gt;($C14-$C13),1,0))</f>
        <v>0</v>
      </c>
      <c r="F14" s="64">
        <f t="shared" ca="1" si="1"/>
        <v>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264</v>
      </c>
      <c r="L14" s="70"/>
      <c r="M14" s="70" t="s">
        <v>265</v>
      </c>
      <c r="N14" s="70"/>
      <c r="O14" s="70"/>
      <c r="P14" s="70" t="s">
        <v>264</v>
      </c>
      <c r="Q14" s="70"/>
      <c r="R14" s="97"/>
      <c r="S14" s="97" t="s">
        <v>289</v>
      </c>
      <c r="T14" s="97"/>
      <c r="U14" s="97"/>
      <c r="V14" s="70" t="s">
        <v>265</v>
      </c>
      <c r="W14" s="70"/>
      <c r="X14" s="70" t="s">
        <v>265</v>
      </c>
      <c r="Y14" s="70" t="s">
        <v>265</v>
      </c>
      <c r="Z14" s="70" t="s">
        <v>264</v>
      </c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>
      <c r="A15" s="59">
        <v>7</v>
      </c>
      <c r="B15" s="67" t="s">
        <v>129</v>
      </c>
      <c r="C15" s="65"/>
      <c r="D15" s="64">
        <v>42</v>
      </c>
      <c r="E15" s="64">
        <f>IF(ISBLANK($D15),"0",IF(($D16-$D15)&lt;($C16-$C15),1,0))</f>
        <v>1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 t="s">
        <v>265</v>
      </c>
      <c r="O15" s="69" t="s">
        <v>265</v>
      </c>
      <c r="P15" s="69" t="s">
        <v>264</v>
      </c>
      <c r="Q15" s="69"/>
      <c r="R15" s="96"/>
      <c r="S15" s="96"/>
      <c r="T15" s="96" t="s">
        <v>265</v>
      </c>
      <c r="U15" s="96"/>
      <c r="V15" s="69"/>
      <c r="W15" s="69"/>
      <c r="X15" s="69" t="s">
        <v>265</v>
      </c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128</v>
      </c>
      <c r="C16" s="66">
        <v>3.5</v>
      </c>
      <c r="D16" s="64">
        <v>14</v>
      </c>
      <c r="E16" s="64">
        <f>IF(ISBLANK($D16),"0",IF(($D16-$D15)&gt;($C16-$C15),1,0))</f>
        <v>0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 t="s">
        <v>265</v>
      </c>
      <c r="M16" s="70" t="s">
        <v>265</v>
      </c>
      <c r="N16" s="70"/>
      <c r="O16" s="70"/>
      <c r="P16" s="70"/>
      <c r="Q16" s="70" t="s">
        <v>265</v>
      </c>
      <c r="R16" s="70" t="s">
        <v>264</v>
      </c>
      <c r="S16" s="70" t="s">
        <v>289</v>
      </c>
      <c r="T16" s="70"/>
      <c r="U16" s="70" t="s">
        <v>265</v>
      </c>
      <c r="V16" s="70" t="s">
        <v>265</v>
      </c>
      <c r="W16" s="70" t="s">
        <v>264</v>
      </c>
      <c r="X16" s="70"/>
      <c r="Y16" s="70" t="s">
        <v>265</v>
      </c>
      <c r="Z16" s="70" t="s">
        <v>264</v>
      </c>
      <c r="AA16" s="70" t="s">
        <v>265</v>
      </c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132</v>
      </c>
      <c r="C17" s="65"/>
      <c r="D17" s="64">
        <v>42</v>
      </c>
      <c r="E17" s="64">
        <f>IF(ISBLANK($D17),"0",IF(($D18-$D17)&lt;($C18-$C17),1,0))</f>
        <v>1</v>
      </c>
      <c r="F17" s="64">
        <f t="shared" ca="1" si="1"/>
        <v>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 t="s">
        <v>265</v>
      </c>
      <c r="U17" s="69" t="s">
        <v>265</v>
      </c>
      <c r="V17" s="69" t="s">
        <v>265</v>
      </c>
      <c r="W17" s="69" t="s">
        <v>264</v>
      </c>
      <c r="X17" s="69" t="s">
        <v>265</v>
      </c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225</v>
      </c>
      <c r="C18" s="66">
        <v>6.5</v>
      </c>
      <c r="D18" s="64">
        <v>38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265</v>
      </c>
      <c r="M18" s="70" t="s">
        <v>265</v>
      </c>
      <c r="N18" s="70" t="s">
        <v>265</v>
      </c>
      <c r="O18" s="70" t="s">
        <v>265</v>
      </c>
      <c r="P18" s="70" t="s">
        <v>264</v>
      </c>
      <c r="Q18" s="70" t="s">
        <v>265</v>
      </c>
      <c r="R18" s="70" t="s">
        <v>264</v>
      </c>
      <c r="S18" s="70" t="s">
        <v>289</v>
      </c>
      <c r="T18" s="70"/>
      <c r="U18" s="97"/>
      <c r="V18" s="70"/>
      <c r="W18" s="70"/>
      <c r="X18" s="70"/>
      <c r="Y18" s="70" t="s">
        <v>265</v>
      </c>
      <c r="Z18" s="70" t="s">
        <v>264</v>
      </c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>
      <c r="A19" s="59">
        <v>9</v>
      </c>
      <c r="B19" s="67" t="s">
        <v>288</v>
      </c>
      <c r="C19" s="65"/>
      <c r="D19" s="64">
        <v>64</v>
      </c>
      <c r="E19" s="64">
        <f>IF(ISBLANK($D19),"0",IF(($D20-$D19)&lt;($C20-$C19),1,0))</f>
        <v>1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/>
      <c r="O19" s="69" t="s">
        <v>265</v>
      </c>
      <c r="P19" s="69" t="s">
        <v>264</v>
      </c>
      <c r="Q19" s="69" t="s">
        <v>265</v>
      </c>
      <c r="R19" s="69"/>
      <c r="S19" s="69" t="s">
        <v>289</v>
      </c>
      <c r="T19" s="69" t="s">
        <v>265</v>
      </c>
      <c r="U19" s="96" t="s">
        <v>265</v>
      </c>
      <c r="V19" s="69" t="s">
        <v>265</v>
      </c>
      <c r="W19" s="69" t="s">
        <v>264</v>
      </c>
      <c r="X19" s="69" t="s">
        <v>265</v>
      </c>
      <c r="Y19" s="69"/>
      <c r="Z19" s="69" t="s">
        <v>264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>
      <c r="A20" s="61" t="s">
        <v>3</v>
      </c>
      <c r="B20" s="68" t="s">
        <v>246</v>
      </c>
      <c r="C20" s="66">
        <v>2.5</v>
      </c>
      <c r="D20" s="64">
        <v>30</v>
      </c>
      <c r="E20" s="64">
        <f>IF(ISBLANK($D20),"0",IF(($D20-$D19)&gt;($C20-$C19),1,0))</f>
        <v>0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265</v>
      </c>
      <c r="M20" s="70" t="s">
        <v>265</v>
      </c>
      <c r="N20" s="70" t="s">
        <v>265</v>
      </c>
      <c r="O20" s="70"/>
      <c r="P20" s="70"/>
      <c r="Q20" s="70"/>
      <c r="R20" s="70" t="s">
        <v>264</v>
      </c>
      <c r="S20" s="70"/>
      <c r="T20" s="70"/>
      <c r="U20" s="70"/>
      <c r="V20" s="70"/>
      <c r="W20" s="70"/>
      <c r="X20" s="70"/>
      <c r="Y20" s="70" t="s">
        <v>265</v>
      </c>
      <c r="Z20" s="70"/>
      <c r="AA20" s="70" t="s">
        <v>265</v>
      </c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>
      <c r="A21" s="59">
        <v>10</v>
      </c>
      <c r="B21" s="67" t="s">
        <v>140</v>
      </c>
      <c r="C21" s="65"/>
      <c r="D21" s="64">
        <v>34</v>
      </c>
      <c r="E21" s="64">
        <f>IF(ISBLANK($D21),"0",IF(($D22-$D21)&lt;($C22-$C21),1,0))</f>
        <v>1</v>
      </c>
      <c r="F21" s="64">
        <f t="shared" ca="1" si="1"/>
        <v>14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265</v>
      </c>
      <c r="M21" s="69" t="s">
        <v>265</v>
      </c>
      <c r="N21" s="69" t="s">
        <v>265</v>
      </c>
      <c r="O21" s="69"/>
      <c r="P21" s="69"/>
      <c r="Q21" s="69" t="s">
        <v>265</v>
      </c>
      <c r="R21" s="69"/>
      <c r="S21" s="69" t="s">
        <v>289</v>
      </c>
      <c r="T21" s="69" t="s">
        <v>265</v>
      </c>
      <c r="U21" s="96" t="s">
        <v>265</v>
      </c>
      <c r="V21" s="69" t="s">
        <v>265</v>
      </c>
      <c r="W21" s="69" t="s">
        <v>264</v>
      </c>
      <c r="X21" s="69" t="s">
        <v>265</v>
      </c>
      <c r="Y21" s="69" t="s">
        <v>265</v>
      </c>
      <c r="Z21" s="69" t="s">
        <v>264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>
      <c r="A22" s="61" t="s">
        <v>3</v>
      </c>
      <c r="B22" s="68" t="s">
        <v>133</v>
      </c>
      <c r="C22" s="66">
        <v>1.5</v>
      </c>
      <c r="D22" s="64">
        <v>33</v>
      </c>
      <c r="E22" s="64">
        <f>IF(ISBLANK($D22),"0",IF(($D22-$D21)&gt;($C22-$C21),1,0))</f>
        <v>0</v>
      </c>
      <c r="F22" s="64">
        <f t="shared" ca="1" si="1"/>
        <v>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264</v>
      </c>
      <c r="L22" s="70"/>
      <c r="M22" s="70"/>
      <c r="N22" s="70"/>
      <c r="O22" s="70" t="s">
        <v>265</v>
      </c>
      <c r="P22" s="70" t="s">
        <v>264</v>
      </c>
      <c r="Q22" s="70"/>
      <c r="R22" s="70" t="s">
        <v>264</v>
      </c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17</v>
      </c>
      <c r="L23" s="78">
        <v>21</v>
      </c>
      <c r="M23" s="78">
        <v>24</v>
      </c>
      <c r="N23" s="80">
        <v>27</v>
      </c>
      <c r="O23" s="78">
        <v>14</v>
      </c>
      <c r="P23" s="78">
        <v>13</v>
      </c>
      <c r="Q23" s="78">
        <v>24</v>
      </c>
      <c r="R23" s="78">
        <v>17</v>
      </c>
      <c r="S23" s="78">
        <v>28</v>
      </c>
      <c r="T23" s="78">
        <v>27</v>
      </c>
      <c r="U23" s="78">
        <v>24</v>
      </c>
      <c r="V23" s="78">
        <v>32</v>
      </c>
      <c r="W23" s="78">
        <v>24</v>
      </c>
      <c r="X23" s="78">
        <v>27</v>
      </c>
      <c r="Y23" s="78">
        <v>29</v>
      </c>
      <c r="Z23" s="78">
        <v>31</v>
      </c>
      <c r="AA23" s="78">
        <v>22</v>
      </c>
      <c r="AB23" s="78">
        <v>27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>
      <c r="A24" s="61"/>
      <c r="B24" s="68" t="str">
        <f>B22&amp; " - score"</f>
        <v>Syracuse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/>
      <c r="K24" s="79">
        <v>21</v>
      </c>
      <c r="L24" s="79">
        <v>17</v>
      </c>
      <c r="M24" s="79">
        <v>21</v>
      </c>
      <c r="N24" s="79">
        <v>21</v>
      </c>
      <c r="O24" s="79">
        <v>21</v>
      </c>
      <c r="P24" s="79">
        <v>20</v>
      </c>
      <c r="Q24" s="79">
        <v>17</v>
      </c>
      <c r="R24" s="79">
        <v>24</v>
      </c>
      <c r="S24" s="79">
        <v>14</v>
      </c>
      <c r="T24" s="79">
        <v>24</v>
      </c>
      <c r="U24" s="79">
        <v>18</v>
      </c>
      <c r="V24" s="79">
        <v>28</v>
      </c>
      <c r="W24" s="79">
        <v>20</v>
      </c>
      <c r="X24" s="79">
        <v>14</v>
      </c>
      <c r="Y24" s="79">
        <v>22</v>
      </c>
      <c r="Z24" s="79">
        <v>26</v>
      </c>
      <c r="AA24" s="79">
        <v>20</v>
      </c>
      <c r="AB24" s="79">
        <v>20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3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6</v>
      </c>
      <c r="P25" s="36">
        <f t="shared" si="3"/>
        <v>7</v>
      </c>
      <c r="Q25" s="36">
        <f t="shared" si="3"/>
        <v>5</v>
      </c>
      <c r="R25" s="36">
        <f t="shared" si="3"/>
        <v>3</v>
      </c>
      <c r="S25" s="36">
        <f t="shared" si="3"/>
        <v>6</v>
      </c>
      <c r="T25" s="36">
        <f t="shared" si="3"/>
        <v>8</v>
      </c>
      <c r="U25" s="36">
        <f t="shared" si="3"/>
        <v>8</v>
      </c>
      <c r="V25" s="36">
        <f t="shared" si="3"/>
        <v>6</v>
      </c>
      <c r="W25" s="36">
        <f t="shared" si="3"/>
        <v>6</v>
      </c>
      <c r="X25" s="36">
        <f t="shared" si="3"/>
        <v>7</v>
      </c>
      <c r="Y25" s="36">
        <f t="shared" si="3"/>
        <v>4</v>
      </c>
      <c r="Z25" s="36">
        <f t="shared" si="3"/>
        <v>4</v>
      </c>
      <c r="AA25" s="36">
        <f t="shared" si="3"/>
        <v>4</v>
      </c>
      <c r="AB25" s="36">
        <f t="shared" si="3"/>
        <v>3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AO26" si="4">ABS((L23-L24)-($D21-$D22))</f>
        <v>3</v>
      </c>
      <c r="M26" s="71">
        <f t="shared" si="4"/>
        <v>2</v>
      </c>
      <c r="N26" s="71">
        <f t="shared" si="4"/>
        <v>5</v>
      </c>
      <c r="O26" s="71">
        <f t="shared" si="4"/>
        <v>8</v>
      </c>
      <c r="P26" s="71">
        <f t="shared" si="4"/>
        <v>8</v>
      </c>
      <c r="Q26" s="71">
        <f t="shared" si="4"/>
        <v>6</v>
      </c>
      <c r="R26" s="71">
        <f t="shared" si="4"/>
        <v>8</v>
      </c>
      <c r="S26" s="71">
        <f t="shared" si="4"/>
        <v>13</v>
      </c>
      <c r="T26" s="71">
        <f t="shared" si="4"/>
        <v>2</v>
      </c>
      <c r="U26" s="71">
        <f t="shared" si="4"/>
        <v>5</v>
      </c>
      <c r="V26" s="71">
        <f t="shared" si="4"/>
        <v>3</v>
      </c>
      <c r="W26" s="71">
        <f t="shared" si="4"/>
        <v>3</v>
      </c>
      <c r="X26" s="71">
        <f t="shared" si="4"/>
        <v>12</v>
      </c>
      <c r="Y26" s="71">
        <f t="shared" si="4"/>
        <v>6</v>
      </c>
      <c r="Z26" s="71">
        <f t="shared" si="4"/>
        <v>4</v>
      </c>
      <c r="AA26" s="71">
        <f t="shared" si="4"/>
        <v>1</v>
      </c>
      <c r="AB26" s="71">
        <f t="shared" si="4"/>
        <v>6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29</v>
      </c>
      <c r="L27" s="71">
        <f t="shared" ref="L27:AO27" si="5">ABS(($D21+$D22)-(L23+L24))</f>
        <v>29</v>
      </c>
      <c r="M27" s="71">
        <f t="shared" si="5"/>
        <v>22</v>
      </c>
      <c r="N27" s="71">
        <f t="shared" si="5"/>
        <v>19</v>
      </c>
      <c r="O27" s="71">
        <f t="shared" si="5"/>
        <v>32</v>
      </c>
      <c r="P27" s="71">
        <f t="shared" si="5"/>
        <v>34</v>
      </c>
      <c r="Q27" s="71">
        <f t="shared" si="5"/>
        <v>26</v>
      </c>
      <c r="R27" s="71">
        <f t="shared" si="5"/>
        <v>26</v>
      </c>
      <c r="S27" s="71">
        <f t="shared" si="5"/>
        <v>25</v>
      </c>
      <c r="T27" s="71">
        <f t="shared" si="5"/>
        <v>16</v>
      </c>
      <c r="U27" s="71">
        <f t="shared" si="5"/>
        <v>25</v>
      </c>
      <c r="V27" s="71">
        <f t="shared" si="5"/>
        <v>7</v>
      </c>
      <c r="W27" s="71">
        <f t="shared" si="5"/>
        <v>23</v>
      </c>
      <c r="X27" s="71">
        <f t="shared" si="5"/>
        <v>26</v>
      </c>
      <c r="Y27" s="71">
        <f t="shared" si="5"/>
        <v>16</v>
      </c>
      <c r="Z27" s="71">
        <f t="shared" si="5"/>
        <v>10</v>
      </c>
      <c r="AA27" s="71">
        <f t="shared" si="5"/>
        <v>25</v>
      </c>
      <c r="AB27" s="71">
        <f t="shared" si="5"/>
        <v>20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0.53333333333333333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3</v>
      </c>
      <c r="M29" s="71">
        <f t="shared" si="7"/>
        <v>1</v>
      </c>
      <c r="N29" s="71">
        <f t="shared" si="7"/>
        <v>7</v>
      </c>
      <c r="O29" s="71">
        <f t="shared" si="7"/>
        <v>7</v>
      </c>
      <c r="P29" s="71">
        <f t="shared" si="7"/>
        <v>4</v>
      </c>
      <c r="Q29" s="71">
        <f t="shared" si="7"/>
        <v>6</v>
      </c>
      <c r="R29" s="71">
        <f t="shared" si="7"/>
        <v>6</v>
      </c>
      <c r="S29" s="71">
        <f t="shared" si="7"/>
        <v>5</v>
      </c>
      <c r="T29" s="71">
        <f t="shared" si="7"/>
        <v>7</v>
      </c>
      <c r="U29" s="71">
        <f t="shared" si="7"/>
        <v>5</v>
      </c>
      <c r="V29" s="71">
        <f t="shared" si="7"/>
        <v>5</v>
      </c>
      <c r="W29" s="71">
        <f t="shared" si="7"/>
        <v>7</v>
      </c>
      <c r="X29" s="71">
        <f t="shared" si="7"/>
        <v>6</v>
      </c>
      <c r="Y29" s="71">
        <f t="shared" si="7"/>
        <v>3</v>
      </c>
      <c r="Z29" s="71">
        <f t="shared" si="7"/>
        <v>7</v>
      </c>
      <c r="AA29" s="71">
        <f t="shared" si="7"/>
        <v>5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5</v>
      </c>
      <c r="O30" s="73">
        <f t="shared" si="8"/>
        <v>5</v>
      </c>
      <c r="P30" s="73">
        <f t="shared" si="8"/>
        <v>4</v>
      </c>
      <c r="Q30" s="73">
        <f t="shared" si="8"/>
        <v>4</v>
      </c>
      <c r="R30" s="73">
        <f t="shared" si="8"/>
        <v>4</v>
      </c>
      <c r="S30" s="73">
        <f t="shared" si="8"/>
        <v>3</v>
      </c>
      <c r="T30" s="73">
        <f t="shared" si="8"/>
        <v>5</v>
      </c>
      <c r="U30" s="73">
        <f t="shared" si="8"/>
        <v>5</v>
      </c>
      <c r="V30" s="73">
        <f t="shared" si="8"/>
        <v>5</v>
      </c>
      <c r="W30" s="73">
        <f t="shared" si="8"/>
        <v>7</v>
      </c>
      <c r="X30" s="73">
        <f t="shared" si="8"/>
        <v>4</v>
      </c>
      <c r="Y30" s="73">
        <f t="shared" si="8"/>
        <v>1</v>
      </c>
      <c r="Z30" s="73">
        <f t="shared" si="8"/>
        <v>5</v>
      </c>
      <c r="AA30" s="73">
        <f t="shared" si="8"/>
        <v>3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1</v>
      </c>
      <c r="R31" s="71">
        <f t="shared" ca="1" si="9"/>
        <v>5</v>
      </c>
      <c r="S31" s="71">
        <f t="shared" ca="1" si="9"/>
        <v>2</v>
      </c>
      <c r="T31" s="71">
        <f t="shared" ca="1" si="9"/>
        <v>2</v>
      </c>
      <c r="U31" s="71">
        <f t="shared" ca="1" si="9"/>
        <v>2</v>
      </c>
      <c r="V31" s="71">
        <f t="shared" ca="1" si="9"/>
        <v>4</v>
      </c>
      <c r="W31" s="71">
        <f t="shared" ca="1" si="9"/>
        <v>4</v>
      </c>
      <c r="X31" s="71">
        <f t="shared" ca="1" si="9"/>
        <v>3</v>
      </c>
      <c r="Y31" s="71">
        <f t="shared" ca="1" si="9"/>
        <v>2</v>
      </c>
      <c r="Z31" s="71">
        <f t="shared" ca="1" si="9"/>
        <v>4</v>
      </c>
      <c r="AA31" s="71">
        <f t="shared" ca="1" si="9"/>
        <v>2</v>
      </c>
      <c r="AB31" s="71">
        <f t="shared" ca="1" si="9"/>
        <v>3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ref="R35:AB35" si="11">COUNTA(R3:R22)</f>
        <v>10</v>
      </c>
      <c r="S35" s="35">
        <f t="shared" si="11"/>
        <v>10</v>
      </c>
      <c r="T35" s="35">
        <f t="shared" si="11"/>
        <v>10</v>
      </c>
      <c r="U35" s="35">
        <f t="shared" si="11"/>
        <v>10</v>
      </c>
      <c r="V35" s="35">
        <f t="shared" si="11"/>
        <v>10</v>
      </c>
      <c r="W35" s="35">
        <f t="shared" si="11"/>
        <v>10</v>
      </c>
      <c r="X35" s="35">
        <f t="shared" si="11"/>
        <v>10</v>
      </c>
      <c r="Y35" s="35">
        <f t="shared" si="11"/>
        <v>10</v>
      </c>
      <c r="Z35" s="35">
        <f t="shared" si="11"/>
        <v>10</v>
      </c>
      <c r="AA35" s="35">
        <f t="shared" si="11"/>
        <v>10</v>
      </c>
      <c r="AB35" s="35">
        <f t="shared" si="11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99979884</v>
      </c>
      <c r="L36" s="32">
        <f t="shared" ref="L36:AO36" si="12">COUNTA(L23:L24)*((10000000*L25)+(1000000*(COUNTA(L21)*$E21+COUNTA(L22)*$E22))-(COUNTA($D$21:$D$22)*1000*L26)-(COUNTA($D$21:$D$22)*L27))</f>
        <v>81987884</v>
      </c>
      <c r="M36" s="32">
        <f t="shared" si="12"/>
        <v>81991912</v>
      </c>
      <c r="N36" s="32">
        <f t="shared" si="12"/>
        <v>121979924</v>
      </c>
      <c r="O36" s="32">
        <f t="shared" si="12"/>
        <v>119967872</v>
      </c>
      <c r="P36" s="32">
        <f t="shared" si="12"/>
        <v>139967864</v>
      </c>
      <c r="Q36" s="32">
        <f t="shared" si="12"/>
        <v>101975896</v>
      </c>
      <c r="R36" s="32">
        <f t="shared" si="12"/>
        <v>59967896</v>
      </c>
      <c r="S36" s="32">
        <f t="shared" si="12"/>
        <v>121947900</v>
      </c>
      <c r="T36" s="32">
        <f t="shared" si="12"/>
        <v>161991936</v>
      </c>
      <c r="U36" s="32">
        <f t="shared" si="12"/>
        <v>161979900</v>
      </c>
      <c r="V36" s="32">
        <f t="shared" si="12"/>
        <v>121987972</v>
      </c>
      <c r="W36" s="32">
        <f t="shared" si="12"/>
        <v>121987908</v>
      </c>
      <c r="X36" s="32">
        <f t="shared" si="12"/>
        <v>141951896</v>
      </c>
      <c r="Y36" s="32">
        <f t="shared" si="12"/>
        <v>81975936</v>
      </c>
      <c r="Z36" s="32">
        <f t="shared" si="12"/>
        <v>81983960</v>
      </c>
      <c r="AA36" s="32">
        <f t="shared" si="12"/>
        <v>81995900</v>
      </c>
      <c r="AB36" s="32">
        <f t="shared" si="12"/>
        <v>61975920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</v>
      </c>
      <c r="L40" s="3" t="str">
        <f t="shared" ref="L40:BM40" ca="1" si="14">IF(L$1 &lt; 1,L$2,"")</f>
        <v>Batchler, Wayne</v>
      </c>
      <c r="M40" s="3" t="str">
        <f t="shared" ca="1" si="14"/>
        <v>Blackmon, Vaughn</v>
      </c>
      <c r="N40" s="3" t="str">
        <f t="shared" ca="1" si="14"/>
        <v>Cochcroft, Art</v>
      </c>
      <c r="O40" s="3" t="str">
        <f t="shared" ca="1" si="14"/>
        <v>Crenshaw, Ed</v>
      </c>
      <c r="P40" s="3" t="str">
        <f t="shared" ca="1" si="14"/>
        <v>Gibson, Johnny</v>
      </c>
      <c r="Q40" s="3" t="str">
        <f t="shared" ca="1" si="14"/>
        <v>James, Larry</v>
      </c>
      <c r="R40" s="3" t="str">
        <f t="shared" ca="1" si="14"/>
        <v>Kieselhorst, Larry</v>
      </c>
      <c r="S40" s="3" t="str">
        <f t="shared" ca="1" si="14"/>
        <v>Knotts, Brian</v>
      </c>
      <c r="T40" s="3" t="str">
        <f t="shared" ca="1" si="14"/>
        <v>McGee, Steve</v>
      </c>
      <c r="U40" s="3" t="str">
        <f t="shared" ca="1" si="14"/>
        <v>McMahon, Pat</v>
      </c>
      <c r="V40" s="3" t="str">
        <f t="shared" ca="1" si="14"/>
        <v>Moxley, Dave</v>
      </c>
      <c r="W40" s="3" t="str">
        <f t="shared" ca="1" si="14"/>
        <v>Nguyen, Thai</v>
      </c>
      <c r="X40" s="3" t="str">
        <f t="shared" ca="1" si="14"/>
        <v>Nye, Mike</v>
      </c>
      <c r="Y40" s="3" t="str">
        <f t="shared" ca="1" si="14"/>
        <v>Reams, Byron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Chris;Batchler, Wayne;Blackmon, Vaughn;Cochcroft, Art;Crenshaw, Ed;Gibson, Johnny;James, Larry;Kieselhorst, Larry;Knotts, Brian;McGee, Steve;McMahon, Pat;Moxley, Dave;Nguyen, Thai;Nye, Mike;Reams,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M23">
    <cfRule type="cellIs" dxfId="225" priority="7" stopIfTrue="1" operator="equal">
      <formula>0</formula>
    </cfRule>
  </conditionalFormatting>
  <conditionalFormatting sqref="BF24:BM24">
    <cfRule type="cellIs" dxfId="224" priority="6" stopIfTrue="1" operator="equal">
      <formula>0</formula>
    </cfRule>
  </conditionalFormatting>
  <conditionalFormatting sqref="BF28:BM28">
    <cfRule type="cellIs" dxfId="22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84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Barker, Chris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</v>
      </c>
      <c r="Q2" s="4" t="str">
        <f t="shared" ca="1" si="0"/>
        <v>James, Larry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>
      <c r="A3" s="59">
        <v>1</v>
      </c>
      <c r="B3" s="67" t="s">
        <v>133</v>
      </c>
      <c r="C3" s="65"/>
      <c r="D3" s="64">
        <v>38</v>
      </c>
      <c r="E3" s="64">
        <f>IF(ISBLANK($D3),"0",IF(($D4-$D3)&lt;($C4-$C3),1,0))</f>
        <v>1</v>
      </c>
      <c r="F3" s="64">
        <f ca="1">COUNTA(INDIRECT("RC11:RC"&amp;11+playercnt-1,FALSE))</f>
        <v>10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264</v>
      </c>
      <c r="N3" s="69"/>
      <c r="O3" s="69"/>
      <c r="P3" s="69" t="s">
        <v>264</v>
      </c>
      <c r="Q3" s="69" t="s">
        <v>265</v>
      </c>
      <c r="R3" s="69"/>
      <c r="S3" s="69"/>
      <c r="T3" s="69" t="s">
        <v>265</v>
      </c>
      <c r="U3" s="69" t="s">
        <v>264</v>
      </c>
      <c r="V3" s="69" t="s">
        <v>265</v>
      </c>
      <c r="W3" s="69"/>
      <c r="X3" s="69" t="s">
        <v>264</v>
      </c>
      <c r="Y3" s="69" t="s">
        <v>265</v>
      </c>
      <c r="Z3" s="69" t="s">
        <v>265</v>
      </c>
      <c r="AA3" s="69"/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149</v>
      </c>
      <c r="C4" s="66">
        <v>10.5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265</v>
      </c>
      <c r="M4" s="70"/>
      <c r="N4" s="70" t="s">
        <v>265</v>
      </c>
      <c r="O4" s="70" t="s">
        <v>265</v>
      </c>
      <c r="P4" s="70"/>
      <c r="Q4" s="70"/>
      <c r="R4" s="70" t="s">
        <v>264</v>
      </c>
      <c r="S4" s="70" t="s">
        <v>266</v>
      </c>
      <c r="T4" s="70"/>
      <c r="U4" s="97"/>
      <c r="V4" s="70"/>
      <c r="W4" s="70" t="s">
        <v>264</v>
      </c>
      <c r="X4" s="70"/>
      <c r="Y4" s="70"/>
      <c r="Z4" s="70"/>
      <c r="AA4" s="70" t="s">
        <v>265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>
      <c r="A5" s="59">
        <v>2</v>
      </c>
      <c r="B5" s="67" t="s">
        <v>174</v>
      </c>
      <c r="C5" s="65"/>
      <c r="D5" s="64">
        <v>31</v>
      </c>
      <c r="E5" s="64">
        <f>IF(ISBLANK($D5),"0",IF(($D6-$D5)&lt;($C6-$C5),1,0))</f>
        <v>0</v>
      </c>
      <c r="F5" s="64">
        <f t="shared" ca="1" si="1"/>
        <v>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265</v>
      </c>
      <c r="M5" s="69"/>
      <c r="N5" s="69" t="s">
        <v>265</v>
      </c>
      <c r="O5" s="69" t="s">
        <v>265</v>
      </c>
      <c r="P5" s="69"/>
      <c r="Q5" s="69"/>
      <c r="R5" s="69" t="s">
        <v>264</v>
      </c>
      <c r="S5" s="69"/>
      <c r="T5" s="69"/>
      <c r="U5" s="96"/>
      <c r="V5" s="69" t="s">
        <v>265</v>
      </c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>
      <c r="A6" s="61" t="s">
        <v>3</v>
      </c>
      <c r="B6" s="68" t="s">
        <v>230</v>
      </c>
      <c r="C6" s="66">
        <v>10.5</v>
      </c>
      <c r="D6" s="64">
        <v>49</v>
      </c>
      <c r="E6" s="64">
        <f>IF(ISBLANK($D6),"0",IF(($D6-$D5)&gt;($C6-$C5),1,0))</f>
        <v>1</v>
      </c>
      <c r="F6" s="64">
        <f t="shared" ca="1" si="1"/>
        <v>13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/>
      <c r="M6" s="70" t="s">
        <v>264</v>
      </c>
      <c r="N6" s="70"/>
      <c r="O6" s="70"/>
      <c r="P6" s="70" t="s">
        <v>264</v>
      </c>
      <c r="Q6" s="70" t="s">
        <v>265</v>
      </c>
      <c r="R6" s="70"/>
      <c r="S6" s="70" t="s">
        <v>266</v>
      </c>
      <c r="T6" s="70" t="s">
        <v>265</v>
      </c>
      <c r="U6" s="70" t="s">
        <v>264</v>
      </c>
      <c r="V6" s="70"/>
      <c r="W6" s="70" t="s">
        <v>264</v>
      </c>
      <c r="X6" s="70" t="s">
        <v>264</v>
      </c>
      <c r="Y6" s="70" t="s">
        <v>265</v>
      </c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>
      <c r="A7" s="59">
        <v>3</v>
      </c>
      <c r="B7" s="67" t="s">
        <v>154</v>
      </c>
      <c r="C7" s="65"/>
      <c r="D7" s="64">
        <v>37</v>
      </c>
      <c r="E7" s="64">
        <f>IF(ISBLANK($D7),"0",IF(($D8-$D7)&lt;($C8-$C7),1,0))</f>
        <v>1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264</v>
      </c>
      <c r="L7" s="69"/>
      <c r="M7" s="69"/>
      <c r="N7" s="69"/>
      <c r="O7" s="69" t="s">
        <v>265</v>
      </c>
      <c r="P7" s="69"/>
      <c r="Q7" s="69"/>
      <c r="R7" s="96"/>
      <c r="S7" s="96"/>
      <c r="T7" s="96"/>
      <c r="U7" s="96"/>
      <c r="V7" s="69" t="s">
        <v>265</v>
      </c>
      <c r="W7" s="69"/>
      <c r="X7" s="69"/>
      <c r="Y7" s="69" t="s">
        <v>265</v>
      </c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143</v>
      </c>
      <c r="C8" s="66">
        <v>3.5</v>
      </c>
      <c r="D8" s="64">
        <v>0</v>
      </c>
      <c r="E8" s="64">
        <f>IF(ISBLANK($D8),"0",IF(($D8-$D7)&gt;($C8-$C7),1,0))</f>
        <v>0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265</v>
      </c>
      <c r="M8" s="70" t="s">
        <v>264</v>
      </c>
      <c r="N8" s="70" t="s">
        <v>265</v>
      </c>
      <c r="O8" s="70"/>
      <c r="P8" s="70" t="s">
        <v>264</v>
      </c>
      <c r="Q8" s="70" t="s">
        <v>265</v>
      </c>
      <c r="R8" s="97" t="s">
        <v>264</v>
      </c>
      <c r="S8" s="97" t="s">
        <v>266</v>
      </c>
      <c r="T8" s="97" t="s">
        <v>265</v>
      </c>
      <c r="U8" s="97" t="s">
        <v>264</v>
      </c>
      <c r="V8" s="70"/>
      <c r="W8" s="70" t="s">
        <v>264</v>
      </c>
      <c r="X8" s="70" t="s">
        <v>264</v>
      </c>
      <c r="Y8" s="70"/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>
      <c r="A9" s="59">
        <v>4</v>
      </c>
      <c r="B9" s="108" t="s">
        <v>225</v>
      </c>
      <c r="C9" s="65">
        <v>6.5</v>
      </c>
      <c r="D9" s="81">
        <v>6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/>
      <c r="M9" s="69" t="s">
        <v>264</v>
      </c>
      <c r="N9" s="69" t="s">
        <v>265</v>
      </c>
      <c r="O9" s="69"/>
      <c r="P9" s="69"/>
      <c r="Q9" s="69" t="s">
        <v>265</v>
      </c>
      <c r="R9" s="96" t="s">
        <v>264</v>
      </c>
      <c r="S9" s="96" t="s">
        <v>266</v>
      </c>
      <c r="T9" s="96" t="s">
        <v>265</v>
      </c>
      <c r="U9" s="96"/>
      <c r="V9" s="69" t="s">
        <v>265</v>
      </c>
      <c r="W9" s="69" t="s">
        <v>264</v>
      </c>
      <c r="X9" s="69" t="s">
        <v>264</v>
      </c>
      <c r="Y9" s="69" t="s">
        <v>265</v>
      </c>
      <c r="Z9" s="69" t="s">
        <v>265</v>
      </c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>
      <c r="A10" s="61" t="s">
        <v>3</v>
      </c>
      <c r="B10" s="68" t="s">
        <v>253</v>
      </c>
      <c r="C10" s="66"/>
      <c r="D10" s="64">
        <v>26</v>
      </c>
      <c r="E10" s="64">
        <f>IF(ISBLANK($D10),"0",IF(($D10-$D9)&gt;($C10-$C9),1,0))</f>
        <v>1</v>
      </c>
      <c r="F10" s="64">
        <f t="shared" ca="1" si="1"/>
        <v>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265</v>
      </c>
      <c r="M10" s="70"/>
      <c r="N10" s="70"/>
      <c r="O10" s="70" t="s">
        <v>265</v>
      </c>
      <c r="P10" s="70" t="s">
        <v>264</v>
      </c>
      <c r="Q10" s="70"/>
      <c r="R10" s="97"/>
      <c r="S10" s="97"/>
      <c r="T10" s="97"/>
      <c r="U10" s="70" t="s">
        <v>264</v>
      </c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>
      <c r="A11" s="59">
        <v>5</v>
      </c>
      <c r="B11" s="67" t="s">
        <v>139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 t="s">
        <v>265</v>
      </c>
      <c r="M11" s="69"/>
      <c r="N11" s="69" t="s">
        <v>265</v>
      </c>
      <c r="O11" s="69" t="s">
        <v>265</v>
      </c>
      <c r="P11" s="69"/>
      <c r="Q11" s="69"/>
      <c r="R11" s="96" t="s">
        <v>264</v>
      </c>
      <c r="S11" s="96"/>
      <c r="T11" s="96"/>
      <c r="U11" s="69" t="s">
        <v>264</v>
      </c>
      <c r="V11" s="69"/>
      <c r="W11" s="69"/>
      <c r="X11" s="69" t="s">
        <v>264</v>
      </c>
      <c r="Y11" s="69" t="s">
        <v>265</v>
      </c>
      <c r="Z11" s="69" t="s">
        <v>265</v>
      </c>
      <c r="AA11" s="69" t="s">
        <v>265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235</v>
      </c>
      <c r="C12" s="66">
        <v>3.5</v>
      </c>
      <c r="D12" s="64">
        <v>0</v>
      </c>
      <c r="E12" s="64">
        <f>IF(ISBLANK($D12),"0",IF(($D12-$D11)&gt;($C12-$C11),1,0))</f>
        <v>0</v>
      </c>
      <c r="F12" s="64">
        <f t="shared" ca="1" si="1"/>
        <v>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 t="s">
        <v>264</v>
      </c>
      <c r="L12" s="70"/>
      <c r="M12" s="70" t="s">
        <v>264</v>
      </c>
      <c r="N12" s="70"/>
      <c r="O12" s="70"/>
      <c r="P12" s="70" t="s">
        <v>264</v>
      </c>
      <c r="Q12" s="70" t="s">
        <v>265</v>
      </c>
      <c r="R12" s="97"/>
      <c r="S12" s="97" t="s">
        <v>266</v>
      </c>
      <c r="T12" s="97" t="s">
        <v>265</v>
      </c>
      <c r="U12" s="97"/>
      <c r="V12" s="70" t="s">
        <v>265</v>
      </c>
      <c r="W12" s="70" t="s">
        <v>264</v>
      </c>
      <c r="X12" s="70"/>
      <c r="Y12" s="70"/>
      <c r="Z12" s="70"/>
      <c r="AA12" s="70"/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>
      <c r="A13" s="59">
        <v>6</v>
      </c>
      <c r="B13" s="67" t="s">
        <v>203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264</v>
      </c>
      <c r="L13" s="69" t="s">
        <v>265</v>
      </c>
      <c r="M13" s="69"/>
      <c r="N13" s="69"/>
      <c r="O13" s="69" t="s">
        <v>265</v>
      </c>
      <c r="P13" s="69" t="s">
        <v>264</v>
      </c>
      <c r="Q13" s="69"/>
      <c r="R13" s="96"/>
      <c r="S13" s="96"/>
      <c r="T13" s="96" t="s">
        <v>265</v>
      </c>
      <c r="U13" s="69"/>
      <c r="V13" s="69"/>
      <c r="W13" s="69"/>
      <c r="X13" s="69" t="s">
        <v>264</v>
      </c>
      <c r="Y13" s="69"/>
      <c r="Z13" s="69" t="s">
        <v>265</v>
      </c>
      <c r="AA13" s="69"/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>
      <c r="A14" s="61" t="s">
        <v>3</v>
      </c>
      <c r="B14" s="68" t="s">
        <v>130</v>
      </c>
      <c r="C14" s="66">
        <v>10.5</v>
      </c>
      <c r="D14" s="64">
        <v>26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/>
      <c r="M14" s="70" t="s">
        <v>264</v>
      </c>
      <c r="N14" s="70" t="s">
        <v>265</v>
      </c>
      <c r="O14" s="70"/>
      <c r="P14" s="70"/>
      <c r="Q14" s="70" t="s">
        <v>265</v>
      </c>
      <c r="R14" s="97" t="s">
        <v>264</v>
      </c>
      <c r="S14" s="97" t="s">
        <v>266</v>
      </c>
      <c r="T14" s="97"/>
      <c r="U14" s="97" t="s">
        <v>264</v>
      </c>
      <c r="V14" s="70" t="s">
        <v>265</v>
      </c>
      <c r="W14" s="70" t="s">
        <v>264</v>
      </c>
      <c r="X14" s="70"/>
      <c r="Y14" s="70" t="s">
        <v>265</v>
      </c>
      <c r="Z14" s="70"/>
      <c r="AA14" s="70" t="s">
        <v>265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>
      <c r="A15" s="59">
        <v>7</v>
      </c>
      <c r="B15" s="67" t="s">
        <v>127</v>
      </c>
      <c r="C15" s="65">
        <v>7.5</v>
      </c>
      <c r="D15" s="64">
        <v>23</v>
      </c>
      <c r="E15" s="64">
        <f>IF(ISBLANK($D15),"0",IF(($D16-$D15)&lt;($C16-$C15),1,0))</f>
        <v>0</v>
      </c>
      <c r="F15" s="64">
        <f t="shared" ca="1" si="1"/>
        <v>16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/>
      <c r="N15" s="69" t="s">
        <v>265</v>
      </c>
      <c r="O15" s="69" t="s">
        <v>265</v>
      </c>
      <c r="P15" s="69" t="s">
        <v>264</v>
      </c>
      <c r="Q15" s="69" t="s">
        <v>265</v>
      </c>
      <c r="R15" s="96" t="s">
        <v>264</v>
      </c>
      <c r="S15" s="96" t="s">
        <v>266</v>
      </c>
      <c r="T15" s="96" t="s">
        <v>265</v>
      </c>
      <c r="U15" s="96" t="s">
        <v>264</v>
      </c>
      <c r="V15" s="69" t="s">
        <v>265</v>
      </c>
      <c r="W15" s="69" t="s">
        <v>264</v>
      </c>
      <c r="X15" s="69" t="s">
        <v>264</v>
      </c>
      <c r="Y15" s="69"/>
      <c r="Z15" s="69" t="s">
        <v>265</v>
      </c>
      <c r="AA15" s="69" t="s">
        <v>265</v>
      </c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186</v>
      </c>
      <c r="C16" s="66"/>
      <c r="D16" s="64">
        <v>45</v>
      </c>
      <c r="E16" s="64">
        <f>IF(ISBLANK($D16),"0",IF(($D16-$D15)&gt;($C16-$C15),1,0))</f>
        <v>1</v>
      </c>
      <c r="F16" s="64">
        <f t="shared" ca="1" si="1"/>
        <v>2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264</v>
      </c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 t="s">
        <v>265</v>
      </c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226</v>
      </c>
      <c r="C17" s="65">
        <v>7.5</v>
      </c>
      <c r="D17" s="64">
        <v>31</v>
      </c>
      <c r="E17" s="64">
        <f>IF(ISBLANK($D17),"0",IF(($D18-$D17)&lt;($C18-$C17),1,0))</f>
        <v>1</v>
      </c>
      <c r="F17" s="64">
        <f t="shared" ca="1" si="1"/>
        <v>15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 t="s">
        <v>264</v>
      </c>
      <c r="N17" s="69" t="s">
        <v>265</v>
      </c>
      <c r="O17" s="69" t="s">
        <v>265</v>
      </c>
      <c r="P17" s="69" t="s">
        <v>264</v>
      </c>
      <c r="Q17" s="69" t="s">
        <v>265</v>
      </c>
      <c r="R17" s="69" t="s">
        <v>264</v>
      </c>
      <c r="S17" s="69" t="s">
        <v>266</v>
      </c>
      <c r="T17" s="69" t="s">
        <v>265</v>
      </c>
      <c r="U17" s="69" t="s">
        <v>264</v>
      </c>
      <c r="V17" s="69" t="s">
        <v>265</v>
      </c>
      <c r="W17" s="69" t="s">
        <v>264</v>
      </c>
      <c r="X17" s="69" t="s">
        <v>264</v>
      </c>
      <c r="Y17" s="69"/>
      <c r="Z17" s="69" t="s">
        <v>265</v>
      </c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229</v>
      </c>
      <c r="C18" s="66"/>
      <c r="D18" s="64">
        <v>14</v>
      </c>
      <c r="E18" s="64">
        <f>IF(ISBLANK($D18),"0",IF(($D18-$D17)&gt;($C18-$C17),1,0))</f>
        <v>0</v>
      </c>
      <c r="F18" s="64">
        <f t="shared" ca="1" si="1"/>
        <v>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 t="s">
        <v>265</v>
      </c>
      <c r="Z18" s="70"/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>
      <c r="A19" s="59">
        <v>9</v>
      </c>
      <c r="B19" s="67" t="s">
        <v>142</v>
      </c>
      <c r="C19" s="65">
        <v>24.5</v>
      </c>
      <c r="D19" s="64">
        <v>7</v>
      </c>
      <c r="E19" s="64">
        <f>IF(ISBLANK($D19),"0",IF(($D20-$D19)&lt;($C20-$C19),1,0))</f>
        <v>0</v>
      </c>
      <c r="F19" s="64">
        <f t="shared" ca="1" si="1"/>
        <v>10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 t="s">
        <v>264</v>
      </c>
      <c r="N19" s="69" t="s">
        <v>265</v>
      </c>
      <c r="O19" s="69"/>
      <c r="P19" s="69" t="s">
        <v>264</v>
      </c>
      <c r="Q19" s="69"/>
      <c r="R19" s="69"/>
      <c r="S19" s="69" t="s">
        <v>266</v>
      </c>
      <c r="T19" s="69"/>
      <c r="U19" s="96" t="s">
        <v>264</v>
      </c>
      <c r="V19" s="69" t="s">
        <v>265</v>
      </c>
      <c r="W19" s="69" t="s">
        <v>264</v>
      </c>
      <c r="X19" s="69"/>
      <c r="Y19" s="69"/>
      <c r="Z19" s="69"/>
      <c r="AA19" s="69" t="s">
        <v>265</v>
      </c>
      <c r="AB19" s="69" t="s">
        <v>265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>
      <c r="A20" s="61" t="s">
        <v>3</v>
      </c>
      <c r="B20" s="68" t="s">
        <v>156</v>
      </c>
      <c r="C20" s="66"/>
      <c r="D20" s="64">
        <v>24</v>
      </c>
      <c r="E20" s="64">
        <f>IF(ISBLANK($D20),"0",IF(($D20-$D19)&gt;($C20-$C19),1,0))</f>
        <v>1</v>
      </c>
      <c r="F20" s="64">
        <f t="shared" ca="1" si="1"/>
        <v>8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265</v>
      </c>
      <c r="M20" s="70"/>
      <c r="N20" s="70"/>
      <c r="O20" s="70" t="s">
        <v>265</v>
      </c>
      <c r="P20" s="70"/>
      <c r="Q20" s="70" t="s">
        <v>265</v>
      </c>
      <c r="R20" s="70" t="s">
        <v>264</v>
      </c>
      <c r="S20" s="70"/>
      <c r="T20" s="70" t="s">
        <v>265</v>
      </c>
      <c r="U20" s="70"/>
      <c r="V20" s="70"/>
      <c r="W20" s="70"/>
      <c r="X20" s="70" t="s">
        <v>264</v>
      </c>
      <c r="Y20" s="70" t="s">
        <v>265</v>
      </c>
      <c r="Z20" s="70" t="s">
        <v>265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>
      <c r="A21" s="59">
        <v>10</v>
      </c>
      <c r="B21" s="67" t="s">
        <v>135</v>
      </c>
      <c r="C21" s="65">
        <v>4.5</v>
      </c>
      <c r="D21" s="64">
        <v>17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 t="s">
        <v>264</v>
      </c>
      <c r="N21" s="69" t="s">
        <v>265</v>
      </c>
      <c r="O21" s="69"/>
      <c r="P21" s="69"/>
      <c r="Q21" s="69" t="s">
        <v>265</v>
      </c>
      <c r="R21" s="69" t="s">
        <v>264</v>
      </c>
      <c r="S21" s="69" t="s">
        <v>266</v>
      </c>
      <c r="T21" s="69" t="s">
        <v>265</v>
      </c>
      <c r="U21" s="96" t="s">
        <v>264</v>
      </c>
      <c r="V21" s="69"/>
      <c r="W21" s="69"/>
      <c r="X21" s="69" t="s">
        <v>264</v>
      </c>
      <c r="Y21" s="69"/>
      <c r="Z21" s="69" t="s">
        <v>265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>
      <c r="A22" s="61" t="s">
        <v>3</v>
      </c>
      <c r="B22" s="68" t="s">
        <v>137</v>
      </c>
      <c r="C22" s="66"/>
      <c r="D22" s="64">
        <v>3</v>
      </c>
      <c r="E22" s="64">
        <f>IF(ISBLANK($D22),"0",IF(($D22-$D21)&gt;($C22-$C21),1,0))</f>
        <v>0</v>
      </c>
      <c r="F22" s="64">
        <f t="shared" ca="1" si="1"/>
        <v>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265</v>
      </c>
      <c r="P22" s="70" t="s">
        <v>264</v>
      </c>
      <c r="Q22" s="70"/>
      <c r="R22" s="70"/>
      <c r="S22" s="70"/>
      <c r="T22" s="70"/>
      <c r="U22" s="70"/>
      <c r="V22" s="70" t="s">
        <v>265</v>
      </c>
      <c r="W22" s="70" t="s">
        <v>264</v>
      </c>
      <c r="X22" s="70"/>
      <c r="Y22" s="70" t="s">
        <v>265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/>
      <c r="K23" s="78">
        <v>24</v>
      </c>
      <c r="L23" s="78">
        <v>27</v>
      </c>
      <c r="M23" s="78">
        <v>21</v>
      </c>
      <c r="N23" s="80">
        <v>38</v>
      </c>
      <c r="O23" s="78">
        <v>14</v>
      </c>
      <c r="P23" s="78">
        <v>24</v>
      </c>
      <c r="Q23" s="78">
        <v>28</v>
      </c>
      <c r="R23" s="78">
        <v>31</v>
      </c>
      <c r="S23" s="78"/>
      <c r="T23" s="78">
        <v>42</v>
      </c>
      <c r="U23" s="78">
        <v>27</v>
      </c>
      <c r="V23" s="78">
        <v>28</v>
      </c>
      <c r="W23" s="78">
        <v>27</v>
      </c>
      <c r="X23" s="78">
        <v>34</v>
      </c>
      <c r="Y23" s="78">
        <v>37</v>
      </c>
      <c r="Z23" s="78">
        <v>28</v>
      </c>
      <c r="AA23" s="78">
        <v>38</v>
      </c>
      <c r="AB23" s="78">
        <v>33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/>
      <c r="K24" s="79">
        <v>14</v>
      </c>
      <c r="L24" s="79">
        <v>21</v>
      </c>
      <c r="M24" s="79">
        <v>14</v>
      </c>
      <c r="N24" s="79">
        <v>17</v>
      </c>
      <c r="O24" s="79">
        <v>17</v>
      </c>
      <c r="P24" s="79">
        <v>21</v>
      </c>
      <c r="Q24" s="79">
        <v>21</v>
      </c>
      <c r="R24" s="79">
        <v>17</v>
      </c>
      <c r="S24" s="79"/>
      <c r="T24" s="79">
        <v>31</v>
      </c>
      <c r="U24" s="79">
        <v>21</v>
      </c>
      <c r="V24" s="79">
        <v>34</v>
      </c>
      <c r="W24" s="79">
        <v>28</v>
      </c>
      <c r="X24" s="79">
        <v>28</v>
      </c>
      <c r="Y24" s="79">
        <v>34</v>
      </c>
      <c r="Z24" s="79">
        <v>17</v>
      </c>
      <c r="AA24" s="79">
        <v>17</v>
      </c>
      <c r="AB24" s="79">
        <v>17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4</v>
      </c>
      <c r="Q25" s="36">
        <f t="shared" si="3"/>
        <v>6</v>
      </c>
      <c r="R25" s="36">
        <f t="shared" si="3"/>
        <v>5</v>
      </c>
      <c r="S25" s="36">
        <f t="shared" si="3"/>
        <v>4</v>
      </c>
      <c r="T25" s="36">
        <f t="shared" si="3"/>
        <v>5</v>
      </c>
      <c r="U25" s="36">
        <f t="shared" si="3"/>
        <v>7</v>
      </c>
      <c r="V25" s="36">
        <f t="shared" si="3"/>
        <v>4</v>
      </c>
      <c r="W25" s="36">
        <f t="shared" si="3"/>
        <v>3</v>
      </c>
      <c r="X25" s="36">
        <f t="shared" si="3"/>
        <v>6</v>
      </c>
      <c r="Y25" s="36">
        <f t="shared" si="3"/>
        <v>7</v>
      </c>
      <c r="Z25" s="36">
        <f t="shared" si="3"/>
        <v>7</v>
      </c>
      <c r="AA25" s="36">
        <f t="shared" si="3"/>
        <v>4</v>
      </c>
      <c r="AB25" s="36">
        <f t="shared" si="3"/>
        <v>3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O26" si="4">ABS((L23-L24)-($D21-$D22))</f>
        <v>8</v>
      </c>
      <c r="M26" s="71">
        <f t="shared" si="4"/>
        <v>7</v>
      </c>
      <c r="N26" s="71">
        <f t="shared" si="4"/>
        <v>7</v>
      </c>
      <c r="O26" s="71">
        <f t="shared" si="4"/>
        <v>17</v>
      </c>
      <c r="P26" s="71">
        <f t="shared" si="4"/>
        <v>11</v>
      </c>
      <c r="Q26" s="71">
        <f t="shared" si="4"/>
        <v>7</v>
      </c>
      <c r="R26" s="71">
        <f t="shared" si="4"/>
        <v>0</v>
      </c>
      <c r="S26" s="71">
        <f t="shared" si="4"/>
        <v>14</v>
      </c>
      <c r="T26" s="71">
        <f t="shared" si="4"/>
        <v>3</v>
      </c>
      <c r="U26" s="71">
        <f t="shared" si="4"/>
        <v>8</v>
      </c>
      <c r="V26" s="71">
        <f t="shared" si="4"/>
        <v>20</v>
      </c>
      <c r="W26" s="71">
        <f t="shared" si="4"/>
        <v>15</v>
      </c>
      <c r="X26" s="71">
        <f t="shared" si="4"/>
        <v>8</v>
      </c>
      <c r="Y26" s="71">
        <f t="shared" si="4"/>
        <v>11</v>
      </c>
      <c r="Z26" s="71">
        <f t="shared" si="4"/>
        <v>3</v>
      </c>
      <c r="AA26" s="71">
        <f t="shared" si="4"/>
        <v>7</v>
      </c>
      <c r="AB26" s="71">
        <f t="shared" si="4"/>
        <v>2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AO27" si="5">ABS(($D21+$D22)-(L23+L24))</f>
        <v>28</v>
      </c>
      <c r="M27" s="71">
        <f t="shared" si="5"/>
        <v>15</v>
      </c>
      <c r="N27" s="71">
        <f t="shared" si="5"/>
        <v>35</v>
      </c>
      <c r="O27" s="71">
        <f t="shared" si="5"/>
        <v>11</v>
      </c>
      <c r="P27" s="71">
        <f t="shared" si="5"/>
        <v>25</v>
      </c>
      <c r="Q27" s="71">
        <f t="shared" si="5"/>
        <v>29</v>
      </c>
      <c r="R27" s="71">
        <f t="shared" si="5"/>
        <v>28</v>
      </c>
      <c r="S27" s="71">
        <f t="shared" si="5"/>
        <v>20</v>
      </c>
      <c r="T27" s="71">
        <f t="shared" si="5"/>
        <v>53</v>
      </c>
      <c r="U27" s="71">
        <f t="shared" si="5"/>
        <v>28</v>
      </c>
      <c r="V27" s="71">
        <f t="shared" si="5"/>
        <v>42</v>
      </c>
      <c r="W27" s="71">
        <f t="shared" si="5"/>
        <v>35</v>
      </c>
      <c r="X27" s="71">
        <f t="shared" si="5"/>
        <v>42</v>
      </c>
      <c r="Y27" s="71">
        <f t="shared" si="5"/>
        <v>51</v>
      </c>
      <c r="Z27" s="71">
        <f t="shared" si="5"/>
        <v>25</v>
      </c>
      <c r="AA27" s="71">
        <f t="shared" si="5"/>
        <v>35</v>
      </c>
      <c r="AB27" s="71">
        <f t="shared" si="5"/>
        <v>30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0.49444444444444446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6</v>
      </c>
      <c r="U29" s="71">
        <f t="shared" si="7"/>
        <v>6</v>
      </c>
      <c r="V29" s="71">
        <f t="shared" si="7"/>
        <v>7</v>
      </c>
      <c r="W29" s="71">
        <f t="shared" si="7"/>
        <v>4</v>
      </c>
      <c r="X29" s="71">
        <f t="shared" si="7"/>
        <v>7</v>
      </c>
      <c r="Y29" s="71">
        <f t="shared" si="7"/>
        <v>4</v>
      </c>
      <c r="Z29" s="71">
        <f t="shared" si="7"/>
        <v>8</v>
      </c>
      <c r="AA29" s="71">
        <f t="shared" si="7"/>
        <v>5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2</v>
      </c>
      <c r="N30" s="73">
        <f t="shared" si="8"/>
        <v>2</v>
      </c>
      <c r="O30" s="73">
        <f t="shared" si="8"/>
        <v>7</v>
      </c>
      <c r="P30" s="73">
        <f t="shared" si="8"/>
        <v>4</v>
      </c>
      <c r="Q30" s="73">
        <f t="shared" si="8"/>
        <v>2</v>
      </c>
      <c r="R30" s="73">
        <f t="shared" si="8"/>
        <v>3</v>
      </c>
      <c r="S30" s="73">
        <f t="shared" si="8"/>
        <v>0</v>
      </c>
      <c r="T30" s="73">
        <f t="shared" si="8"/>
        <v>3</v>
      </c>
      <c r="U30" s="73">
        <f t="shared" si="8"/>
        <v>3</v>
      </c>
      <c r="V30" s="73">
        <f t="shared" si="8"/>
        <v>4</v>
      </c>
      <c r="W30" s="73">
        <f t="shared" si="8"/>
        <v>1</v>
      </c>
      <c r="X30" s="73">
        <f t="shared" si="8"/>
        <v>4</v>
      </c>
      <c r="Y30" s="73">
        <f t="shared" si="8"/>
        <v>7</v>
      </c>
      <c r="Z30" s="73">
        <f t="shared" si="8"/>
        <v>5</v>
      </c>
      <c r="AA30" s="73">
        <f t="shared" si="8"/>
        <v>2</v>
      </c>
      <c r="AB30" s="73">
        <f t="shared" si="8"/>
        <v>3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5.5</v>
      </c>
      <c r="M31" s="71">
        <f t="shared" ca="1" si="9"/>
        <v>1.5</v>
      </c>
      <c r="N31" s="71">
        <f t="shared" ca="1" si="9"/>
        <v>2.5</v>
      </c>
      <c r="O31" s="71">
        <f t="shared" ca="1" si="9"/>
        <v>7.5</v>
      </c>
      <c r="P31" s="71">
        <f t="shared" ca="1" si="9"/>
        <v>3.5</v>
      </c>
      <c r="Q31" s="71">
        <f t="shared" ca="1" si="9"/>
        <v>1.5</v>
      </c>
      <c r="R31" s="71">
        <f t="shared" ca="1" si="9"/>
        <v>3.5</v>
      </c>
      <c r="S31" s="71">
        <f t="shared" ca="1" si="9"/>
        <v>1.5</v>
      </c>
      <c r="T31" s="71">
        <f t="shared" ca="1" si="9"/>
        <v>2.5</v>
      </c>
      <c r="U31" s="71">
        <f t="shared" ca="1" si="9"/>
        <v>1.5</v>
      </c>
      <c r="V31" s="71">
        <f t="shared" ca="1" si="9"/>
        <v>3.5</v>
      </c>
      <c r="W31" s="71">
        <f t="shared" ca="1" si="9"/>
        <v>2.5</v>
      </c>
      <c r="X31" s="71">
        <f t="shared" ca="1" si="9"/>
        <v>2.5</v>
      </c>
      <c r="Y31" s="71">
        <f t="shared" ca="1" si="9"/>
        <v>5.5</v>
      </c>
      <c r="Z31" s="71">
        <f t="shared" ca="1" si="9"/>
        <v>3.5</v>
      </c>
      <c r="AA31" s="71">
        <f t="shared" ca="1" si="9"/>
        <v>2.5</v>
      </c>
      <c r="AB31" s="71">
        <f t="shared" ca="1" si="9"/>
        <v>2.5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81983928</v>
      </c>
      <c r="L36" s="32">
        <f t="shared" ref="L36:AO36" si="11">COUNTA(L23:L24)*((10000000*L25)+(1000000*(COUNTA(L21)*$E21+COUNTA(L22)*$E22))-(COUNTA($D$21:$D$22)*1000*L26)-(COUNTA($D$21:$D$22)*L27))</f>
        <v>101967888</v>
      </c>
      <c r="M36" s="32">
        <f t="shared" si="11"/>
        <v>121971940</v>
      </c>
      <c r="N36" s="32">
        <f t="shared" si="11"/>
        <v>81971860</v>
      </c>
      <c r="O36" s="32">
        <f t="shared" si="11"/>
        <v>99931956</v>
      </c>
      <c r="P36" s="32">
        <f t="shared" si="11"/>
        <v>79955900</v>
      </c>
      <c r="Q36" s="32">
        <f t="shared" si="11"/>
        <v>121971884</v>
      </c>
      <c r="R36" s="32">
        <f t="shared" si="11"/>
        <v>101999888</v>
      </c>
      <c r="S36" s="32">
        <f t="shared" si="11"/>
        <v>0</v>
      </c>
      <c r="T36" s="32">
        <f t="shared" si="11"/>
        <v>101987788</v>
      </c>
      <c r="U36" s="32">
        <f t="shared" si="11"/>
        <v>141967888</v>
      </c>
      <c r="V36" s="32">
        <f t="shared" si="11"/>
        <v>79919832</v>
      </c>
      <c r="W36" s="32">
        <f t="shared" si="11"/>
        <v>59939860</v>
      </c>
      <c r="X36" s="32">
        <f t="shared" si="11"/>
        <v>121967832</v>
      </c>
      <c r="Y36" s="32">
        <f t="shared" si="11"/>
        <v>139955796</v>
      </c>
      <c r="Z36" s="32">
        <f t="shared" si="11"/>
        <v>141987900</v>
      </c>
      <c r="AA36" s="32">
        <f t="shared" si="11"/>
        <v>81971860</v>
      </c>
      <c r="AB36" s="32">
        <f t="shared" si="11"/>
        <v>61991880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</v>
      </c>
      <c r="L40" s="3" t="str">
        <f t="shared" ref="L40:BM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</v>
      </c>
      <c r="Q40" s="3" t="str">
        <f t="shared" ca="1" si="13"/>
        <v>James, Larry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Chris;Batchler, Wayne;Blackmon, Vaughn;Cochcroft, Art;Crenshaw, Ed;Gibson, Johnny;James, Larry;Kieselhorst, Larry;Knotts, Brian;McGee, Steve;McMahon, Pat;Moxley, Dave;Nguyen, Thai;Nye, Mike;Reams,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5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214" priority="17" stopIfTrue="1" operator="equal">
      <formula>0</formula>
    </cfRule>
  </conditionalFormatting>
  <conditionalFormatting sqref="D26:J28 K28:BE28">
    <cfRule type="cellIs" dxfId="213" priority="16" stopIfTrue="1" operator="equal">
      <formula>1</formula>
    </cfRule>
  </conditionalFormatting>
  <conditionalFormatting sqref="H3:I3 F23 H5:I5 H7:I7 H9:I9 H11:I11 H13:I13 H15:I15 H17:I17 H19:I19 H21:I21">
    <cfRule type="cellIs" dxfId="212" priority="15" stopIfTrue="1" operator="equal">
      <formula>0</formula>
    </cfRule>
  </conditionalFormatting>
  <conditionalFormatting sqref="H4:I4 F24 H6:I6 H8:I8 H10:I10 H12:I12 H14:I14 H16:I16 H18:I18 H20:I20 H22:I22">
    <cfRule type="cellIs" dxfId="211" priority="14" stopIfTrue="1" operator="equal">
      <formula>0</formula>
    </cfRule>
  </conditionalFormatting>
  <conditionalFormatting sqref="F3 F5 F7 F9 F11 F13 F15 F17 F19 F21">
    <cfRule type="cellIs" dxfId="210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09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08" priority="10" stopIfTrue="1">
      <formula>AND(COUNTA(J4)=1,$E4=1,SUM($E3:$E4)=1)</formula>
    </cfRule>
    <cfRule type="expression" dxfId="207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206" priority="8" stopIfTrue="1">
      <formula>AND(COUNTA(J3)=1,$E3=1,SUM($E3:$E4)=1)</formula>
    </cfRule>
    <cfRule type="expression" dxfId="205" priority="9" stopIfTrue="1">
      <formula>AND(COUNTA(J3)=1,$E3=0,SUM($E3:$E4)=1)</formula>
    </cfRule>
  </conditionalFormatting>
  <conditionalFormatting sqref="BF23:BM23">
    <cfRule type="cellIs" dxfId="204" priority="7" stopIfTrue="1" operator="equal">
      <formula>0</formula>
    </cfRule>
  </conditionalFormatting>
  <conditionalFormatting sqref="BF24:BM24">
    <cfRule type="cellIs" dxfId="203" priority="6" stopIfTrue="1" operator="equal">
      <formula>0</formula>
    </cfRule>
  </conditionalFormatting>
  <conditionalFormatting sqref="BF28:BM28">
    <cfRule type="cellIs" dxfId="202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01" priority="3" stopIfTrue="1">
      <formula>AND(COUNTA(BF4)=1,$E4=1,SUM($E3:$E4)=1)</formula>
    </cfRule>
    <cfRule type="expression" dxfId="200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99" priority="1" stopIfTrue="1">
      <formula>AND(COUNTA(BF3)=1,$E3=1,SUM($E3:$E4)=1)</formula>
    </cfRule>
    <cfRule type="expression" dxfId="198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84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Barker, Chris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</v>
      </c>
      <c r="Q2" s="4" t="str">
        <f t="shared" ca="1" si="0"/>
        <v>James, Larry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>
      <c r="A3" s="59">
        <v>1</v>
      </c>
      <c r="B3" s="67" t="s">
        <v>143</v>
      </c>
      <c r="C3" s="65"/>
      <c r="D3" s="64">
        <v>18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265</v>
      </c>
      <c r="O3" s="69"/>
      <c r="P3" s="69" t="s">
        <v>264</v>
      </c>
      <c r="Q3" s="69" t="s">
        <v>265</v>
      </c>
      <c r="R3" s="69"/>
      <c r="S3" s="69"/>
      <c r="T3" s="69"/>
      <c r="U3" s="69"/>
      <c r="V3" s="69"/>
      <c r="W3" s="69" t="s">
        <v>264</v>
      </c>
      <c r="X3" s="69"/>
      <c r="Y3" s="69"/>
      <c r="Z3" s="69"/>
      <c r="AA3" s="69" t="s">
        <v>265</v>
      </c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168</v>
      </c>
      <c r="C4" s="66">
        <v>16.5</v>
      </c>
      <c r="D4" s="64">
        <v>20</v>
      </c>
      <c r="E4" s="64">
        <f>IF(ISBLANK($D4),"0",IF(($D4-$D3)&gt;($C4-$C3),1,0))</f>
        <v>0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265</v>
      </c>
      <c r="M4" s="70" t="s">
        <v>264</v>
      </c>
      <c r="N4" s="70"/>
      <c r="O4" s="70" t="s">
        <v>265</v>
      </c>
      <c r="P4" s="70"/>
      <c r="Q4" s="70"/>
      <c r="R4" s="70" t="s">
        <v>264</v>
      </c>
      <c r="S4" s="70" t="s">
        <v>265</v>
      </c>
      <c r="T4" s="70" t="s">
        <v>265</v>
      </c>
      <c r="U4" s="97" t="s">
        <v>264</v>
      </c>
      <c r="V4" s="70" t="s">
        <v>264</v>
      </c>
      <c r="W4" s="70"/>
      <c r="X4" s="70" t="s">
        <v>264</v>
      </c>
      <c r="Y4" s="70" t="s">
        <v>265</v>
      </c>
      <c r="Z4" s="70" t="s">
        <v>265</v>
      </c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>
      <c r="A5" s="59">
        <v>2</v>
      </c>
      <c r="B5" s="67" t="s">
        <v>124</v>
      </c>
      <c r="C5" s="65">
        <v>7.5</v>
      </c>
      <c r="D5" s="64">
        <v>31</v>
      </c>
      <c r="E5" s="64">
        <f>IF(ISBLANK($D5),"0",IF(($D6-$D5)&lt;($C6-$C5),1,0))</f>
        <v>1</v>
      </c>
      <c r="F5" s="64">
        <f t="shared" ca="1" si="1"/>
        <v>10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265</v>
      </c>
      <c r="M5" s="69" t="s">
        <v>264</v>
      </c>
      <c r="N5" s="69"/>
      <c r="O5" s="69"/>
      <c r="P5" s="69" t="s">
        <v>264</v>
      </c>
      <c r="Q5" s="69" t="s">
        <v>265</v>
      </c>
      <c r="R5" s="69" t="s">
        <v>264</v>
      </c>
      <c r="S5" s="69"/>
      <c r="T5" s="69" t="s">
        <v>265</v>
      </c>
      <c r="U5" s="96" t="s">
        <v>264</v>
      </c>
      <c r="V5" s="69"/>
      <c r="W5" s="69" t="s">
        <v>264</v>
      </c>
      <c r="X5" s="69" t="s">
        <v>264</v>
      </c>
      <c r="Y5" s="69" t="s">
        <v>265</v>
      </c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>
      <c r="A6" s="61" t="s">
        <v>3</v>
      </c>
      <c r="B6" s="68" t="s">
        <v>139</v>
      </c>
      <c r="C6" s="66"/>
      <c r="D6" s="64">
        <v>19</v>
      </c>
      <c r="E6" s="64">
        <f>IF(ISBLANK($D6),"0",IF(($D6-$D5)&gt;($C6-$C5),1,0))</f>
        <v>0</v>
      </c>
      <c r="F6" s="64">
        <f t="shared" ca="1" si="1"/>
        <v>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/>
      <c r="M6" s="70"/>
      <c r="N6" s="70" t="s">
        <v>265</v>
      </c>
      <c r="O6" s="70" t="s">
        <v>265</v>
      </c>
      <c r="P6" s="70"/>
      <c r="Q6" s="70"/>
      <c r="R6" s="70"/>
      <c r="S6" s="70" t="s">
        <v>265</v>
      </c>
      <c r="T6" s="70"/>
      <c r="U6" s="70"/>
      <c r="V6" s="70" t="s">
        <v>264</v>
      </c>
      <c r="W6" s="70"/>
      <c r="X6" s="70"/>
      <c r="Y6" s="70"/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>
      <c r="A7" s="59">
        <v>3</v>
      </c>
      <c r="B7" s="67" t="s">
        <v>195</v>
      </c>
      <c r="C7" s="65"/>
      <c r="D7" s="64">
        <v>24</v>
      </c>
      <c r="E7" s="64">
        <f>IF(ISBLANK($D7),"0",IF(($D8-$D7)&lt;($C8-$C7),1,0))</f>
        <v>1</v>
      </c>
      <c r="F7" s="64">
        <f t="shared" ca="1" si="1"/>
        <v>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/>
      <c r="Q7" s="69"/>
      <c r="R7" s="96" t="s">
        <v>264</v>
      </c>
      <c r="S7" s="96"/>
      <c r="T7" s="96"/>
      <c r="U7" s="96" t="s">
        <v>264</v>
      </c>
      <c r="V7" s="69"/>
      <c r="W7" s="69"/>
      <c r="X7" s="69"/>
      <c r="Y7" s="69"/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137</v>
      </c>
      <c r="C8" s="66">
        <v>6.5</v>
      </c>
      <c r="D8" s="64">
        <v>21</v>
      </c>
      <c r="E8" s="64">
        <f>IF(ISBLANK($D8),"0",IF(($D8-$D7)&gt;($C8-$C7),1,0))</f>
        <v>0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 t="s">
        <v>264</v>
      </c>
      <c r="N8" s="70" t="s">
        <v>265</v>
      </c>
      <c r="O8" s="70" t="s">
        <v>265</v>
      </c>
      <c r="P8" s="70" t="s">
        <v>264</v>
      </c>
      <c r="Q8" s="70" t="s">
        <v>265</v>
      </c>
      <c r="R8" s="97"/>
      <c r="S8" s="97" t="s">
        <v>265</v>
      </c>
      <c r="T8" s="97" t="s">
        <v>265</v>
      </c>
      <c r="U8" s="97"/>
      <c r="V8" s="70" t="s">
        <v>264</v>
      </c>
      <c r="W8" s="70" t="s">
        <v>264</v>
      </c>
      <c r="X8" s="70" t="s">
        <v>264</v>
      </c>
      <c r="Y8" s="70" t="s">
        <v>265</v>
      </c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>
      <c r="A9" s="59">
        <v>4</v>
      </c>
      <c r="B9" s="108" t="s">
        <v>175</v>
      </c>
      <c r="C9" s="65">
        <v>2.5</v>
      </c>
      <c r="D9" s="81">
        <v>24</v>
      </c>
      <c r="E9" s="64">
        <f>IF(ISBLANK($D9),"0",IF(($D10-$D9)&lt;($C10-$C9),1,0))</f>
        <v>1</v>
      </c>
      <c r="F9" s="64">
        <f t="shared" ca="1" si="1"/>
        <v>16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265</v>
      </c>
      <c r="M9" s="69" t="s">
        <v>264</v>
      </c>
      <c r="N9" s="69"/>
      <c r="O9" s="69" t="s">
        <v>265</v>
      </c>
      <c r="P9" s="69" t="s">
        <v>264</v>
      </c>
      <c r="Q9" s="69" t="s">
        <v>265</v>
      </c>
      <c r="R9" s="96" t="s">
        <v>264</v>
      </c>
      <c r="S9" s="96" t="s">
        <v>265</v>
      </c>
      <c r="T9" s="96" t="s">
        <v>265</v>
      </c>
      <c r="U9" s="96" t="s">
        <v>264</v>
      </c>
      <c r="V9" s="69" t="s">
        <v>264</v>
      </c>
      <c r="W9" s="69" t="s">
        <v>264</v>
      </c>
      <c r="X9" s="69" t="s">
        <v>264</v>
      </c>
      <c r="Y9" s="69" t="s">
        <v>265</v>
      </c>
      <c r="Z9" s="69" t="s">
        <v>265</v>
      </c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>
      <c r="A10" s="61" t="s">
        <v>3</v>
      </c>
      <c r="B10" s="68" t="s">
        <v>290</v>
      </c>
      <c r="C10" s="66"/>
      <c r="D10" s="64">
        <v>6</v>
      </c>
      <c r="E10" s="64">
        <f>IF(ISBLANK($D10),"0",IF(($D10-$D9)&gt;($C10-$C9),1,0))</f>
        <v>0</v>
      </c>
      <c r="F10" s="64">
        <f t="shared" ca="1" si="1"/>
        <v>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264</v>
      </c>
      <c r="L10" s="70"/>
      <c r="M10" s="70"/>
      <c r="N10" s="70" t="s">
        <v>265</v>
      </c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>
      <c r="A11" s="59">
        <v>5</v>
      </c>
      <c r="B11" s="67" t="s">
        <v>151</v>
      </c>
      <c r="C11" s="65">
        <v>8.5</v>
      </c>
      <c r="D11" s="64">
        <v>34</v>
      </c>
      <c r="E11" s="64">
        <f>IF(ISBLANK($D11),"0",IF(($D12-$D11)&lt;($C12-$C11),1,0))</f>
        <v>0</v>
      </c>
      <c r="F11" s="64">
        <f t="shared" ca="1" si="1"/>
        <v>11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264</v>
      </c>
      <c r="L11" s="69" t="s">
        <v>265</v>
      </c>
      <c r="M11" s="69" t="s">
        <v>264</v>
      </c>
      <c r="N11" s="69"/>
      <c r="O11" s="69"/>
      <c r="P11" s="69" t="s">
        <v>264</v>
      </c>
      <c r="Q11" s="69"/>
      <c r="R11" s="96" t="s">
        <v>264</v>
      </c>
      <c r="S11" s="96"/>
      <c r="T11" s="96" t="s">
        <v>265</v>
      </c>
      <c r="U11" s="69"/>
      <c r="V11" s="69" t="s">
        <v>264</v>
      </c>
      <c r="W11" s="69"/>
      <c r="X11" s="69" t="s">
        <v>264</v>
      </c>
      <c r="Y11" s="69"/>
      <c r="Z11" s="69" t="s">
        <v>265</v>
      </c>
      <c r="AA11" s="69" t="s">
        <v>265</v>
      </c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229</v>
      </c>
      <c r="C12" s="66"/>
      <c r="D12" s="64">
        <v>37</v>
      </c>
      <c r="E12" s="64">
        <f>IF(ISBLANK($D12),"0",IF(($D12-$D11)&gt;($C12-$C11),1,0))</f>
        <v>1</v>
      </c>
      <c r="F12" s="64">
        <f t="shared" ca="1" si="1"/>
        <v>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265</v>
      </c>
      <c r="O12" s="70" t="s">
        <v>265</v>
      </c>
      <c r="P12" s="70"/>
      <c r="Q12" s="70" t="s">
        <v>265</v>
      </c>
      <c r="R12" s="97"/>
      <c r="S12" s="97" t="s">
        <v>265</v>
      </c>
      <c r="T12" s="97"/>
      <c r="U12" s="97" t="s">
        <v>264</v>
      </c>
      <c r="V12" s="70"/>
      <c r="W12" s="70" t="s">
        <v>264</v>
      </c>
      <c r="X12" s="70"/>
      <c r="Y12" s="70" t="s">
        <v>265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>
      <c r="A13" s="59">
        <v>6</v>
      </c>
      <c r="B13" s="67" t="s">
        <v>128</v>
      </c>
      <c r="C13" s="65"/>
      <c r="D13" s="64">
        <v>27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264</v>
      </c>
      <c r="L13" s="69" t="s">
        <v>265</v>
      </c>
      <c r="M13" s="69" t="s">
        <v>264</v>
      </c>
      <c r="N13" s="69" t="s">
        <v>265</v>
      </c>
      <c r="O13" s="69" t="s">
        <v>265</v>
      </c>
      <c r="P13" s="69" t="s">
        <v>264</v>
      </c>
      <c r="Q13" s="69" t="s">
        <v>265</v>
      </c>
      <c r="R13" s="96" t="s">
        <v>264</v>
      </c>
      <c r="S13" s="96"/>
      <c r="T13" s="96"/>
      <c r="U13" s="69" t="s">
        <v>264</v>
      </c>
      <c r="V13" s="69" t="s">
        <v>264</v>
      </c>
      <c r="W13" s="69" t="s">
        <v>264</v>
      </c>
      <c r="X13" s="69"/>
      <c r="Y13" s="69"/>
      <c r="Z13" s="69" t="s">
        <v>265</v>
      </c>
      <c r="AA13" s="69" t="s">
        <v>265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>
      <c r="A14" s="61" t="s">
        <v>3</v>
      </c>
      <c r="B14" s="68" t="s">
        <v>218</v>
      </c>
      <c r="C14" s="66">
        <v>1.5</v>
      </c>
      <c r="D14" s="64">
        <v>30</v>
      </c>
      <c r="E14" s="64">
        <f>IF(ISBLANK($D14),"0",IF(($D14-$D13)&gt;($C14-$C13),1,0))</f>
        <v>1</v>
      </c>
      <c r="F14" s="64">
        <f t="shared" ca="1" si="1"/>
        <v>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 t="s">
        <v>265</v>
      </c>
      <c r="T14" s="97" t="s">
        <v>265</v>
      </c>
      <c r="U14" s="97"/>
      <c r="V14" s="70"/>
      <c r="W14" s="70"/>
      <c r="X14" s="70" t="s">
        <v>264</v>
      </c>
      <c r="Y14" s="70" t="s">
        <v>265</v>
      </c>
      <c r="Z14" s="70"/>
      <c r="AA14" s="70"/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>
      <c r="A15" s="59">
        <v>7</v>
      </c>
      <c r="B15" s="67" t="s">
        <v>156</v>
      </c>
      <c r="C15" s="65">
        <v>5.5</v>
      </c>
      <c r="D15" s="64">
        <v>30</v>
      </c>
      <c r="E15" s="64">
        <f>IF(ISBLANK($D15),"0",IF(($D16-$D15)&lt;($C16-$C15),1,0))</f>
        <v>0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/>
      <c r="M15" s="69" t="s">
        <v>264</v>
      </c>
      <c r="N15" s="69" t="s">
        <v>265</v>
      </c>
      <c r="O15" s="69"/>
      <c r="P15" s="69" t="s">
        <v>264</v>
      </c>
      <c r="Q15" s="69" t="s">
        <v>265</v>
      </c>
      <c r="R15" s="96" t="s">
        <v>264</v>
      </c>
      <c r="S15" s="96"/>
      <c r="T15" s="96" t="s">
        <v>265</v>
      </c>
      <c r="U15" s="96" t="s">
        <v>264</v>
      </c>
      <c r="V15" s="69" t="s">
        <v>264</v>
      </c>
      <c r="W15" s="69"/>
      <c r="X15" s="69" t="s">
        <v>264</v>
      </c>
      <c r="Y15" s="69"/>
      <c r="Z15" s="69" t="s">
        <v>265</v>
      </c>
      <c r="AA15" s="69" t="s">
        <v>265</v>
      </c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173</v>
      </c>
      <c r="C16" s="66"/>
      <c r="D16" s="64">
        <v>33</v>
      </c>
      <c r="E16" s="64">
        <f>IF(ISBLANK($D16),"0",IF(($D16-$D15)&gt;($C16-$C15),1,0))</f>
        <v>1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265</v>
      </c>
      <c r="M16" s="70"/>
      <c r="N16" s="70"/>
      <c r="O16" s="70" t="s">
        <v>265</v>
      </c>
      <c r="P16" s="70"/>
      <c r="Q16" s="70"/>
      <c r="R16" s="70"/>
      <c r="S16" s="70" t="s">
        <v>265</v>
      </c>
      <c r="T16" s="70"/>
      <c r="U16" s="70"/>
      <c r="V16" s="70"/>
      <c r="W16" s="70" t="s">
        <v>264</v>
      </c>
      <c r="X16" s="70"/>
      <c r="Y16" s="70" t="s">
        <v>265</v>
      </c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154</v>
      </c>
      <c r="C17" s="65"/>
      <c r="D17" s="64">
        <v>27</v>
      </c>
      <c r="E17" s="64">
        <f>IF(ISBLANK($D17),"0",IF(($D18-$D17)&lt;($C18-$C17),1,0))</f>
        <v>1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/>
      <c r="N17" s="69" t="s">
        <v>265</v>
      </c>
      <c r="O17" s="69"/>
      <c r="P17" s="69"/>
      <c r="Q17" s="69" t="s">
        <v>265</v>
      </c>
      <c r="R17" s="69" t="s">
        <v>264</v>
      </c>
      <c r="S17" s="69"/>
      <c r="T17" s="69" t="s">
        <v>265</v>
      </c>
      <c r="U17" s="69"/>
      <c r="V17" s="69" t="s">
        <v>264</v>
      </c>
      <c r="W17" s="69"/>
      <c r="X17" s="69" t="s">
        <v>264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291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264</v>
      </c>
      <c r="N18" s="70"/>
      <c r="O18" s="70" t="s">
        <v>265</v>
      </c>
      <c r="P18" s="70" t="s">
        <v>264</v>
      </c>
      <c r="Q18" s="70"/>
      <c r="R18" s="70"/>
      <c r="S18" s="70" t="s">
        <v>265</v>
      </c>
      <c r="T18" s="70"/>
      <c r="U18" s="97" t="s">
        <v>264</v>
      </c>
      <c r="V18" s="70"/>
      <c r="W18" s="70" t="s">
        <v>264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>
      <c r="A19" s="59">
        <v>9</v>
      </c>
      <c r="B19" s="67" t="s">
        <v>288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265</v>
      </c>
      <c r="O19" s="69"/>
      <c r="P19" s="69" t="s">
        <v>264</v>
      </c>
      <c r="Q19" s="69"/>
      <c r="R19" s="69" t="s">
        <v>264</v>
      </c>
      <c r="S19" s="69"/>
      <c r="T19" s="69" t="s">
        <v>265</v>
      </c>
      <c r="U19" s="96" t="s">
        <v>264</v>
      </c>
      <c r="V19" s="69" t="s">
        <v>264</v>
      </c>
      <c r="W19" s="69" t="s">
        <v>264</v>
      </c>
      <c r="X19" s="69" t="s">
        <v>264</v>
      </c>
      <c r="Y19" s="69"/>
      <c r="Z19" s="69" t="s">
        <v>265</v>
      </c>
      <c r="AA19" s="69" t="s">
        <v>265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>
      <c r="A20" s="61" t="s">
        <v>3</v>
      </c>
      <c r="B20" s="68" t="s">
        <v>191</v>
      </c>
      <c r="C20" s="66">
        <v>4.5</v>
      </c>
      <c r="D20" s="64">
        <v>35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265</v>
      </c>
      <c r="M20" s="70" t="s">
        <v>264</v>
      </c>
      <c r="N20" s="70"/>
      <c r="O20" s="70" t="s">
        <v>265</v>
      </c>
      <c r="P20" s="70"/>
      <c r="Q20" s="70" t="s">
        <v>265</v>
      </c>
      <c r="R20" s="70"/>
      <c r="S20" s="70" t="s">
        <v>265</v>
      </c>
      <c r="T20" s="70"/>
      <c r="U20" s="70"/>
      <c r="V20" s="70"/>
      <c r="W20" s="70"/>
      <c r="X20" s="70"/>
      <c r="Y20" s="70" t="s">
        <v>265</v>
      </c>
      <c r="Z20" s="70"/>
      <c r="AA20" s="70"/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>
      <c r="A21" s="59">
        <v>10</v>
      </c>
      <c r="B21" s="67" t="s">
        <v>232</v>
      </c>
      <c r="C21" s="65">
        <v>3.5</v>
      </c>
      <c r="D21" s="64">
        <v>17</v>
      </c>
      <c r="E21" s="64">
        <f>IF(ISBLANK($D21),"0",IF(($D22-$D21)&lt;($C22-$C21),1,0))</f>
        <v>0</v>
      </c>
      <c r="F21" s="64">
        <f t="shared" ca="1" si="1"/>
        <v>14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 t="s">
        <v>264</v>
      </c>
      <c r="N21" s="69"/>
      <c r="O21" s="69" t="s">
        <v>265</v>
      </c>
      <c r="P21" s="69" t="s">
        <v>264</v>
      </c>
      <c r="Q21" s="69"/>
      <c r="R21" s="69" t="s">
        <v>264</v>
      </c>
      <c r="S21" s="69" t="s">
        <v>265</v>
      </c>
      <c r="T21" s="69" t="s">
        <v>265</v>
      </c>
      <c r="U21" s="96" t="s">
        <v>264</v>
      </c>
      <c r="V21" s="69" t="s">
        <v>264</v>
      </c>
      <c r="W21" s="69" t="s">
        <v>264</v>
      </c>
      <c r="X21" s="69" t="s">
        <v>264</v>
      </c>
      <c r="Y21" s="69"/>
      <c r="Z21" s="69"/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>
      <c r="A22" s="61" t="s">
        <v>3</v>
      </c>
      <c r="B22" s="68" t="s">
        <v>140</v>
      </c>
      <c r="C22" s="66"/>
      <c r="D22" s="64">
        <v>20</v>
      </c>
      <c r="E22" s="64">
        <f>IF(ISBLANK($D22),"0",IF(($D22-$D21)&gt;($C22-$C21),1,0))</f>
        <v>1</v>
      </c>
      <c r="F22" s="64">
        <f t="shared" ca="1" si="1"/>
        <v>4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265</v>
      </c>
      <c r="O22" s="70"/>
      <c r="P22" s="70"/>
      <c r="Q22" s="70" t="s">
        <v>265</v>
      </c>
      <c r="R22" s="70"/>
      <c r="S22" s="70"/>
      <c r="T22" s="70"/>
      <c r="U22" s="70"/>
      <c r="V22" s="70"/>
      <c r="W22" s="70"/>
      <c r="X22" s="70"/>
      <c r="Y22" s="70" t="s">
        <v>265</v>
      </c>
      <c r="Z22" s="70" t="s">
        <v>265</v>
      </c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Florida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/>
      <c r="K23" s="78">
        <v>24</v>
      </c>
      <c r="L23" s="78">
        <v>35</v>
      </c>
      <c r="M23" s="78">
        <v>35</v>
      </c>
      <c r="N23" s="80">
        <v>31</v>
      </c>
      <c r="O23" s="78">
        <v>24</v>
      </c>
      <c r="P23" s="78">
        <v>28</v>
      </c>
      <c r="Q23" s="78">
        <v>24</v>
      </c>
      <c r="R23" s="78">
        <v>34</v>
      </c>
      <c r="S23" s="78">
        <v>36</v>
      </c>
      <c r="T23" s="78">
        <v>31</v>
      </c>
      <c r="U23" s="78">
        <v>28</v>
      </c>
      <c r="V23" s="78">
        <v>28</v>
      </c>
      <c r="W23" s="78">
        <v>31</v>
      </c>
      <c r="X23" s="78">
        <v>34</v>
      </c>
      <c r="Y23" s="78">
        <v>14</v>
      </c>
      <c r="Z23" s="78">
        <v>28</v>
      </c>
      <c r="AA23" s="78">
        <v>24</v>
      </c>
      <c r="AB23" s="78">
        <v>38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>
      <c r="A24" s="61"/>
      <c r="B24" s="68" t="str">
        <f>B22&amp; " - score"</f>
        <v>Tennessee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23</v>
      </c>
      <c r="G24" s="61"/>
      <c r="H24" s="62"/>
      <c r="I24" s="63"/>
      <c r="J24" s="79"/>
      <c r="K24" s="79">
        <v>17</v>
      </c>
      <c r="L24" s="79">
        <v>10</v>
      </c>
      <c r="M24" s="79">
        <v>28</v>
      </c>
      <c r="N24" s="79">
        <v>34</v>
      </c>
      <c r="O24" s="79">
        <v>17</v>
      </c>
      <c r="P24" s="79">
        <v>20</v>
      </c>
      <c r="Q24" s="79">
        <v>27</v>
      </c>
      <c r="R24" s="79">
        <v>27</v>
      </c>
      <c r="S24" s="79">
        <v>24</v>
      </c>
      <c r="T24" s="79">
        <v>27</v>
      </c>
      <c r="U24" s="79">
        <v>24</v>
      </c>
      <c r="V24" s="79">
        <v>24</v>
      </c>
      <c r="W24" s="79">
        <v>17</v>
      </c>
      <c r="X24" s="79">
        <v>21</v>
      </c>
      <c r="Y24" s="79">
        <v>16</v>
      </c>
      <c r="Z24" s="79">
        <v>34</v>
      </c>
      <c r="AA24" s="79">
        <v>16</v>
      </c>
      <c r="AB24" s="79">
        <v>23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1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3</v>
      </c>
      <c r="Q25" s="36">
        <f t="shared" si="3"/>
        <v>7</v>
      </c>
      <c r="R25" s="36">
        <f t="shared" si="3"/>
        <v>4</v>
      </c>
      <c r="S25" s="36">
        <f t="shared" si="3"/>
        <v>5</v>
      </c>
      <c r="T25" s="36">
        <f t="shared" si="3"/>
        <v>4</v>
      </c>
      <c r="U25" s="36">
        <f t="shared" si="3"/>
        <v>4</v>
      </c>
      <c r="V25" s="36">
        <f t="shared" si="3"/>
        <v>2</v>
      </c>
      <c r="W25" s="36">
        <f t="shared" si="3"/>
        <v>5</v>
      </c>
      <c r="X25" s="36">
        <f t="shared" si="3"/>
        <v>4</v>
      </c>
      <c r="Y25" s="36">
        <f t="shared" si="3"/>
        <v>8</v>
      </c>
      <c r="Z25" s="36">
        <f t="shared" si="3"/>
        <v>4</v>
      </c>
      <c r="AA25" s="36">
        <f t="shared" si="3"/>
        <v>3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AO26" si="4">ABS((L23-L24)-($D21-$D22))</f>
        <v>28</v>
      </c>
      <c r="M26" s="71">
        <f t="shared" si="4"/>
        <v>10</v>
      </c>
      <c r="N26" s="71">
        <f t="shared" si="4"/>
        <v>0</v>
      </c>
      <c r="O26" s="71">
        <f t="shared" si="4"/>
        <v>10</v>
      </c>
      <c r="P26" s="71">
        <f t="shared" si="4"/>
        <v>11</v>
      </c>
      <c r="Q26" s="71">
        <f t="shared" si="4"/>
        <v>0</v>
      </c>
      <c r="R26" s="71">
        <f t="shared" si="4"/>
        <v>10</v>
      </c>
      <c r="S26" s="71">
        <f t="shared" si="4"/>
        <v>15</v>
      </c>
      <c r="T26" s="71">
        <f t="shared" si="4"/>
        <v>7</v>
      </c>
      <c r="U26" s="71">
        <f t="shared" si="4"/>
        <v>7</v>
      </c>
      <c r="V26" s="71">
        <f t="shared" si="4"/>
        <v>7</v>
      </c>
      <c r="W26" s="71">
        <f t="shared" si="4"/>
        <v>17</v>
      </c>
      <c r="X26" s="71">
        <f t="shared" si="4"/>
        <v>16</v>
      </c>
      <c r="Y26" s="71">
        <f t="shared" si="4"/>
        <v>1</v>
      </c>
      <c r="Z26" s="71">
        <f t="shared" si="4"/>
        <v>3</v>
      </c>
      <c r="AA26" s="71">
        <f t="shared" si="4"/>
        <v>11</v>
      </c>
      <c r="AB26" s="71">
        <f t="shared" si="4"/>
        <v>18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O27" si="5">ABS(($D21+$D22)-(L23+L24))</f>
        <v>8</v>
      </c>
      <c r="M27" s="71">
        <f t="shared" si="5"/>
        <v>26</v>
      </c>
      <c r="N27" s="71">
        <f t="shared" si="5"/>
        <v>28</v>
      </c>
      <c r="O27" s="71">
        <f t="shared" si="5"/>
        <v>4</v>
      </c>
      <c r="P27" s="71">
        <f t="shared" si="5"/>
        <v>11</v>
      </c>
      <c r="Q27" s="71">
        <f t="shared" si="5"/>
        <v>14</v>
      </c>
      <c r="R27" s="71">
        <f t="shared" si="5"/>
        <v>24</v>
      </c>
      <c r="S27" s="71">
        <f t="shared" si="5"/>
        <v>23</v>
      </c>
      <c r="T27" s="71">
        <f t="shared" si="5"/>
        <v>21</v>
      </c>
      <c r="U27" s="71">
        <f t="shared" si="5"/>
        <v>15</v>
      </c>
      <c r="V27" s="71">
        <f t="shared" si="5"/>
        <v>15</v>
      </c>
      <c r="W27" s="71">
        <f t="shared" si="5"/>
        <v>11</v>
      </c>
      <c r="X27" s="71">
        <f t="shared" si="5"/>
        <v>18</v>
      </c>
      <c r="Y27" s="71">
        <f t="shared" si="5"/>
        <v>7</v>
      </c>
      <c r="Z27" s="71">
        <f t="shared" si="5"/>
        <v>25</v>
      </c>
      <c r="AA27" s="71">
        <f t="shared" si="5"/>
        <v>3</v>
      </c>
      <c r="AB27" s="71">
        <f t="shared" si="5"/>
        <v>24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>
        <f t="shared" ca="1" si="6"/>
        <v>1</v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0.41666666666666669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5</v>
      </c>
      <c r="O29" s="71">
        <f t="shared" si="7"/>
        <v>3</v>
      </c>
      <c r="P29" s="71">
        <f t="shared" si="7"/>
        <v>8</v>
      </c>
      <c r="Q29" s="71">
        <f t="shared" si="7"/>
        <v>6</v>
      </c>
      <c r="R29" s="71">
        <f t="shared" si="7"/>
        <v>9</v>
      </c>
      <c r="S29" s="71">
        <f t="shared" si="7"/>
        <v>2</v>
      </c>
      <c r="T29" s="71">
        <f t="shared" si="7"/>
        <v>7</v>
      </c>
      <c r="U29" s="71">
        <f t="shared" si="7"/>
        <v>7</v>
      </c>
      <c r="V29" s="71">
        <f t="shared" si="7"/>
        <v>7</v>
      </c>
      <c r="W29" s="71">
        <f t="shared" si="7"/>
        <v>6</v>
      </c>
      <c r="X29" s="71">
        <f t="shared" si="7"/>
        <v>7</v>
      </c>
      <c r="Y29" s="71">
        <f t="shared" si="7"/>
        <v>3</v>
      </c>
      <c r="Z29" s="71">
        <f t="shared" si="7"/>
        <v>7</v>
      </c>
      <c r="AA29" s="71">
        <f t="shared" si="7"/>
        <v>8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1</v>
      </c>
      <c r="N30" s="73">
        <f t="shared" si="8"/>
        <v>8</v>
      </c>
      <c r="O30" s="73">
        <f t="shared" si="8"/>
        <v>4</v>
      </c>
      <c r="P30" s="73">
        <f t="shared" si="8"/>
        <v>3</v>
      </c>
      <c r="Q30" s="73">
        <f t="shared" si="8"/>
        <v>5</v>
      </c>
      <c r="R30" s="73">
        <f t="shared" si="8"/>
        <v>4</v>
      </c>
      <c r="S30" s="73">
        <f t="shared" si="8"/>
        <v>3</v>
      </c>
      <c r="T30" s="73">
        <f t="shared" si="8"/>
        <v>2</v>
      </c>
      <c r="U30" s="73">
        <f t="shared" si="8"/>
        <v>4</v>
      </c>
      <c r="V30" s="73">
        <f t="shared" si="8"/>
        <v>4</v>
      </c>
      <c r="W30" s="73">
        <f t="shared" si="8"/>
        <v>5</v>
      </c>
      <c r="X30" s="73">
        <f t="shared" si="8"/>
        <v>2</v>
      </c>
      <c r="Y30" s="73">
        <f t="shared" si="8"/>
        <v>4</v>
      </c>
      <c r="Z30" s="73">
        <f t="shared" si="8"/>
        <v>6</v>
      </c>
      <c r="AA30" s="73">
        <f t="shared" si="8"/>
        <v>5</v>
      </c>
      <c r="AB30" s="73">
        <f t="shared" si="8"/>
        <v>3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5</v>
      </c>
      <c r="O31" s="71">
        <f t="shared" ca="1" si="9"/>
        <v>5</v>
      </c>
      <c r="P31" s="71">
        <f t="shared" ca="1" si="9"/>
        <v>2</v>
      </c>
      <c r="Q31" s="71">
        <f t="shared" ca="1" si="9"/>
        <v>4</v>
      </c>
      <c r="R31" s="71">
        <f t="shared" ca="1" si="9"/>
        <v>1</v>
      </c>
      <c r="S31" s="71">
        <f t="shared" ca="1" si="9"/>
        <v>6</v>
      </c>
      <c r="T31" s="71">
        <f t="shared" ca="1" si="9"/>
        <v>1</v>
      </c>
      <c r="U31" s="71">
        <f t="shared" ca="1" si="9"/>
        <v>3</v>
      </c>
      <c r="V31" s="71">
        <f t="shared" ca="1" si="9"/>
        <v>1</v>
      </c>
      <c r="W31" s="71">
        <f t="shared" ca="1" si="9"/>
        <v>4</v>
      </c>
      <c r="X31" s="71">
        <f t="shared" ca="1" si="9"/>
        <v>1</v>
      </c>
      <c r="Y31" s="71">
        <f t="shared" ca="1" si="9"/>
        <v>5</v>
      </c>
      <c r="Z31" s="71">
        <f t="shared" ca="1" si="9"/>
        <v>3</v>
      </c>
      <c r="AA31" s="71">
        <f t="shared" ca="1" si="9"/>
        <v>2</v>
      </c>
      <c r="AB31" s="71">
        <f t="shared" ca="1" si="9"/>
        <v>4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19959984</v>
      </c>
      <c r="L36" s="32">
        <f t="shared" ref="L36:AO36" si="11">COUNTA(L23:L24)*((10000000*L25)+(1000000*(COUNTA(L21)*$E21+COUNTA(L22)*$E22))-(COUNTA($D$21:$D$22)*1000*L26)-(COUNTA($D$21:$D$22)*L27))</f>
        <v>99887968</v>
      </c>
      <c r="M36" s="32">
        <f t="shared" si="11"/>
        <v>59959896</v>
      </c>
      <c r="N36" s="32">
        <f t="shared" si="11"/>
        <v>81999888</v>
      </c>
      <c r="O36" s="32">
        <f t="shared" si="11"/>
        <v>79959984</v>
      </c>
      <c r="P36" s="32">
        <f t="shared" si="11"/>
        <v>59955956</v>
      </c>
      <c r="Q36" s="32">
        <f t="shared" si="11"/>
        <v>141999944</v>
      </c>
      <c r="R36" s="32">
        <f t="shared" si="11"/>
        <v>79959904</v>
      </c>
      <c r="S36" s="32">
        <f t="shared" si="11"/>
        <v>99939908</v>
      </c>
      <c r="T36" s="32">
        <f t="shared" si="11"/>
        <v>79971916</v>
      </c>
      <c r="U36" s="32">
        <f t="shared" si="11"/>
        <v>79971940</v>
      </c>
      <c r="V36" s="32">
        <f t="shared" si="11"/>
        <v>39971940</v>
      </c>
      <c r="W36" s="32">
        <f t="shared" si="11"/>
        <v>99931956</v>
      </c>
      <c r="X36" s="32">
        <f t="shared" si="11"/>
        <v>79935928</v>
      </c>
      <c r="Y36" s="32">
        <f t="shared" si="11"/>
        <v>161995972</v>
      </c>
      <c r="Z36" s="32">
        <f t="shared" si="11"/>
        <v>81987900</v>
      </c>
      <c r="AA36" s="32">
        <f t="shared" si="11"/>
        <v>59955988</v>
      </c>
      <c r="AB36" s="32">
        <f t="shared" si="11"/>
        <v>99927904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</v>
      </c>
      <c r="L40" s="3" t="str">
        <f t="shared" ref="L40:BM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</v>
      </c>
      <c r="Q40" s="3" t="str">
        <f t="shared" ca="1" si="13"/>
        <v>James, Larry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Chris;Batchler, Wayne;Blackmon, Vaughn;Cochcroft, Art;Crenshaw, Ed;Gibson, Johnny;James, Larry;Kieselhorst, Larry;Knotts, Brian;McGee, Steve;McMahon, Pat;Moxley, Dave;Nguyen, Thai;Nye, Mike;Reams,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97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96" priority="17" stopIfTrue="1" operator="equal">
      <formula>0</formula>
    </cfRule>
  </conditionalFormatting>
  <conditionalFormatting sqref="D26:J28 K28:BE28">
    <cfRule type="cellIs" dxfId="195" priority="16" stopIfTrue="1" operator="equal">
      <formula>1</formula>
    </cfRule>
  </conditionalFormatting>
  <conditionalFormatting sqref="H3:I3 F23 H5:I5 H7:I7 H9:I9 H11:I11 H13:I13 H15:I15 H17:I17 H19:I19 H21:I21">
    <cfRule type="cellIs" dxfId="194" priority="15" stopIfTrue="1" operator="equal">
      <formula>0</formula>
    </cfRule>
  </conditionalFormatting>
  <conditionalFormatting sqref="H4:I4 F24 H6:I6 H8:I8 H10:I10 H12:I12 H14:I14 H16:I16 H18:I18 H20:I20 H22:I22">
    <cfRule type="cellIs" dxfId="193" priority="14" stopIfTrue="1" operator="equal">
      <formula>0</formula>
    </cfRule>
  </conditionalFormatting>
  <conditionalFormatting sqref="F3 F5 F7 F9 F11 F13 F15 F17 F19 F21">
    <cfRule type="cellIs" dxfId="192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1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0" priority="10" stopIfTrue="1">
      <formula>AND(COUNTA(J4)=1,$E4=1,SUM($E3:$E4)=1)</formula>
    </cfRule>
    <cfRule type="expression" dxfId="189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88" priority="8" stopIfTrue="1">
      <formula>AND(COUNTA(J3)=1,$E3=1,SUM($E3:$E4)=1)</formula>
    </cfRule>
    <cfRule type="expression" dxfId="187" priority="9" stopIfTrue="1">
      <formula>AND(COUNTA(J3)=1,$E3=0,SUM($E3:$E4)=1)</formula>
    </cfRule>
  </conditionalFormatting>
  <conditionalFormatting sqref="BF23:BM23">
    <cfRule type="cellIs" dxfId="186" priority="7" stopIfTrue="1" operator="equal">
      <formula>0</formula>
    </cfRule>
  </conditionalFormatting>
  <conditionalFormatting sqref="BF24:BM24">
    <cfRule type="cellIs" dxfId="185" priority="6" stopIfTrue="1" operator="equal">
      <formula>0</formula>
    </cfRule>
  </conditionalFormatting>
  <conditionalFormatting sqref="BF28:BM28">
    <cfRule type="cellIs" dxfId="184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83" priority="3" stopIfTrue="1">
      <formula>AND(COUNTA(BF4)=1,$E4=1,SUM($E3:$E4)=1)</formula>
    </cfRule>
    <cfRule type="expression" dxfId="182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81" priority="1" stopIfTrue="1">
      <formula>AND(COUNTA(BF3)=1,$E3=1,SUM($E3:$E4)=1)</formula>
    </cfRule>
    <cfRule type="expression" dxfId="180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84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Barker, Chris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</v>
      </c>
      <c r="Q2" s="4" t="str">
        <f t="shared" ca="1" si="0"/>
        <v>James, Larry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>
      <c r="A3" s="59">
        <v>1</v>
      </c>
      <c r="B3" s="67" t="s">
        <v>146</v>
      </c>
      <c r="C3" s="65">
        <v>2.5</v>
      </c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17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 t="s">
        <v>264</v>
      </c>
      <c r="N3" s="69" t="s">
        <v>265</v>
      </c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267</v>
      </c>
      <c r="T3" s="69" t="s">
        <v>265</v>
      </c>
      <c r="U3" s="69" t="s">
        <v>264</v>
      </c>
      <c r="V3" s="69"/>
      <c r="W3" s="69" t="s">
        <v>264</v>
      </c>
      <c r="X3" s="69" t="s">
        <v>265</v>
      </c>
      <c r="Y3" s="69" t="s">
        <v>265</v>
      </c>
      <c r="Z3" s="69" t="s">
        <v>265</v>
      </c>
      <c r="AA3" s="69" t="s">
        <v>265</v>
      </c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234</v>
      </c>
      <c r="C4" s="66"/>
      <c r="D4" s="64">
        <v>42</v>
      </c>
      <c r="E4" s="64">
        <f>IF(ISBLANK($D4),"0",IF(($D4-$D3)&gt;($C4-$C3),1,0))</f>
        <v>1</v>
      </c>
      <c r="F4" s="64">
        <f t="shared" ref="F4:F22" ca="1" si="1">COUNTA(INDIRECT("RC11:RC"&amp;11+playercnt-1,FALSE))</f>
        <v>1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 t="s">
        <v>264</v>
      </c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>
      <c r="A5" s="59">
        <v>2</v>
      </c>
      <c r="B5" s="67" t="s">
        <v>292</v>
      </c>
      <c r="C5" s="65"/>
      <c r="D5" s="64">
        <v>43</v>
      </c>
      <c r="E5" s="64">
        <f>IF(ISBLANK($D5),"0",IF(($D6-$D5)&lt;($C6-$C5),1,0))</f>
        <v>1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264</v>
      </c>
      <c r="L5" s="69" t="s">
        <v>265</v>
      </c>
      <c r="M5" s="69"/>
      <c r="N5" s="69"/>
      <c r="O5" s="69"/>
      <c r="P5" s="69" t="s">
        <v>264</v>
      </c>
      <c r="Q5" s="69" t="s">
        <v>265</v>
      </c>
      <c r="R5" s="69"/>
      <c r="S5" s="69"/>
      <c r="T5" s="69"/>
      <c r="U5" s="96"/>
      <c r="V5" s="69"/>
      <c r="W5" s="69"/>
      <c r="X5" s="69" t="s">
        <v>265</v>
      </c>
      <c r="Y5" s="69"/>
      <c r="Z5" s="69" t="s">
        <v>265</v>
      </c>
      <c r="AA5" s="69"/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>
      <c r="A6" s="61" t="s">
        <v>3</v>
      </c>
      <c r="B6" s="68" t="s">
        <v>151</v>
      </c>
      <c r="C6" s="66">
        <v>5.5</v>
      </c>
      <c r="D6" s="64">
        <v>21</v>
      </c>
      <c r="E6" s="64">
        <f>IF(ISBLANK($D6),"0",IF(($D6-$D5)&gt;($C6-$C5),1,0))</f>
        <v>0</v>
      </c>
      <c r="F6" s="64">
        <f t="shared" ca="1" si="1"/>
        <v>11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/>
      <c r="M6" s="70" t="s">
        <v>264</v>
      </c>
      <c r="N6" s="70" t="s">
        <v>265</v>
      </c>
      <c r="O6" s="70" t="s">
        <v>265</v>
      </c>
      <c r="P6" s="70"/>
      <c r="Q6" s="70"/>
      <c r="R6" s="70" t="s">
        <v>264</v>
      </c>
      <c r="S6" s="70" t="s">
        <v>267</v>
      </c>
      <c r="T6" s="70" t="s">
        <v>265</v>
      </c>
      <c r="U6" s="70" t="s">
        <v>264</v>
      </c>
      <c r="V6" s="70" t="s">
        <v>264</v>
      </c>
      <c r="W6" s="70" t="s">
        <v>264</v>
      </c>
      <c r="X6" s="70"/>
      <c r="Y6" s="70" t="s">
        <v>265</v>
      </c>
      <c r="Z6" s="70"/>
      <c r="AA6" s="70" t="s">
        <v>265</v>
      </c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>
      <c r="A7" s="59">
        <v>3</v>
      </c>
      <c r="B7" s="67" t="s">
        <v>233</v>
      </c>
      <c r="C7" s="65"/>
      <c r="D7" s="64">
        <v>35</v>
      </c>
      <c r="E7" s="64">
        <f>IF(ISBLANK($D7),"0",IF(($D8-$D7)&lt;($C8-$C7),1,0))</f>
        <v>1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265</v>
      </c>
      <c r="M7" s="69" t="s">
        <v>264</v>
      </c>
      <c r="N7" s="69" t="s">
        <v>265</v>
      </c>
      <c r="O7" s="69" t="s">
        <v>265</v>
      </c>
      <c r="P7" s="69"/>
      <c r="Q7" s="69" t="s">
        <v>265</v>
      </c>
      <c r="R7" s="96" t="s">
        <v>264</v>
      </c>
      <c r="S7" s="96"/>
      <c r="T7" s="96" t="s">
        <v>265</v>
      </c>
      <c r="U7" s="96"/>
      <c r="V7" s="69"/>
      <c r="W7" s="69" t="s">
        <v>264</v>
      </c>
      <c r="X7" s="69" t="s">
        <v>265</v>
      </c>
      <c r="Y7" s="69"/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232</v>
      </c>
      <c r="C8" s="66">
        <v>21.5</v>
      </c>
      <c r="D8" s="64">
        <v>51</v>
      </c>
      <c r="E8" s="64">
        <f>IF(ISBLANK($D8),"0",IF(($D8-$D7)&gt;($C8-$C7),1,0))</f>
        <v>0</v>
      </c>
      <c r="F8" s="64">
        <f t="shared" ca="1" si="1"/>
        <v>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264</v>
      </c>
      <c r="L8" s="70"/>
      <c r="M8" s="70"/>
      <c r="N8" s="70"/>
      <c r="O8" s="70"/>
      <c r="P8" s="70" t="s">
        <v>264</v>
      </c>
      <c r="Q8" s="70"/>
      <c r="R8" s="97"/>
      <c r="S8" s="97" t="s">
        <v>267</v>
      </c>
      <c r="T8" s="97"/>
      <c r="U8" s="97" t="s">
        <v>264</v>
      </c>
      <c r="V8" s="70" t="s">
        <v>264</v>
      </c>
      <c r="W8" s="70"/>
      <c r="X8" s="70"/>
      <c r="Y8" s="70" t="s">
        <v>265</v>
      </c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>
      <c r="A9" s="59">
        <v>4</v>
      </c>
      <c r="B9" s="108" t="s">
        <v>186</v>
      </c>
      <c r="C9" s="65"/>
      <c r="D9" s="81">
        <v>17</v>
      </c>
      <c r="E9" s="64">
        <f>IF(ISBLANK($D9),"0",IF(($D10-$D9)&lt;($C10-$C9),1,0))</f>
        <v>0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265</v>
      </c>
      <c r="M9" s="69"/>
      <c r="N9" s="69"/>
      <c r="O9" s="69"/>
      <c r="P9" s="69" t="s">
        <v>264</v>
      </c>
      <c r="Q9" s="69"/>
      <c r="R9" s="96" t="s">
        <v>264</v>
      </c>
      <c r="S9" s="96"/>
      <c r="T9" s="96" t="s">
        <v>265</v>
      </c>
      <c r="U9" s="96"/>
      <c r="V9" s="69"/>
      <c r="W9" s="69" t="s">
        <v>264</v>
      </c>
      <c r="X9" s="69" t="s">
        <v>265</v>
      </c>
      <c r="Y9" s="69" t="s">
        <v>265</v>
      </c>
      <c r="Z9" s="69"/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>
      <c r="A10" s="61" t="s">
        <v>3</v>
      </c>
      <c r="B10" s="68" t="s">
        <v>149</v>
      </c>
      <c r="C10" s="66">
        <v>9.5</v>
      </c>
      <c r="D10" s="64">
        <v>29</v>
      </c>
      <c r="E10" s="64">
        <f>IF(ISBLANK($D10),"0",IF(($D10-$D9)&gt;($C10-$C9),1,0))</f>
        <v>1</v>
      </c>
      <c r="F10" s="64">
        <f t="shared" ca="1" si="1"/>
        <v>10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264</v>
      </c>
      <c r="L10" s="70"/>
      <c r="M10" s="70" t="s">
        <v>264</v>
      </c>
      <c r="N10" s="70" t="s">
        <v>265</v>
      </c>
      <c r="O10" s="70" t="s">
        <v>265</v>
      </c>
      <c r="P10" s="70"/>
      <c r="Q10" s="70" t="s">
        <v>265</v>
      </c>
      <c r="R10" s="97"/>
      <c r="S10" s="97" t="s">
        <v>267</v>
      </c>
      <c r="T10" s="97"/>
      <c r="U10" s="70" t="s">
        <v>264</v>
      </c>
      <c r="V10" s="70" t="s">
        <v>264</v>
      </c>
      <c r="W10" s="70"/>
      <c r="X10" s="70"/>
      <c r="Y10" s="70"/>
      <c r="Z10" s="70" t="s">
        <v>265</v>
      </c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>
      <c r="A11" s="59">
        <v>5</v>
      </c>
      <c r="B11" s="67" t="s">
        <v>125</v>
      </c>
      <c r="C11" s="65"/>
      <c r="D11" s="64">
        <v>38</v>
      </c>
      <c r="E11" s="64">
        <f>IF(ISBLANK($D11),"0",IF(($D12-$D11)&lt;($C12-$C11),1,0))</f>
        <v>1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264</v>
      </c>
      <c r="L11" s="69" t="s">
        <v>265</v>
      </c>
      <c r="M11" s="69" t="s">
        <v>264</v>
      </c>
      <c r="N11" s="69" t="s">
        <v>265</v>
      </c>
      <c r="O11" s="69" t="s">
        <v>265</v>
      </c>
      <c r="P11" s="69"/>
      <c r="Q11" s="69" t="s">
        <v>265</v>
      </c>
      <c r="R11" s="96" t="s">
        <v>264</v>
      </c>
      <c r="S11" s="96"/>
      <c r="T11" s="96" t="s">
        <v>265</v>
      </c>
      <c r="U11" s="69"/>
      <c r="V11" s="69"/>
      <c r="W11" s="69"/>
      <c r="X11" s="69"/>
      <c r="Y11" s="69"/>
      <c r="Z11" s="69" t="s">
        <v>265</v>
      </c>
      <c r="AA11" s="69" t="s">
        <v>265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137</v>
      </c>
      <c r="C12" s="66">
        <v>2.5</v>
      </c>
      <c r="D12" s="64">
        <v>0</v>
      </c>
      <c r="E12" s="64">
        <f>IF(ISBLANK($D12),"0",IF(($D12-$D11)&gt;($C12-$C11),1,0))</f>
        <v>0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 t="s">
        <v>264</v>
      </c>
      <c r="Q12" s="70"/>
      <c r="R12" s="97"/>
      <c r="S12" s="97" t="s">
        <v>267</v>
      </c>
      <c r="T12" s="97"/>
      <c r="U12" s="97" t="s">
        <v>264</v>
      </c>
      <c r="V12" s="70" t="s">
        <v>264</v>
      </c>
      <c r="W12" s="70" t="s">
        <v>264</v>
      </c>
      <c r="X12" s="70" t="s">
        <v>265</v>
      </c>
      <c r="Y12" s="70" t="s">
        <v>265</v>
      </c>
      <c r="Z12" s="70"/>
      <c r="AA12" s="70"/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>
      <c r="A13" s="59">
        <v>6</v>
      </c>
      <c r="B13" s="67" t="s">
        <v>191</v>
      </c>
      <c r="C13" s="65"/>
      <c r="D13" s="64">
        <v>30</v>
      </c>
      <c r="E13" s="64">
        <f>IF(ISBLANK($D13),"0",IF(($D14-$D13)&lt;($C14-$C13),1,0))</f>
        <v>1</v>
      </c>
      <c r="F13" s="64">
        <f t="shared" ca="1" si="1"/>
        <v>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 t="s">
        <v>264</v>
      </c>
      <c r="N13" s="69" t="s">
        <v>265</v>
      </c>
      <c r="O13" s="69"/>
      <c r="P13" s="69" t="s">
        <v>264</v>
      </c>
      <c r="Q13" s="69"/>
      <c r="R13" s="96"/>
      <c r="S13" s="96"/>
      <c r="T13" s="96" t="s">
        <v>265</v>
      </c>
      <c r="U13" s="69"/>
      <c r="V13" s="69"/>
      <c r="W13" s="69" t="s">
        <v>264</v>
      </c>
      <c r="X13" s="69"/>
      <c r="Y13" s="69" t="s">
        <v>265</v>
      </c>
      <c r="Z13" s="69" t="s">
        <v>265</v>
      </c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>
      <c r="A14" s="61" t="s">
        <v>3</v>
      </c>
      <c r="B14" s="68" t="s">
        <v>127</v>
      </c>
      <c r="C14" s="66">
        <v>7.5</v>
      </c>
      <c r="D14" s="64">
        <v>31</v>
      </c>
      <c r="E14" s="64">
        <f>IF(ISBLANK($D14),"0",IF(($D14-$D13)&gt;($C14-$C13),1,0))</f>
        <v>0</v>
      </c>
      <c r="F14" s="64">
        <f t="shared" ca="1" si="1"/>
        <v>11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/>
      <c r="N14" s="70"/>
      <c r="O14" s="70" t="s">
        <v>265</v>
      </c>
      <c r="P14" s="70"/>
      <c r="Q14" s="70" t="s">
        <v>265</v>
      </c>
      <c r="R14" s="97" t="s">
        <v>264</v>
      </c>
      <c r="S14" s="97" t="s">
        <v>267</v>
      </c>
      <c r="T14" s="97"/>
      <c r="U14" s="97" t="s">
        <v>264</v>
      </c>
      <c r="V14" s="70" t="s">
        <v>264</v>
      </c>
      <c r="W14" s="70"/>
      <c r="X14" s="70" t="s">
        <v>265</v>
      </c>
      <c r="Y14" s="70"/>
      <c r="Z14" s="70"/>
      <c r="AA14" s="70" t="s">
        <v>265</v>
      </c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>
      <c r="A15" s="59">
        <v>7</v>
      </c>
      <c r="B15" s="67" t="s">
        <v>230</v>
      </c>
      <c r="C15" s="65">
        <v>6.5</v>
      </c>
      <c r="D15" s="64">
        <v>99</v>
      </c>
      <c r="E15" s="64">
        <f>IF(ISBLANK($D15),"0",IF(($D16-$D15)&lt;($C16-$C15),1,0))</f>
        <v>1</v>
      </c>
      <c r="F15" s="64">
        <f t="shared" ca="1" si="1"/>
        <v>18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 t="s">
        <v>264</v>
      </c>
      <c r="N15" s="69" t="s">
        <v>265</v>
      </c>
      <c r="O15" s="69" t="s">
        <v>265</v>
      </c>
      <c r="P15" s="69" t="s">
        <v>264</v>
      </c>
      <c r="Q15" s="69" t="s">
        <v>265</v>
      </c>
      <c r="R15" s="96" t="s">
        <v>264</v>
      </c>
      <c r="S15" s="96" t="s">
        <v>265</v>
      </c>
      <c r="T15" s="96" t="s">
        <v>265</v>
      </c>
      <c r="U15" s="96" t="s">
        <v>264</v>
      </c>
      <c r="V15" s="69" t="s">
        <v>265</v>
      </c>
      <c r="W15" s="69" t="s">
        <v>264</v>
      </c>
      <c r="X15" s="69" t="s">
        <v>265</v>
      </c>
      <c r="Y15" s="69" t="s">
        <v>265</v>
      </c>
      <c r="Z15" s="69" t="s">
        <v>265</v>
      </c>
      <c r="AA15" s="69" t="s">
        <v>265</v>
      </c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291</v>
      </c>
      <c r="C16" s="66"/>
      <c r="D16" s="64">
        <v>0</v>
      </c>
      <c r="E16" s="64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228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 t="s">
        <v>264</v>
      </c>
      <c r="N17" s="69"/>
      <c r="O17" s="69" t="s">
        <v>265</v>
      </c>
      <c r="P17" s="69" t="s">
        <v>264</v>
      </c>
      <c r="Q17" s="69" t="s">
        <v>265</v>
      </c>
      <c r="R17" s="69"/>
      <c r="S17" s="69"/>
      <c r="T17" s="69" t="s">
        <v>265</v>
      </c>
      <c r="U17" s="69" t="s">
        <v>264</v>
      </c>
      <c r="V17" s="69"/>
      <c r="W17" s="69" t="s">
        <v>264</v>
      </c>
      <c r="X17" s="69" t="s">
        <v>265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142</v>
      </c>
      <c r="C18" s="66">
        <v>16.5</v>
      </c>
      <c r="D18" s="64">
        <v>30</v>
      </c>
      <c r="E18" s="64">
        <f>IF(ISBLANK($D18),"0",IF(($D18-$D17)&gt;($C18-$C17),1,0))</f>
        <v>1</v>
      </c>
      <c r="F18" s="64">
        <f t="shared" ca="1" si="1"/>
        <v>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 t="s">
        <v>265</v>
      </c>
      <c r="O18" s="70"/>
      <c r="P18" s="70"/>
      <c r="Q18" s="70"/>
      <c r="R18" s="70" t="s">
        <v>264</v>
      </c>
      <c r="S18" s="70" t="s">
        <v>267</v>
      </c>
      <c r="T18" s="70"/>
      <c r="U18" s="97"/>
      <c r="V18" s="70" t="s">
        <v>264</v>
      </c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>
      <c r="A19" s="59">
        <v>9</v>
      </c>
      <c r="B19" s="67" t="s">
        <v>130</v>
      </c>
      <c r="C19" s="65"/>
      <c r="D19" s="64">
        <v>29</v>
      </c>
      <c r="E19" s="64">
        <f>IF(ISBLANK($D19),"0",IF(($D20-$D19)&lt;($C20-$C19),1,0))</f>
        <v>1</v>
      </c>
      <c r="F19" s="64">
        <f t="shared" ca="1" si="1"/>
        <v>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265</v>
      </c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 t="s">
        <v>265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>
      <c r="A20" s="61" t="s">
        <v>3</v>
      </c>
      <c r="B20" s="68" t="s">
        <v>143</v>
      </c>
      <c r="C20" s="66">
        <v>5.5</v>
      </c>
      <c r="D20" s="64">
        <v>19</v>
      </c>
      <c r="E20" s="64">
        <f>IF(ISBLANK($D20),"0",IF(($D20-$D19)&gt;($C20-$C19),1,0))</f>
        <v>0</v>
      </c>
      <c r="F20" s="64">
        <f t="shared" ca="1" si="1"/>
        <v>16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265</v>
      </c>
      <c r="M20" s="70" t="s">
        <v>264</v>
      </c>
      <c r="N20" s="70" t="s">
        <v>265</v>
      </c>
      <c r="O20" s="70"/>
      <c r="P20" s="70" t="s">
        <v>264</v>
      </c>
      <c r="Q20" s="70" t="s">
        <v>265</v>
      </c>
      <c r="R20" s="70" t="s">
        <v>264</v>
      </c>
      <c r="S20" s="70" t="s">
        <v>267</v>
      </c>
      <c r="T20" s="70" t="s">
        <v>265</v>
      </c>
      <c r="U20" s="70" t="s">
        <v>264</v>
      </c>
      <c r="V20" s="70" t="s">
        <v>264</v>
      </c>
      <c r="W20" s="70" t="s">
        <v>264</v>
      </c>
      <c r="X20" s="70" t="s">
        <v>265</v>
      </c>
      <c r="Y20" s="70" t="s">
        <v>265</v>
      </c>
      <c r="Z20" s="70" t="s">
        <v>265</v>
      </c>
      <c r="AA20" s="70"/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>
      <c r="A21" s="59">
        <v>10</v>
      </c>
      <c r="B21" s="67" t="s">
        <v>132</v>
      </c>
      <c r="C21" s="65"/>
      <c r="D21" s="64">
        <v>7</v>
      </c>
      <c r="E21" s="64">
        <f>IF(ISBLANK($D21),"0",IF(($D22-$D21)&lt;($C22-$C21),1,0))</f>
        <v>0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265</v>
      </c>
      <c r="M21" s="69" t="s">
        <v>264</v>
      </c>
      <c r="N21" s="69"/>
      <c r="O21" s="69"/>
      <c r="P21" s="69" t="s">
        <v>264</v>
      </c>
      <c r="Q21" s="69"/>
      <c r="R21" s="69" t="s">
        <v>264</v>
      </c>
      <c r="S21" s="69"/>
      <c r="T21" s="69"/>
      <c r="U21" s="96" t="s">
        <v>264</v>
      </c>
      <c r="V21" s="69" t="s">
        <v>264</v>
      </c>
      <c r="W21" s="69" t="s">
        <v>264</v>
      </c>
      <c r="X21" s="69" t="s">
        <v>265</v>
      </c>
      <c r="Y21" s="69" t="s">
        <v>265</v>
      </c>
      <c r="Z21" s="69"/>
      <c r="AA21" s="69"/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>
      <c r="A22" s="61" t="s">
        <v>3</v>
      </c>
      <c r="B22" s="68" t="s">
        <v>172</v>
      </c>
      <c r="C22" s="66">
        <v>12.5</v>
      </c>
      <c r="D22" s="64">
        <v>55</v>
      </c>
      <c r="E22" s="64">
        <f>IF(ISBLANK($D22),"0",IF(($D22-$D21)&gt;($C22-$C21),1,0))</f>
        <v>1</v>
      </c>
      <c r="F22" s="64">
        <f t="shared" ca="1" si="1"/>
        <v>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264</v>
      </c>
      <c r="L22" s="70"/>
      <c r="M22" s="70"/>
      <c r="N22" s="70" t="s">
        <v>265</v>
      </c>
      <c r="O22" s="70" t="s">
        <v>265</v>
      </c>
      <c r="P22" s="70"/>
      <c r="Q22" s="70" t="s">
        <v>265</v>
      </c>
      <c r="R22" s="70"/>
      <c r="S22" s="70" t="s">
        <v>267</v>
      </c>
      <c r="T22" s="70" t="s">
        <v>265</v>
      </c>
      <c r="U22" s="70"/>
      <c r="V22" s="70"/>
      <c r="W22" s="70"/>
      <c r="X22" s="70"/>
      <c r="Y22" s="70"/>
      <c r="Z22" s="70" t="s">
        <v>265</v>
      </c>
      <c r="AA22" s="70" t="s">
        <v>265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Washington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19</v>
      </c>
      <c r="G23" s="59"/>
      <c r="H23" s="59"/>
      <c r="I23" s="60"/>
      <c r="J23" s="78"/>
      <c r="K23" s="78">
        <v>14</v>
      </c>
      <c r="L23" s="78">
        <v>9</v>
      </c>
      <c r="M23" s="78">
        <v>21</v>
      </c>
      <c r="N23" s="80">
        <v>17</v>
      </c>
      <c r="O23" s="78">
        <v>13</v>
      </c>
      <c r="P23" s="78">
        <v>20</v>
      </c>
      <c r="Q23" s="78">
        <v>21</v>
      </c>
      <c r="R23" s="78">
        <v>17</v>
      </c>
      <c r="S23" s="78"/>
      <c r="T23" s="78">
        <v>10</v>
      </c>
      <c r="U23" s="78">
        <v>21</v>
      </c>
      <c r="V23" s="78">
        <v>21</v>
      </c>
      <c r="W23" s="78">
        <v>33</v>
      </c>
      <c r="X23" s="78">
        <v>32</v>
      </c>
      <c r="Y23" s="78">
        <v>27</v>
      </c>
      <c r="Z23" s="78">
        <v>17</v>
      </c>
      <c r="AA23" s="78">
        <v>13</v>
      </c>
      <c r="AB23" s="78">
        <v>21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>
      <c r="A24" s="61"/>
      <c r="B24" s="68" t="str">
        <f>B22&amp; " - score"</f>
        <v>Nebraska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27</v>
      </c>
      <c r="L24" s="79">
        <v>21</v>
      </c>
      <c r="M24" s="79">
        <v>24</v>
      </c>
      <c r="N24" s="79">
        <v>34</v>
      </c>
      <c r="O24" s="79">
        <v>31</v>
      </c>
      <c r="P24" s="79">
        <v>28</v>
      </c>
      <c r="Q24" s="79">
        <v>35</v>
      </c>
      <c r="R24" s="79">
        <v>24</v>
      </c>
      <c r="S24" s="79"/>
      <c r="T24" s="79">
        <v>24</v>
      </c>
      <c r="U24" s="79">
        <v>24</v>
      </c>
      <c r="V24" s="79">
        <v>24</v>
      </c>
      <c r="W24" s="79">
        <v>28</v>
      </c>
      <c r="X24" s="79">
        <v>36</v>
      </c>
      <c r="Y24" s="79">
        <v>34</v>
      </c>
      <c r="Z24" s="79">
        <v>31</v>
      </c>
      <c r="AA24" s="79">
        <v>31</v>
      </c>
      <c r="AB24" s="79">
        <v>27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6</v>
      </c>
      <c r="P25" s="36">
        <f t="shared" si="3"/>
        <v>3</v>
      </c>
      <c r="Q25" s="36">
        <f t="shared" si="3"/>
        <v>6</v>
      </c>
      <c r="R25" s="36">
        <f t="shared" si="3"/>
        <v>4</v>
      </c>
      <c r="S25" s="36">
        <f t="shared" si="3"/>
        <v>4</v>
      </c>
      <c r="T25" s="36">
        <f t="shared" si="3"/>
        <v>5</v>
      </c>
      <c r="U25" s="36">
        <f t="shared" si="3"/>
        <v>2</v>
      </c>
      <c r="V25" s="36">
        <f t="shared" si="3"/>
        <v>4</v>
      </c>
      <c r="W25" s="36">
        <f t="shared" si="3"/>
        <v>3</v>
      </c>
      <c r="X25" s="36">
        <f t="shared" si="3"/>
        <v>3</v>
      </c>
      <c r="Y25" s="36">
        <f t="shared" si="3"/>
        <v>2</v>
      </c>
      <c r="Z25" s="36">
        <f t="shared" si="3"/>
        <v>7</v>
      </c>
      <c r="AA25" s="36">
        <f t="shared" si="3"/>
        <v>5</v>
      </c>
      <c r="AB25" s="36">
        <f t="shared" si="3"/>
        <v>2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35</v>
      </c>
      <c r="L26" s="71">
        <f t="shared" ref="L26:AO26" si="4">ABS((L23-L24)-($D21-$D22))</f>
        <v>36</v>
      </c>
      <c r="M26" s="71">
        <f t="shared" si="4"/>
        <v>45</v>
      </c>
      <c r="N26" s="71">
        <f t="shared" si="4"/>
        <v>31</v>
      </c>
      <c r="O26" s="71">
        <f t="shared" si="4"/>
        <v>30</v>
      </c>
      <c r="P26" s="71">
        <f t="shared" si="4"/>
        <v>40</v>
      </c>
      <c r="Q26" s="71">
        <f t="shared" si="4"/>
        <v>34</v>
      </c>
      <c r="R26" s="71">
        <f t="shared" si="4"/>
        <v>41</v>
      </c>
      <c r="S26" s="71">
        <f t="shared" si="4"/>
        <v>48</v>
      </c>
      <c r="T26" s="71">
        <f t="shared" si="4"/>
        <v>34</v>
      </c>
      <c r="U26" s="71">
        <f t="shared" si="4"/>
        <v>45</v>
      </c>
      <c r="V26" s="71">
        <f t="shared" si="4"/>
        <v>45</v>
      </c>
      <c r="W26" s="71">
        <f t="shared" si="4"/>
        <v>53</v>
      </c>
      <c r="X26" s="71">
        <f t="shared" si="4"/>
        <v>44</v>
      </c>
      <c r="Y26" s="71">
        <f t="shared" si="4"/>
        <v>41</v>
      </c>
      <c r="Z26" s="71">
        <f t="shared" si="4"/>
        <v>34</v>
      </c>
      <c r="AA26" s="71">
        <f t="shared" si="4"/>
        <v>30</v>
      </c>
      <c r="AB26" s="71">
        <f t="shared" si="4"/>
        <v>42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AO27" si="5">ABS(($D21+$D22)-(L23+L24))</f>
        <v>32</v>
      </c>
      <c r="M27" s="71">
        <f t="shared" si="5"/>
        <v>17</v>
      </c>
      <c r="N27" s="71">
        <f t="shared" si="5"/>
        <v>11</v>
      </c>
      <c r="O27" s="71">
        <f t="shared" si="5"/>
        <v>18</v>
      </c>
      <c r="P27" s="71">
        <f t="shared" si="5"/>
        <v>14</v>
      </c>
      <c r="Q27" s="71">
        <f t="shared" si="5"/>
        <v>6</v>
      </c>
      <c r="R27" s="71">
        <f t="shared" si="5"/>
        <v>21</v>
      </c>
      <c r="S27" s="71">
        <f t="shared" si="5"/>
        <v>62</v>
      </c>
      <c r="T27" s="71">
        <f t="shared" si="5"/>
        <v>28</v>
      </c>
      <c r="U27" s="71">
        <f t="shared" si="5"/>
        <v>17</v>
      </c>
      <c r="V27" s="71">
        <f t="shared" si="5"/>
        <v>17</v>
      </c>
      <c r="W27" s="71">
        <f t="shared" si="5"/>
        <v>1</v>
      </c>
      <c r="X27" s="71">
        <f t="shared" si="5"/>
        <v>6</v>
      </c>
      <c r="Y27" s="71">
        <f t="shared" si="5"/>
        <v>1</v>
      </c>
      <c r="Z27" s="71">
        <f t="shared" si="5"/>
        <v>14</v>
      </c>
      <c r="AA27" s="71">
        <f t="shared" si="5"/>
        <v>18</v>
      </c>
      <c r="AB27" s="71">
        <f t="shared" si="5"/>
        <v>14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0.42777777777777776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8</v>
      </c>
      <c r="M29" s="71">
        <f t="shared" si="7"/>
        <v>7</v>
      </c>
      <c r="N29" s="71">
        <f t="shared" si="7"/>
        <v>5</v>
      </c>
      <c r="O29" s="71">
        <f t="shared" si="7"/>
        <v>6</v>
      </c>
      <c r="P29" s="71">
        <f t="shared" si="7"/>
        <v>7</v>
      </c>
      <c r="Q29" s="71">
        <f t="shared" si="7"/>
        <v>6</v>
      </c>
      <c r="R29" s="71">
        <f t="shared" si="7"/>
        <v>6</v>
      </c>
      <c r="S29" s="71">
        <f t="shared" si="7"/>
        <v>2</v>
      </c>
      <c r="T29" s="71">
        <f t="shared" si="7"/>
        <v>7</v>
      </c>
      <c r="U29" s="71">
        <f t="shared" si="7"/>
        <v>4</v>
      </c>
      <c r="V29" s="71">
        <f t="shared" si="7"/>
        <v>2</v>
      </c>
      <c r="W29" s="71">
        <f t="shared" si="7"/>
        <v>7</v>
      </c>
      <c r="X29" s="71">
        <f t="shared" si="7"/>
        <v>7</v>
      </c>
      <c r="Y29" s="71">
        <f t="shared" si="7"/>
        <v>6</v>
      </c>
      <c r="Z29" s="71">
        <f t="shared" si="7"/>
        <v>7</v>
      </c>
      <c r="AA29" s="71">
        <f t="shared" si="7"/>
        <v>5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-13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5</v>
      </c>
      <c r="N30" s="73">
        <f t="shared" si="8"/>
        <v>3</v>
      </c>
      <c r="O30" s="73">
        <f t="shared" si="8"/>
        <v>4</v>
      </c>
      <c r="P30" s="73">
        <f t="shared" si="8"/>
        <v>5</v>
      </c>
      <c r="Q30" s="73">
        <f t="shared" si="8"/>
        <v>4</v>
      </c>
      <c r="R30" s="73">
        <f t="shared" si="8"/>
        <v>4</v>
      </c>
      <c r="S30" s="73">
        <f t="shared" si="8"/>
        <v>0</v>
      </c>
      <c r="T30" s="73">
        <f t="shared" si="8"/>
        <v>5</v>
      </c>
      <c r="U30" s="73">
        <f t="shared" si="8"/>
        <v>2</v>
      </c>
      <c r="V30" s="73">
        <f t="shared" si="8"/>
        <v>2</v>
      </c>
      <c r="W30" s="73">
        <f t="shared" si="8"/>
        <v>5</v>
      </c>
      <c r="X30" s="73">
        <f t="shared" si="8"/>
        <v>5</v>
      </c>
      <c r="Y30" s="73">
        <f t="shared" si="8"/>
        <v>4</v>
      </c>
      <c r="Z30" s="73">
        <f t="shared" si="8"/>
        <v>5</v>
      </c>
      <c r="AA30" s="73">
        <f t="shared" si="8"/>
        <v>3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1</v>
      </c>
      <c r="N31" s="71">
        <f t="shared" ca="1" si="9"/>
        <v>3</v>
      </c>
      <c r="O31" s="71">
        <f t="shared" ca="1" si="9"/>
        <v>2</v>
      </c>
      <c r="P31" s="71">
        <f t="shared" ca="1" si="9"/>
        <v>5</v>
      </c>
      <c r="Q31" s="71">
        <f t="shared" ca="1" si="9"/>
        <v>2</v>
      </c>
      <c r="R31" s="71">
        <f t="shared" ca="1" si="9"/>
        <v>2</v>
      </c>
      <c r="S31" s="71">
        <f t="shared" ca="1" si="9"/>
        <v>4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3</v>
      </c>
      <c r="AB31" s="71">
        <f t="shared" ca="1" si="9"/>
        <v>4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101859916</v>
      </c>
      <c r="L36" s="32">
        <f t="shared" ref="L36:AO36" si="11">COUNTA(L23:L24)*((10000000*L25)+(1000000*(COUNTA(L21)*$E21+COUNTA(L22)*$E22))-(COUNTA($D$21:$D$22)*1000*L26)-(COUNTA($D$21:$D$22)*L27))</f>
        <v>79855872</v>
      </c>
      <c r="M36" s="32">
        <f t="shared" si="11"/>
        <v>99819932</v>
      </c>
      <c r="N36" s="32">
        <f t="shared" si="11"/>
        <v>141875956</v>
      </c>
      <c r="O36" s="32">
        <f t="shared" si="11"/>
        <v>121879928</v>
      </c>
      <c r="P36" s="32">
        <f t="shared" si="11"/>
        <v>59839944</v>
      </c>
      <c r="Q36" s="32">
        <f t="shared" si="11"/>
        <v>121863976</v>
      </c>
      <c r="R36" s="32">
        <f t="shared" si="11"/>
        <v>79835916</v>
      </c>
      <c r="S36" s="32">
        <f t="shared" si="11"/>
        <v>0</v>
      </c>
      <c r="T36" s="32">
        <f t="shared" si="11"/>
        <v>101863888</v>
      </c>
      <c r="U36" s="32">
        <f t="shared" si="11"/>
        <v>39819932</v>
      </c>
      <c r="V36" s="32">
        <f t="shared" si="11"/>
        <v>79819932</v>
      </c>
      <c r="W36" s="32">
        <f t="shared" si="11"/>
        <v>59787996</v>
      </c>
      <c r="X36" s="32">
        <f t="shared" si="11"/>
        <v>59823976</v>
      </c>
      <c r="Y36" s="32">
        <f t="shared" si="11"/>
        <v>39835996</v>
      </c>
      <c r="Z36" s="32">
        <f t="shared" si="11"/>
        <v>141863944</v>
      </c>
      <c r="AA36" s="32">
        <f t="shared" si="11"/>
        <v>101879928</v>
      </c>
      <c r="AB36" s="32">
        <f t="shared" si="11"/>
        <v>39831944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</v>
      </c>
      <c r="L40" s="3" t="str">
        <f t="shared" ref="L40:BM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</v>
      </c>
      <c r="Q40" s="3" t="str">
        <f t="shared" ca="1" si="13"/>
        <v>James, Larry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Chris;Batchler, Wayne;Blackmon, Vaughn;Cochcroft, Art;Crenshaw, Ed;Gibson, Johnny;James, Larry;Kieselhorst, Larry;Knotts, Brian;McGee, Steve;McMahon, Pat;Moxley, Dave;Nguyen, Thai;Nye, Mike;Reams,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79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78" priority="17" stopIfTrue="1" operator="equal">
      <formula>0</formula>
    </cfRule>
  </conditionalFormatting>
  <conditionalFormatting sqref="D26:J28 K28:BE28">
    <cfRule type="cellIs" dxfId="177" priority="16" stopIfTrue="1" operator="equal">
      <formula>1</formula>
    </cfRule>
  </conditionalFormatting>
  <conditionalFormatting sqref="H3:I3 F23 H5:I5 H7:I7 H9:I9 H11:I11 H13:I13 H15:I15 H17:I17 H19:I19 H21:I21">
    <cfRule type="cellIs" dxfId="176" priority="15" stopIfTrue="1" operator="equal">
      <formula>0</formula>
    </cfRule>
  </conditionalFormatting>
  <conditionalFormatting sqref="H4:I4 F24 H6:I6 H8:I8 H10:I10 H12:I12 H14:I14 H16:I16 H18:I18 H20:I20 H22:I22">
    <cfRule type="cellIs" dxfId="175" priority="14" stopIfTrue="1" operator="equal">
      <formula>0</formula>
    </cfRule>
  </conditionalFormatting>
  <conditionalFormatting sqref="F3 F5 F7 F9 F11 F13 F15 F17 F19 F21">
    <cfRule type="cellIs" dxfId="174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3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2" priority="10" stopIfTrue="1">
      <formula>AND(COUNTA(J4)=1,$E4=1,SUM($E3:$E4)=1)</formula>
    </cfRule>
    <cfRule type="expression" dxfId="171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70" priority="8" stopIfTrue="1">
      <formula>AND(COUNTA(J3)=1,$E3=1,SUM($E3:$E4)=1)</formula>
    </cfRule>
    <cfRule type="expression" dxfId="169" priority="9" stopIfTrue="1">
      <formula>AND(COUNTA(J3)=1,$E3=0,SUM($E3:$E4)=1)</formula>
    </cfRule>
  </conditionalFormatting>
  <conditionalFormatting sqref="BF23:BM23">
    <cfRule type="cellIs" dxfId="168" priority="7" stopIfTrue="1" operator="equal">
      <formula>0</formula>
    </cfRule>
  </conditionalFormatting>
  <conditionalFormatting sqref="BF24:BM24">
    <cfRule type="cellIs" dxfId="167" priority="6" stopIfTrue="1" operator="equal">
      <formula>0</formula>
    </cfRule>
  </conditionalFormatting>
  <conditionalFormatting sqref="BF28:BM28">
    <cfRule type="cellIs" dxfId="166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65" priority="3" stopIfTrue="1">
      <formula>AND(COUNTA(BF4)=1,$E4=1,SUM($E3:$E4)=1)</formula>
    </cfRule>
    <cfRule type="expression" dxfId="164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63" priority="1" stopIfTrue="1">
      <formula>AND(COUNTA(BF3)=1,$E3=1,SUM($E3:$E4)=1)</formula>
    </cfRule>
    <cfRule type="expression" dxfId="162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84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Barker, Chris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</v>
      </c>
      <c r="Q2" s="4" t="str">
        <f t="shared" ca="1" si="0"/>
        <v>James, Larry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>
      <c r="A3" s="59">
        <v>1</v>
      </c>
      <c r="B3" s="67" t="s">
        <v>140</v>
      </c>
      <c r="C3" s="65">
        <v>7.5</v>
      </c>
      <c r="D3" s="64">
        <v>17</v>
      </c>
      <c r="E3" s="64">
        <f>IF(ISBLANK($D3),"0",IF(($D4-$D3)&lt;($C4-$C3),1,0))</f>
        <v>1</v>
      </c>
      <c r="F3" s="64">
        <f ca="1">COUNTA(INDIRECT("RC11:RC"&amp;11+playercnt-1,FALSE))</f>
        <v>17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 t="s">
        <v>264</v>
      </c>
      <c r="N3" s="69" t="s">
        <v>265</v>
      </c>
      <c r="O3" s="69"/>
      <c r="P3" s="69" t="s">
        <v>264</v>
      </c>
      <c r="Q3" s="69" t="s">
        <v>265</v>
      </c>
      <c r="R3" s="69" t="s">
        <v>264</v>
      </c>
      <c r="S3" s="69" t="s">
        <v>265</v>
      </c>
      <c r="T3" s="69" t="s">
        <v>265</v>
      </c>
      <c r="U3" s="69" t="s">
        <v>264</v>
      </c>
      <c r="V3" s="69" t="s">
        <v>265</v>
      </c>
      <c r="W3" s="69" t="s">
        <v>264</v>
      </c>
      <c r="X3" s="69" t="s">
        <v>264</v>
      </c>
      <c r="Y3" s="69" t="s">
        <v>265</v>
      </c>
      <c r="Z3" s="69" t="s">
        <v>265</v>
      </c>
      <c r="AA3" s="69" t="s">
        <v>265</v>
      </c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139</v>
      </c>
      <c r="C4" s="66"/>
      <c r="D4" s="64">
        <v>9</v>
      </c>
      <c r="E4" s="64">
        <f>IF(ISBLANK($D4),"0",IF(($D4-$D3)&gt;($C4-$C3),1,0))</f>
        <v>0</v>
      </c>
      <c r="F4" s="64">
        <f t="shared" ref="F4:F22" ca="1" si="1">COUNTA(INDIRECT("RC11:RC"&amp;11+playercnt-1,FALSE))</f>
        <v>1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 t="s">
        <v>265</v>
      </c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>
      <c r="A5" s="59">
        <v>2</v>
      </c>
      <c r="B5" s="67" t="s">
        <v>137</v>
      </c>
      <c r="C5" s="65"/>
      <c r="D5" s="64">
        <v>28</v>
      </c>
      <c r="E5" s="64">
        <f>IF(ISBLANK($D5),"0",IF(($D6-$D5)&lt;($C6-$C5),1,0))</f>
        <v>1</v>
      </c>
      <c r="F5" s="64">
        <f t="shared" ca="1" si="1"/>
        <v>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 t="s">
        <v>264</v>
      </c>
      <c r="X5" s="69"/>
      <c r="Y5" s="69" t="s">
        <v>265</v>
      </c>
      <c r="Z5" s="69" t="s">
        <v>265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>
      <c r="A6" s="61" t="s">
        <v>3</v>
      </c>
      <c r="B6" s="68" t="s">
        <v>235</v>
      </c>
      <c r="C6" s="66">
        <v>9.5</v>
      </c>
      <c r="D6" s="64">
        <v>30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265</v>
      </c>
      <c r="M6" s="70" t="s">
        <v>264</v>
      </c>
      <c r="N6" s="70" t="s">
        <v>265</v>
      </c>
      <c r="O6" s="70" t="s">
        <v>265</v>
      </c>
      <c r="P6" s="70" t="s">
        <v>264</v>
      </c>
      <c r="Q6" s="70" t="s">
        <v>265</v>
      </c>
      <c r="R6" s="70" t="s">
        <v>264</v>
      </c>
      <c r="S6" s="70" t="s">
        <v>265</v>
      </c>
      <c r="T6" s="70" t="s">
        <v>265</v>
      </c>
      <c r="U6" s="70" t="s">
        <v>264</v>
      </c>
      <c r="V6" s="70" t="s">
        <v>265</v>
      </c>
      <c r="W6" s="70"/>
      <c r="X6" s="70" t="s">
        <v>264</v>
      </c>
      <c r="Y6" s="70"/>
      <c r="Z6" s="70"/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>
      <c r="A7" s="59">
        <v>3</v>
      </c>
      <c r="B7" s="67" t="s">
        <v>233</v>
      </c>
      <c r="C7" s="65"/>
      <c r="D7" s="64">
        <v>20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264</v>
      </c>
      <c r="N7" s="69" t="s">
        <v>265</v>
      </c>
      <c r="O7" s="69" t="s">
        <v>265</v>
      </c>
      <c r="P7" s="69" t="s">
        <v>264</v>
      </c>
      <c r="Q7" s="69"/>
      <c r="R7" s="96" t="s">
        <v>264</v>
      </c>
      <c r="S7" s="96"/>
      <c r="T7" s="96" t="s">
        <v>265</v>
      </c>
      <c r="U7" s="96"/>
      <c r="V7" s="69" t="s">
        <v>265</v>
      </c>
      <c r="W7" s="69"/>
      <c r="X7" s="69"/>
      <c r="Y7" s="69" t="s">
        <v>265</v>
      </c>
      <c r="Z7" s="69" t="s">
        <v>265</v>
      </c>
      <c r="AA7" s="69"/>
      <c r="AB7" s="69" t="s">
        <v>265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234</v>
      </c>
      <c r="C8" s="66">
        <v>3.5</v>
      </c>
      <c r="D8" s="64">
        <v>27</v>
      </c>
      <c r="E8" s="64">
        <f>IF(ISBLANK($D8),"0",IF(($D8-$D7)&gt;($C8-$C7),1,0))</f>
        <v>1</v>
      </c>
      <c r="F8" s="64">
        <f t="shared" ca="1" si="1"/>
        <v>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264</v>
      </c>
      <c r="L8" s="70" t="s">
        <v>265</v>
      </c>
      <c r="M8" s="70"/>
      <c r="N8" s="70"/>
      <c r="O8" s="70"/>
      <c r="P8" s="70"/>
      <c r="Q8" s="70" t="s">
        <v>265</v>
      </c>
      <c r="R8" s="97"/>
      <c r="S8" s="97" t="s">
        <v>265</v>
      </c>
      <c r="T8" s="97"/>
      <c r="U8" s="97" t="s">
        <v>264</v>
      </c>
      <c r="V8" s="70"/>
      <c r="W8" s="70" t="s">
        <v>264</v>
      </c>
      <c r="X8" s="70" t="s">
        <v>264</v>
      </c>
      <c r="Y8" s="70"/>
      <c r="Z8" s="70"/>
      <c r="AA8" s="70" t="s">
        <v>265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>
      <c r="A9" s="59">
        <v>4</v>
      </c>
      <c r="B9" s="108" t="s">
        <v>135</v>
      </c>
      <c r="C9" s="65"/>
      <c r="D9" s="81">
        <v>28</v>
      </c>
      <c r="E9" s="64">
        <f>IF(ISBLANK($D9),"0",IF(($D10-$D9)&lt;($C10-$C9),1,0))</f>
        <v>1</v>
      </c>
      <c r="F9" s="64">
        <f t="shared" ca="1" si="1"/>
        <v>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 t="s">
        <v>264</v>
      </c>
      <c r="L9" s="69"/>
      <c r="M9" s="69"/>
      <c r="N9" s="69" t="s">
        <v>265</v>
      </c>
      <c r="O9" s="69" t="s">
        <v>265</v>
      </c>
      <c r="P9" s="69"/>
      <c r="Q9" s="69"/>
      <c r="R9" s="96"/>
      <c r="S9" s="96" t="s">
        <v>265</v>
      </c>
      <c r="T9" s="96"/>
      <c r="U9" s="96"/>
      <c r="V9" s="69" t="s">
        <v>265</v>
      </c>
      <c r="W9" s="69" t="s">
        <v>264</v>
      </c>
      <c r="X9" s="69" t="s">
        <v>264</v>
      </c>
      <c r="Y9" s="69" t="s">
        <v>265</v>
      </c>
      <c r="Z9" s="69"/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>
      <c r="A10" s="61" t="s">
        <v>3</v>
      </c>
      <c r="B10" s="68" t="s">
        <v>124</v>
      </c>
      <c r="C10" s="66">
        <v>8.5</v>
      </c>
      <c r="D10" s="64">
        <v>27</v>
      </c>
      <c r="E10" s="64">
        <f>IF(ISBLANK($D10),"0",IF(($D10-$D9)&gt;($C10-$C9),1,0))</f>
        <v>0</v>
      </c>
      <c r="F10" s="64">
        <f t="shared" ca="1" si="1"/>
        <v>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 t="s">
        <v>265</v>
      </c>
      <c r="M10" s="70" t="s">
        <v>264</v>
      </c>
      <c r="N10" s="70"/>
      <c r="O10" s="70"/>
      <c r="P10" s="70" t="s">
        <v>264</v>
      </c>
      <c r="Q10" s="70" t="s">
        <v>265</v>
      </c>
      <c r="R10" s="97" t="s">
        <v>264</v>
      </c>
      <c r="S10" s="97"/>
      <c r="T10" s="97" t="s">
        <v>265</v>
      </c>
      <c r="U10" s="70" t="s">
        <v>264</v>
      </c>
      <c r="V10" s="70"/>
      <c r="W10" s="70"/>
      <c r="X10" s="70"/>
      <c r="Y10" s="70"/>
      <c r="Z10" s="70" t="s">
        <v>265</v>
      </c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>
      <c r="A11" s="59">
        <v>5</v>
      </c>
      <c r="B11" s="67" t="s">
        <v>143</v>
      </c>
      <c r="C11" s="65"/>
      <c r="D11" s="64">
        <v>14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 t="s">
        <v>265</v>
      </c>
      <c r="M11" s="69" t="s">
        <v>264</v>
      </c>
      <c r="N11" s="69"/>
      <c r="O11" s="69"/>
      <c r="P11" s="69"/>
      <c r="Q11" s="69" t="s">
        <v>265</v>
      </c>
      <c r="R11" s="96"/>
      <c r="S11" s="96"/>
      <c r="T11" s="96"/>
      <c r="U11" s="69" t="s">
        <v>264</v>
      </c>
      <c r="V11" s="69"/>
      <c r="W11" s="69"/>
      <c r="X11" s="69"/>
      <c r="Y11" s="69" t="s">
        <v>265</v>
      </c>
      <c r="Z11" s="69" t="s">
        <v>265</v>
      </c>
      <c r="AA11" s="69"/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151</v>
      </c>
      <c r="C12" s="66">
        <v>6.5</v>
      </c>
      <c r="D12" s="64">
        <v>21</v>
      </c>
      <c r="E12" s="64">
        <f>IF(ISBLANK($D12),"0",IF(($D12-$D11)&gt;($C12-$C11),1,0))</f>
        <v>1</v>
      </c>
      <c r="F12" s="64">
        <f t="shared" ca="1" si="1"/>
        <v>11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/>
      <c r="M12" s="70"/>
      <c r="N12" s="70" t="s">
        <v>265</v>
      </c>
      <c r="O12" s="70" t="s">
        <v>265</v>
      </c>
      <c r="P12" s="70" t="s">
        <v>264</v>
      </c>
      <c r="Q12" s="70"/>
      <c r="R12" s="97" t="s">
        <v>264</v>
      </c>
      <c r="S12" s="97" t="s">
        <v>265</v>
      </c>
      <c r="T12" s="97" t="s">
        <v>265</v>
      </c>
      <c r="U12" s="97"/>
      <c r="V12" s="70" t="s">
        <v>265</v>
      </c>
      <c r="W12" s="70" t="s">
        <v>264</v>
      </c>
      <c r="X12" s="70" t="s">
        <v>264</v>
      </c>
      <c r="Y12" s="70"/>
      <c r="Z12" s="70"/>
      <c r="AA12" s="70" t="s">
        <v>265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>
      <c r="A13" s="59">
        <v>6</v>
      </c>
      <c r="B13" s="67" t="s">
        <v>293</v>
      </c>
      <c r="C13" s="65"/>
      <c r="D13" s="64">
        <v>24</v>
      </c>
      <c r="E13" s="64">
        <f>IF(ISBLANK($D13),"0",IF(($D14-$D13)&lt;($C14-$C13),1,0))</f>
        <v>0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264</v>
      </c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 t="s">
        <v>265</v>
      </c>
      <c r="W13" s="69" t="s">
        <v>264</v>
      </c>
      <c r="X13" s="69" t="s">
        <v>264</v>
      </c>
      <c r="Y13" s="69"/>
      <c r="Z13" s="69"/>
      <c r="AA13" s="69" t="s">
        <v>265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>
      <c r="A14" s="61" t="s">
        <v>3</v>
      </c>
      <c r="B14" s="68" t="s">
        <v>228</v>
      </c>
      <c r="C14" s="66">
        <v>3.5</v>
      </c>
      <c r="D14" s="64">
        <v>35</v>
      </c>
      <c r="E14" s="64">
        <f>IF(ISBLANK($D14),"0",IF(($D14-$D13)&gt;($C14-$C13),1,0))</f>
        <v>1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 t="s">
        <v>265</v>
      </c>
      <c r="M14" s="70" t="s">
        <v>264</v>
      </c>
      <c r="N14" s="70" t="s">
        <v>265</v>
      </c>
      <c r="O14" s="70" t="s">
        <v>265</v>
      </c>
      <c r="P14" s="70" t="s">
        <v>264</v>
      </c>
      <c r="Q14" s="70" t="s">
        <v>265</v>
      </c>
      <c r="R14" s="97" t="s">
        <v>264</v>
      </c>
      <c r="S14" s="97" t="s">
        <v>265</v>
      </c>
      <c r="T14" s="97" t="s">
        <v>265</v>
      </c>
      <c r="U14" s="97" t="s">
        <v>264</v>
      </c>
      <c r="V14" s="70"/>
      <c r="W14" s="70"/>
      <c r="X14" s="70"/>
      <c r="Y14" s="70" t="s">
        <v>265</v>
      </c>
      <c r="Z14" s="70" t="s">
        <v>265</v>
      </c>
      <c r="AA14" s="70"/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>
      <c r="A15" s="59">
        <v>7</v>
      </c>
      <c r="B15" s="67" t="s">
        <v>172</v>
      </c>
      <c r="C15" s="65">
        <v>27.5</v>
      </c>
      <c r="D15" s="64">
        <v>24</v>
      </c>
      <c r="E15" s="64">
        <f>IF(ISBLANK($D15),"0",IF(($D16-$D15)&lt;($C16-$C15),1,0))</f>
        <v>0</v>
      </c>
      <c r="F15" s="64">
        <f t="shared" ca="1" si="1"/>
        <v>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264</v>
      </c>
      <c r="L15" s="69" t="s">
        <v>265</v>
      </c>
      <c r="M15" s="69"/>
      <c r="N15" s="69" t="s">
        <v>265</v>
      </c>
      <c r="O15" s="69"/>
      <c r="P15" s="69"/>
      <c r="Q15" s="69"/>
      <c r="R15" s="96" t="s">
        <v>264</v>
      </c>
      <c r="S15" s="96"/>
      <c r="T15" s="96"/>
      <c r="U15" s="96" t="s">
        <v>264</v>
      </c>
      <c r="V15" s="69"/>
      <c r="W15" s="69"/>
      <c r="X15" s="69" t="s">
        <v>264</v>
      </c>
      <c r="Y15" s="69"/>
      <c r="Z15" s="69"/>
      <c r="AA15" s="69" t="s">
        <v>265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294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11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/>
      <c r="M16" s="70" t="s">
        <v>264</v>
      </c>
      <c r="N16" s="70"/>
      <c r="O16" s="70" t="s">
        <v>265</v>
      </c>
      <c r="P16" s="70" t="s">
        <v>264</v>
      </c>
      <c r="Q16" s="70" t="s">
        <v>265</v>
      </c>
      <c r="R16" s="70"/>
      <c r="S16" s="70" t="s">
        <v>265</v>
      </c>
      <c r="T16" s="70" t="s">
        <v>265</v>
      </c>
      <c r="U16" s="70"/>
      <c r="V16" s="70" t="s">
        <v>265</v>
      </c>
      <c r="W16" s="70" t="s">
        <v>264</v>
      </c>
      <c r="X16" s="70"/>
      <c r="Y16" s="70" t="s">
        <v>265</v>
      </c>
      <c r="Z16" s="70" t="s">
        <v>265</v>
      </c>
      <c r="AA16" s="70"/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133</v>
      </c>
      <c r="C17" s="65">
        <v>11.5</v>
      </c>
      <c r="D17" s="64">
        <v>17</v>
      </c>
      <c r="E17" s="64">
        <f>IF(ISBLANK($D17),"0",IF(($D18-$D17)&lt;($C18-$C17),1,0))</f>
        <v>0</v>
      </c>
      <c r="F17" s="64">
        <f t="shared" ca="1" si="1"/>
        <v>11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/>
      <c r="N17" s="69" t="s">
        <v>265</v>
      </c>
      <c r="O17" s="69"/>
      <c r="P17" s="69"/>
      <c r="Q17" s="69"/>
      <c r="R17" s="69"/>
      <c r="S17" s="69"/>
      <c r="T17" s="69" t="s">
        <v>265</v>
      </c>
      <c r="U17" s="69" t="s">
        <v>264</v>
      </c>
      <c r="V17" s="69"/>
      <c r="W17" s="69" t="s">
        <v>264</v>
      </c>
      <c r="X17" s="69" t="s">
        <v>264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295</v>
      </c>
      <c r="C18" s="66"/>
      <c r="D18" s="64">
        <v>38</v>
      </c>
      <c r="E18" s="64">
        <f>IF(ISBLANK($D18),"0",IF(($D18-$D17)&gt;($C18-$C17),1,0))</f>
        <v>1</v>
      </c>
      <c r="F18" s="64">
        <f t="shared" ca="1" si="1"/>
        <v>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264</v>
      </c>
      <c r="N18" s="70"/>
      <c r="O18" s="70" t="s">
        <v>265</v>
      </c>
      <c r="P18" s="70" t="s">
        <v>264</v>
      </c>
      <c r="Q18" s="70" t="s">
        <v>265</v>
      </c>
      <c r="R18" s="70" t="s">
        <v>264</v>
      </c>
      <c r="S18" s="70" t="s">
        <v>265</v>
      </c>
      <c r="T18" s="70"/>
      <c r="U18" s="97"/>
      <c r="V18" s="70" t="s">
        <v>265</v>
      </c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>
      <c r="A19" s="59">
        <v>9</v>
      </c>
      <c r="B19" s="67" t="s">
        <v>226</v>
      </c>
      <c r="C19" s="65"/>
      <c r="D19" s="64">
        <v>31</v>
      </c>
      <c r="E19" s="64">
        <f>IF(ISBLANK($D19),"0",IF(($D20-$D19)&lt;($C20-$C19),1,0))</f>
        <v>1</v>
      </c>
      <c r="F19" s="64">
        <f t="shared" ca="1" si="1"/>
        <v>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 t="s">
        <v>264</v>
      </c>
      <c r="Q19" s="69"/>
      <c r="R19" s="69"/>
      <c r="S19" s="69"/>
      <c r="T19" s="69" t="s">
        <v>265</v>
      </c>
      <c r="U19" s="96" t="s">
        <v>264</v>
      </c>
      <c r="V19" s="69"/>
      <c r="W19" s="69"/>
      <c r="X19" s="69"/>
      <c r="Y19" s="69"/>
      <c r="Z19" s="69" t="s">
        <v>265</v>
      </c>
      <c r="AA19" s="69" t="s">
        <v>265</v>
      </c>
      <c r="AB19" s="69" t="s">
        <v>265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>
      <c r="A20" s="61" t="s">
        <v>3</v>
      </c>
      <c r="B20" s="68" t="s">
        <v>132</v>
      </c>
      <c r="C20" s="66">
        <v>2.5</v>
      </c>
      <c r="D20" s="64">
        <v>28</v>
      </c>
      <c r="E20" s="64">
        <f>IF(ISBLANK($D20),"0",IF(($D20-$D19)&gt;($C20-$C19),1,0))</f>
        <v>0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265</v>
      </c>
      <c r="M20" s="70" t="s">
        <v>264</v>
      </c>
      <c r="N20" s="70" t="s">
        <v>265</v>
      </c>
      <c r="O20" s="70" t="s">
        <v>265</v>
      </c>
      <c r="P20" s="70"/>
      <c r="Q20" s="70" t="s">
        <v>265</v>
      </c>
      <c r="R20" s="70" t="s">
        <v>264</v>
      </c>
      <c r="S20" s="70" t="s">
        <v>265</v>
      </c>
      <c r="T20" s="70"/>
      <c r="U20" s="70"/>
      <c r="V20" s="70" t="s">
        <v>265</v>
      </c>
      <c r="W20" s="70" t="s">
        <v>264</v>
      </c>
      <c r="X20" s="70" t="s">
        <v>264</v>
      </c>
      <c r="Y20" s="70" t="s">
        <v>265</v>
      </c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>
      <c r="A21" s="59">
        <v>10</v>
      </c>
      <c r="B21" s="67" t="s">
        <v>296</v>
      </c>
      <c r="C21" s="65"/>
      <c r="D21" s="64">
        <v>9</v>
      </c>
      <c r="E21" s="64">
        <f>IF(ISBLANK($D21),"0",IF(($D22-$D21)&lt;($C22-$C21),1,0))</f>
        <v>0</v>
      </c>
      <c r="F21" s="64">
        <f t="shared" ca="1" si="1"/>
        <v>13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265</v>
      </c>
      <c r="M21" s="69" t="s">
        <v>264</v>
      </c>
      <c r="N21" s="69" t="s">
        <v>265</v>
      </c>
      <c r="O21" s="69" t="s">
        <v>265</v>
      </c>
      <c r="P21" s="69" t="s">
        <v>264</v>
      </c>
      <c r="Q21" s="69" t="s">
        <v>265</v>
      </c>
      <c r="R21" s="69" t="s">
        <v>264</v>
      </c>
      <c r="S21" s="69"/>
      <c r="T21" s="69" t="s">
        <v>265</v>
      </c>
      <c r="U21" s="96"/>
      <c r="V21" s="69" t="s">
        <v>265</v>
      </c>
      <c r="W21" s="69" t="s">
        <v>264</v>
      </c>
      <c r="X21" s="69" t="s">
        <v>264</v>
      </c>
      <c r="Y21" s="69" t="s">
        <v>265</v>
      </c>
      <c r="Z21" s="69"/>
      <c r="AA21" s="69"/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>
      <c r="A22" s="61" t="s">
        <v>3</v>
      </c>
      <c r="B22" s="68" t="s">
        <v>297</v>
      </c>
      <c r="C22" s="66">
        <v>13.5</v>
      </c>
      <c r="D22" s="64">
        <v>28</v>
      </c>
      <c r="E22" s="64">
        <f>IF(ISBLANK($D22),"0",IF(($D22-$D21)&gt;($C22-$C21),1,0))</f>
        <v>1</v>
      </c>
      <c r="F22" s="64">
        <f t="shared" ca="1" si="1"/>
        <v>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264</v>
      </c>
      <c r="L22" s="70"/>
      <c r="M22" s="70"/>
      <c r="N22" s="70"/>
      <c r="O22" s="70"/>
      <c r="P22" s="70"/>
      <c r="Q22" s="70"/>
      <c r="R22" s="70"/>
      <c r="S22" s="70" t="s">
        <v>265</v>
      </c>
      <c r="T22" s="70"/>
      <c r="U22" s="70" t="s">
        <v>264</v>
      </c>
      <c r="V22" s="70"/>
      <c r="W22" s="70"/>
      <c r="X22" s="70"/>
      <c r="Y22" s="70"/>
      <c r="Z22" s="70" t="s">
        <v>265</v>
      </c>
      <c r="AA22" s="70" t="s">
        <v>265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Penn St.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18</v>
      </c>
      <c r="G23" s="59"/>
      <c r="H23" s="59"/>
      <c r="I23" s="60"/>
      <c r="J23" s="78"/>
      <c r="K23" s="78">
        <v>13</v>
      </c>
      <c r="L23" s="78">
        <v>21</v>
      </c>
      <c r="M23" s="78">
        <v>17</v>
      </c>
      <c r="N23" s="80">
        <v>17</v>
      </c>
      <c r="O23" s="78">
        <v>20</v>
      </c>
      <c r="P23" s="78">
        <v>20</v>
      </c>
      <c r="Q23" s="78">
        <v>17</v>
      </c>
      <c r="R23" s="78">
        <v>24</v>
      </c>
      <c r="S23" s="78">
        <v>13</v>
      </c>
      <c r="T23" s="78">
        <v>13</v>
      </c>
      <c r="U23" s="78">
        <v>21</v>
      </c>
      <c r="V23" s="78">
        <v>21</v>
      </c>
      <c r="W23" s="78">
        <v>17</v>
      </c>
      <c r="X23" s="78">
        <v>24</v>
      </c>
      <c r="Y23" s="78">
        <v>19</v>
      </c>
      <c r="Z23" s="78">
        <v>20</v>
      </c>
      <c r="AA23" s="78">
        <v>13</v>
      </c>
      <c r="AB23" s="78">
        <v>20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>
      <c r="A24" s="61"/>
      <c r="B24" s="68" t="str">
        <f>B22&amp; " - score"</f>
        <v>Ohio St.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28</v>
      </c>
      <c r="L24" s="79">
        <v>27</v>
      </c>
      <c r="M24" s="79">
        <v>24</v>
      </c>
      <c r="N24" s="79">
        <v>27</v>
      </c>
      <c r="O24" s="79">
        <v>30</v>
      </c>
      <c r="P24" s="79">
        <v>28</v>
      </c>
      <c r="Q24" s="79">
        <v>24</v>
      </c>
      <c r="R24" s="79">
        <v>31</v>
      </c>
      <c r="S24" s="79">
        <v>28</v>
      </c>
      <c r="T24" s="79">
        <v>20</v>
      </c>
      <c r="U24" s="79">
        <v>38</v>
      </c>
      <c r="V24" s="79">
        <v>24</v>
      </c>
      <c r="W24" s="79">
        <v>28</v>
      </c>
      <c r="X24" s="79">
        <v>21</v>
      </c>
      <c r="Y24" s="79">
        <v>29</v>
      </c>
      <c r="Z24" s="79">
        <v>35</v>
      </c>
      <c r="AA24" s="79">
        <v>38</v>
      </c>
      <c r="AB24" s="79">
        <v>27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5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6</v>
      </c>
      <c r="Q25" s="36">
        <f t="shared" si="3"/>
        <v>5</v>
      </c>
      <c r="R25" s="36">
        <f t="shared" si="3"/>
        <v>4</v>
      </c>
      <c r="S25" s="36">
        <f t="shared" si="3"/>
        <v>8</v>
      </c>
      <c r="T25" s="36">
        <f t="shared" si="3"/>
        <v>5</v>
      </c>
      <c r="U25" s="36">
        <f t="shared" si="3"/>
        <v>5</v>
      </c>
      <c r="V25" s="36">
        <f t="shared" si="3"/>
        <v>5</v>
      </c>
      <c r="W25" s="36">
        <f t="shared" si="3"/>
        <v>6</v>
      </c>
      <c r="X25" s="36">
        <f t="shared" si="3"/>
        <v>4</v>
      </c>
      <c r="Y25" s="36">
        <f t="shared" si="3"/>
        <v>5</v>
      </c>
      <c r="Z25" s="36">
        <f t="shared" si="3"/>
        <v>6</v>
      </c>
      <c r="AA25" s="36">
        <f t="shared" si="3"/>
        <v>5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O26" si="4">ABS((L23-L24)-($D21-$D22))</f>
        <v>13</v>
      </c>
      <c r="M26" s="71">
        <f t="shared" si="4"/>
        <v>12</v>
      </c>
      <c r="N26" s="71">
        <f t="shared" si="4"/>
        <v>9</v>
      </c>
      <c r="O26" s="71">
        <f t="shared" si="4"/>
        <v>9</v>
      </c>
      <c r="P26" s="71">
        <f t="shared" si="4"/>
        <v>11</v>
      </c>
      <c r="Q26" s="71">
        <f t="shared" si="4"/>
        <v>12</v>
      </c>
      <c r="R26" s="71">
        <f t="shared" si="4"/>
        <v>12</v>
      </c>
      <c r="S26" s="71">
        <f t="shared" si="4"/>
        <v>4</v>
      </c>
      <c r="T26" s="71">
        <f t="shared" si="4"/>
        <v>12</v>
      </c>
      <c r="U26" s="71">
        <f t="shared" si="4"/>
        <v>2</v>
      </c>
      <c r="V26" s="71">
        <f t="shared" si="4"/>
        <v>16</v>
      </c>
      <c r="W26" s="71">
        <f t="shared" si="4"/>
        <v>8</v>
      </c>
      <c r="X26" s="71">
        <f t="shared" si="4"/>
        <v>22</v>
      </c>
      <c r="Y26" s="71">
        <f t="shared" si="4"/>
        <v>9</v>
      </c>
      <c r="Z26" s="71">
        <f t="shared" si="4"/>
        <v>4</v>
      </c>
      <c r="AA26" s="71">
        <f t="shared" si="4"/>
        <v>6</v>
      </c>
      <c r="AB26" s="71">
        <f t="shared" si="4"/>
        <v>12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O27" si="5">ABS(($D21+$D22)-(L23+L24))</f>
        <v>11</v>
      </c>
      <c r="M27" s="71">
        <f t="shared" si="5"/>
        <v>4</v>
      </c>
      <c r="N27" s="71">
        <f t="shared" si="5"/>
        <v>7</v>
      </c>
      <c r="O27" s="71">
        <f t="shared" si="5"/>
        <v>13</v>
      </c>
      <c r="P27" s="71">
        <f t="shared" si="5"/>
        <v>11</v>
      </c>
      <c r="Q27" s="71">
        <f t="shared" si="5"/>
        <v>4</v>
      </c>
      <c r="R27" s="71">
        <f t="shared" si="5"/>
        <v>18</v>
      </c>
      <c r="S27" s="71">
        <f t="shared" si="5"/>
        <v>4</v>
      </c>
      <c r="T27" s="71">
        <f t="shared" si="5"/>
        <v>4</v>
      </c>
      <c r="U27" s="71">
        <f t="shared" si="5"/>
        <v>22</v>
      </c>
      <c r="V27" s="71">
        <f t="shared" si="5"/>
        <v>8</v>
      </c>
      <c r="W27" s="71">
        <f t="shared" si="5"/>
        <v>8</v>
      </c>
      <c r="X27" s="71">
        <f t="shared" si="5"/>
        <v>8</v>
      </c>
      <c r="Y27" s="71">
        <f t="shared" si="5"/>
        <v>11</v>
      </c>
      <c r="Z27" s="71">
        <f t="shared" si="5"/>
        <v>18</v>
      </c>
      <c r="AA27" s="71">
        <f t="shared" si="5"/>
        <v>14</v>
      </c>
      <c r="AB27" s="71">
        <f t="shared" si="5"/>
        <v>10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>
        <f t="shared" ca="1" si="6"/>
        <v>1</v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6</v>
      </c>
      <c r="O29" s="71">
        <f t="shared" si="7"/>
        <v>3</v>
      </c>
      <c r="P29" s="71">
        <f t="shared" si="7"/>
        <v>4</v>
      </c>
      <c r="Q29" s="71">
        <f t="shared" si="7"/>
        <v>3</v>
      </c>
      <c r="R29" s="71">
        <f t="shared" si="7"/>
        <v>4</v>
      </c>
      <c r="S29" s="71">
        <f t="shared" si="7"/>
        <v>2</v>
      </c>
      <c r="T29" s="71">
        <f t="shared" si="7"/>
        <v>5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6</v>
      </c>
      <c r="Y29" s="71">
        <f t="shared" si="7"/>
        <v>7</v>
      </c>
      <c r="Z29" s="71">
        <f t="shared" si="7"/>
        <v>6</v>
      </c>
      <c r="AA29" s="71">
        <f t="shared" si="7"/>
        <v>5</v>
      </c>
      <c r="AB29" s="71">
        <f t="shared" si="7"/>
        <v>7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5</v>
      </c>
      <c r="N30" s="73">
        <f t="shared" si="8"/>
        <v>3</v>
      </c>
      <c r="O30" s="73">
        <f t="shared" si="8"/>
        <v>6</v>
      </c>
      <c r="P30" s="73">
        <f t="shared" si="8"/>
        <v>5</v>
      </c>
      <c r="Q30" s="73">
        <f t="shared" si="8"/>
        <v>4</v>
      </c>
      <c r="R30" s="73">
        <f t="shared" si="8"/>
        <v>3</v>
      </c>
      <c r="S30" s="73">
        <f t="shared" si="8"/>
        <v>3</v>
      </c>
      <c r="T30" s="73">
        <f t="shared" si="8"/>
        <v>4</v>
      </c>
      <c r="U30" s="73">
        <f t="shared" si="8"/>
        <v>2</v>
      </c>
      <c r="V30" s="73">
        <f t="shared" si="8"/>
        <v>6</v>
      </c>
      <c r="W30" s="73">
        <f t="shared" si="8"/>
        <v>5</v>
      </c>
      <c r="X30" s="73">
        <f t="shared" si="8"/>
        <v>3</v>
      </c>
      <c r="Y30" s="73">
        <f t="shared" si="8"/>
        <v>6</v>
      </c>
      <c r="Z30" s="73">
        <f t="shared" si="8"/>
        <v>5</v>
      </c>
      <c r="AA30" s="73">
        <f t="shared" si="8"/>
        <v>2</v>
      </c>
      <c r="AB30" s="73">
        <f t="shared" si="8"/>
        <v>6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4.5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2.5</v>
      </c>
      <c r="N31" s="71">
        <f t="shared" ca="1" si="9"/>
        <v>1.5</v>
      </c>
      <c r="O31" s="71">
        <f t="shared" ca="1" si="9"/>
        <v>2.5</v>
      </c>
      <c r="P31" s="71">
        <f t="shared" ca="1" si="9"/>
        <v>2.5</v>
      </c>
      <c r="Q31" s="71">
        <f t="shared" ca="1" si="9"/>
        <v>3.5</v>
      </c>
      <c r="R31" s="71">
        <f t="shared" ca="1" si="9"/>
        <v>2.5</v>
      </c>
      <c r="S31" s="71">
        <f t="shared" ca="1" si="9"/>
        <v>3.5</v>
      </c>
      <c r="T31" s="71">
        <f t="shared" ca="1" si="9"/>
        <v>1.5</v>
      </c>
      <c r="U31" s="71">
        <f t="shared" ca="1" si="9"/>
        <v>5.5</v>
      </c>
      <c r="V31" s="71">
        <f t="shared" ca="1" si="9"/>
        <v>2.5</v>
      </c>
      <c r="W31" s="71">
        <f t="shared" ca="1" si="9"/>
        <v>3.5</v>
      </c>
      <c r="X31" s="71">
        <f t="shared" ca="1" si="9"/>
        <v>3.5</v>
      </c>
      <c r="Y31" s="71">
        <f t="shared" ca="1" si="9"/>
        <v>2.5</v>
      </c>
      <c r="Z31" s="71">
        <f t="shared" ca="1" si="9"/>
        <v>4.5</v>
      </c>
      <c r="AA31" s="71">
        <f t="shared" ca="1" si="9"/>
        <v>5.5</v>
      </c>
      <c r="AB31" s="71">
        <f t="shared" ca="1" si="9"/>
        <v>2.5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101983984</v>
      </c>
      <c r="L36" s="32">
        <f t="shared" ref="L36:AO36" si="11">COUNTA(L23:L24)*((10000000*L25)+(1000000*(COUNTA(L21)*$E21+COUNTA(L22)*$E22))-(COUNTA($D$21:$D$22)*1000*L26)-(COUNTA($D$21:$D$22)*L27))</f>
        <v>59947956</v>
      </c>
      <c r="M36" s="32">
        <f t="shared" si="11"/>
        <v>79951984</v>
      </c>
      <c r="N36" s="32">
        <f t="shared" si="11"/>
        <v>79963972</v>
      </c>
      <c r="O36" s="32">
        <f t="shared" si="11"/>
        <v>99963948</v>
      </c>
      <c r="P36" s="32">
        <f t="shared" si="11"/>
        <v>119955956</v>
      </c>
      <c r="Q36" s="32">
        <f t="shared" si="11"/>
        <v>99951984</v>
      </c>
      <c r="R36" s="32">
        <f t="shared" si="11"/>
        <v>79951928</v>
      </c>
      <c r="S36" s="32">
        <f t="shared" si="11"/>
        <v>161983984</v>
      </c>
      <c r="T36" s="32">
        <f t="shared" si="11"/>
        <v>99951984</v>
      </c>
      <c r="U36" s="32">
        <f t="shared" si="11"/>
        <v>101991912</v>
      </c>
      <c r="V36" s="32">
        <f t="shared" si="11"/>
        <v>99935968</v>
      </c>
      <c r="W36" s="32">
        <f t="shared" si="11"/>
        <v>119967968</v>
      </c>
      <c r="X36" s="32">
        <f t="shared" si="11"/>
        <v>79911968</v>
      </c>
      <c r="Y36" s="32">
        <f t="shared" si="11"/>
        <v>99963956</v>
      </c>
      <c r="Z36" s="32">
        <f t="shared" si="11"/>
        <v>121983928</v>
      </c>
      <c r="AA36" s="32">
        <f t="shared" si="11"/>
        <v>101975944</v>
      </c>
      <c r="AB36" s="32">
        <f t="shared" si="11"/>
        <v>99951960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</v>
      </c>
      <c r="L40" s="3" t="str">
        <f t="shared" ref="L40:BM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</v>
      </c>
      <c r="Q40" s="3" t="str">
        <f t="shared" ca="1" si="13"/>
        <v>James, Larry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Chris;Batchler, Wayne;Blackmon, Vaughn;Cochcroft, Art;Crenshaw, Ed;Gibson, Johnny;James, Larry;Kieselhorst, Larry;Knotts, Brian;McGee, Steve;McMahon, Pat;Moxley, Dave;Nguyen, Thai;Nye, Mike;Reams,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1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60" priority="17" stopIfTrue="1" operator="equal">
      <formula>0</formula>
    </cfRule>
  </conditionalFormatting>
  <conditionalFormatting sqref="D26:J28 K28:BE28">
    <cfRule type="cellIs" dxfId="159" priority="16" stopIfTrue="1" operator="equal">
      <formula>1</formula>
    </cfRule>
  </conditionalFormatting>
  <conditionalFormatting sqref="H3:I3 F23 H5:I5 H7:I7 H9:I9 H11:I11 H13:I13 H15:I15 H17:I17 H19:I19 H21:I21">
    <cfRule type="cellIs" dxfId="158" priority="15" stopIfTrue="1" operator="equal">
      <formula>0</formula>
    </cfRule>
  </conditionalFormatting>
  <conditionalFormatting sqref="H4:I4 F24 H6:I6 H8:I8 H10:I10 H12:I12 H14:I14 H16:I16 H18:I18 H20:I20 H22:I22">
    <cfRule type="cellIs" dxfId="157" priority="14" stopIfTrue="1" operator="equal">
      <formula>0</formula>
    </cfRule>
  </conditionalFormatting>
  <conditionalFormatting sqref="F3 F5 F7 F9 F11 F13 F15 F17 F19 F21">
    <cfRule type="cellIs" dxfId="156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5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4" priority="10" stopIfTrue="1">
      <formula>AND(COUNTA(J4)=1,$E4=1,SUM($E3:$E4)=1)</formula>
    </cfRule>
    <cfRule type="expression" dxfId="153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52" priority="8" stopIfTrue="1">
      <formula>AND(COUNTA(J3)=1,$E3=1,SUM($E3:$E4)=1)</formula>
    </cfRule>
    <cfRule type="expression" dxfId="151" priority="9" stopIfTrue="1">
      <formula>AND(COUNTA(J3)=1,$E3=0,SUM($E3:$E4)=1)</formula>
    </cfRule>
  </conditionalFormatting>
  <conditionalFormatting sqref="BF23:BM23">
    <cfRule type="cellIs" dxfId="150" priority="7" stopIfTrue="1" operator="equal">
      <formula>0</formula>
    </cfRule>
  </conditionalFormatting>
  <conditionalFormatting sqref="BF24:BM24">
    <cfRule type="cellIs" dxfId="149" priority="6" stopIfTrue="1" operator="equal">
      <formula>0</formula>
    </cfRule>
  </conditionalFormatting>
  <conditionalFormatting sqref="BF28:BM28">
    <cfRule type="cellIs" dxfId="148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47" priority="3" stopIfTrue="1">
      <formula>AND(COUNTA(BF4)=1,$E4=1,SUM($E3:$E4)=1)</formula>
    </cfRule>
    <cfRule type="expression" dxfId="146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45" priority="1" stopIfTrue="1">
      <formula>AND(COUNTA(BF3)=1,$E3=1,SUM($E3:$E4)=1)</formula>
    </cfRule>
    <cfRule type="expression" dxfId="144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84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Barker, Chris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</v>
      </c>
      <c r="Q2" s="4" t="str">
        <f t="shared" ca="1" si="0"/>
        <v>James, Larry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>
      <c r="A3" s="59">
        <v>1</v>
      </c>
      <c r="B3" s="67" t="s">
        <v>298</v>
      </c>
      <c r="C3" s="65">
        <v>10.5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12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 t="s">
        <v>266</v>
      </c>
      <c r="N3" s="69"/>
      <c r="O3" s="69"/>
      <c r="P3" s="69" t="s">
        <v>264</v>
      </c>
      <c r="Q3" s="69"/>
      <c r="R3" s="69"/>
      <c r="S3" s="69" t="s">
        <v>266</v>
      </c>
      <c r="T3" s="69" t="s">
        <v>265</v>
      </c>
      <c r="U3" s="69" t="s">
        <v>264</v>
      </c>
      <c r="V3" s="69" t="s">
        <v>265</v>
      </c>
      <c r="W3" s="69"/>
      <c r="X3" s="69" t="s">
        <v>264</v>
      </c>
      <c r="Y3" s="69" t="s">
        <v>265</v>
      </c>
      <c r="Z3" s="69" t="s">
        <v>265</v>
      </c>
      <c r="AA3" s="69"/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291</v>
      </c>
      <c r="C4" s="66"/>
      <c r="D4" s="64">
        <v>14</v>
      </c>
      <c r="E4" s="64">
        <f>IF(ISBLANK($D4),"0",IF(($D4-$D3)&gt;($C4-$C3),1,0))</f>
        <v>0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265</v>
      </c>
      <c r="O4" s="70" t="s">
        <v>265</v>
      </c>
      <c r="P4" s="70"/>
      <c r="Q4" s="70" t="s">
        <v>265</v>
      </c>
      <c r="R4" s="70" t="s">
        <v>264</v>
      </c>
      <c r="S4" s="70"/>
      <c r="T4" s="70"/>
      <c r="U4" s="97"/>
      <c r="V4" s="70"/>
      <c r="W4" s="70" t="s">
        <v>264</v>
      </c>
      <c r="X4" s="70"/>
      <c r="Y4" s="70"/>
      <c r="Z4" s="70"/>
      <c r="AA4" s="70" t="s">
        <v>265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>
      <c r="A5" s="59">
        <v>2</v>
      </c>
      <c r="B5" s="67" t="s">
        <v>292</v>
      </c>
      <c r="C5" s="65"/>
      <c r="D5" s="64">
        <v>47</v>
      </c>
      <c r="E5" s="64">
        <f>IF(ISBLANK($D5),"0",IF(($D6-$D5)&lt;($C6-$C5),1,0))</f>
        <v>1</v>
      </c>
      <c r="F5" s="64">
        <f t="shared" ca="1" si="1"/>
        <v>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264</v>
      </c>
      <c r="L5" s="69"/>
      <c r="M5" s="69"/>
      <c r="N5" s="69"/>
      <c r="O5" s="69"/>
      <c r="P5" s="69"/>
      <c r="Q5" s="69"/>
      <c r="R5" s="69"/>
      <c r="S5" s="69"/>
      <c r="T5" s="69"/>
      <c r="U5" s="96"/>
      <c r="V5" s="69" t="s">
        <v>265</v>
      </c>
      <c r="W5" s="69"/>
      <c r="X5" s="69" t="s">
        <v>264</v>
      </c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>
      <c r="A6" s="61" t="s">
        <v>3</v>
      </c>
      <c r="B6" s="68" t="s">
        <v>299</v>
      </c>
      <c r="C6" s="66">
        <v>2.5</v>
      </c>
      <c r="D6" s="64">
        <v>24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265</v>
      </c>
      <c r="M6" s="70" t="s">
        <v>266</v>
      </c>
      <c r="N6" s="70" t="s">
        <v>265</v>
      </c>
      <c r="O6" s="70" t="s">
        <v>265</v>
      </c>
      <c r="P6" s="70" t="s">
        <v>264</v>
      </c>
      <c r="Q6" s="70" t="s">
        <v>265</v>
      </c>
      <c r="R6" s="70" t="s">
        <v>264</v>
      </c>
      <c r="S6" s="70" t="s">
        <v>266</v>
      </c>
      <c r="T6" s="70" t="s">
        <v>265</v>
      </c>
      <c r="U6" s="70" t="s">
        <v>264</v>
      </c>
      <c r="V6" s="70"/>
      <c r="W6" s="70" t="s">
        <v>264</v>
      </c>
      <c r="X6" s="70"/>
      <c r="Y6" s="70" t="s">
        <v>265</v>
      </c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>
      <c r="A7" s="59">
        <v>3</v>
      </c>
      <c r="B7" s="67" t="s">
        <v>300</v>
      </c>
      <c r="C7" s="65">
        <v>16.5</v>
      </c>
      <c r="D7" s="64">
        <v>16</v>
      </c>
      <c r="E7" s="64">
        <f>IF(ISBLANK($D7),"0",IF(($D8-$D7)&lt;($C8-$C7),1,0))</f>
        <v>0</v>
      </c>
      <c r="F7" s="64">
        <f t="shared" ca="1" si="1"/>
        <v>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 t="s">
        <v>266</v>
      </c>
      <c r="N7" s="69"/>
      <c r="O7" s="69"/>
      <c r="P7" s="69" t="s">
        <v>264</v>
      </c>
      <c r="Q7" s="69"/>
      <c r="R7" s="96"/>
      <c r="S7" s="96" t="s">
        <v>266</v>
      </c>
      <c r="T7" s="96" t="s">
        <v>265</v>
      </c>
      <c r="U7" s="96"/>
      <c r="V7" s="69"/>
      <c r="W7" s="69" t="s">
        <v>264</v>
      </c>
      <c r="X7" s="69"/>
      <c r="Y7" s="69"/>
      <c r="Z7" s="69"/>
      <c r="AA7" s="69" t="s">
        <v>265</v>
      </c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129</v>
      </c>
      <c r="C8" s="66"/>
      <c r="D8" s="64">
        <v>9</v>
      </c>
      <c r="E8" s="64">
        <f>IF(ISBLANK($D8),"0",IF(($D8-$D7)&gt;($C8-$C7),1,0))</f>
        <v>1</v>
      </c>
      <c r="F8" s="64">
        <f t="shared" ca="1" si="1"/>
        <v>12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/>
      <c r="N8" s="70" t="s">
        <v>265</v>
      </c>
      <c r="O8" s="70" t="s">
        <v>265</v>
      </c>
      <c r="P8" s="70"/>
      <c r="Q8" s="70" t="s">
        <v>265</v>
      </c>
      <c r="R8" s="97" t="s">
        <v>264</v>
      </c>
      <c r="S8" s="97"/>
      <c r="T8" s="97"/>
      <c r="U8" s="97" t="s">
        <v>264</v>
      </c>
      <c r="V8" s="70" t="s">
        <v>265</v>
      </c>
      <c r="W8" s="70"/>
      <c r="X8" s="70" t="s">
        <v>264</v>
      </c>
      <c r="Y8" s="70" t="s">
        <v>265</v>
      </c>
      <c r="Z8" s="70" t="s">
        <v>265</v>
      </c>
      <c r="AA8" s="70"/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>
      <c r="A9" s="59">
        <v>4</v>
      </c>
      <c r="B9" s="108" t="s">
        <v>124</v>
      </c>
      <c r="C9" s="65"/>
      <c r="D9" s="81">
        <v>10</v>
      </c>
      <c r="E9" s="64">
        <f>IF(ISBLANK($D9),"0",IF(($D10-$D9)&lt;($C10-$C9),1,0))</f>
        <v>1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 t="s">
        <v>265</v>
      </c>
      <c r="R9" s="96" t="s">
        <v>264</v>
      </c>
      <c r="S9" s="96"/>
      <c r="T9" s="96" t="s">
        <v>265</v>
      </c>
      <c r="U9" s="96"/>
      <c r="V9" s="69"/>
      <c r="W9" s="69" t="s">
        <v>264</v>
      </c>
      <c r="X9" s="69" t="s">
        <v>264</v>
      </c>
      <c r="Y9" s="69" t="s">
        <v>265</v>
      </c>
      <c r="Z9" s="69" t="s">
        <v>265</v>
      </c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>
      <c r="A10" s="61" t="s">
        <v>3</v>
      </c>
      <c r="B10" s="68" t="s">
        <v>232</v>
      </c>
      <c r="C10" s="66">
        <v>12.5</v>
      </c>
      <c r="D10" s="64">
        <v>22</v>
      </c>
      <c r="E10" s="64">
        <f>IF(ISBLANK($D10),"0",IF(($D10-$D9)&gt;($C10-$C9),1,0))</f>
        <v>0</v>
      </c>
      <c r="F10" s="64">
        <f t="shared" ca="1" si="1"/>
        <v>10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264</v>
      </c>
      <c r="L10" s="70" t="s">
        <v>265</v>
      </c>
      <c r="M10" s="70" t="s">
        <v>266</v>
      </c>
      <c r="N10" s="70" t="s">
        <v>265</v>
      </c>
      <c r="O10" s="70" t="s">
        <v>265</v>
      </c>
      <c r="P10" s="70" t="s">
        <v>264</v>
      </c>
      <c r="Q10" s="70"/>
      <c r="R10" s="97"/>
      <c r="S10" s="97" t="s">
        <v>266</v>
      </c>
      <c r="T10" s="97"/>
      <c r="U10" s="70" t="s">
        <v>264</v>
      </c>
      <c r="V10" s="70" t="s">
        <v>265</v>
      </c>
      <c r="W10" s="70"/>
      <c r="X10" s="70"/>
      <c r="Y10" s="70"/>
      <c r="Z10" s="70"/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>
      <c r="A11" s="59">
        <v>5</v>
      </c>
      <c r="B11" s="67" t="s">
        <v>166</v>
      </c>
      <c r="C11" s="65"/>
      <c r="D11" s="64">
        <v>0</v>
      </c>
      <c r="E11" s="64">
        <f>IF(ISBLANK($D11),"0",IF(($D12-$D11)&lt;($C12-$C11),1,0))</f>
        <v>0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 t="s">
        <v>264</v>
      </c>
      <c r="L11" s="69" t="s">
        <v>265</v>
      </c>
      <c r="M11" s="69"/>
      <c r="N11" s="69"/>
      <c r="O11" s="69"/>
      <c r="P11" s="69" t="s">
        <v>264</v>
      </c>
      <c r="Q11" s="69"/>
      <c r="R11" s="96" t="s">
        <v>264</v>
      </c>
      <c r="S11" s="96"/>
      <c r="T11" s="96"/>
      <c r="U11" s="69"/>
      <c r="V11" s="69" t="s">
        <v>265</v>
      </c>
      <c r="W11" s="69"/>
      <c r="X11" s="69" t="s">
        <v>264</v>
      </c>
      <c r="Y11" s="69"/>
      <c r="Z11" s="69" t="s">
        <v>265</v>
      </c>
      <c r="AA11" s="69" t="s">
        <v>265</v>
      </c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143</v>
      </c>
      <c r="C12" s="66">
        <v>7.5</v>
      </c>
      <c r="D12" s="64">
        <v>23</v>
      </c>
      <c r="E12" s="64">
        <f>IF(ISBLANK($D12),"0",IF(($D12-$D11)&gt;($C12-$C11),1,0))</f>
        <v>1</v>
      </c>
      <c r="F12" s="64">
        <f t="shared" ca="1" si="1"/>
        <v>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 t="s">
        <v>266</v>
      </c>
      <c r="N12" s="70" t="s">
        <v>265</v>
      </c>
      <c r="O12" s="70" t="s">
        <v>265</v>
      </c>
      <c r="P12" s="70"/>
      <c r="Q12" s="70" t="s">
        <v>265</v>
      </c>
      <c r="R12" s="97"/>
      <c r="S12" s="97" t="s">
        <v>266</v>
      </c>
      <c r="T12" s="97" t="s">
        <v>265</v>
      </c>
      <c r="U12" s="97" t="s">
        <v>264</v>
      </c>
      <c r="V12" s="70"/>
      <c r="W12" s="70" t="s">
        <v>264</v>
      </c>
      <c r="X12" s="70"/>
      <c r="Y12" s="70" t="s">
        <v>265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>
      <c r="A13" s="59">
        <v>6</v>
      </c>
      <c r="B13" s="67" t="s">
        <v>230</v>
      </c>
      <c r="C13" s="65">
        <v>6.5</v>
      </c>
      <c r="D13" s="64">
        <v>52</v>
      </c>
      <c r="E13" s="64">
        <f>IF(ISBLANK($D13),"0",IF(($D14-$D13)&lt;($C14-$C13),1,0))</f>
        <v>1</v>
      </c>
      <c r="F13" s="64">
        <f t="shared" ca="1" si="1"/>
        <v>11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264</v>
      </c>
      <c r="L13" s="69"/>
      <c r="M13" s="69" t="s">
        <v>266</v>
      </c>
      <c r="N13" s="69" t="s">
        <v>265</v>
      </c>
      <c r="O13" s="69"/>
      <c r="P13" s="69" t="s">
        <v>264</v>
      </c>
      <c r="Q13" s="69"/>
      <c r="R13" s="96"/>
      <c r="S13" s="96" t="s">
        <v>266</v>
      </c>
      <c r="T13" s="96" t="s">
        <v>265</v>
      </c>
      <c r="U13" s="69" t="s">
        <v>264</v>
      </c>
      <c r="V13" s="69" t="s">
        <v>265</v>
      </c>
      <c r="W13" s="69"/>
      <c r="X13" s="69" t="s">
        <v>264</v>
      </c>
      <c r="Y13" s="69" t="s">
        <v>265</v>
      </c>
      <c r="Z13" s="69"/>
      <c r="AA13" s="69"/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>
      <c r="A14" s="61" t="s">
        <v>3</v>
      </c>
      <c r="B14" s="68" t="s">
        <v>226</v>
      </c>
      <c r="C14" s="66"/>
      <c r="D14" s="64">
        <v>28</v>
      </c>
      <c r="E14" s="64">
        <f>IF(ISBLANK($D14),"0",IF(($D14-$D13)&gt;($C14-$C13),1,0))</f>
        <v>0</v>
      </c>
      <c r="F14" s="64">
        <f t="shared" ca="1" si="1"/>
        <v>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265</v>
      </c>
      <c r="M14" s="70"/>
      <c r="N14" s="70"/>
      <c r="O14" s="70" t="s">
        <v>265</v>
      </c>
      <c r="P14" s="70"/>
      <c r="Q14" s="70" t="s">
        <v>265</v>
      </c>
      <c r="R14" s="97" t="s">
        <v>264</v>
      </c>
      <c r="S14" s="97"/>
      <c r="T14" s="97"/>
      <c r="U14" s="97"/>
      <c r="V14" s="70"/>
      <c r="W14" s="70" t="s">
        <v>264</v>
      </c>
      <c r="X14" s="70"/>
      <c r="Y14" s="70"/>
      <c r="Z14" s="70" t="s">
        <v>265</v>
      </c>
      <c r="AA14" s="70" t="s">
        <v>265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>
      <c r="A15" s="59">
        <v>7</v>
      </c>
      <c r="B15" s="67" t="s">
        <v>191</v>
      </c>
      <c r="C15" s="65"/>
      <c r="D15" s="64">
        <v>24</v>
      </c>
      <c r="E15" s="64">
        <f>IF(ISBLANK($D15),"0",IF(($D16-$D15)&lt;($C16-$C15),1,0))</f>
        <v>0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264</v>
      </c>
      <c r="L15" s="69"/>
      <c r="M15" s="69"/>
      <c r="N15" s="69"/>
      <c r="O15" s="69"/>
      <c r="P15" s="69" t="s">
        <v>264</v>
      </c>
      <c r="Q15" s="69"/>
      <c r="R15" s="96"/>
      <c r="S15" s="96"/>
      <c r="T15" s="96" t="s">
        <v>265</v>
      </c>
      <c r="U15" s="96" t="s">
        <v>264</v>
      </c>
      <c r="V15" s="69" t="s">
        <v>265</v>
      </c>
      <c r="W15" s="69"/>
      <c r="X15" s="69" t="s">
        <v>264</v>
      </c>
      <c r="Y15" s="69" t="s">
        <v>265</v>
      </c>
      <c r="Z15" s="69"/>
      <c r="AA15" s="69"/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192</v>
      </c>
      <c r="C16" s="66">
        <v>6.5</v>
      </c>
      <c r="D16" s="64">
        <v>31</v>
      </c>
      <c r="E16" s="64">
        <f>IF(ISBLANK($D16),"0",IF(($D16-$D15)&gt;($C16-$C15),1,0))</f>
        <v>1</v>
      </c>
      <c r="F16" s="64">
        <f t="shared" ca="1" si="1"/>
        <v>10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265</v>
      </c>
      <c r="M16" s="70" t="s">
        <v>266</v>
      </c>
      <c r="N16" s="70" t="s">
        <v>265</v>
      </c>
      <c r="O16" s="70" t="s">
        <v>265</v>
      </c>
      <c r="P16" s="70"/>
      <c r="Q16" s="70" t="s">
        <v>265</v>
      </c>
      <c r="R16" s="70" t="s">
        <v>264</v>
      </c>
      <c r="S16" s="70" t="s">
        <v>266</v>
      </c>
      <c r="T16" s="70"/>
      <c r="U16" s="70"/>
      <c r="V16" s="70"/>
      <c r="W16" s="70" t="s">
        <v>264</v>
      </c>
      <c r="X16" s="70"/>
      <c r="Y16" s="70"/>
      <c r="Z16" s="70" t="s">
        <v>265</v>
      </c>
      <c r="AA16" s="70" t="s">
        <v>265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127</v>
      </c>
      <c r="C17" s="65"/>
      <c r="D17" s="64">
        <v>28</v>
      </c>
      <c r="E17" s="64">
        <f>IF(ISBLANK($D17),"0",IF(($D18-$D17)&lt;($C18-$C17),1,0))</f>
        <v>1</v>
      </c>
      <c r="F17" s="64">
        <f t="shared" ca="1" si="1"/>
        <v>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 t="s">
        <v>265</v>
      </c>
      <c r="M17" s="69"/>
      <c r="N17" s="69"/>
      <c r="O17" s="69"/>
      <c r="P17" s="69" t="s">
        <v>264</v>
      </c>
      <c r="Q17" s="69" t="s">
        <v>265</v>
      </c>
      <c r="R17" s="69"/>
      <c r="S17" s="69"/>
      <c r="T17" s="69" t="s">
        <v>265</v>
      </c>
      <c r="U17" s="69" t="s">
        <v>264</v>
      </c>
      <c r="V17" s="69" t="s">
        <v>265</v>
      </c>
      <c r="W17" s="69" t="s">
        <v>264</v>
      </c>
      <c r="X17" s="69" t="s">
        <v>264</v>
      </c>
      <c r="Y17" s="69"/>
      <c r="Z17" s="69" t="s">
        <v>265</v>
      </c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225</v>
      </c>
      <c r="C18" s="66">
        <v>3.5</v>
      </c>
      <c r="D18" s="64">
        <v>9</v>
      </c>
      <c r="E18" s="64">
        <f>IF(ISBLANK($D18),"0",IF(($D18-$D17)&gt;($C18-$C17),1,0))</f>
        <v>0</v>
      </c>
      <c r="F18" s="64">
        <f t="shared" ca="1" si="1"/>
        <v>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 t="s">
        <v>264</v>
      </c>
      <c r="L18" s="70"/>
      <c r="M18" s="70" t="s">
        <v>266</v>
      </c>
      <c r="N18" s="70" t="s">
        <v>265</v>
      </c>
      <c r="O18" s="70" t="s">
        <v>265</v>
      </c>
      <c r="P18" s="70"/>
      <c r="Q18" s="70"/>
      <c r="R18" s="70" t="s">
        <v>264</v>
      </c>
      <c r="S18" s="70" t="s">
        <v>266</v>
      </c>
      <c r="T18" s="70"/>
      <c r="U18" s="97"/>
      <c r="V18" s="70"/>
      <c r="W18" s="70"/>
      <c r="X18" s="70"/>
      <c r="Y18" s="70" t="s">
        <v>265</v>
      </c>
      <c r="Z18" s="70"/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>
      <c r="A19" s="59">
        <v>9</v>
      </c>
      <c r="B19" s="67" t="s">
        <v>137</v>
      </c>
      <c r="C19" s="65"/>
      <c r="D19" s="64">
        <v>28</v>
      </c>
      <c r="E19" s="64">
        <f>IF(ISBLANK($D19),"0",IF(($D20-$D19)&lt;($C20-$C19),1,0))</f>
        <v>1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 t="s">
        <v>265</v>
      </c>
      <c r="M19" s="69"/>
      <c r="N19" s="69" t="s">
        <v>265</v>
      </c>
      <c r="O19" s="69"/>
      <c r="P19" s="69"/>
      <c r="Q19" s="69"/>
      <c r="R19" s="69"/>
      <c r="S19" s="69"/>
      <c r="T19" s="69" t="s">
        <v>265</v>
      </c>
      <c r="U19" s="96"/>
      <c r="V19" s="69" t="s">
        <v>265</v>
      </c>
      <c r="W19" s="69" t="s">
        <v>264</v>
      </c>
      <c r="X19" s="69" t="s">
        <v>264</v>
      </c>
      <c r="Y19" s="69" t="s">
        <v>265</v>
      </c>
      <c r="Z19" s="69" t="s">
        <v>265</v>
      </c>
      <c r="AA19" s="69" t="s">
        <v>265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>
      <c r="A20" s="61" t="s">
        <v>3</v>
      </c>
      <c r="B20" s="68" t="s">
        <v>233</v>
      </c>
      <c r="C20" s="66">
        <v>14.5</v>
      </c>
      <c r="D20" s="64">
        <v>33</v>
      </c>
      <c r="E20" s="64">
        <f>IF(ISBLANK($D20),"0",IF(($D20-$D19)&gt;($C20-$C19),1,0))</f>
        <v>0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 t="s">
        <v>264</v>
      </c>
      <c r="L20" s="70"/>
      <c r="M20" s="70" t="s">
        <v>266</v>
      </c>
      <c r="N20" s="70"/>
      <c r="O20" s="70" t="s">
        <v>265</v>
      </c>
      <c r="P20" s="70" t="s">
        <v>264</v>
      </c>
      <c r="Q20" s="70" t="s">
        <v>265</v>
      </c>
      <c r="R20" s="70" t="s">
        <v>264</v>
      </c>
      <c r="S20" s="70" t="s">
        <v>266</v>
      </c>
      <c r="T20" s="70"/>
      <c r="U20" s="70" t="s">
        <v>264</v>
      </c>
      <c r="V20" s="70"/>
      <c r="W20" s="70"/>
      <c r="X20" s="70"/>
      <c r="Y20" s="70"/>
      <c r="Z20" s="70"/>
      <c r="AA20" s="70"/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>
      <c r="A21" s="59">
        <v>10</v>
      </c>
      <c r="B21" s="67" t="s">
        <v>301</v>
      </c>
      <c r="C21" s="65"/>
      <c r="D21" s="64">
        <v>22</v>
      </c>
      <c r="E21" s="64">
        <f>IF(ISBLANK($D21),"0",IF(($D22-$D21)&lt;($C22-$C21),1,0))</f>
        <v>1</v>
      </c>
      <c r="F21" s="64">
        <f t="shared" ca="1" si="1"/>
        <v>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265</v>
      </c>
      <c r="M21" s="69"/>
      <c r="N21" s="69"/>
      <c r="O21" s="69"/>
      <c r="P21" s="69"/>
      <c r="Q21" s="69" t="s">
        <v>265</v>
      </c>
      <c r="R21" s="69"/>
      <c r="S21" s="69"/>
      <c r="T21" s="69" t="s">
        <v>265</v>
      </c>
      <c r="U21" s="96"/>
      <c r="V21" s="69"/>
      <c r="W21" s="69"/>
      <c r="X21" s="69" t="s">
        <v>264</v>
      </c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>
      <c r="A22" s="61" t="s">
        <v>3</v>
      </c>
      <c r="B22" s="68" t="s">
        <v>135</v>
      </c>
      <c r="C22" s="66">
        <v>1.5</v>
      </c>
      <c r="D22" s="64">
        <v>3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/>
      <c r="M22" s="70" t="s">
        <v>266</v>
      </c>
      <c r="N22" s="70" t="s">
        <v>265</v>
      </c>
      <c r="O22" s="70" t="s">
        <v>265</v>
      </c>
      <c r="P22" s="70" t="s">
        <v>264</v>
      </c>
      <c r="Q22" s="70"/>
      <c r="R22" s="70" t="s">
        <v>264</v>
      </c>
      <c r="S22" s="70" t="s">
        <v>266</v>
      </c>
      <c r="T22" s="70"/>
      <c r="U22" s="70" t="s">
        <v>264</v>
      </c>
      <c r="V22" s="70" t="s">
        <v>265</v>
      </c>
      <c r="W22" s="70" t="s">
        <v>264</v>
      </c>
      <c r="X22" s="70"/>
      <c r="Y22" s="70" t="s">
        <v>265</v>
      </c>
      <c r="Z22" s="70" t="s">
        <v>265</v>
      </c>
      <c r="AA22" s="70" t="s">
        <v>265</v>
      </c>
      <c r="AB22" s="70" t="s">
        <v>265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Tennesee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20</v>
      </c>
      <c r="G23" s="59"/>
      <c r="H23" s="59"/>
      <c r="I23" s="60"/>
      <c r="J23" s="78"/>
      <c r="K23" s="78">
        <v>17</v>
      </c>
      <c r="L23" s="78">
        <v>33</v>
      </c>
      <c r="M23" s="78"/>
      <c r="N23" s="80">
        <v>14</v>
      </c>
      <c r="O23" s="78">
        <v>21</v>
      </c>
      <c r="P23" s="78">
        <v>14</v>
      </c>
      <c r="Q23" s="78">
        <v>28</v>
      </c>
      <c r="R23" s="78">
        <v>21</v>
      </c>
      <c r="S23" s="78"/>
      <c r="T23" s="78">
        <v>24</v>
      </c>
      <c r="U23" s="78">
        <v>21</v>
      </c>
      <c r="V23" s="78">
        <v>21</v>
      </c>
      <c r="W23" s="78">
        <v>10</v>
      </c>
      <c r="X23" s="78">
        <v>31</v>
      </c>
      <c r="Y23" s="78">
        <v>18</v>
      </c>
      <c r="Z23" s="78">
        <v>17</v>
      </c>
      <c r="AA23" s="78">
        <v>18</v>
      </c>
      <c r="AB23" s="78">
        <v>16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/>
      <c r="K24" s="79">
        <v>28</v>
      </c>
      <c r="L24" s="79">
        <v>3</v>
      </c>
      <c r="M24" s="79"/>
      <c r="N24" s="79">
        <v>17</v>
      </c>
      <c r="O24" s="79">
        <v>24</v>
      </c>
      <c r="P24" s="79">
        <v>24</v>
      </c>
      <c r="Q24" s="79">
        <v>24</v>
      </c>
      <c r="R24" s="79">
        <v>24</v>
      </c>
      <c r="S24" s="79"/>
      <c r="T24" s="79">
        <v>17</v>
      </c>
      <c r="U24" s="79">
        <v>24</v>
      </c>
      <c r="V24" s="79">
        <v>24</v>
      </c>
      <c r="W24" s="79">
        <v>14</v>
      </c>
      <c r="X24" s="79">
        <v>24</v>
      </c>
      <c r="Y24" s="79">
        <v>20</v>
      </c>
      <c r="Z24" s="79">
        <v>27</v>
      </c>
      <c r="AA24" s="79">
        <v>21</v>
      </c>
      <c r="AB24" s="79">
        <v>24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4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3</v>
      </c>
      <c r="Q25" s="36">
        <f t="shared" si="3"/>
        <v>6</v>
      </c>
      <c r="R25" s="36">
        <f t="shared" si="3"/>
        <v>3</v>
      </c>
      <c r="S25" s="36">
        <f t="shared" si="3"/>
        <v>4</v>
      </c>
      <c r="T25" s="36">
        <f t="shared" si="3"/>
        <v>7</v>
      </c>
      <c r="U25" s="36">
        <f t="shared" si="3"/>
        <v>5</v>
      </c>
      <c r="V25" s="36">
        <f t="shared" si="3"/>
        <v>6</v>
      </c>
      <c r="W25" s="36">
        <f t="shared" si="3"/>
        <v>5</v>
      </c>
      <c r="X25" s="36">
        <f t="shared" si="3"/>
        <v>8</v>
      </c>
      <c r="Y25" s="36">
        <f t="shared" si="3"/>
        <v>6</v>
      </c>
      <c r="Z25" s="36">
        <f t="shared" si="3"/>
        <v>6</v>
      </c>
      <c r="AA25" s="36">
        <f t="shared" si="3"/>
        <v>2</v>
      </c>
      <c r="AB25" s="36">
        <f t="shared" si="3"/>
        <v>4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30</v>
      </c>
      <c r="L26" s="71">
        <f t="shared" ref="L26:AO26" si="4">ABS((L23-L24)-($D21-$D22))</f>
        <v>11</v>
      </c>
      <c r="M26" s="71">
        <f t="shared" si="4"/>
        <v>19</v>
      </c>
      <c r="N26" s="71">
        <f t="shared" si="4"/>
        <v>22</v>
      </c>
      <c r="O26" s="71">
        <f t="shared" si="4"/>
        <v>22</v>
      </c>
      <c r="P26" s="71">
        <f t="shared" si="4"/>
        <v>29</v>
      </c>
      <c r="Q26" s="71">
        <f t="shared" si="4"/>
        <v>15</v>
      </c>
      <c r="R26" s="71">
        <f t="shared" si="4"/>
        <v>22</v>
      </c>
      <c r="S26" s="71">
        <f t="shared" si="4"/>
        <v>19</v>
      </c>
      <c r="T26" s="71">
        <f t="shared" si="4"/>
        <v>12</v>
      </c>
      <c r="U26" s="71">
        <f t="shared" si="4"/>
        <v>22</v>
      </c>
      <c r="V26" s="71">
        <f t="shared" si="4"/>
        <v>22</v>
      </c>
      <c r="W26" s="71">
        <f t="shared" si="4"/>
        <v>23</v>
      </c>
      <c r="X26" s="71">
        <f t="shared" si="4"/>
        <v>12</v>
      </c>
      <c r="Y26" s="71">
        <f t="shared" si="4"/>
        <v>21</v>
      </c>
      <c r="Z26" s="71">
        <f t="shared" si="4"/>
        <v>29</v>
      </c>
      <c r="AA26" s="71">
        <f t="shared" si="4"/>
        <v>22</v>
      </c>
      <c r="AB26" s="71">
        <f t="shared" si="4"/>
        <v>27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20</v>
      </c>
      <c r="L27" s="71">
        <f t="shared" ref="L27:AO27" si="5">ABS(($D21+$D22)-(L23+L24))</f>
        <v>11</v>
      </c>
      <c r="M27" s="71">
        <f t="shared" si="5"/>
        <v>25</v>
      </c>
      <c r="N27" s="71">
        <f t="shared" si="5"/>
        <v>6</v>
      </c>
      <c r="O27" s="71">
        <f t="shared" si="5"/>
        <v>20</v>
      </c>
      <c r="P27" s="71">
        <f t="shared" si="5"/>
        <v>13</v>
      </c>
      <c r="Q27" s="71">
        <f t="shared" si="5"/>
        <v>27</v>
      </c>
      <c r="R27" s="71">
        <f t="shared" si="5"/>
        <v>20</v>
      </c>
      <c r="S27" s="71">
        <f t="shared" si="5"/>
        <v>25</v>
      </c>
      <c r="T27" s="71">
        <f t="shared" si="5"/>
        <v>16</v>
      </c>
      <c r="U27" s="71">
        <f t="shared" si="5"/>
        <v>20</v>
      </c>
      <c r="V27" s="71">
        <f t="shared" si="5"/>
        <v>20</v>
      </c>
      <c r="W27" s="71">
        <f t="shared" si="5"/>
        <v>1</v>
      </c>
      <c r="X27" s="71">
        <f t="shared" si="5"/>
        <v>30</v>
      </c>
      <c r="Y27" s="71">
        <f t="shared" si="5"/>
        <v>13</v>
      </c>
      <c r="Z27" s="71">
        <f t="shared" si="5"/>
        <v>19</v>
      </c>
      <c r="AA27" s="71">
        <f t="shared" si="5"/>
        <v>14</v>
      </c>
      <c r="AB27" s="71">
        <f t="shared" si="5"/>
        <v>15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0.48333333333333334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3</v>
      </c>
      <c r="N29" s="71">
        <f t="shared" si="7"/>
        <v>2</v>
      </c>
      <c r="O29" s="71">
        <f t="shared" si="7"/>
        <v>0</v>
      </c>
      <c r="P29" s="71">
        <f t="shared" si="7"/>
        <v>6</v>
      </c>
      <c r="Q29" s="71">
        <f t="shared" si="7"/>
        <v>3</v>
      </c>
      <c r="R29" s="71">
        <f t="shared" si="7"/>
        <v>2</v>
      </c>
      <c r="S29" s="71">
        <f t="shared" si="7"/>
        <v>3</v>
      </c>
      <c r="T29" s="71">
        <f t="shared" si="7"/>
        <v>8</v>
      </c>
      <c r="U29" s="71">
        <f t="shared" si="7"/>
        <v>4</v>
      </c>
      <c r="V29" s="71">
        <f t="shared" si="7"/>
        <v>7</v>
      </c>
      <c r="W29" s="71">
        <f t="shared" si="7"/>
        <v>4</v>
      </c>
      <c r="X29" s="71">
        <f t="shared" si="7"/>
        <v>9</v>
      </c>
      <c r="Y29" s="71">
        <f t="shared" si="7"/>
        <v>5</v>
      </c>
      <c r="Z29" s="71">
        <f t="shared" si="7"/>
        <v>5</v>
      </c>
      <c r="AA29" s="71">
        <f t="shared" si="7"/>
        <v>3</v>
      </c>
      <c r="AB29" s="71">
        <f t="shared" si="7"/>
        <v>5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0</v>
      </c>
      <c r="N30" s="73">
        <f t="shared" si="8"/>
        <v>3</v>
      </c>
      <c r="O30" s="73">
        <f t="shared" si="8"/>
        <v>3</v>
      </c>
      <c r="P30" s="73">
        <f t="shared" si="8"/>
        <v>3</v>
      </c>
      <c r="Q30" s="73">
        <f t="shared" si="8"/>
        <v>6</v>
      </c>
      <c r="R30" s="73">
        <f t="shared" si="8"/>
        <v>5</v>
      </c>
      <c r="S30" s="73">
        <f t="shared" si="8"/>
        <v>0</v>
      </c>
      <c r="T30" s="73">
        <f t="shared" si="8"/>
        <v>5</v>
      </c>
      <c r="U30" s="73">
        <f t="shared" si="8"/>
        <v>3</v>
      </c>
      <c r="V30" s="73">
        <f t="shared" si="8"/>
        <v>6</v>
      </c>
      <c r="W30" s="73">
        <f t="shared" si="8"/>
        <v>5</v>
      </c>
      <c r="X30" s="73">
        <f t="shared" si="8"/>
        <v>8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2.5</v>
      </c>
      <c r="N31" s="71">
        <f t="shared" ca="1" si="9"/>
        <v>2.5</v>
      </c>
      <c r="O31" s="71">
        <f t="shared" ca="1" si="9"/>
        <v>3.5</v>
      </c>
      <c r="P31" s="71">
        <f t="shared" ca="1" si="9"/>
        <v>3.5</v>
      </c>
      <c r="Q31" s="71">
        <f t="shared" ca="1" si="9"/>
        <v>5.5</v>
      </c>
      <c r="R31" s="71">
        <f t="shared" ca="1" si="9"/>
        <v>4.5</v>
      </c>
      <c r="S31" s="71">
        <f t="shared" ca="1" si="9"/>
        <v>2.5</v>
      </c>
      <c r="T31" s="71">
        <f t="shared" ca="1" si="9"/>
        <v>5.5</v>
      </c>
      <c r="U31" s="71">
        <f t="shared" ca="1" si="9"/>
        <v>2.5</v>
      </c>
      <c r="V31" s="71">
        <f t="shared" ca="1" si="9"/>
        <v>3.5</v>
      </c>
      <c r="W31" s="71">
        <f t="shared" ca="1" si="9"/>
        <v>5.5</v>
      </c>
      <c r="X31" s="71">
        <f t="shared" ca="1" si="9"/>
        <v>5.5</v>
      </c>
      <c r="Y31" s="71">
        <f t="shared" ca="1" si="9"/>
        <v>3.5</v>
      </c>
      <c r="Z31" s="71">
        <f t="shared" ca="1" si="9"/>
        <v>3.5</v>
      </c>
      <c r="AA31" s="71">
        <f t="shared" ca="1" si="9"/>
        <v>4.5</v>
      </c>
      <c r="AB31" s="71">
        <f t="shared" ca="1" si="9"/>
        <v>3.5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79879920</v>
      </c>
      <c r="L36" s="32">
        <f t="shared" ref="L36:AO36" si="11">COUNTA(L23:L24)*((10000000*L25)+(1000000*(COUNTA(L21)*$E21+COUNTA(L22)*$E22))-(COUNTA($D$21:$D$22)*1000*L26)-(COUNTA($D$21:$D$22)*L27))</f>
        <v>121955956</v>
      </c>
      <c r="M36" s="32">
        <f t="shared" si="11"/>
        <v>0</v>
      </c>
      <c r="N36" s="32">
        <f t="shared" si="11"/>
        <v>99911976</v>
      </c>
      <c r="O36" s="32">
        <f t="shared" si="11"/>
        <v>59911920</v>
      </c>
      <c r="P36" s="32">
        <f t="shared" si="11"/>
        <v>59883948</v>
      </c>
      <c r="Q36" s="32">
        <f t="shared" si="11"/>
        <v>121939892</v>
      </c>
      <c r="R36" s="32">
        <f t="shared" si="11"/>
        <v>59911920</v>
      </c>
      <c r="S36" s="32">
        <f t="shared" si="11"/>
        <v>0</v>
      </c>
      <c r="T36" s="32">
        <f t="shared" si="11"/>
        <v>141951936</v>
      </c>
      <c r="U36" s="32">
        <f t="shared" si="11"/>
        <v>99911920</v>
      </c>
      <c r="V36" s="32">
        <f t="shared" si="11"/>
        <v>119911920</v>
      </c>
      <c r="W36" s="32">
        <f t="shared" si="11"/>
        <v>99907996</v>
      </c>
      <c r="X36" s="32">
        <f t="shared" si="11"/>
        <v>161951880</v>
      </c>
      <c r="Y36" s="32">
        <f t="shared" si="11"/>
        <v>119915948</v>
      </c>
      <c r="Z36" s="32">
        <f t="shared" si="11"/>
        <v>119883924</v>
      </c>
      <c r="AA36" s="32">
        <f t="shared" si="11"/>
        <v>39911944</v>
      </c>
      <c r="AB36" s="32">
        <f t="shared" si="11"/>
        <v>79891940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</v>
      </c>
      <c r="L40" s="3" t="str">
        <f t="shared" ref="L40:BM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</v>
      </c>
      <c r="Q40" s="3" t="str">
        <f t="shared" ca="1" si="13"/>
        <v>James, Larry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Chris;Batchler, Wayne;Blackmon, Vaughn;Cochcroft, Art;Crenshaw, Ed;Gibson, Johnny;James, Larry;Kieselhorst, Larry;Knotts, Brian;McGee, Steve;McMahon, Pat;Moxley, Dave;Nguyen, Thai;Nye, Mike;Reams,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3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42" priority="17" stopIfTrue="1" operator="equal">
      <formula>0</formula>
    </cfRule>
  </conditionalFormatting>
  <conditionalFormatting sqref="D26:J28 K28:BE28">
    <cfRule type="cellIs" dxfId="141" priority="16" stopIfTrue="1" operator="equal">
      <formula>1</formula>
    </cfRule>
  </conditionalFormatting>
  <conditionalFormatting sqref="H3:I3 F23 H5:I5 H7:I7 H9:I9 H11:I11 H13:I13 H15:I15 H17:I17 H19:I19 H21:I21">
    <cfRule type="cellIs" dxfId="140" priority="15" stopIfTrue="1" operator="equal">
      <formula>0</formula>
    </cfRule>
  </conditionalFormatting>
  <conditionalFormatting sqref="H4:I4 F24 H6:I6 H8:I8 H10:I10 H12:I12 H14:I14 H16:I16 H18:I18 H20:I20 H22:I22">
    <cfRule type="cellIs" dxfId="139" priority="14" stopIfTrue="1" operator="equal">
      <formula>0</formula>
    </cfRule>
  </conditionalFormatting>
  <conditionalFormatting sqref="F3 F5 F7 F9 F11 F13 F15 F17 F19 F21">
    <cfRule type="cellIs" dxfId="138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37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6" priority="10" stopIfTrue="1">
      <formula>AND(COUNTA(J4)=1,$E4=1,SUM($E3:$E4)=1)</formula>
    </cfRule>
    <cfRule type="expression" dxfId="135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34" priority="8" stopIfTrue="1">
      <formula>AND(COUNTA(J3)=1,$E3=1,SUM($E3:$E4)=1)</formula>
    </cfRule>
    <cfRule type="expression" dxfId="133" priority="9" stopIfTrue="1">
      <formula>AND(COUNTA(J3)=1,$E3=0,SUM($E3:$E4)=1)</formula>
    </cfRule>
  </conditionalFormatting>
  <conditionalFormatting sqref="BF23:BM23">
    <cfRule type="cellIs" dxfId="132" priority="7" stopIfTrue="1" operator="equal">
      <formula>0</formula>
    </cfRule>
  </conditionalFormatting>
  <conditionalFormatting sqref="BF24:BM24">
    <cfRule type="cellIs" dxfId="131" priority="6" stopIfTrue="1" operator="equal">
      <formula>0</formula>
    </cfRule>
  </conditionalFormatting>
  <conditionalFormatting sqref="BF28:BM28">
    <cfRule type="cellIs" dxfId="130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29" priority="3" stopIfTrue="1">
      <formula>AND(COUNTA(BF4)=1,$E4=1,SUM($E3:$E4)=1)</formula>
    </cfRule>
    <cfRule type="expression" dxfId="128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27" priority="1" stopIfTrue="1">
      <formula>AND(COUNTA(BF3)=1,$E3=1,SUM($E3:$E4)=1)</formula>
    </cfRule>
    <cfRule type="expression" dxfId="126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84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Barker, Chris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</v>
      </c>
      <c r="Q2" s="4" t="str">
        <f t="shared" ca="1" si="0"/>
        <v>James, Larry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>
      <c r="A3" s="59">
        <v>1</v>
      </c>
      <c r="B3" s="67" t="s">
        <v>139</v>
      </c>
      <c r="C3" s="65"/>
      <c r="D3" s="64">
        <v>3</v>
      </c>
      <c r="E3" s="64">
        <f>IF(ISBLANK($D3),"0",IF(($D4-$D3)&lt;($C4-$C3),1,0))</f>
        <v>1</v>
      </c>
      <c r="F3" s="64">
        <f ca="1">COUNTA(INDIRECT("RC11:RC"&amp;11+playercnt-1,FALSE))</f>
        <v>13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265</v>
      </c>
      <c r="M3" s="69" t="s">
        <v>264</v>
      </c>
      <c r="N3" s="69" t="s">
        <v>265</v>
      </c>
      <c r="O3" s="69" t="s">
        <v>265</v>
      </c>
      <c r="P3" s="69" t="s">
        <v>264</v>
      </c>
      <c r="Q3" s="69" t="s">
        <v>265</v>
      </c>
      <c r="R3" s="69"/>
      <c r="S3" s="69" t="s">
        <v>265</v>
      </c>
      <c r="T3" s="69" t="s">
        <v>265</v>
      </c>
      <c r="U3" s="69" t="s">
        <v>264</v>
      </c>
      <c r="V3" s="69"/>
      <c r="W3" s="69" t="s">
        <v>264</v>
      </c>
      <c r="X3" s="69" t="s">
        <v>264</v>
      </c>
      <c r="Y3" s="69"/>
      <c r="Z3" s="69" t="s">
        <v>265</v>
      </c>
      <c r="AA3" s="69" t="s">
        <v>265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232</v>
      </c>
      <c r="C4" s="66">
        <v>21.5</v>
      </c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/>
      <c r="M4" s="70"/>
      <c r="N4" s="70"/>
      <c r="O4" s="70"/>
      <c r="P4" s="70"/>
      <c r="Q4" s="70"/>
      <c r="R4" s="70" t="s">
        <v>264</v>
      </c>
      <c r="S4" s="70"/>
      <c r="T4" s="70"/>
      <c r="U4" s="97"/>
      <c r="V4" s="70" t="s">
        <v>265</v>
      </c>
      <c r="W4" s="70"/>
      <c r="X4" s="70"/>
      <c r="Y4" s="70" t="s">
        <v>265</v>
      </c>
      <c r="Z4" s="70"/>
      <c r="AA4" s="70"/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>
      <c r="A5" s="59">
        <v>2</v>
      </c>
      <c r="B5" s="67" t="s">
        <v>191</v>
      </c>
      <c r="C5" s="65"/>
      <c r="D5" s="64">
        <v>13</v>
      </c>
      <c r="E5" s="64">
        <f>IF(ISBLANK($D5),"0",IF(($D6-$D5)&lt;($C6-$C5),1,0))</f>
        <v>0</v>
      </c>
      <c r="F5" s="64">
        <f t="shared" ca="1" si="1"/>
        <v>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 t="s">
        <v>265</v>
      </c>
      <c r="U5" s="96"/>
      <c r="V5" s="69" t="s">
        <v>265</v>
      </c>
      <c r="W5" s="69" t="s">
        <v>264</v>
      </c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>
      <c r="A6" s="61" t="s">
        <v>3</v>
      </c>
      <c r="B6" s="68" t="s">
        <v>190</v>
      </c>
      <c r="C6" s="66">
        <v>9.5</v>
      </c>
      <c r="D6" s="64">
        <v>31</v>
      </c>
      <c r="E6" s="64">
        <f>IF(ISBLANK($D6),"0",IF(($D6-$D5)&gt;($C6-$C5),1,0))</f>
        <v>1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265</v>
      </c>
      <c r="M6" s="70" t="s">
        <v>264</v>
      </c>
      <c r="N6" s="70" t="s">
        <v>265</v>
      </c>
      <c r="O6" s="70" t="s">
        <v>265</v>
      </c>
      <c r="P6" s="70" t="s">
        <v>264</v>
      </c>
      <c r="Q6" s="70" t="s">
        <v>265</v>
      </c>
      <c r="R6" s="70" t="s">
        <v>264</v>
      </c>
      <c r="S6" s="70" t="s">
        <v>265</v>
      </c>
      <c r="T6" s="70"/>
      <c r="U6" s="70" t="s">
        <v>264</v>
      </c>
      <c r="V6" s="70"/>
      <c r="W6" s="70"/>
      <c r="X6" s="70" t="s">
        <v>264</v>
      </c>
      <c r="Y6" s="70" t="s">
        <v>265</v>
      </c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>
      <c r="A7" s="59">
        <v>3</v>
      </c>
      <c r="B7" s="67" t="s">
        <v>176</v>
      </c>
      <c r="C7" s="65"/>
      <c r="D7" s="64">
        <v>17</v>
      </c>
      <c r="E7" s="64">
        <f>IF(ISBLANK($D7),"0",IF(($D8-$D7)&lt;($C8-$C7),1,0))</f>
        <v>1</v>
      </c>
      <c r="F7" s="64">
        <f t="shared" ca="1" si="1"/>
        <v>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 t="s">
        <v>264</v>
      </c>
      <c r="N7" s="69"/>
      <c r="O7" s="69"/>
      <c r="P7" s="69" t="s">
        <v>264</v>
      </c>
      <c r="Q7" s="69"/>
      <c r="R7" s="96"/>
      <c r="S7" s="96" t="s">
        <v>265</v>
      </c>
      <c r="T7" s="96" t="s">
        <v>265</v>
      </c>
      <c r="U7" s="96"/>
      <c r="V7" s="69"/>
      <c r="W7" s="69" t="s">
        <v>264</v>
      </c>
      <c r="X7" s="69"/>
      <c r="Y7" s="69"/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129</v>
      </c>
      <c r="C8" s="66">
        <v>5.5</v>
      </c>
      <c r="D8" s="64">
        <v>19</v>
      </c>
      <c r="E8" s="64">
        <f>IF(ISBLANK($D8),"0",IF(($D8-$D7)&gt;($C8-$C7),1,0))</f>
        <v>0</v>
      </c>
      <c r="F8" s="64">
        <f t="shared" ca="1" si="1"/>
        <v>12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/>
      <c r="N8" s="70" t="s">
        <v>265</v>
      </c>
      <c r="O8" s="70" t="s">
        <v>265</v>
      </c>
      <c r="P8" s="70"/>
      <c r="Q8" s="70" t="s">
        <v>265</v>
      </c>
      <c r="R8" s="97" t="s">
        <v>264</v>
      </c>
      <c r="S8" s="97"/>
      <c r="T8" s="97"/>
      <c r="U8" s="97" t="s">
        <v>264</v>
      </c>
      <c r="V8" s="70" t="s">
        <v>265</v>
      </c>
      <c r="W8" s="70"/>
      <c r="X8" s="70" t="s">
        <v>264</v>
      </c>
      <c r="Y8" s="70" t="s">
        <v>265</v>
      </c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>
      <c r="A9" s="59">
        <v>4</v>
      </c>
      <c r="B9" s="108" t="s">
        <v>134</v>
      </c>
      <c r="C9" s="65"/>
      <c r="D9" s="81">
        <v>20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 t="s">
        <v>265</v>
      </c>
      <c r="M9" s="69" t="s">
        <v>264</v>
      </c>
      <c r="N9" s="69" t="s">
        <v>265</v>
      </c>
      <c r="O9" s="69" t="s">
        <v>265</v>
      </c>
      <c r="P9" s="69" t="s">
        <v>264</v>
      </c>
      <c r="Q9" s="69"/>
      <c r="R9" s="96"/>
      <c r="S9" s="96" t="s">
        <v>265</v>
      </c>
      <c r="T9" s="96" t="s">
        <v>265</v>
      </c>
      <c r="U9" s="96"/>
      <c r="V9" s="69" t="s">
        <v>265</v>
      </c>
      <c r="W9" s="69" t="s">
        <v>264</v>
      </c>
      <c r="X9" s="69" t="s">
        <v>264</v>
      </c>
      <c r="Y9" s="69" t="s">
        <v>265</v>
      </c>
      <c r="Z9" s="69"/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>
      <c r="A10" s="61" t="s">
        <v>3</v>
      </c>
      <c r="B10" s="68" t="s">
        <v>138</v>
      </c>
      <c r="C10" s="66">
        <v>20.5</v>
      </c>
      <c r="D10" s="64">
        <v>52</v>
      </c>
      <c r="E10" s="64">
        <f>IF(ISBLANK($D10),"0",IF(($D10-$D9)&gt;($C10-$C9),1,0))</f>
        <v>1</v>
      </c>
      <c r="F10" s="64">
        <f t="shared" ca="1" si="1"/>
        <v>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 t="s">
        <v>265</v>
      </c>
      <c r="R10" s="97" t="s">
        <v>264</v>
      </c>
      <c r="S10" s="97"/>
      <c r="T10" s="97"/>
      <c r="U10" s="70" t="s">
        <v>264</v>
      </c>
      <c r="V10" s="70"/>
      <c r="W10" s="70"/>
      <c r="X10" s="70"/>
      <c r="Y10" s="70"/>
      <c r="Z10" s="70" t="s">
        <v>265</v>
      </c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>
      <c r="A11" s="59">
        <v>5</v>
      </c>
      <c r="B11" s="67" t="s">
        <v>141</v>
      </c>
      <c r="C11" s="65"/>
      <c r="D11" s="64">
        <v>13</v>
      </c>
      <c r="E11" s="64">
        <f>IF(ISBLANK($D11),"0",IF(($D12-$D11)&lt;($C12-$C11),1,0))</f>
        <v>1</v>
      </c>
      <c r="F11" s="64">
        <f t="shared" ca="1" si="1"/>
        <v>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 t="s">
        <v>265</v>
      </c>
      <c r="P11" s="69" t="s">
        <v>264</v>
      </c>
      <c r="Q11" s="69" t="s">
        <v>265</v>
      </c>
      <c r="R11" s="96"/>
      <c r="S11" s="96"/>
      <c r="T11" s="96"/>
      <c r="U11" s="69"/>
      <c r="V11" s="69"/>
      <c r="W11" s="69"/>
      <c r="X11" s="69"/>
      <c r="Y11" s="69" t="s">
        <v>265</v>
      </c>
      <c r="Z11" s="69" t="s">
        <v>265</v>
      </c>
      <c r="AA11" s="69"/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132</v>
      </c>
      <c r="C12" s="66">
        <v>10.5</v>
      </c>
      <c r="D12" s="64">
        <v>21</v>
      </c>
      <c r="E12" s="64">
        <f>IF(ISBLANK($D12),"0",IF(($D12-$D11)&gt;($C12-$C11),1,0))</f>
        <v>0</v>
      </c>
      <c r="F12" s="64">
        <f t="shared" ca="1" si="1"/>
        <v>12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 t="s">
        <v>265</v>
      </c>
      <c r="M12" s="70" t="s">
        <v>264</v>
      </c>
      <c r="N12" s="70" t="s">
        <v>265</v>
      </c>
      <c r="O12" s="70"/>
      <c r="P12" s="70"/>
      <c r="Q12" s="70"/>
      <c r="R12" s="97" t="s">
        <v>264</v>
      </c>
      <c r="S12" s="97" t="s">
        <v>265</v>
      </c>
      <c r="T12" s="97" t="s">
        <v>265</v>
      </c>
      <c r="U12" s="97" t="s">
        <v>264</v>
      </c>
      <c r="V12" s="70" t="s">
        <v>265</v>
      </c>
      <c r="W12" s="70" t="s">
        <v>264</v>
      </c>
      <c r="X12" s="70" t="s">
        <v>264</v>
      </c>
      <c r="Y12" s="70"/>
      <c r="Z12" s="70"/>
      <c r="AA12" s="70" t="s">
        <v>265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>
      <c r="A13" s="59">
        <v>6</v>
      </c>
      <c r="B13" s="67" t="s">
        <v>143</v>
      </c>
      <c r="C13" s="65"/>
      <c r="D13" s="64">
        <v>0</v>
      </c>
      <c r="E13" s="64">
        <f>IF(ISBLANK($D13),"0",IF(($D14-$D13)&lt;($C14-$C13),1,0))</f>
        <v>0</v>
      </c>
      <c r="F13" s="64">
        <f t="shared" ca="1" si="1"/>
        <v>18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264</v>
      </c>
      <c r="L13" s="69" t="s">
        <v>265</v>
      </c>
      <c r="M13" s="69" t="s">
        <v>264</v>
      </c>
      <c r="N13" s="69" t="s">
        <v>265</v>
      </c>
      <c r="O13" s="69" t="s">
        <v>265</v>
      </c>
      <c r="P13" s="69" t="s">
        <v>264</v>
      </c>
      <c r="Q13" s="69" t="s">
        <v>265</v>
      </c>
      <c r="R13" s="96" t="s">
        <v>264</v>
      </c>
      <c r="S13" s="96" t="s">
        <v>265</v>
      </c>
      <c r="T13" s="96" t="s">
        <v>265</v>
      </c>
      <c r="U13" s="69" t="s">
        <v>264</v>
      </c>
      <c r="V13" s="69" t="s">
        <v>265</v>
      </c>
      <c r="W13" s="69" t="s">
        <v>264</v>
      </c>
      <c r="X13" s="69" t="s">
        <v>264</v>
      </c>
      <c r="Y13" s="69" t="s">
        <v>265</v>
      </c>
      <c r="Z13" s="69" t="s">
        <v>265</v>
      </c>
      <c r="AA13" s="69" t="s">
        <v>265</v>
      </c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>
      <c r="A14" s="61" t="s">
        <v>3</v>
      </c>
      <c r="B14" s="68" t="s">
        <v>142</v>
      </c>
      <c r="C14" s="66">
        <v>28.5</v>
      </c>
      <c r="D14" s="64">
        <v>48</v>
      </c>
      <c r="E14" s="64">
        <f>IF(ISBLANK($D14),"0",IF(($D14-$D13)&gt;($C14-$C13),1,0))</f>
        <v>1</v>
      </c>
      <c r="F14" s="64">
        <f t="shared" ca="1" si="1"/>
        <v>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>
      <c r="A15" s="59">
        <v>7</v>
      </c>
      <c r="B15" s="67" t="s">
        <v>233</v>
      </c>
      <c r="C15" s="65"/>
      <c r="D15" s="64">
        <v>39</v>
      </c>
      <c r="E15" s="64">
        <f>IF(ISBLANK($D15),"0",IF(($D16-$D15)&lt;($C16-$C15),1,0))</f>
        <v>1</v>
      </c>
      <c r="F15" s="64">
        <f t="shared" ca="1" si="1"/>
        <v>10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 t="s">
        <v>264</v>
      </c>
      <c r="N15" s="69" t="s">
        <v>265</v>
      </c>
      <c r="O15" s="69" t="s">
        <v>265</v>
      </c>
      <c r="P15" s="69" t="s">
        <v>264</v>
      </c>
      <c r="Q15" s="69" t="s">
        <v>265</v>
      </c>
      <c r="R15" s="96"/>
      <c r="S15" s="96"/>
      <c r="T15" s="96"/>
      <c r="U15" s="96" t="s">
        <v>264</v>
      </c>
      <c r="V15" s="69"/>
      <c r="W15" s="69" t="s">
        <v>264</v>
      </c>
      <c r="X15" s="69"/>
      <c r="Y15" s="69"/>
      <c r="Z15" s="69"/>
      <c r="AA15" s="69"/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124</v>
      </c>
      <c r="C16" s="66">
        <v>11.5</v>
      </c>
      <c r="D16" s="64">
        <v>36</v>
      </c>
      <c r="E16" s="64">
        <f>IF(ISBLANK($D16),"0",IF(($D16-$D15)&gt;($C16-$C15),1,0))</f>
        <v>0</v>
      </c>
      <c r="F16" s="64">
        <f t="shared" ca="1" si="1"/>
        <v>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 t="s">
        <v>264</v>
      </c>
      <c r="S16" s="70" t="s">
        <v>265</v>
      </c>
      <c r="T16" s="70" t="s">
        <v>265</v>
      </c>
      <c r="U16" s="70"/>
      <c r="V16" s="70" t="s">
        <v>265</v>
      </c>
      <c r="W16" s="70"/>
      <c r="X16" s="70" t="s">
        <v>264</v>
      </c>
      <c r="Y16" s="70" t="s">
        <v>265</v>
      </c>
      <c r="Z16" s="70" t="s">
        <v>265</v>
      </c>
      <c r="AA16" s="70" t="s">
        <v>265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148</v>
      </c>
      <c r="C17" s="65"/>
      <c r="D17" s="64">
        <v>38</v>
      </c>
      <c r="E17" s="64">
        <f>IF(ISBLANK($D17),"0",IF(($D18-$D17)&lt;($C18-$C17),1,0))</f>
        <v>1</v>
      </c>
      <c r="F17" s="64">
        <f t="shared" ca="1" si="1"/>
        <v>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 t="s">
        <v>264</v>
      </c>
      <c r="Q17" s="69" t="s">
        <v>265</v>
      </c>
      <c r="R17" s="69"/>
      <c r="S17" s="69"/>
      <c r="T17" s="69"/>
      <c r="U17" s="69"/>
      <c r="V17" s="69" t="s">
        <v>265</v>
      </c>
      <c r="W17" s="69" t="s">
        <v>264</v>
      </c>
      <c r="X17" s="69"/>
      <c r="Y17" s="69"/>
      <c r="Z17" s="69" t="s">
        <v>265</v>
      </c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230</v>
      </c>
      <c r="C18" s="66">
        <v>10.5</v>
      </c>
      <c r="D18" s="64">
        <v>41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265</v>
      </c>
      <c r="M18" s="70" t="s">
        <v>264</v>
      </c>
      <c r="N18" s="70" t="s">
        <v>265</v>
      </c>
      <c r="O18" s="70" t="s">
        <v>265</v>
      </c>
      <c r="P18" s="70"/>
      <c r="Q18" s="70"/>
      <c r="R18" s="70" t="s">
        <v>264</v>
      </c>
      <c r="S18" s="70" t="s">
        <v>265</v>
      </c>
      <c r="T18" s="70" t="s">
        <v>265</v>
      </c>
      <c r="U18" s="97" t="s">
        <v>264</v>
      </c>
      <c r="V18" s="70"/>
      <c r="W18" s="70"/>
      <c r="X18" s="70" t="s">
        <v>264</v>
      </c>
      <c r="Y18" s="70" t="s">
        <v>265</v>
      </c>
      <c r="Z18" s="70"/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>
      <c r="A19" s="59">
        <v>9</v>
      </c>
      <c r="B19" s="67" t="s">
        <v>133</v>
      </c>
      <c r="C19" s="65">
        <v>13.5</v>
      </c>
      <c r="D19" s="64">
        <v>42</v>
      </c>
      <c r="E19" s="64">
        <f>IF(ISBLANK($D19),"0",IF(($D20-$D19)&lt;($C20-$C19),1,0))</f>
        <v>1</v>
      </c>
      <c r="F19" s="64">
        <f t="shared" ca="1" si="1"/>
        <v>11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264</v>
      </c>
      <c r="N19" s="69"/>
      <c r="O19" s="69" t="s">
        <v>265</v>
      </c>
      <c r="P19" s="69" t="s">
        <v>264</v>
      </c>
      <c r="Q19" s="69"/>
      <c r="R19" s="69" t="s">
        <v>264</v>
      </c>
      <c r="S19" s="69"/>
      <c r="T19" s="69" t="s">
        <v>265</v>
      </c>
      <c r="U19" s="96" t="s">
        <v>264</v>
      </c>
      <c r="V19" s="69" t="s">
        <v>265</v>
      </c>
      <c r="W19" s="69" t="s">
        <v>264</v>
      </c>
      <c r="X19" s="69" t="s">
        <v>264</v>
      </c>
      <c r="Y19" s="69" t="s">
        <v>265</v>
      </c>
      <c r="Z19" s="69"/>
      <c r="AA19" s="69" t="s">
        <v>265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>
      <c r="A20" s="61" t="s">
        <v>3</v>
      </c>
      <c r="B20" s="68" t="s">
        <v>131</v>
      </c>
      <c r="C20" s="66"/>
      <c r="D20" s="64">
        <v>25</v>
      </c>
      <c r="E20" s="64">
        <f>IF(ISBLANK($D20),"0",IF(($D20-$D19)&gt;($C20-$C19),1,0))</f>
        <v>0</v>
      </c>
      <c r="F20" s="64">
        <f t="shared" ca="1" si="1"/>
        <v>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264</v>
      </c>
      <c r="L20" s="70" t="s">
        <v>265</v>
      </c>
      <c r="M20" s="70"/>
      <c r="N20" s="70" t="s">
        <v>265</v>
      </c>
      <c r="O20" s="70"/>
      <c r="P20" s="70"/>
      <c r="Q20" s="70" t="s">
        <v>265</v>
      </c>
      <c r="R20" s="70"/>
      <c r="S20" s="70" t="s">
        <v>265</v>
      </c>
      <c r="T20" s="70"/>
      <c r="U20" s="70"/>
      <c r="V20" s="70"/>
      <c r="W20" s="70"/>
      <c r="X20" s="70"/>
      <c r="Y20" s="70"/>
      <c r="Z20" s="70" t="s">
        <v>265</v>
      </c>
      <c r="AA20" s="70"/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>
      <c r="A21" s="59">
        <v>10</v>
      </c>
      <c r="B21" s="67" t="s">
        <v>168</v>
      </c>
      <c r="C21" s="65"/>
      <c r="D21" s="64">
        <v>38</v>
      </c>
      <c r="E21" s="64">
        <f>IF(ISBLANK($D21),"0",IF(($D22-$D21)&lt;($C22-$C21),1,0))</f>
        <v>0</v>
      </c>
      <c r="F21" s="64">
        <f t="shared" ca="1" si="1"/>
        <v>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 t="s">
        <v>265</v>
      </c>
      <c r="M21" s="69" t="s">
        <v>264</v>
      </c>
      <c r="N21" s="69"/>
      <c r="O21" s="69" t="s">
        <v>265</v>
      </c>
      <c r="P21" s="69"/>
      <c r="Q21" s="69"/>
      <c r="R21" s="69" t="s">
        <v>264</v>
      </c>
      <c r="S21" s="69"/>
      <c r="T21" s="69"/>
      <c r="U21" s="96" t="s">
        <v>264</v>
      </c>
      <c r="V21" s="69" t="s">
        <v>265</v>
      </c>
      <c r="W21" s="69" t="s">
        <v>264</v>
      </c>
      <c r="X21" s="69"/>
      <c r="Y21" s="69" t="s">
        <v>265</v>
      </c>
      <c r="Z21" s="69"/>
      <c r="AA21" s="69" t="s">
        <v>265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>
      <c r="A22" s="61" t="s">
        <v>3</v>
      </c>
      <c r="B22" s="68" t="s">
        <v>126</v>
      </c>
      <c r="C22" s="66">
        <v>0.5</v>
      </c>
      <c r="D22" s="64">
        <v>41</v>
      </c>
      <c r="E22" s="64">
        <f>IF(ISBLANK($D22),"0",IF(($D22-$D21)&gt;($C22-$C21),1,0))</f>
        <v>1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 t="s">
        <v>264</v>
      </c>
      <c r="L22" s="70"/>
      <c r="M22" s="70"/>
      <c r="N22" s="70" t="s">
        <v>265</v>
      </c>
      <c r="O22" s="70"/>
      <c r="P22" s="70" t="s">
        <v>264</v>
      </c>
      <c r="Q22" s="70" t="s">
        <v>265</v>
      </c>
      <c r="R22" s="70"/>
      <c r="S22" s="70" t="s">
        <v>265</v>
      </c>
      <c r="T22" s="70" t="s">
        <v>265</v>
      </c>
      <c r="U22" s="70"/>
      <c r="V22" s="70"/>
      <c r="W22" s="70"/>
      <c r="X22" s="70" t="s">
        <v>264</v>
      </c>
      <c r="Y22" s="70"/>
      <c r="Z22" s="70" t="s">
        <v>265</v>
      </c>
      <c r="AA22" s="70"/>
      <c r="AB22" s="70" t="s">
        <v>265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Virginia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17</v>
      </c>
      <c r="L23" s="78">
        <v>21</v>
      </c>
      <c r="M23" s="78">
        <v>24</v>
      </c>
      <c r="N23" s="80">
        <v>22</v>
      </c>
      <c r="O23" s="78">
        <v>24</v>
      </c>
      <c r="P23" s="78">
        <v>13</v>
      </c>
      <c r="Q23" s="78">
        <v>31</v>
      </c>
      <c r="R23" s="78">
        <v>22</v>
      </c>
      <c r="S23" s="78">
        <v>14</v>
      </c>
      <c r="T23" s="78">
        <v>27</v>
      </c>
      <c r="U23" s="78">
        <v>24</v>
      </c>
      <c r="V23" s="78">
        <v>24</v>
      </c>
      <c r="W23" s="78">
        <v>28</v>
      </c>
      <c r="X23" s="78">
        <v>21</v>
      </c>
      <c r="Y23" s="78">
        <v>34</v>
      </c>
      <c r="Z23" s="78">
        <v>17</v>
      </c>
      <c r="AA23" s="78">
        <v>21</v>
      </c>
      <c r="AB23" s="78">
        <v>20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/>
      <c r="K24" s="79">
        <v>20</v>
      </c>
      <c r="L24" s="79">
        <v>13</v>
      </c>
      <c r="M24" s="79">
        <v>17</v>
      </c>
      <c r="N24" s="79">
        <v>24</v>
      </c>
      <c r="O24" s="79">
        <v>21</v>
      </c>
      <c r="P24" s="79">
        <v>20</v>
      </c>
      <c r="Q24" s="79">
        <v>35</v>
      </c>
      <c r="R24" s="79">
        <v>21</v>
      </c>
      <c r="S24" s="79">
        <v>21</v>
      </c>
      <c r="T24" s="79">
        <v>38</v>
      </c>
      <c r="U24" s="79">
        <v>21</v>
      </c>
      <c r="V24" s="79">
        <v>21</v>
      </c>
      <c r="W24" s="79">
        <v>27</v>
      </c>
      <c r="X24" s="79">
        <v>34</v>
      </c>
      <c r="Y24" s="79">
        <v>31</v>
      </c>
      <c r="Z24" s="79">
        <v>30</v>
      </c>
      <c r="AA24" s="79">
        <v>20</v>
      </c>
      <c r="AB24" s="79">
        <v>31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8</v>
      </c>
      <c r="Q25" s="36">
        <f t="shared" si="3"/>
        <v>7</v>
      </c>
      <c r="R25" s="36">
        <f t="shared" si="3"/>
        <v>3</v>
      </c>
      <c r="S25" s="36">
        <f t="shared" si="3"/>
        <v>4</v>
      </c>
      <c r="T25" s="36">
        <f t="shared" si="3"/>
        <v>4</v>
      </c>
      <c r="U25" s="36">
        <f t="shared" si="3"/>
        <v>5</v>
      </c>
      <c r="V25" s="36">
        <f t="shared" si="3"/>
        <v>2</v>
      </c>
      <c r="W25" s="36">
        <f t="shared" si="3"/>
        <v>5</v>
      </c>
      <c r="X25" s="36">
        <f t="shared" si="3"/>
        <v>4</v>
      </c>
      <c r="Y25" s="36">
        <f t="shared" si="3"/>
        <v>3</v>
      </c>
      <c r="Z25" s="36">
        <f t="shared" si="3"/>
        <v>7</v>
      </c>
      <c r="AA25" s="36">
        <f t="shared" si="3"/>
        <v>3</v>
      </c>
      <c r="AB25" s="36">
        <f t="shared" si="3"/>
        <v>4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O26" si="4">ABS((L23-L24)-($D21-$D22))</f>
        <v>11</v>
      </c>
      <c r="M26" s="71">
        <f t="shared" si="4"/>
        <v>10</v>
      </c>
      <c r="N26" s="71">
        <f t="shared" si="4"/>
        <v>1</v>
      </c>
      <c r="O26" s="71">
        <f t="shared" si="4"/>
        <v>6</v>
      </c>
      <c r="P26" s="71">
        <f t="shared" si="4"/>
        <v>4</v>
      </c>
      <c r="Q26" s="71">
        <f t="shared" si="4"/>
        <v>1</v>
      </c>
      <c r="R26" s="71">
        <f t="shared" si="4"/>
        <v>4</v>
      </c>
      <c r="S26" s="71">
        <f t="shared" si="4"/>
        <v>4</v>
      </c>
      <c r="T26" s="71">
        <f t="shared" si="4"/>
        <v>8</v>
      </c>
      <c r="U26" s="71">
        <f t="shared" si="4"/>
        <v>6</v>
      </c>
      <c r="V26" s="71">
        <f t="shared" si="4"/>
        <v>6</v>
      </c>
      <c r="W26" s="71">
        <f t="shared" si="4"/>
        <v>4</v>
      </c>
      <c r="X26" s="71">
        <f t="shared" si="4"/>
        <v>10</v>
      </c>
      <c r="Y26" s="71">
        <f t="shared" si="4"/>
        <v>6</v>
      </c>
      <c r="Z26" s="71">
        <f t="shared" si="4"/>
        <v>10</v>
      </c>
      <c r="AA26" s="71">
        <f t="shared" si="4"/>
        <v>4</v>
      </c>
      <c r="AB26" s="71">
        <f t="shared" si="4"/>
        <v>8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42</v>
      </c>
      <c r="L27" s="71">
        <f t="shared" ref="L27:AO27" si="5">ABS(($D21+$D22)-(L23+L24))</f>
        <v>45</v>
      </c>
      <c r="M27" s="71">
        <f t="shared" si="5"/>
        <v>38</v>
      </c>
      <c r="N27" s="71">
        <f t="shared" si="5"/>
        <v>33</v>
      </c>
      <c r="O27" s="71">
        <f t="shared" si="5"/>
        <v>34</v>
      </c>
      <c r="P27" s="71">
        <f t="shared" si="5"/>
        <v>46</v>
      </c>
      <c r="Q27" s="71">
        <f t="shared" si="5"/>
        <v>13</v>
      </c>
      <c r="R27" s="71">
        <f t="shared" si="5"/>
        <v>36</v>
      </c>
      <c r="S27" s="71">
        <f t="shared" si="5"/>
        <v>44</v>
      </c>
      <c r="T27" s="71">
        <f t="shared" si="5"/>
        <v>14</v>
      </c>
      <c r="U27" s="71">
        <f t="shared" si="5"/>
        <v>34</v>
      </c>
      <c r="V27" s="71">
        <f t="shared" si="5"/>
        <v>34</v>
      </c>
      <c r="W27" s="71">
        <f t="shared" si="5"/>
        <v>24</v>
      </c>
      <c r="X27" s="71">
        <f t="shared" si="5"/>
        <v>24</v>
      </c>
      <c r="Y27" s="71">
        <f t="shared" si="5"/>
        <v>14</v>
      </c>
      <c r="Z27" s="71">
        <f t="shared" si="5"/>
        <v>32</v>
      </c>
      <c r="AA27" s="71">
        <f t="shared" si="5"/>
        <v>38</v>
      </c>
      <c r="AB27" s="71">
        <f t="shared" si="5"/>
        <v>28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>
        <f t="shared" ca="1" si="6"/>
        <v>1</v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0.43888888888888888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5</v>
      </c>
      <c r="M29" s="71">
        <f t="shared" si="7"/>
        <v>7</v>
      </c>
      <c r="N29" s="71">
        <f t="shared" si="7"/>
        <v>4</v>
      </c>
      <c r="O29" s="71">
        <f t="shared" si="7"/>
        <v>7</v>
      </c>
      <c r="P29" s="71">
        <f t="shared" si="7"/>
        <v>8</v>
      </c>
      <c r="Q29" s="71">
        <f t="shared" si="7"/>
        <v>5</v>
      </c>
      <c r="R29" s="71">
        <f t="shared" si="7"/>
        <v>3</v>
      </c>
      <c r="S29" s="71">
        <f t="shared" si="7"/>
        <v>4</v>
      </c>
      <c r="T29" s="71">
        <f t="shared" si="7"/>
        <v>6</v>
      </c>
      <c r="U29" s="71">
        <f t="shared" si="7"/>
        <v>5</v>
      </c>
      <c r="V29" s="71">
        <f t="shared" si="7"/>
        <v>6</v>
      </c>
      <c r="W29" s="71">
        <f t="shared" si="7"/>
        <v>9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4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6</v>
      </c>
      <c r="N30" s="73">
        <f t="shared" si="8"/>
        <v>5</v>
      </c>
      <c r="O30" s="73">
        <f t="shared" si="8"/>
        <v>6</v>
      </c>
      <c r="P30" s="73">
        <f t="shared" si="8"/>
        <v>7</v>
      </c>
      <c r="Q30" s="73">
        <f t="shared" si="8"/>
        <v>6</v>
      </c>
      <c r="R30" s="73">
        <f t="shared" si="8"/>
        <v>2</v>
      </c>
      <c r="S30" s="73">
        <f t="shared" si="8"/>
        <v>5</v>
      </c>
      <c r="T30" s="73">
        <f t="shared" si="8"/>
        <v>5</v>
      </c>
      <c r="U30" s="73">
        <f t="shared" si="8"/>
        <v>4</v>
      </c>
      <c r="V30" s="73">
        <f t="shared" si="8"/>
        <v>5</v>
      </c>
      <c r="W30" s="73">
        <f t="shared" si="8"/>
        <v>8</v>
      </c>
      <c r="X30" s="73">
        <f t="shared" si="8"/>
        <v>3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5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2.5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1.5</v>
      </c>
      <c r="M31" s="71">
        <f t="shared" ca="1" si="9"/>
        <v>1.5</v>
      </c>
      <c r="N31" s="71">
        <f t="shared" ca="1" si="9"/>
        <v>1.5</v>
      </c>
      <c r="O31" s="71">
        <f t="shared" ca="1" si="9"/>
        <v>1.5</v>
      </c>
      <c r="P31" s="71">
        <f t="shared" ca="1" si="9"/>
        <v>3.5</v>
      </c>
      <c r="Q31" s="71">
        <f t="shared" ca="1" si="9"/>
        <v>4.5</v>
      </c>
      <c r="R31" s="71">
        <f t="shared" ca="1" si="9"/>
        <v>3.5</v>
      </c>
      <c r="S31" s="71">
        <f t="shared" ca="1" si="9"/>
        <v>3.5</v>
      </c>
      <c r="T31" s="71">
        <f t="shared" ca="1" si="9"/>
        <v>3.5</v>
      </c>
      <c r="U31" s="71">
        <f t="shared" ca="1" si="9"/>
        <v>1.5</v>
      </c>
      <c r="V31" s="71">
        <f t="shared" ca="1" si="9"/>
        <v>4.5</v>
      </c>
      <c r="W31" s="71">
        <f t="shared" ca="1" si="9"/>
        <v>3.5</v>
      </c>
      <c r="X31" s="71">
        <f t="shared" ca="1" si="9"/>
        <v>1.5</v>
      </c>
      <c r="Y31" s="71">
        <f t="shared" ca="1" si="9"/>
        <v>3.5</v>
      </c>
      <c r="Z31" s="71">
        <f t="shared" ca="1" si="9"/>
        <v>6.5</v>
      </c>
      <c r="AA31" s="71">
        <f t="shared" ca="1" si="9"/>
        <v>1.5</v>
      </c>
      <c r="AB31" s="71">
        <f t="shared" ca="1" si="9"/>
        <v>3.5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61999832</v>
      </c>
      <c r="L36" s="32">
        <f t="shared" ref="L36:AO36" si="11">COUNTA(L23:L24)*((10000000*L25)+(1000000*(COUNTA(L21)*$E21+COUNTA(L22)*$E22))-(COUNTA($D$21:$D$22)*1000*L26)-(COUNTA($D$21:$D$22)*L27))</f>
        <v>59955820</v>
      </c>
      <c r="M36" s="32">
        <f t="shared" si="11"/>
        <v>99959848</v>
      </c>
      <c r="N36" s="32">
        <f t="shared" si="11"/>
        <v>81995868</v>
      </c>
      <c r="O36" s="32">
        <f t="shared" si="11"/>
        <v>99975864</v>
      </c>
      <c r="P36" s="32">
        <f t="shared" si="11"/>
        <v>161983816</v>
      </c>
      <c r="Q36" s="32">
        <f t="shared" si="11"/>
        <v>141995948</v>
      </c>
      <c r="R36" s="32">
        <f t="shared" si="11"/>
        <v>59983856</v>
      </c>
      <c r="S36" s="32">
        <f t="shared" si="11"/>
        <v>81983824</v>
      </c>
      <c r="T36" s="32">
        <f t="shared" si="11"/>
        <v>81967944</v>
      </c>
      <c r="U36" s="32">
        <f t="shared" si="11"/>
        <v>99975864</v>
      </c>
      <c r="V36" s="32">
        <f t="shared" si="11"/>
        <v>39975864</v>
      </c>
      <c r="W36" s="32">
        <f t="shared" si="11"/>
        <v>99983904</v>
      </c>
      <c r="X36" s="32">
        <f t="shared" si="11"/>
        <v>81959904</v>
      </c>
      <c r="Y36" s="32">
        <f t="shared" si="11"/>
        <v>59975944</v>
      </c>
      <c r="Z36" s="32">
        <f t="shared" si="11"/>
        <v>141959872</v>
      </c>
      <c r="AA36" s="32">
        <f t="shared" si="11"/>
        <v>59983848</v>
      </c>
      <c r="AB36" s="32">
        <f t="shared" si="11"/>
        <v>81967888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</v>
      </c>
      <c r="L40" s="3" t="str">
        <f t="shared" ref="L40:BM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</v>
      </c>
      <c r="Q40" s="3" t="str">
        <f t="shared" ca="1" si="13"/>
        <v>James, Larry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Chris;Batchler, Wayne;Blackmon, Vaughn;Cochcroft, Art;Crenshaw, Ed;Gibson, Johnny;James, Larry;Kieselhorst, Larry;Knotts, Brian;McGee, Steve;McMahon, Pat;Moxley, Dave;Nguyen, Thai;Nye, Mike;Reams,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5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24" priority="17" stopIfTrue="1" operator="equal">
      <formula>0</formula>
    </cfRule>
  </conditionalFormatting>
  <conditionalFormatting sqref="D26:J28 K28:BE28">
    <cfRule type="cellIs" dxfId="123" priority="16" stopIfTrue="1" operator="equal">
      <formula>1</formula>
    </cfRule>
  </conditionalFormatting>
  <conditionalFormatting sqref="H3:I3 F23 H5:I5 H7:I7 H9:I9 H11:I11 H13:I13 H15:I15 H17:I17 H19:I19 H21:I21">
    <cfRule type="cellIs" dxfId="122" priority="15" stopIfTrue="1" operator="equal">
      <formula>0</formula>
    </cfRule>
  </conditionalFormatting>
  <conditionalFormatting sqref="H4:I4 F24 H6:I6 H8:I8 H10:I10 H12:I12 H14:I14 H16:I16 H18:I18 H20:I20 H22:I22">
    <cfRule type="cellIs" dxfId="121" priority="14" stopIfTrue="1" operator="equal">
      <formula>0</formula>
    </cfRule>
  </conditionalFormatting>
  <conditionalFormatting sqref="F3 F5 F7 F9 F11 F13 F15 F17 F19 F21">
    <cfRule type="cellIs" dxfId="120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9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18" priority="10" stopIfTrue="1">
      <formula>AND(COUNTA(J4)=1,$E4=1,SUM($E3:$E4)=1)</formula>
    </cfRule>
    <cfRule type="expression" dxfId="117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16" priority="8" stopIfTrue="1">
      <formula>AND(COUNTA(J3)=1,$E3=1,SUM($E3:$E4)=1)</formula>
    </cfRule>
    <cfRule type="expression" dxfId="115" priority="9" stopIfTrue="1">
      <formula>AND(COUNTA(J3)=1,$E3=0,SUM($E3:$E4)=1)</formula>
    </cfRule>
  </conditionalFormatting>
  <conditionalFormatting sqref="BF23:BM23">
    <cfRule type="cellIs" dxfId="114" priority="7" stopIfTrue="1" operator="equal">
      <formula>0</formula>
    </cfRule>
  </conditionalFormatting>
  <conditionalFormatting sqref="BF24:BM24">
    <cfRule type="cellIs" dxfId="113" priority="6" stopIfTrue="1" operator="equal">
      <formula>0</formula>
    </cfRule>
  </conditionalFormatting>
  <conditionalFormatting sqref="BF28:BM28">
    <cfRule type="cellIs" dxfId="112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11" priority="3" stopIfTrue="1">
      <formula>AND(COUNTA(BF4)=1,$E4=1,SUM($E3:$E4)=1)</formula>
    </cfRule>
    <cfRule type="expression" dxfId="110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09" priority="1" stopIfTrue="1">
      <formula>AND(COUNTA(BF3)=1,$E3=1,SUM($E3:$E4)=1)</formula>
    </cfRule>
    <cfRule type="expression" dxfId="108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84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Barker, Chris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</v>
      </c>
      <c r="Q2" s="4" t="str">
        <f t="shared" ca="1" si="0"/>
        <v>James, Larry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>
      <c r="A3" s="59">
        <v>1</v>
      </c>
      <c r="B3" s="67" t="s">
        <v>176</v>
      </c>
      <c r="C3" s="65"/>
      <c r="D3" s="64">
        <v>10</v>
      </c>
      <c r="E3" s="64">
        <f>IF(ISBLANK($D3),"0",IF(($D4-$D3)&lt;($C4-$C3),1,0))</f>
        <v>1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265</v>
      </c>
      <c r="M3" s="69" t="s">
        <v>264</v>
      </c>
      <c r="N3" s="69"/>
      <c r="O3" s="69"/>
      <c r="P3" s="69"/>
      <c r="Q3" s="69" t="s">
        <v>265</v>
      </c>
      <c r="R3" s="69" t="s">
        <v>264</v>
      </c>
      <c r="S3" s="69"/>
      <c r="T3" s="69"/>
      <c r="U3" s="69"/>
      <c r="V3" s="69"/>
      <c r="W3" s="69" t="s">
        <v>264</v>
      </c>
      <c r="X3" s="69" t="s">
        <v>265</v>
      </c>
      <c r="Y3" s="69"/>
      <c r="Z3" s="69"/>
      <c r="AA3" s="69"/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175</v>
      </c>
      <c r="C4" s="66">
        <v>10.5</v>
      </c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/>
      <c r="M4" s="70"/>
      <c r="N4" s="70" t="s">
        <v>265</v>
      </c>
      <c r="O4" s="70" t="s">
        <v>265</v>
      </c>
      <c r="P4" s="70" t="s">
        <v>264</v>
      </c>
      <c r="Q4" s="70"/>
      <c r="R4" s="70"/>
      <c r="S4" s="70" t="s">
        <v>266</v>
      </c>
      <c r="T4" s="70" t="s">
        <v>265</v>
      </c>
      <c r="U4" s="97" t="s">
        <v>264</v>
      </c>
      <c r="V4" s="70" t="s">
        <v>265</v>
      </c>
      <c r="W4" s="70"/>
      <c r="X4" s="70"/>
      <c r="Y4" s="70" t="s">
        <v>265</v>
      </c>
      <c r="Z4" s="70" t="s">
        <v>265</v>
      </c>
      <c r="AA4" s="70" t="s">
        <v>265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>
      <c r="A5" s="59">
        <v>2</v>
      </c>
      <c r="B5" s="67" t="s">
        <v>171</v>
      </c>
      <c r="C5" s="65"/>
      <c r="D5" s="64">
        <v>13</v>
      </c>
      <c r="E5" s="64">
        <f>IF(ISBLANK($D5),"0",IF(($D6-$D5)&lt;($C6-$C5),1,0))</f>
        <v>1</v>
      </c>
      <c r="F5" s="64">
        <f t="shared" ca="1" si="1"/>
        <v>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265</v>
      </c>
      <c r="O5" s="69"/>
      <c r="P5" s="69"/>
      <c r="Q5" s="69" t="s">
        <v>265</v>
      </c>
      <c r="R5" s="69" t="s">
        <v>264</v>
      </c>
      <c r="S5" s="69"/>
      <c r="T5" s="69" t="s">
        <v>265</v>
      </c>
      <c r="U5" s="96"/>
      <c r="V5" s="69" t="s">
        <v>265</v>
      </c>
      <c r="W5" s="69" t="s">
        <v>264</v>
      </c>
      <c r="X5" s="69"/>
      <c r="Y5" s="69" t="s">
        <v>265</v>
      </c>
      <c r="Z5" s="69" t="s">
        <v>265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>
      <c r="A6" s="61" t="s">
        <v>3</v>
      </c>
      <c r="B6" s="68" t="s">
        <v>172</v>
      </c>
      <c r="C6" s="66">
        <v>20.5</v>
      </c>
      <c r="D6" s="64">
        <v>20</v>
      </c>
      <c r="E6" s="64">
        <f>IF(ISBLANK($D6),"0",IF(($D6-$D5)&gt;($C6-$C5),1,0))</f>
        <v>0</v>
      </c>
      <c r="F6" s="64">
        <f t="shared" ca="1" si="1"/>
        <v>10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265</v>
      </c>
      <c r="M6" s="70" t="s">
        <v>264</v>
      </c>
      <c r="N6" s="70"/>
      <c r="O6" s="70" t="s">
        <v>265</v>
      </c>
      <c r="P6" s="70" t="s">
        <v>264</v>
      </c>
      <c r="Q6" s="70"/>
      <c r="R6" s="70"/>
      <c r="S6" s="70" t="s">
        <v>266</v>
      </c>
      <c r="T6" s="70"/>
      <c r="U6" s="70" t="s">
        <v>264</v>
      </c>
      <c r="V6" s="70"/>
      <c r="W6" s="70"/>
      <c r="X6" s="70" t="s">
        <v>265</v>
      </c>
      <c r="Y6" s="70"/>
      <c r="Z6" s="70"/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>
      <c r="A7" s="59">
        <v>3</v>
      </c>
      <c r="B7" s="67" t="s">
        <v>295</v>
      </c>
      <c r="C7" s="65"/>
      <c r="D7" s="64">
        <v>13</v>
      </c>
      <c r="E7" s="64">
        <f>IF(ISBLANK($D7),"0",IF(($D8-$D7)&lt;($C8-$C7),1,0))</f>
        <v>1</v>
      </c>
      <c r="F7" s="64">
        <f t="shared" ca="1" si="1"/>
        <v>11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265</v>
      </c>
      <c r="M7" s="69" t="s">
        <v>264</v>
      </c>
      <c r="N7" s="69" t="s">
        <v>265</v>
      </c>
      <c r="O7" s="69" t="s">
        <v>265</v>
      </c>
      <c r="P7" s="69" t="s">
        <v>264</v>
      </c>
      <c r="Q7" s="69" t="s">
        <v>265</v>
      </c>
      <c r="R7" s="96" t="s">
        <v>264</v>
      </c>
      <c r="S7" s="96"/>
      <c r="T7" s="96"/>
      <c r="U7" s="96" t="s">
        <v>264</v>
      </c>
      <c r="V7" s="69"/>
      <c r="W7" s="69"/>
      <c r="X7" s="69" t="s">
        <v>265</v>
      </c>
      <c r="Y7" s="69" t="s">
        <v>265</v>
      </c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168</v>
      </c>
      <c r="C8" s="66">
        <v>11.5</v>
      </c>
      <c r="D8" s="64">
        <v>23</v>
      </c>
      <c r="E8" s="64">
        <f>IF(ISBLANK($D8),"0",IF(($D8-$D7)&gt;($C8-$C7),1,0))</f>
        <v>0</v>
      </c>
      <c r="F8" s="64">
        <f t="shared" ca="1" si="1"/>
        <v>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264</v>
      </c>
      <c r="L8" s="70"/>
      <c r="M8" s="70"/>
      <c r="N8" s="70"/>
      <c r="O8" s="70"/>
      <c r="P8" s="70"/>
      <c r="Q8" s="70"/>
      <c r="R8" s="97"/>
      <c r="S8" s="97" t="s">
        <v>266</v>
      </c>
      <c r="T8" s="97" t="s">
        <v>265</v>
      </c>
      <c r="U8" s="97"/>
      <c r="V8" s="70" t="s">
        <v>265</v>
      </c>
      <c r="W8" s="70" t="s">
        <v>264</v>
      </c>
      <c r="X8" s="70"/>
      <c r="Y8" s="70"/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>
      <c r="A9" s="59">
        <v>4</v>
      </c>
      <c r="B9" s="108" t="s">
        <v>192</v>
      </c>
      <c r="C9" s="65">
        <v>7.5</v>
      </c>
      <c r="D9" s="81">
        <v>31</v>
      </c>
      <c r="E9" s="64">
        <f>IF(ISBLANK($D9),"0",IF(($D10-$D9)&lt;($C10-$C9),1,0))</f>
        <v>1</v>
      </c>
      <c r="F9" s="64">
        <f t="shared" ca="1" si="1"/>
        <v>17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 t="s">
        <v>265</v>
      </c>
      <c r="M9" s="69" t="s">
        <v>264</v>
      </c>
      <c r="N9" s="69" t="s">
        <v>265</v>
      </c>
      <c r="O9" s="69" t="s">
        <v>265</v>
      </c>
      <c r="P9" s="69" t="s">
        <v>264</v>
      </c>
      <c r="Q9" s="69" t="s">
        <v>265</v>
      </c>
      <c r="R9" s="96"/>
      <c r="S9" s="96" t="s">
        <v>266</v>
      </c>
      <c r="T9" s="96" t="s">
        <v>265</v>
      </c>
      <c r="U9" s="96" t="s">
        <v>264</v>
      </c>
      <c r="V9" s="69" t="s">
        <v>265</v>
      </c>
      <c r="W9" s="69" t="s">
        <v>264</v>
      </c>
      <c r="X9" s="69" t="s">
        <v>265</v>
      </c>
      <c r="Y9" s="69" t="s">
        <v>265</v>
      </c>
      <c r="Z9" s="69" t="s">
        <v>265</v>
      </c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>
      <c r="A10" s="61" t="s">
        <v>3</v>
      </c>
      <c r="B10" s="68" t="s">
        <v>185</v>
      </c>
      <c r="C10" s="66"/>
      <c r="D10" s="64">
        <v>0</v>
      </c>
      <c r="E10" s="64">
        <f>IF(ISBLANK($D10),"0",IF(($D10-$D9)&gt;($C10-$C9),1,0))</f>
        <v>0</v>
      </c>
      <c r="F10" s="64">
        <f t="shared" ca="1" si="1"/>
        <v>1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 t="s">
        <v>264</v>
      </c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>
      <c r="A11" s="59">
        <v>5</v>
      </c>
      <c r="B11" s="67" t="s">
        <v>302</v>
      </c>
      <c r="C11" s="65"/>
      <c r="D11" s="64">
        <v>6</v>
      </c>
      <c r="E11" s="64">
        <f>IF(ISBLANK($D11),"0",IF(($D12-$D11)&lt;($C12-$C11),1,0))</f>
        <v>0</v>
      </c>
      <c r="F11" s="64">
        <f t="shared" ca="1" si="1"/>
        <v>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264</v>
      </c>
      <c r="L11" s="69"/>
      <c r="M11" s="69"/>
      <c r="N11" s="69" t="s">
        <v>265</v>
      </c>
      <c r="O11" s="69"/>
      <c r="P11" s="69"/>
      <c r="Q11" s="69" t="s">
        <v>265</v>
      </c>
      <c r="R11" s="96"/>
      <c r="S11" s="96"/>
      <c r="T11" s="96" t="s">
        <v>265</v>
      </c>
      <c r="U11" s="69" t="s">
        <v>264</v>
      </c>
      <c r="V11" s="69"/>
      <c r="W11" s="69" t="s">
        <v>264</v>
      </c>
      <c r="X11" s="69"/>
      <c r="Y11" s="69"/>
      <c r="Z11" s="69" t="s">
        <v>265</v>
      </c>
      <c r="AA11" s="69"/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124</v>
      </c>
      <c r="C12" s="66">
        <v>9.5</v>
      </c>
      <c r="D12" s="64">
        <v>41</v>
      </c>
      <c r="E12" s="64">
        <f>IF(ISBLANK($D12),"0",IF(($D12-$D11)&gt;($C12-$C11),1,0))</f>
        <v>1</v>
      </c>
      <c r="F12" s="64">
        <f t="shared" ca="1" si="1"/>
        <v>10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265</v>
      </c>
      <c r="M12" s="70" t="s">
        <v>264</v>
      </c>
      <c r="N12" s="70"/>
      <c r="O12" s="70" t="s">
        <v>265</v>
      </c>
      <c r="P12" s="70" t="s">
        <v>264</v>
      </c>
      <c r="Q12" s="70"/>
      <c r="R12" s="97" t="s">
        <v>264</v>
      </c>
      <c r="S12" s="97" t="s">
        <v>266</v>
      </c>
      <c r="T12" s="97"/>
      <c r="U12" s="97"/>
      <c r="V12" s="70" t="s">
        <v>265</v>
      </c>
      <c r="W12" s="70"/>
      <c r="X12" s="70" t="s">
        <v>265</v>
      </c>
      <c r="Y12" s="70" t="s">
        <v>265</v>
      </c>
      <c r="Z12" s="70"/>
      <c r="AA12" s="70" t="s">
        <v>265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>
      <c r="A13" s="59">
        <v>6</v>
      </c>
      <c r="B13" s="67" t="s">
        <v>230</v>
      </c>
      <c r="C13" s="65">
        <v>15.5</v>
      </c>
      <c r="D13" s="64">
        <v>28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265</v>
      </c>
      <c r="M13" s="69" t="s">
        <v>264</v>
      </c>
      <c r="N13" s="69" t="s">
        <v>265</v>
      </c>
      <c r="O13" s="69"/>
      <c r="P13" s="69"/>
      <c r="Q13" s="69" t="s">
        <v>265</v>
      </c>
      <c r="R13" s="96"/>
      <c r="S13" s="96" t="s">
        <v>266</v>
      </c>
      <c r="T13" s="96" t="s">
        <v>265</v>
      </c>
      <c r="U13" s="69" t="s">
        <v>264</v>
      </c>
      <c r="V13" s="69" t="s">
        <v>265</v>
      </c>
      <c r="W13" s="69" t="s">
        <v>264</v>
      </c>
      <c r="X13" s="69" t="s">
        <v>265</v>
      </c>
      <c r="Y13" s="69" t="s">
        <v>265</v>
      </c>
      <c r="Z13" s="69"/>
      <c r="AA13" s="69" t="s">
        <v>265</v>
      </c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>
      <c r="A14" s="61" t="s">
        <v>3</v>
      </c>
      <c r="B14" s="68" t="s">
        <v>141</v>
      </c>
      <c r="C14" s="66"/>
      <c r="D14" s="64">
        <v>16</v>
      </c>
      <c r="E14" s="64">
        <f>IF(ISBLANK($D14),"0",IF(($D14-$D13)&gt;($C14-$C13),1,0))</f>
        <v>1</v>
      </c>
      <c r="F14" s="64">
        <f t="shared" ca="1" si="1"/>
        <v>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264</v>
      </c>
      <c r="L14" s="70"/>
      <c r="M14" s="70"/>
      <c r="N14" s="70"/>
      <c r="O14" s="70" t="s">
        <v>265</v>
      </c>
      <c r="P14" s="70" t="s">
        <v>264</v>
      </c>
      <c r="Q14" s="70"/>
      <c r="R14" s="97" t="s">
        <v>264</v>
      </c>
      <c r="S14" s="97"/>
      <c r="T14" s="97"/>
      <c r="U14" s="97"/>
      <c r="V14" s="70"/>
      <c r="W14" s="70"/>
      <c r="X14" s="70"/>
      <c r="Y14" s="70"/>
      <c r="Z14" s="70" t="s">
        <v>265</v>
      </c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>
      <c r="A15" s="59">
        <v>7</v>
      </c>
      <c r="B15" s="67" t="s">
        <v>298</v>
      </c>
      <c r="C15" s="65">
        <v>12.5</v>
      </c>
      <c r="D15" s="64">
        <v>34</v>
      </c>
      <c r="E15" s="64">
        <f>IF(ISBLANK($D15),"0",IF(($D16-$D15)&lt;($C16-$C15),1,0))</f>
        <v>1</v>
      </c>
      <c r="F15" s="64">
        <f t="shared" ca="1" si="1"/>
        <v>10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265</v>
      </c>
      <c r="M15" s="69" t="s">
        <v>264</v>
      </c>
      <c r="N15" s="69" t="s">
        <v>265</v>
      </c>
      <c r="O15" s="69"/>
      <c r="P15" s="69" t="s">
        <v>264</v>
      </c>
      <c r="Q15" s="69"/>
      <c r="R15" s="96" t="s">
        <v>264</v>
      </c>
      <c r="S15" s="96" t="s">
        <v>266</v>
      </c>
      <c r="T15" s="96" t="s">
        <v>265</v>
      </c>
      <c r="U15" s="96"/>
      <c r="V15" s="69" t="s">
        <v>265</v>
      </c>
      <c r="W15" s="69" t="s">
        <v>264</v>
      </c>
      <c r="X15" s="69"/>
      <c r="Y15" s="69"/>
      <c r="Z15" s="69"/>
      <c r="AA15" s="69"/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292</v>
      </c>
      <c r="C16" s="66"/>
      <c r="D16" s="64">
        <v>7</v>
      </c>
      <c r="E16" s="64">
        <f>IF(ISBLANK($D16),"0",IF(($D16-$D15)&gt;($C16-$C15),1,0))</f>
        <v>0</v>
      </c>
      <c r="F16" s="64">
        <f t="shared" ca="1" si="1"/>
        <v>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264</v>
      </c>
      <c r="L16" s="70"/>
      <c r="M16" s="70"/>
      <c r="N16" s="70"/>
      <c r="O16" s="70" t="s">
        <v>265</v>
      </c>
      <c r="P16" s="70"/>
      <c r="Q16" s="70" t="s">
        <v>265</v>
      </c>
      <c r="R16" s="70"/>
      <c r="S16" s="70"/>
      <c r="T16" s="70"/>
      <c r="U16" s="70" t="s">
        <v>264</v>
      </c>
      <c r="V16" s="70"/>
      <c r="W16" s="70"/>
      <c r="X16" s="70" t="s">
        <v>265</v>
      </c>
      <c r="Y16" s="70" t="s">
        <v>265</v>
      </c>
      <c r="Z16" s="70" t="s">
        <v>265</v>
      </c>
      <c r="AA16" s="70" t="s">
        <v>265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137</v>
      </c>
      <c r="C17" s="65">
        <v>7.5</v>
      </c>
      <c r="D17" s="64">
        <v>14</v>
      </c>
      <c r="E17" s="64">
        <f>IF(ISBLANK($D17),"0",IF(($D18-$D17)&lt;($C18-$C17),1,0))</f>
        <v>0</v>
      </c>
      <c r="F17" s="64">
        <f t="shared" ca="1" si="1"/>
        <v>15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265</v>
      </c>
      <c r="M17" s="69" t="s">
        <v>264</v>
      </c>
      <c r="N17" s="69"/>
      <c r="O17" s="69"/>
      <c r="P17" s="69" t="s">
        <v>264</v>
      </c>
      <c r="Q17" s="69" t="s">
        <v>265</v>
      </c>
      <c r="R17" s="69" t="s">
        <v>264</v>
      </c>
      <c r="S17" s="69" t="s">
        <v>266</v>
      </c>
      <c r="T17" s="69" t="s">
        <v>265</v>
      </c>
      <c r="U17" s="69" t="s">
        <v>264</v>
      </c>
      <c r="V17" s="69" t="s">
        <v>265</v>
      </c>
      <c r="W17" s="69" t="s">
        <v>264</v>
      </c>
      <c r="X17" s="69" t="s">
        <v>265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147</v>
      </c>
      <c r="C18" s="66"/>
      <c r="D18" s="64">
        <v>17</v>
      </c>
      <c r="E18" s="64">
        <f>IF(ISBLANK($D18),"0",IF(($D18-$D17)&gt;($C18-$C17),1,0))</f>
        <v>1</v>
      </c>
      <c r="F18" s="64">
        <f t="shared" ca="1" si="1"/>
        <v>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264</v>
      </c>
      <c r="L18" s="70"/>
      <c r="M18" s="70"/>
      <c r="N18" s="70" t="s">
        <v>265</v>
      </c>
      <c r="O18" s="70" t="s">
        <v>265</v>
      </c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>
      <c r="A19" s="59">
        <v>9</v>
      </c>
      <c r="B19" s="67" t="s">
        <v>143</v>
      </c>
      <c r="C19" s="65"/>
      <c r="D19" s="64">
        <v>23</v>
      </c>
      <c r="E19" s="64">
        <f>IF(ISBLANK($D19),"0",IF(($D20-$D19)&lt;($C20-$C19),1,0))</f>
        <v>0</v>
      </c>
      <c r="F19" s="64">
        <f t="shared" ca="1" si="1"/>
        <v>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265</v>
      </c>
      <c r="M19" s="69"/>
      <c r="N19" s="69" t="s">
        <v>265</v>
      </c>
      <c r="O19" s="69"/>
      <c r="P19" s="69"/>
      <c r="Q19" s="69" t="s">
        <v>265</v>
      </c>
      <c r="R19" s="69" t="s">
        <v>264</v>
      </c>
      <c r="S19" s="69"/>
      <c r="T19" s="69"/>
      <c r="U19" s="96" t="s">
        <v>264</v>
      </c>
      <c r="V19" s="69" t="s">
        <v>265</v>
      </c>
      <c r="W19" s="69" t="s">
        <v>264</v>
      </c>
      <c r="X19" s="69"/>
      <c r="Y19" s="69" t="s">
        <v>265</v>
      </c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>
      <c r="A20" s="61" t="s">
        <v>3</v>
      </c>
      <c r="B20" s="68" t="s">
        <v>167</v>
      </c>
      <c r="C20" s="66">
        <v>2.5</v>
      </c>
      <c r="D20" s="64">
        <v>28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/>
      <c r="M20" s="70" t="s">
        <v>264</v>
      </c>
      <c r="N20" s="70"/>
      <c r="O20" s="70" t="s">
        <v>265</v>
      </c>
      <c r="P20" s="70" t="s">
        <v>264</v>
      </c>
      <c r="Q20" s="70"/>
      <c r="R20" s="70"/>
      <c r="S20" s="70" t="s">
        <v>266</v>
      </c>
      <c r="T20" s="70" t="s">
        <v>265</v>
      </c>
      <c r="U20" s="70"/>
      <c r="V20" s="70"/>
      <c r="W20" s="70"/>
      <c r="X20" s="70" t="s">
        <v>265</v>
      </c>
      <c r="Y20" s="70"/>
      <c r="Z20" s="70" t="s">
        <v>265</v>
      </c>
      <c r="AA20" s="70" t="s">
        <v>265</v>
      </c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>
      <c r="A21" s="59">
        <v>10</v>
      </c>
      <c r="B21" s="67" t="s">
        <v>135</v>
      </c>
      <c r="C21" s="65">
        <v>0.5</v>
      </c>
      <c r="D21" s="64">
        <v>28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/>
      <c r="N21" s="69" t="s">
        <v>265</v>
      </c>
      <c r="O21" s="69"/>
      <c r="P21" s="69" t="s">
        <v>264</v>
      </c>
      <c r="Q21" s="69"/>
      <c r="R21" s="69" t="s">
        <v>264</v>
      </c>
      <c r="S21" s="69" t="s">
        <v>266</v>
      </c>
      <c r="T21" s="69"/>
      <c r="U21" s="96"/>
      <c r="V21" s="69" t="s">
        <v>265</v>
      </c>
      <c r="W21" s="69" t="s">
        <v>264</v>
      </c>
      <c r="X21" s="69" t="s">
        <v>265</v>
      </c>
      <c r="Y21" s="69" t="s">
        <v>265</v>
      </c>
      <c r="Z21" s="69" t="s">
        <v>265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>
      <c r="A22" s="61" t="s">
        <v>3</v>
      </c>
      <c r="B22" s="68" t="s">
        <v>233</v>
      </c>
      <c r="C22" s="66"/>
      <c r="D22" s="64">
        <v>26</v>
      </c>
      <c r="E22" s="64">
        <f>IF(ISBLANK($D22),"0",IF(($D22-$D21)&gt;($C22-$C21),1,0))</f>
        <v>0</v>
      </c>
      <c r="F22" s="64">
        <f t="shared" ca="1" si="1"/>
        <v>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/>
      <c r="O22" s="70" t="s">
        <v>265</v>
      </c>
      <c r="P22" s="70"/>
      <c r="Q22" s="70" t="s">
        <v>265</v>
      </c>
      <c r="R22" s="70"/>
      <c r="S22" s="70"/>
      <c r="T22" s="70" t="s">
        <v>265</v>
      </c>
      <c r="U22" s="70" t="s">
        <v>264</v>
      </c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/>
      <c r="K23" s="78">
        <v>24</v>
      </c>
      <c r="L23" s="78">
        <v>27</v>
      </c>
      <c r="M23" s="78">
        <v>21</v>
      </c>
      <c r="N23" s="80">
        <v>31</v>
      </c>
      <c r="O23" s="78">
        <v>21</v>
      </c>
      <c r="P23" s="78">
        <v>28</v>
      </c>
      <c r="Q23" s="78">
        <v>35</v>
      </c>
      <c r="R23" s="78">
        <v>31</v>
      </c>
      <c r="S23" s="78"/>
      <c r="T23" s="78">
        <v>17</v>
      </c>
      <c r="U23" s="78">
        <v>17</v>
      </c>
      <c r="V23" s="78">
        <v>31</v>
      </c>
      <c r="W23" s="78">
        <v>31</v>
      </c>
      <c r="X23" s="78">
        <v>34</v>
      </c>
      <c r="Y23" s="78">
        <v>37</v>
      </c>
      <c r="Z23" s="78">
        <v>31</v>
      </c>
      <c r="AA23" s="78">
        <v>27</v>
      </c>
      <c r="AB23" s="78">
        <v>26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>
      <c r="A24" s="61"/>
      <c r="B24" s="68" t="str">
        <f>B22&amp; " - score"</f>
        <v>Kentucky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/>
      <c r="K24" s="79">
        <v>17</v>
      </c>
      <c r="L24" s="79">
        <v>21</v>
      </c>
      <c r="M24" s="79">
        <v>28</v>
      </c>
      <c r="N24" s="79">
        <v>27</v>
      </c>
      <c r="O24" s="79">
        <v>24</v>
      </c>
      <c r="P24" s="79">
        <v>20</v>
      </c>
      <c r="Q24" s="79">
        <v>38</v>
      </c>
      <c r="R24" s="79">
        <v>24</v>
      </c>
      <c r="S24" s="79"/>
      <c r="T24" s="79">
        <v>21</v>
      </c>
      <c r="U24" s="79">
        <v>21</v>
      </c>
      <c r="V24" s="79">
        <v>24</v>
      </c>
      <c r="W24" s="79">
        <v>23</v>
      </c>
      <c r="X24" s="79">
        <v>27</v>
      </c>
      <c r="Y24" s="79">
        <v>29</v>
      </c>
      <c r="Z24" s="79">
        <v>28</v>
      </c>
      <c r="AA24" s="79">
        <v>26</v>
      </c>
      <c r="AB24" s="79">
        <v>24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6</v>
      </c>
      <c r="P25" s="36">
        <f t="shared" si="3"/>
        <v>7</v>
      </c>
      <c r="Q25" s="36">
        <f t="shared" si="3"/>
        <v>4</v>
      </c>
      <c r="R25" s="36">
        <f t="shared" si="3"/>
        <v>7</v>
      </c>
      <c r="S25" s="36">
        <f t="shared" si="3"/>
        <v>5</v>
      </c>
      <c r="T25" s="36">
        <f t="shared" si="3"/>
        <v>4</v>
      </c>
      <c r="U25" s="36">
        <f t="shared" si="3"/>
        <v>2</v>
      </c>
      <c r="V25" s="36">
        <f t="shared" si="3"/>
        <v>5</v>
      </c>
      <c r="W25" s="36">
        <f t="shared" si="3"/>
        <v>5</v>
      </c>
      <c r="X25" s="36">
        <f t="shared" si="3"/>
        <v>6</v>
      </c>
      <c r="Y25" s="36">
        <f t="shared" si="3"/>
        <v>5</v>
      </c>
      <c r="Z25" s="36">
        <f t="shared" si="3"/>
        <v>6</v>
      </c>
      <c r="AA25" s="36">
        <f t="shared" si="3"/>
        <v>4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AO26" si="4">ABS((L23-L24)-($D21-$D22))</f>
        <v>4</v>
      </c>
      <c r="M26" s="71">
        <f t="shared" si="4"/>
        <v>9</v>
      </c>
      <c r="N26" s="71">
        <f t="shared" si="4"/>
        <v>2</v>
      </c>
      <c r="O26" s="71">
        <f t="shared" si="4"/>
        <v>5</v>
      </c>
      <c r="P26" s="71">
        <f t="shared" si="4"/>
        <v>6</v>
      </c>
      <c r="Q26" s="71">
        <f t="shared" si="4"/>
        <v>5</v>
      </c>
      <c r="R26" s="71">
        <f t="shared" si="4"/>
        <v>5</v>
      </c>
      <c r="S26" s="71">
        <f t="shared" si="4"/>
        <v>2</v>
      </c>
      <c r="T26" s="71">
        <f t="shared" si="4"/>
        <v>6</v>
      </c>
      <c r="U26" s="71">
        <f t="shared" si="4"/>
        <v>6</v>
      </c>
      <c r="V26" s="71">
        <f t="shared" si="4"/>
        <v>5</v>
      </c>
      <c r="W26" s="71">
        <f t="shared" si="4"/>
        <v>6</v>
      </c>
      <c r="X26" s="71">
        <f t="shared" si="4"/>
        <v>5</v>
      </c>
      <c r="Y26" s="71">
        <f t="shared" si="4"/>
        <v>6</v>
      </c>
      <c r="Z26" s="71">
        <f t="shared" si="4"/>
        <v>1</v>
      </c>
      <c r="AA26" s="71">
        <f t="shared" si="4"/>
        <v>1</v>
      </c>
      <c r="AB26" s="71">
        <f t="shared" si="4"/>
        <v>0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13</v>
      </c>
      <c r="L27" s="71">
        <f t="shared" ref="L27:AO27" si="5">ABS(($D21+$D22)-(L23+L24))</f>
        <v>6</v>
      </c>
      <c r="M27" s="71">
        <f t="shared" si="5"/>
        <v>5</v>
      </c>
      <c r="N27" s="71">
        <f t="shared" si="5"/>
        <v>4</v>
      </c>
      <c r="O27" s="71">
        <f t="shared" si="5"/>
        <v>9</v>
      </c>
      <c r="P27" s="71">
        <f t="shared" si="5"/>
        <v>6</v>
      </c>
      <c r="Q27" s="71">
        <f t="shared" si="5"/>
        <v>19</v>
      </c>
      <c r="R27" s="71">
        <f t="shared" si="5"/>
        <v>1</v>
      </c>
      <c r="S27" s="71">
        <f t="shared" si="5"/>
        <v>54</v>
      </c>
      <c r="T27" s="71">
        <f t="shared" si="5"/>
        <v>16</v>
      </c>
      <c r="U27" s="71">
        <f t="shared" si="5"/>
        <v>16</v>
      </c>
      <c r="V27" s="71">
        <f t="shared" si="5"/>
        <v>1</v>
      </c>
      <c r="W27" s="71">
        <f t="shared" si="5"/>
        <v>0</v>
      </c>
      <c r="X27" s="71">
        <f t="shared" si="5"/>
        <v>7</v>
      </c>
      <c r="Y27" s="71">
        <f t="shared" si="5"/>
        <v>12</v>
      </c>
      <c r="Z27" s="71">
        <f t="shared" si="5"/>
        <v>5</v>
      </c>
      <c r="AA27" s="71">
        <f t="shared" si="5"/>
        <v>1</v>
      </c>
      <c r="AB27" s="71">
        <f t="shared" si="5"/>
        <v>4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>
        <f t="shared" ca="1" si="6"/>
        <v>1</v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0.52222222222222225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8</v>
      </c>
      <c r="M29" s="71">
        <f t="shared" si="7"/>
        <v>6</v>
      </c>
      <c r="N29" s="71">
        <f t="shared" si="7"/>
        <v>8</v>
      </c>
      <c r="O29" s="71">
        <f t="shared" si="7"/>
        <v>2</v>
      </c>
      <c r="P29" s="71">
        <f t="shared" si="7"/>
        <v>5</v>
      </c>
      <c r="Q29" s="71">
        <f t="shared" si="7"/>
        <v>8</v>
      </c>
      <c r="R29" s="71">
        <f t="shared" si="7"/>
        <v>7</v>
      </c>
      <c r="S29" s="71">
        <f t="shared" si="7"/>
        <v>5</v>
      </c>
      <c r="T29" s="71">
        <f t="shared" si="7"/>
        <v>6</v>
      </c>
      <c r="U29" s="71">
        <f t="shared" si="7"/>
        <v>6</v>
      </c>
      <c r="V29" s="71">
        <f t="shared" si="7"/>
        <v>7</v>
      </c>
      <c r="W29" s="71">
        <f t="shared" si="7"/>
        <v>9</v>
      </c>
      <c r="X29" s="71">
        <f t="shared" si="7"/>
        <v>6</v>
      </c>
      <c r="Y29" s="71">
        <f t="shared" si="7"/>
        <v>7</v>
      </c>
      <c r="Z29" s="71">
        <f t="shared" si="7"/>
        <v>6</v>
      </c>
      <c r="AA29" s="71">
        <f t="shared" si="7"/>
        <v>4</v>
      </c>
      <c r="AB29" s="71">
        <f t="shared" si="7"/>
        <v>7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5</v>
      </c>
      <c r="O30" s="73">
        <f t="shared" si="8"/>
        <v>5</v>
      </c>
      <c r="P30" s="73">
        <f t="shared" si="8"/>
        <v>2</v>
      </c>
      <c r="Q30" s="73">
        <f t="shared" si="8"/>
        <v>7</v>
      </c>
      <c r="R30" s="73">
        <f t="shared" si="8"/>
        <v>6</v>
      </c>
      <c r="S30" s="73">
        <f t="shared" si="8"/>
        <v>0</v>
      </c>
      <c r="T30" s="73">
        <f t="shared" si="8"/>
        <v>3</v>
      </c>
      <c r="U30" s="73">
        <f t="shared" si="8"/>
        <v>5</v>
      </c>
      <c r="V30" s="73">
        <f t="shared" si="8"/>
        <v>2</v>
      </c>
      <c r="W30" s="73">
        <f t="shared" si="8"/>
        <v>4</v>
      </c>
      <c r="X30" s="73">
        <f t="shared" si="8"/>
        <v>3</v>
      </c>
      <c r="Y30" s="73">
        <f t="shared" si="8"/>
        <v>4</v>
      </c>
      <c r="Z30" s="73">
        <f t="shared" si="8"/>
        <v>5</v>
      </c>
      <c r="AA30" s="73">
        <f t="shared" si="8"/>
        <v>1</v>
      </c>
      <c r="AB30" s="73">
        <f t="shared" si="8"/>
        <v>2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1</v>
      </c>
      <c r="Q31" s="71">
        <f t="shared" ca="1" si="9"/>
        <v>6</v>
      </c>
      <c r="R31" s="71">
        <f t="shared" ca="1" si="9"/>
        <v>5</v>
      </c>
      <c r="S31" s="71">
        <f t="shared" ca="1" si="9"/>
        <v>1</v>
      </c>
      <c r="T31" s="71">
        <f t="shared" ca="1" si="9"/>
        <v>4</v>
      </c>
      <c r="U31" s="71">
        <f t="shared" ca="1" si="9"/>
        <v>4</v>
      </c>
      <c r="V31" s="71">
        <f t="shared" ca="1" si="9"/>
        <v>3</v>
      </c>
      <c r="W31" s="71">
        <f t="shared" ca="1" si="9"/>
        <v>5</v>
      </c>
      <c r="X31" s="71">
        <f t="shared" ca="1" si="9"/>
        <v>2</v>
      </c>
      <c r="Y31" s="71">
        <f t="shared" ca="1" si="9"/>
        <v>3</v>
      </c>
      <c r="Z31" s="71">
        <f t="shared" ca="1" si="9"/>
        <v>4</v>
      </c>
      <c r="AA31" s="71">
        <f t="shared" ca="1" si="9"/>
        <v>2</v>
      </c>
      <c r="AB31" s="71">
        <f t="shared" ca="1" si="9"/>
        <v>3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101979948</v>
      </c>
      <c r="L36" s="32">
        <f t="shared" ref="L36:AO36" si="11">COUNTA(L23:L24)*((10000000*L25)+(1000000*(COUNTA(L21)*$E21+COUNTA(L22)*$E22))-(COUNTA($D$21:$D$22)*1000*L26)-(COUNTA($D$21:$D$22)*L27))</f>
        <v>121983976</v>
      </c>
      <c r="M36" s="32">
        <f t="shared" si="11"/>
        <v>119963980</v>
      </c>
      <c r="N36" s="32">
        <f t="shared" si="11"/>
        <v>121991984</v>
      </c>
      <c r="O36" s="32">
        <f t="shared" si="11"/>
        <v>119979964</v>
      </c>
      <c r="P36" s="32">
        <f t="shared" si="11"/>
        <v>141975976</v>
      </c>
      <c r="Q36" s="32">
        <f t="shared" si="11"/>
        <v>79979924</v>
      </c>
      <c r="R36" s="32">
        <f t="shared" si="11"/>
        <v>141979996</v>
      </c>
      <c r="S36" s="32">
        <f t="shared" si="11"/>
        <v>0</v>
      </c>
      <c r="T36" s="32">
        <f t="shared" si="11"/>
        <v>79975936</v>
      </c>
      <c r="U36" s="32">
        <f t="shared" si="11"/>
        <v>39975936</v>
      </c>
      <c r="V36" s="32">
        <f t="shared" si="11"/>
        <v>101979996</v>
      </c>
      <c r="W36" s="32">
        <f t="shared" si="11"/>
        <v>101976000</v>
      </c>
      <c r="X36" s="32">
        <f t="shared" si="11"/>
        <v>121979972</v>
      </c>
      <c r="Y36" s="32">
        <f t="shared" si="11"/>
        <v>101975952</v>
      </c>
      <c r="Z36" s="32">
        <f t="shared" si="11"/>
        <v>121995980</v>
      </c>
      <c r="AA36" s="32">
        <f t="shared" si="11"/>
        <v>81995996</v>
      </c>
      <c r="AB36" s="32">
        <f t="shared" si="11"/>
        <v>101999984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</v>
      </c>
      <c r="L40" s="3" t="str">
        <f t="shared" ref="L40:BM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</v>
      </c>
      <c r="Q40" s="3" t="str">
        <f t="shared" ca="1" si="13"/>
        <v>James, Larry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Chris;Batchler, Wayne;Blackmon, Vaughn;Cochcroft, Art;Crenshaw, Ed;Gibson, Johnny;James, Larry;Kieselhorst, Larry;Knotts, Brian;McGee, Steve;McMahon, Pat;Moxley, Dave;Nguyen, Thai;Nye, Mike;Reams,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07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06" priority="17" stopIfTrue="1" operator="equal">
      <formula>0</formula>
    </cfRule>
  </conditionalFormatting>
  <conditionalFormatting sqref="D26:J28 K28:BE28">
    <cfRule type="cellIs" dxfId="105" priority="16" stopIfTrue="1" operator="equal">
      <formula>1</formula>
    </cfRule>
  </conditionalFormatting>
  <conditionalFormatting sqref="H3:I3 F23 H5:I5 H7:I7 H9:I9 H11:I11 H13:I13 H15:I15 H17:I17 H19:I19 H21:I21">
    <cfRule type="cellIs" dxfId="104" priority="15" stopIfTrue="1" operator="equal">
      <formula>0</formula>
    </cfRule>
  </conditionalFormatting>
  <conditionalFormatting sqref="H4:I4 F24 H6:I6 H8:I8 H10:I10 H12:I12 H14:I14 H16:I16 H18:I18 H20:I20 H22:I22">
    <cfRule type="cellIs" dxfId="103" priority="14" stopIfTrue="1" operator="equal">
      <formula>0</formula>
    </cfRule>
  </conditionalFormatting>
  <conditionalFormatting sqref="F3 F5 F7 F9 F11 F13 F15 F17 F19 F21">
    <cfRule type="cellIs" dxfId="102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1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0" priority="10" stopIfTrue="1">
      <formula>AND(COUNTA(J4)=1,$E4=1,SUM($E3:$E4)=1)</formula>
    </cfRule>
    <cfRule type="expression" dxfId="99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98" priority="8" stopIfTrue="1">
      <formula>AND(COUNTA(J3)=1,$E3=1,SUM($E3:$E4)=1)</formula>
    </cfRule>
    <cfRule type="expression" dxfId="97" priority="9" stopIfTrue="1">
      <formula>AND(COUNTA(J3)=1,$E3=0,SUM($E3:$E4)=1)</formula>
    </cfRule>
  </conditionalFormatting>
  <conditionalFormatting sqref="BF23:BM23">
    <cfRule type="cellIs" dxfId="96" priority="7" stopIfTrue="1" operator="equal">
      <formula>0</formula>
    </cfRule>
  </conditionalFormatting>
  <conditionalFormatting sqref="BF24:BM24">
    <cfRule type="cellIs" dxfId="95" priority="6" stopIfTrue="1" operator="equal">
      <formula>0</formula>
    </cfRule>
  </conditionalFormatting>
  <conditionalFormatting sqref="BF28:BM28">
    <cfRule type="cellIs" dxfId="94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93" priority="3" stopIfTrue="1">
      <formula>AND(COUNTA(BF4)=1,$E4=1,SUM($E3:$E4)=1)</formula>
    </cfRule>
    <cfRule type="expression" dxfId="92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91" priority="1" stopIfTrue="1">
      <formula>AND(COUNTA(BF3)=1,$E3=1,SUM($E3:$E4)=1)</formula>
    </cfRule>
    <cfRule type="expression" dxfId="90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84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Barker, Chris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</v>
      </c>
      <c r="Q2" s="4" t="str">
        <f t="shared" ca="1" si="0"/>
        <v>James, Larry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>
      <c r="A3" s="59">
        <v>1</v>
      </c>
      <c r="B3" s="67" t="s">
        <v>234</v>
      </c>
      <c r="C3" s="65">
        <v>3.5</v>
      </c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13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266</v>
      </c>
      <c r="L3" s="69" t="s">
        <v>265</v>
      </c>
      <c r="M3" s="69" t="s">
        <v>264</v>
      </c>
      <c r="N3" s="69" t="s">
        <v>265</v>
      </c>
      <c r="O3" s="69" t="s">
        <v>265</v>
      </c>
      <c r="P3" s="69" t="s">
        <v>264</v>
      </c>
      <c r="Q3" s="69" t="s">
        <v>265</v>
      </c>
      <c r="R3" s="69" t="s">
        <v>264</v>
      </c>
      <c r="S3" s="69"/>
      <c r="T3" s="69" t="s">
        <v>265</v>
      </c>
      <c r="U3" s="69" t="s">
        <v>264</v>
      </c>
      <c r="V3" s="69"/>
      <c r="W3" s="69"/>
      <c r="X3" s="69" t="s">
        <v>265</v>
      </c>
      <c r="Y3" s="69"/>
      <c r="Z3" s="69" t="s">
        <v>265</v>
      </c>
      <c r="AA3" s="69" t="s">
        <v>265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139</v>
      </c>
      <c r="C4" s="66"/>
      <c r="D4" s="64">
        <v>21</v>
      </c>
      <c r="E4" s="64">
        <f>IF(ISBLANK($D4),"0",IF(($D4-$D3)&gt;($C4-$C3),1,0))</f>
        <v>1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 t="s">
        <v>265</v>
      </c>
      <c r="T4" s="70"/>
      <c r="U4" s="97"/>
      <c r="V4" s="70" t="s">
        <v>265</v>
      </c>
      <c r="W4" s="70" t="s">
        <v>264</v>
      </c>
      <c r="X4" s="70"/>
      <c r="Y4" s="70" t="s">
        <v>265</v>
      </c>
      <c r="Z4" s="70"/>
      <c r="AA4" s="70"/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>
      <c r="A5" s="59">
        <v>2</v>
      </c>
      <c r="B5" s="67" t="s">
        <v>167</v>
      </c>
      <c r="C5" s="65">
        <v>4.5</v>
      </c>
      <c r="D5" s="64">
        <v>33</v>
      </c>
      <c r="E5" s="64">
        <f>IF(ISBLANK($D5),"0",IF(($D6-$D5)&lt;($C6-$C5),1,0))</f>
        <v>0</v>
      </c>
      <c r="F5" s="64">
        <f t="shared" ca="1" si="1"/>
        <v>16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266</v>
      </c>
      <c r="L5" s="69" t="s">
        <v>265</v>
      </c>
      <c r="M5" s="69" t="s">
        <v>264</v>
      </c>
      <c r="N5" s="69" t="s">
        <v>265</v>
      </c>
      <c r="O5" s="69"/>
      <c r="P5" s="69" t="s">
        <v>264</v>
      </c>
      <c r="Q5" s="69" t="s">
        <v>265</v>
      </c>
      <c r="R5" s="69" t="s">
        <v>264</v>
      </c>
      <c r="S5" s="69" t="s">
        <v>265</v>
      </c>
      <c r="T5" s="69" t="s">
        <v>265</v>
      </c>
      <c r="U5" s="96" t="s">
        <v>264</v>
      </c>
      <c r="V5" s="69" t="s">
        <v>265</v>
      </c>
      <c r="W5" s="69"/>
      <c r="X5" s="69" t="s">
        <v>265</v>
      </c>
      <c r="Y5" s="69" t="s">
        <v>265</v>
      </c>
      <c r="Z5" s="69" t="s">
        <v>265</v>
      </c>
      <c r="AA5" s="69" t="s">
        <v>265</v>
      </c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>
      <c r="A6" s="61" t="s">
        <v>3</v>
      </c>
      <c r="B6" s="68" t="s">
        <v>147</v>
      </c>
      <c r="C6" s="66"/>
      <c r="D6" s="64">
        <v>36</v>
      </c>
      <c r="E6" s="64">
        <f>IF(ISBLANK($D6),"0",IF(($D6-$D5)&gt;($C6-$C5),1,0))</f>
        <v>1</v>
      </c>
      <c r="F6" s="64">
        <f t="shared" ca="1" si="1"/>
        <v>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 t="s">
        <v>265</v>
      </c>
      <c r="P6" s="70"/>
      <c r="Q6" s="70"/>
      <c r="R6" s="70"/>
      <c r="S6" s="70"/>
      <c r="T6" s="70"/>
      <c r="U6" s="70"/>
      <c r="V6" s="70"/>
      <c r="W6" s="70" t="s">
        <v>264</v>
      </c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>
      <c r="A7" s="59">
        <v>3</v>
      </c>
      <c r="B7" s="67" t="s">
        <v>173</v>
      </c>
      <c r="C7" s="65"/>
      <c r="D7" s="64">
        <v>3</v>
      </c>
      <c r="E7" s="64">
        <f>IF(ISBLANK($D7),"0",IF(($D8-$D7)&lt;($C8-$C7),1,0))</f>
        <v>0</v>
      </c>
      <c r="F7" s="64">
        <f t="shared" ca="1" si="1"/>
        <v>12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264</v>
      </c>
      <c r="N7" s="69" t="s">
        <v>265</v>
      </c>
      <c r="O7" s="69" t="s">
        <v>265</v>
      </c>
      <c r="P7" s="69" t="s">
        <v>264</v>
      </c>
      <c r="Q7" s="69" t="s">
        <v>265</v>
      </c>
      <c r="R7" s="96"/>
      <c r="S7" s="96"/>
      <c r="T7" s="96" t="s">
        <v>265</v>
      </c>
      <c r="U7" s="96"/>
      <c r="V7" s="69"/>
      <c r="W7" s="69" t="s">
        <v>264</v>
      </c>
      <c r="X7" s="69" t="s">
        <v>265</v>
      </c>
      <c r="Y7" s="69" t="s">
        <v>265</v>
      </c>
      <c r="Z7" s="69" t="s">
        <v>265</v>
      </c>
      <c r="AA7" s="69" t="s">
        <v>265</v>
      </c>
      <c r="AB7" s="69" t="s">
        <v>265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127</v>
      </c>
      <c r="C8" s="66">
        <v>15.5</v>
      </c>
      <c r="D8" s="64">
        <v>27</v>
      </c>
      <c r="E8" s="64">
        <f>IF(ISBLANK($D8),"0",IF(($D8-$D7)&gt;($C8-$C7),1,0))</f>
        <v>1</v>
      </c>
      <c r="F8" s="64">
        <f t="shared" ca="1" si="1"/>
        <v>6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266</v>
      </c>
      <c r="L8" s="70" t="s">
        <v>265</v>
      </c>
      <c r="M8" s="70"/>
      <c r="N8" s="70"/>
      <c r="O8" s="70"/>
      <c r="P8" s="70"/>
      <c r="Q8" s="70"/>
      <c r="R8" s="97" t="s">
        <v>264</v>
      </c>
      <c r="S8" s="97" t="s">
        <v>265</v>
      </c>
      <c r="T8" s="97"/>
      <c r="U8" s="97" t="s">
        <v>264</v>
      </c>
      <c r="V8" s="70" t="s">
        <v>265</v>
      </c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>
      <c r="A9" s="59">
        <v>4</v>
      </c>
      <c r="B9" s="108" t="s">
        <v>140</v>
      </c>
      <c r="C9" s="65">
        <v>17.5</v>
      </c>
      <c r="D9" s="81">
        <v>49</v>
      </c>
      <c r="E9" s="64">
        <f>IF(ISBLANK($D9),"0",IF(($D10-$D9)&lt;($C10-$C9),1,0))</f>
        <v>1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266</v>
      </c>
      <c r="L9" s="69" t="s">
        <v>265</v>
      </c>
      <c r="M9" s="69" t="s">
        <v>264</v>
      </c>
      <c r="N9" s="69" t="s">
        <v>265</v>
      </c>
      <c r="O9" s="69"/>
      <c r="P9" s="69" t="s">
        <v>264</v>
      </c>
      <c r="Q9" s="69" t="s">
        <v>265</v>
      </c>
      <c r="R9" s="96" t="s">
        <v>264</v>
      </c>
      <c r="S9" s="96" t="s">
        <v>265</v>
      </c>
      <c r="T9" s="96" t="s">
        <v>265</v>
      </c>
      <c r="U9" s="96" t="s">
        <v>264</v>
      </c>
      <c r="V9" s="69"/>
      <c r="W9" s="69" t="s">
        <v>264</v>
      </c>
      <c r="X9" s="69" t="s">
        <v>265</v>
      </c>
      <c r="Y9" s="69"/>
      <c r="Z9" s="69" t="s">
        <v>265</v>
      </c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>
      <c r="A10" s="61" t="s">
        <v>3</v>
      </c>
      <c r="B10" s="68" t="s">
        <v>137</v>
      </c>
      <c r="C10" s="66"/>
      <c r="D10" s="64">
        <v>14</v>
      </c>
      <c r="E10" s="64">
        <f>IF(ISBLANK($D10),"0",IF(($D10-$D9)&gt;($C10-$C9),1,0))</f>
        <v>0</v>
      </c>
      <c r="F10" s="64">
        <f t="shared" ca="1" si="1"/>
        <v>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 t="s">
        <v>265</v>
      </c>
      <c r="P10" s="70"/>
      <c r="Q10" s="70"/>
      <c r="R10" s="97"/>
      <c r="S10" s="97"/>
      <c r="T10" s="97"/>
      <c r="U10" s="70"/>
      <c r="V10" s="70" t="s">
        <v>265</v>
      </c>
      <c r="W10" s="70"/>
      <c r="X10" s="70"/>
      <c r="Y10" s="70" t="s">
        <v>265</v>
      </c>
      <c r="Z10" s="70"/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>
      <c r="A11" s="59">
        <v>5</v>
      </c>
      <c r="B11" s="67" t="s">
        <v>124</v>
      </c>
      <c r="C11" s="65">
        <v>9.5</v>
      </c>
      <c r="D11" s="64">
        <v>31</v>
      </c>
      <c r="E11" s="64">
        <f>IF(ISBLANK($D11),"0",IF(($D12-$D11)&lt;($C12-$C11),1,0))</f>
        <v>0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 t="s">
        <v>265</v>
      </c>
      <c r="M11" s="69"/>
      <c r="N11" s="69" t="s">
        <v>265</v>
      </c>
      <c r="O11" s="69" t="s">
        <v>265</v>
      </c>
      <c r="P11" s="69" t="s">
        <v>264</v>
      </c>
      <c r="Q11" s="69" t="s">
        <v>265</v>
      </c>
      <c r="R11" s="96" t="s">
        <v>264</v>
      </c>
      <c r="S11" s="96"/>
      <c r="T11" s="96" t="s">
        <v>265</v>
      </c>
      <c r="U11" s="69"/>
      <c r="V11" s="69" t="s">
        <v>265</v>
      </c>
      <c r="W11" s="69"/>
      <c r="X11" s="69" t="s">
        <v>265</v>
      </c>
      <c r="Y11" s="69" t="s">
        <v>265</v>
      </c>
      <c r="Z11" s="69" t="s">
        <v>265</v>
      </c>
      <c r="AA11" s="69" t="s">
        <v>265</v>
      </c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235</v>
      </c>
      <c r="C12" s="66"/>
      <c r="D12" s="64">
        <v>37</v>
      </c>
      <c r="E12" s="64">
        <f>IF(ISBLANK($D12),"0",IF(($D12-$D11)&gt;($C12-$C11),1,0))</f>
        <v>1</v>
      </c>
      <c r="F12" s="64">
        <f t="shared" ca="1" si="1"/>
        <v>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265</v>
      </c>
      <c r="N12" s="70"/>
      <c r="O12" s="70"/>
      <c r="P12" s="70"/>
      <c r="Q12" s="70"/>
      <c r="R12" s="97"/>
      <c r="S12" s="97" t="s">
        <v>265</v>
      </c>
      <c r="T12" s="97"/>
      <c r="U12" s="97" t="s">
        <v>264</v>
      </c>
      <c r="V12" s="70"/>
      <c r="W12" s="70" t="s">
        <v>264</v>
      </c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>
      <c r="A13" s="59">
        <v>6</v>
      </c>
      <c r="B13" s="67" t="s">
        <v>295</v>
      </c>
      <c r="C13" s="65">
        <v>3.5</v>
      </c>
      <c r="D13" s="64">
        <v>46</v>
      </c>
      <c r="E13" s="64">
        <f>IF(ISBLANK($D13),"0",IF(($D14-$D13)&lt;($C14-$C13),1,0))</f>
        <v>1</v>
      </c>
      <c r="F13" s="64">
        <f t="shared" ca="1" si="1"/>
        <v>16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266</v>
      </c>
      <c r="L13" s="69" t="s">
        <v>265</v>
      </c>
      <c r="M13" s="69" t="s">
        <v>264</v>
      </c>
      <c r="N13" s="69" t="s">
        <v>265</v>
      </c>
      <c r="O13" s="69" t="s">
        <v>265</v>
      </c>
      <c r="P13" s="69" t="s">
        <v>264</v>
      </c>
      <c r="Q13" s="69"/>
      <c r="R13" s="96" t="s">
        <v>264</v>
      </c>
      <c r="S13" s="96" t="s">
        <v>265</v>
      </c>
      <c r="T13" s="96" t="s">
        <v>265</v>
      </c>
      <c r="U13" s="69"/>
      <c r="V13" s="69" t="s">
        <v>265</v>
      </c>
      <c r="W13" s="69" t="s">
        <v>264</v>
      </c>
      <c r="X13" s="69" t="s">
        <v>265</v>
      </c>
      <c r="Y13" s="69" t="s">
        <v>265</v>
      </c>
      <c r="Z13" s="69" t="s">
        <v>265</v>
      </c>
      <c r="AA13" s="69" t="s">
        <v>265</v>
      </c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>
      <c r="A14" s="61" t="s">
        <v>3</v>
      </c>
      <c r="B14" s="68" t="s">
        <v>143</v>
      </c>
      <c r="C14" s="66"/>
      <c r="D14" s="64">
        <v>39</v>
      </c>
      <c r="E14" s="64">
        <f>IF(ISBLANK($D14),"0",IF(($D14-$D13)&gt;($C14-$C13),1,0))</f>
        <v>0</v>
      </c>
      <c r="F14" s="64">
        <f t="shared" ca="1" si="1"/>
        <v>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 t="s">
        <v>265</v>
      </c>
      <c r="R14" s="97"/>
      <c r="S14" s="97"/>
      <c r="T14" s="97"/>
      <c r="U14" s="97" t="s">
        <v>264</v>
      </c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>
      <c r="A15" s="59">
        <v>7</v>
      </c>
      <c r="B15" s="67" t="s">
        <v>174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11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 t="s">
        <v>264</v>
      </c>
      <c r="N15" s="69" t="s">
        <v>265</v>
      </c>
      <c r="O15" s="69"/>
      <c r="P15" s="69" t="s">
        <v>264</v>
      </c>
      <c r="Q15" s="69" t="s">
        <v>265</v>
      </c>
      <c r="R15" s="96" t="s">
        <v>264</v>
      </c>
      <c r="S15" s="96"/>
      <c r="T15" s="96" t="s">
        <v>265</v>
      </c>
      <c r="U15" s="96"/>
      <c r="V15" s="69"/>
      <c r="W15" s="69" t="s">
        <v>264</v>
      </c>
      <c r="X15" s="69" t="s">
        <v>265</v>
      </c>
      <c r="Y15" s="69" t="s">
        <v>265</v>
      </c>
      <c r="Z15" s="69" t="s">
        <v>265</v>
      </c>
      <c r="AA15" s="69" t="s">
        <v>265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172</v>
      </c>
      <c r="C16" s="66">
        <v>17.5</v>
      </c>
      <c r="D16" s="64">
        <v>16</v>
      </c>
      <c r="E16" s="64">
        <f>IF(ISBLANK($D16),"0",IF(($D16-$D15)&gt;($C16-$C15),1,0))</f>
        <v>0</v>
      </c>
      <c r="F16" s="64">
        <f t="shared" ca="1" si="1"/>
        <v>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266</v>
      </c>
      <c r="L16" s="70" t="s">
        <v>265</v>
      </c>
      <c r="M16" s="70"/>
      <c r="N16" s="70"/>
      <c r="O16" s="70" t="s">
        <v>265</v>
      </c>
      <c r="P16" s="70"/>
      <c r="Q16" s="70"/>
      <c r="R16" s="70"/>
      <c r="S16" s="70" t="s">
        <v>265</v>
      </c>
      <c r="T16" s="70"/>
      <c r="U16" s="70" t="s">
        <v>264</v>
      </c>
      <c r="V16" s="70" t="s">
        <v>265</v>
      </c>
      <c r="W16" s="70"/>
      <c r="X16" s="70"/>
      <c r="Y16" s="70"/>
      <c r="Z16" s="70"/>
      <c r="AA16" s="70"/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151</v>
      </c>
      <c r="C17" s="65"/>
      <c r="D17" s="64">
        <v>13</v>
      </c>
      <c r="E17" s="64">
        <f>IF(ISBLANK($D17),"0",IF(($D18-$D17)&lt;($C18-$C17),1,0))</f>
        <v>1</v>
      </c>
      <c r="F17" s="64">
        <f t="shared" ca="1" si="1"/>
        <v>10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 t="s">
        <v>265</v>
      </c>
      <c r="O17" s="69"/>
      <c r="P17" s="69" t="s">
        <v>264</v>
      </c>
      <c r="Q17" s="69" t="s">
        <v>265</v>
      </c>
      <c r="R17" s="69" t="s">
        <v>264</v>
      </c>
      <c r="S17" s="69" t="s">
        <v>265</v>
      </c>
      <c r="T17" s="69" t="s">
        <v>265</v>
      </c>
      <c r="U17" s="69" t="s">
        <v>264</v>
      </c>
      <c r="V17" s="69" t="s">
        <v>265</v>
      </c>
      <c r="W17" s="69" t="s">
        <v>264</v>
      </c>
      <c r="X17" s="69" t="s">
        <v>265</v>
      </c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298</v>
      </c>
      <c r="C18" s="66">
        <v>27.5</v>
      </c>
      <c r="D18" s="64">
        <v>39</v>
      </c>
      <c r="E18" s="64">
        <f>IF(ISBLANK($D18),"0",IF(($D18-$D17)&gt;($C18-$C17),1,0))</f>
        <v>0</v>
      </c>
      <c r="F18" s="64">
        <f t="shared" ca="1" si="1"/>
        <v>8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266</v>
      </c>
      <c r="L18" s="70" t="s">
        <v>265</v>
      </c>
      <c r="M18" s="70" t="s">
        <v>264</v>
      </c>
      <c r="N18" s="70"/>
      <c r="O18" s="70" t="s">
        <v>265</v>
      </c>
      <c r="P18" s="70"/>
      <c r="Q18" s="70"/>
      <c r="R18" s="70"/>
      <c r="S18" s="70"/>
      <c r="T18" s="70"/>
      <c r="U18" s="97"/>
      <c r="V18" s="70"/>
      <c r="W18" s="70"/>
      <c r="X18" s="70"/>
      <c r="Y18" s="70" t="s">
        <v>265</v>
      </c>
      <c r="Z18" s="70" t="s">
        <v>265</v>
      </c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>
      <c r="A19" s="59">
        <v>9</v>
      </c>
      <c r="B19" s="67" t="s">
        <v>135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264</v>
      </c>
      <c r="N19" s="69" t="s">
        <v>265</v>
      </c>
      <c r="O19" s="69" t="s">
        <v>265</v>
      </c>
      <c r="P19" s="69" t="s">
        <v>264</v>
      </c>
      <c r="Q19" s="69" t="s">
        <v>265</v>
      </c>
      <c r="R19" s="69" t="s">
        <v>264</v>
      </c>
      <c r="S19" s="69" t="s">
        <v>265</v>
      </c>
      <c r="T19" s="69" t="s">
        <v>265</v>
      </c>
      <c r="U19" s="96"/>
      <c r="V19" s="69"/>
      <c r="W19" s="69"/>
      <c r="X19" s="69"/>
      <c r="Y19" s="69" t="s">
        <v>265</v>
      </c>
      <c r="Z19" s="69" t="s">
        <v>265</v>
      </c>
      <c r="AA19" s="69"/>
      <c r="AB19" s="69" t="s">
        <v>265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>
      <c r="A20" s="61" t="s">
        <v>3</v>
      </c>
      <c r="B20" s="68" t="s">
        <v>232</v>
      </c>
      <c r="C20" s="66">
        <v>12.5</v>
      </c>
      <c r="D20" s="64">
        <v>38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266</v>
      </c>
      <c r="L20" s="70" t="s">
        <v>265</v>
      </c>
      <c r="M20" s="70"/>
      <c r="N20" s="70"/>
      <c r="O20" s="70"/>
      <c r="P20" s="70"/>
      <c r="Q20" s="70"/>
      <c r="R20" s="70"/>
      <c r="S20" s="70"/>
      <c r="T20" s="70"/>
      <c r="U20" s="70" t="s">
        <v>264</v>
      </c>
      <c r="V20" s="70" t="s">
        <v>265</v>
      </c>
      <c r="W20" s="70" t="s">
        <v>264</v>
      </c>
      <c r="X20" s="70" t="s">
        <v>265</v>
      </c>
      <c r="Y20" s="70"/>
      <c r="Z20" s="70"/>
      <c r="AA20" s="70" t="s">
        <v>265</v>
      </c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>
      <c r="A21" s="59">
        <v>10</v>
      </c>
      <c r="B21" s="67" t="s">
        <v>148</v>
      </c>
      <c r="C21" s="65"/>
      <c r="D21" s="64">
        <v>3</v>
      </c>
      <c r="E21" s="64">
        <f>IF(ISBLANK($D21),"0",IF(($D22-$D21)&lt;($C22-$C21),1,0))</f>
        <v>0</v>
      </c>
      <c r="F21" s="64">
        <f t="shared" ca="1" si="1"/>
        <v>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 t="s">
        <v>264</v>
      </c>
      <c r="N21" s="69" t="s">
        <v>265</v>
      </c>
      <c r="O21" s="69" t="s">
        <v>265</v>
      </c>
      <c r="P21" s="69"/>
      <c r="Q21" s="69"/>
      <c r="R21" s="69"/>
      <c r="S21" s="69"/>
      <c r="T21" s="69" t="s">
        <v>265</v>
      </c>
      <c r="U21" s="96"/>
      <c r="V21" s="69"/>
      <c r="W21" s="69" t="s">
        <v>264</v>
      </c>
      <c r="X21" s="69" t="s">
        <v>265</v>
      </c>
      <c r="Y21" s="69"/>
      <c r="Z21" s="69" t="s">
        <v>265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>
      <c r="A22" s="61" t="s">
        <v>3</v>
      </c>
      <c r="B22" s="68" t="s">
        <v>226</v>
      </c>
      <c r="C22" s="66">
        <v>1.5</v>
      </c>
      <c r="D22" s="64">
        <v>38</v>
      </c>
      <c r="E22" s="64">
        <f>IF(ISBLANK($D22),"0",IF(($D22-$D21)&gt;($C22-$C21),1,0))</f>
        <v>1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 t="s">
        <v>266</v>
      </c>
      <c r="L22" s="70" t="s">
        <v>265</v>
      </c>
      <c r="M22" s="70"/>
      <c r="N22" s="70"/>
      <c r="O22" s="70"/>
      <c r="P22" s="70" t="s">
        <v>264</v>
      </c>
      <c r="Q22" s="70" t="s">
        <v>265</v>
      </c>
      <c r="R22" s="70" t="s">
        <v>264</v>
      </c>
      <c r="S22" s="70" t="s">
        <v>265</v>
      </c>
      <c r="T22" s="70"/>
      <c r="U22" s="70" t="s">
        <v>264</v>
      </c>
      <c r="V22" s="70" t="s">
        <v>265</v>
      </c>
      <c r="W22" s="70"/>
      <c r="X22" s="70"/>
      <c r="Y22" s="70" t="s">
        <v>265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/>
      <c r="K23" s="78"/>
      <c r="L23" s="78">
        <v>17</v>
      </c>
      <c r="M23" s="78">
        <v>28</v>
      </c>
      <c r="N23" s="80">
        <v>27</v>
      </c>
      <c r="O23" s="78">
        <v>24</v>
      </c>
      <c r="P23" s="78">
        <v>17</v>
      </c>
      <c r="Q23" s="78">
        <v>28</v>
      </c>
      <c r="R23" s="78">
        <v>21</v>
      </c>
      <c r="S23" s="78">
        <v>14</v>
      </c>
      <c r="T23" s="78">
        <v>41</v>
      </c>
      <c r="U23" s="78">
        <v>24</v>
      </c>
      <c r="V23" s="78">
        <v>21</v>
      </c>
      <c r="W23" s="78">
        <v>31</v>
      </c>
      <c r="X23" s="78">
        <v>27</v>
      </c>
      <c r="Y23" s="78">
        <v>32</v>
      </c>
      <c r="Z23" s="78">
        <v>35</v>
      </c>
      <c r="AA23" s="78">
        <v>24</v>
      </c>
      <c r="AB23" s="78">
        <v>35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>
      <c r="A24" s="61"/>
      <c r="B24" s="68" t="str">
        <f>B22&amp; " - score"</f>
        <v>Arizona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/>
      <c r="K24" s="79"/>
      <c r="L24" s="79">
        <v>24</v>
      </c>
      <c r="M24" s="79">
        <v>24</v>
      </c>
      <c r="N24" s="79">
        <v>24</v>
      </c>
      <c r="O24" s="79">
        <v>17</v>
      </c>
      <c r="P24" s="79">
        <v>24</v>
      </c>
      <c r="Q24" s="79">
        <v>31</v>
      </c>
      <c r="R24" s="79">
        <v>24</v>
      </c>
      <c r="S24" s="79">
        <v>21</v>
      </c>
      <c r="T24" s="79">
        <v>34</v>
      </c>
      <c r="U24" s="79">
        <v>28</v>
      </c>
      <c r="V24" s="79">
        <v>24</v>
      </c>
      <c r="W24" s="79">
        <v>21</v>
      </c>
      <c r="X24" s="79">
        <v>21</v>
      </c>
      <c r="Y24" s="79">
        <v>35</v>
      </c>
      <c r="Z24" s="79">
        <v>21</v>
      </c>
      <c r="AA24" s="79">
        <v>21</v>
      </c>
      <c r="AB24" s="79">
        <v>31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5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2</v>
      </c>
      <c r="P25" s="36">
        <f t="shared" si="3"/>
        <v>5</v>
      </c>
      <c r="Q25" s="36">
        <f t="shared" si="3"/>
        <v>4</v>
      </c>
      <c r="R25" s="36">
        <f t="shared" si="3"/>
        <v>6</v>
      </c>
      <c r="S25" s="36">
        <f t="shared" si="3"/>
        <v>7</v>
      </c>
      <c r="T25" s="36">
        <f t="shared" si="3"/>
        <v>4</v>
      </c>
      <c r="U25" s="36">
        <f t="shared" si="3"/>
        <v>6</v>
      </c>
      <c r="V25" s="36">
        <f t="shared" si="3"/>
        <v>6</v>
      </c>
      <c r="W25" s="36">
        <f t="shared" si="3"/>
        <v>8</v>
      </c>
      <c r="X25" s="36">
        <f t="shared" si="3"/>
        <v>5</v>
      </c>
      <c r="Y25" s="36">
        <f t="shared" si="3"/>
        <v>4</v>
      </c>
      <c r="Z25" s="36">
        <f t="shared" si="3"/>
        <v>3</v>
      </c>
      <c r="AA25" s="36">
        <f t="shared" si="3"/>
        <v>3</v>
      </c>
      <c r="AB25" s="36">
        <f t="shared" si="3"/>
        <v>3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35</v>
      </c>
      <c r="L26" s="71">
        <f t="shared" ref="L26:AO26" si="4">ABS((L23-L24)-($D21-$D22))</f>
        <v>28</v>
      </c>
      <c r="M26" s="71">
        <f t="shared" si="4"/>
        <v>39</v>
      </c>
      <c r="N26" s="71">
        <f t="shared" si="4"/>
        <v>38</v>
      </c>
      <c r="O26" s="71">
        <f t="shared" si="4"/>
        <v>42</v>
      </c>
      <c r="P26" s="71">
        <f t="shared" si="4"/>
        <v>28</v>
      </c>
      <c r="Q26" s="71">
        <f t="shared" si="4"/>
        <v>32</v>
      </c>
      <c r="R26" s="71">
        <f t="shared" si="4"/>
        <v>32</v>
      </c>
      <c r="S26" s="71">
        <f t="shared" si="4"/>
        <v>28</v>
      </c>
      <c r="T26" s="71">
        <f t="shared" si="4"/>
        <v>42</v>
      </c>
      <c r="U26" s="71">
        <f t="shared" si="4"/>
        <v>31</v>
      </c>
      <c r="V26" s="71">
        <f t="shared" si="4"/>
        <v>32</v>
      </c>
      <c r="W26" s="71">
        <f t="shared" si="4"/>
        <v>45</v>
      </c>
      <c r="X26" s="71">
        <f t="shared" si="4"/>
        <v>41</v>
      </c>
      <c r="Y26" s="71">
        <f t="shared" si="4"/>
        <v>32</v>
      </c>
      <c r="Z26" s="71">
        <f t="shared" si="4"/>
        <v>49</v>
      </c>
      <c r="AA26" s="71">
        <f t="shared" si="4"/>
        <v>38</v>
      </c>
      <c r="AB26" s="71">
        <f t="shared" si="4"/>
        <v>39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41</v>
      </c>
      <c r="L27" s="71">
        <f t="shared" ref="L27:AO27" si="5">ABS(($D21+$D22)-(L23+L24))</f>
        <v>0</v>
      </c>
      <c r="M27" s="71">
        <f t="shared" si="5"/>
        <v>11</v>
      </c>
      <c r="N27" s="71">
        <f t="shared" si="5"/>
        <v>10</v>
      </c>
      <c r="O27" s="71">
        <f t="shared" si="5"/>
        <v>0</v>
      </c>
      <c r="P27" s="71">
        <f t="shared" si="5"/>
        <v>0</v>
      </c>
      <c r="Q27" s="71">
        <f t="shared" si="5"/>
        <v>18</v>
      </c>
      <c r="R27" s="71">
        <f t="shared" si="5"/>
        <v>4</v>
      </c>
      <c r="S27" s="71">
        <f t="shared" si="5"/>
        <v>6</v>
      </c>
      <c r="T27" s="71">
        <f t="shared" si="5"/>
        <v>34</v>
      </c>
      <c r="U27" s="71">
        <f t="shared" si="5"/>
        <v>11</v>
      </c>
      <c r="V27" s="71">
        <f t="shared" si="5"/>
        <v>4</v>
      </c>
      <c r="W27" s="71">
        <f t="shared" si="5"/>
        <v>11</v>
      </c>
      <c r="X27" s="71">
        <f t="shared" si="5"/>
        <v>7</v>
      </c>
      <c r="Y27" s="71">
        <f t="shared" si="5"/>
        <v>26</v>
      </c>
      <c r="Z27" s="71">
        <f t="shared" si="5"/>
        <v>15</v>
      </c>
      <c r="AA27" s="71">
        <f t="shared" si="5"/>
        <v>4</v>
      </c>
      <c r="AB27" s="71">
        <f t="shared" si="5"/>
        <v>25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>
        <f t="shared" ca="1" si="6"/>
        <v>1</v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0.46666666666666667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8</v>
      </c>
      <c r="N29" s="71">
        <f t="shared" si="7"/>
        <v>10</v>
      </c>
      <c r="O29" s="71">
        <f t="shared" si="7"/>
        <v>6</v>
      </c>
      <c r="P29" s="71">
        <f t="shared" si="7"/>
        <v>9</v>
      </c>
      <c r="Q29" s="71">
        <f t="shared" si="7"/>
        <v>8</v>
      </c>
      <c r="R29" s="71">
        <f t="shared" si="7"/>
        <v>8</v>
      </c>
      <c r="S29" s="71">
        <f t="shared" si="7"/>
        <v>5</v>
      </c>
      <c r="T29" s="71">
        <f t="shared" si="7"/>
        <v>10</v>
      </c>
      <c r="U29" s="71">
        <f t="shared" si="7"/>
        <v>4</v>
      </c>
      <c r="V29" s="71">
        <f t="shared" si="7"/>
        <v>4</v>
      </c>
      <c r="W29" s="71">
        <f t="shared" si="7"/>
        <v>6</v>
      </c>
      <c r="X29" s="71">
        <f t="shared" si="7"/>
        <v>9</v>
      </c>
      <c r="Y29" s="71">
        <f t="shared" si="7"/>
        <v>6</v>
      </c>
      <c r="Z29" s="71">
        <f t="shared" si="7"/>
        <v>9</v>
      </c>
      <c r="AA29" s="71">
        <f t="shared" si="7"/>
        <v>7</v>
      </c>
      <c r="AB29" s="71">
        <f t="shared" si="7"/>
        <v>7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0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5</v>
      </c>
      <c r="N30" s="73">
        <f t="shared" si="8"/>
        <v>5</v>
      </c>
      <c r="O30" s="73">
        <f t="shared" si="8"/>
        <v>5</v>
      </c>
      <c r="P30" s="73">
        <f t="shared" si="8"/>
        <v>4</v>
      </c>
      <c r="Q30" s="73">
        <f t="shared" si="8"/>
        <v>5</v>
      </c>
      <c r="R30" s="73">
        <f t="shared" si="8"/>
        <v>3</v>
      </c>
      <c r="S30" s="73">
        <f t="shared" si="8"/>
        <v>4</v>
      </c>
      <c r="T30" s="73">
        <f t="shared" si="8"/>
        <v>5</v>
      </c>
      <c r="U30" s="73">
        <f t="shared" si="8"/>
        <v>3</v>
      </c>
      <c r="V30" s="73">
        <f t="shared" si="8"/>
        <v>3</v>
      </c>
      <c r="W30" s="73">
        <f t="shared" si="8"/>
        <v>7</v>
      </c>
      <c r="X30" s="73">
        <f t="shared" si="8"/>
        <v>4</v>
      </c>
      <c r="Y30" s="73">
        <f t="shared" si="8"/>
        <v>5</v>
      </c>
      <c r="Z30" s="73">
        <f t="shared" si="8"/>
        <v>4</v>
      </c>
      <c r="AA30" s="73">
        <f t="shared" si="8"/>
        <v>4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4.5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4.5</v>
      </c>
      <c r="M31" s="71">
        <f t="shared" ca="1" si="9"/>
        <v>2.5</v>
      </c>
      <c r="N31" s="71">
        <f t="shared" ca="1" si="9"/>
        <v>0.5</v>
      </c>
      <c r="O31" s="71">
        <f t="shared" ca="1" si="9"/>
        <v>4.5</v>
      </c>
      <c r="P31" s="71">
        <f t="shared" ca="1" si="9"/>
        <v>0.5</v>
      </c>
      <c r="Q31" s="71">
        <f t="shared" ca="1" si="9"/>
        <v>1.5</v>
      </c>
      <c r="R31" s="71">
        <f t="shared" ca="1" si="9"/>
        <v>1.5</v>
      </c>
      <c r="S31" s="71">
        <f t="shared" ca="1" si="9"/>
        <v>4.5</v>
      </c>
      <c r="T31" s="71">
        <f t="shared" ca="1" si="9"/>
        <v>0.5</v>
      </c>
      <c r="U31" s="71">
        <f t="shared" ca="1" si="9"/>
        <v>5.5</v>
      </c>
      <c r="V31" s="71">
        <f t="shared" ca="1" si="9"/>
        <v>5.5</v>
      </c>
      <c r="W31" s="71">
        <f t="shared" ca="1" si="9"/>
        <v>4.5</v>
      </c>
      <c r="X31" s="71">
        <f t="shared" ca="1" si="9"/>
        <v>1.5</v>
      </c>
      <c r="Y31" s="71">
        <f t="shared" ca="1" si="9"/>
        <v>3.5</v>
      </c>
      <c r="Z31" s="71">
        <f t="shared" ca="1" si="9"/>
        <v>1.5</v>
      </c>
      <c r="AA31" s="71">
        <f t="shared" ca="1" si="9"/>
        <v>3.5</v>
      </c>
      <c r="AB31" s="71">
        <f t="shared" ca="1" si="9"/>
        <v>3.5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O36" si="11">COUNTA(L23:L24)*((10000000*L25)+(1000000*(COUNTA(L21)*$E21+COUNTA(L22)*$E22))-(COUNTA($D$21:$D$22)*1000*L26)-(COUNTA($D$21:$D$22)*L27))</f>
        <v>101888000</v>
      </c>
      <c r="M36" s="32">
        <f t="shared" si="11"/>
        <v>79843956</v>
      </c>
      <c r="N36" s="32">
        <f t="shared" si="11"/>
        <v>79847960</v>
      </c>
      <c r="O36" s="32">
        <f t="shared" si="11"/>
        <v>39832000</v>
      </c>
      <c r="P36" s="32">
        <f t="shared" si="11"/>
        <v>101888000</v>
      </c>
      <c r="Q36" s="32">
        <f t="shared" si="11"/>
        <v>81871928</v>
      </c>
      <c r="R36" s="32">
        <f t="shared" si="11"/>
        <v>121871984</v>
      </c>
      <c r="S36" s="32">
        <f t="shared" si="11"/>
        <v>141887976</v>
      </c>
      <c r="T36" s="32">
        <f t="shared" si="11"/>
        <v>79831864</v>
      </c>
      <c r="U36" s="32">
        <f t="shared" si="11"/>
        <v>121875956</v>
      </c>
      <c r="V36" s="32">
        <f t="shared" si="11"/>
        <v>121871984</v>
      </c>
      <c r="W36" s="32">
        <f t="shared" si="11"/>
        <v>159819956</v>
      </c>
      <c r="X36" s="32">
        <f t="shared" si="11"/>
        <v>99835972</v>
      </c>
      <c r="Y36" s="32">
        <f t="shared" si="11"/>
        <v>81871896</v>
      </c>
      <c r="Z36" s="32">
        <f t="shared" si="11"/>
        <v>59803940</v>
      </c>
      <c r="AA36" s="32">
        <f t="shared" si="11"/>
        <v>59847984</v>
      </c>
      <c r="AB36" s="32">
        <f t="shared" si="11"/>
        <v>59843900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</v>
      </c>
      <c r="L40" s="3" t="str">
        <f t="shared" ref="L40:BM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</v>
      </c>
      <c r="Q40" s="3" t="str">
        <f t="shared" ca="1" si="13"/>
        <v>James, Larry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Chris;Batchler, Wayne;Blackmon, Vaughn;Cochcroft, Art;Crenshaw, Ed;Gibson, Johnny;James, Larry;Kieselhorst, Larry;Knotts, Brian;McGee, Steve;McMahon, Pat;Moxley, Dave;Nguyen, Thai;Nye, Mike;Reams,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89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88" priority="17" stopIfTrue="1" operator="equal">
      <formula>0</formula>
    </cfRule>
  </conditionalFormatting>
  <conditionalFormatting sqref="D26:J28 K28:BE28">
    <cfRule type="cellIs" dxfId="87" priority="16" stopIfTrue="1" operator="equal">
      <formula>1</formula>
    </cfRule>
  </conditionalFormatting>
  <conditionalFormatting sqref="H3:I3 F23 H5:I5 H7:I7 H9:I9 H11:I11 H13:I13 H15:I15 H17:I17 H19:I19 H21:I21">
    <cfRule type="cellIs" dxfId="86" priority="15" stopIfTrue="1" operator="equal">
      <formula>0</formula>
    </cfRule>
  </conditionalFormatting>
  <conditionalFormatting sqref="H4:I4 F24 H6:I6 H8:I8 H10:I10 H12:I12 H14:I14 H16:I16 H18:I18 H20:I20 H22:I22">
    <cfRule type="cellIs" dxfId="85" priority="14" stopIfTrue="1" operator="equal">
      <formula>0</formula>
    </cfRule>
  </conditionalFormatting>
  <conditionalFormatting sqref="F3 F5 F7 F9 F11 F13 F15 F17 F19 F21">
    <cfRule type="cellIs" dxfId="84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3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2" priority="10" stopIfTrue="1">
      <formula>AND(COUNTA(J4)=1,$E4=1,SUM($E3:$E4)=1)</formula>
    </cfRule>
    <cfRule type="expression" dxfId="81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80" priority="8" stopIfTrue="1">
      <formula>AND(COUNTA(J3)=1,$E3=1,SUM($E3:$E4)=1)</formula>
    </cfRule>
    <cfRule type="expression" dxfId="79" priority="9" stopIfTrue="1">
      <formula>AND(COUNTA(J3)=1,$E3=0,SUM($E3:$E4)=1)</formula>
    </cfRule>
  </conditionalFormatting>
  <conditionalFormatting sqref="BF23:BM23">
    <cfRule type="cellIs" dxfId="78" priority="7" stopIfTrue="1" operator="equal">
      <formula>0</formula>
    </cfRule>
  </conditionalFormatting>
  <conditionalFormatting sqref="BF24:BM24">
    <cfRule type="cellIs" dxfId="77" priority="6" stopIfTrue="1" operator="equal">
      <formula>0</formula>
    </cfRule>
  </conditionalFormatting>
  <conditionalFormatting sqref="BF28:BM28">
    <cfRule type="cellIs" dxfId="76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75" priority="3" stopIfTrue="1">
      <formula>AND(COUNTA(BF4)=1,$E4=1,SUM($E3:$E4)=1)</formula>
    </cfRule>
    <cfRule type="expression" dxfId="74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73" priority="1" stopIfTrue="1">
      <formula>AND(COUNTA(BF3)=1,$E3=1,SUM($E3:$E4)=1)</formula>
    </cfRule>
    <cfRule type="expression" dxfId="72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84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Barker, Chris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</v>
      </c>
      <c r="Q2" s="4" t="str">
        <f t="shared" ca="1" si="0"/>
        <v>James, Larry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>
      <c r="A3" s="59">
        <v>1</v>
      </c>
      <c r="B3" s="67" t="s">
        <v>146</v>
      </c>
      <c r="C3" s="65"/>
      <c r="D3" s="64">
        <v>22</v>
      </c>
      <c r="E3" s="64">
        <f>IF(ISBLANK($D3),"0",IF(($D4-$D3)&lt;($C4-$C3),1,0))</f>
        <v>1</v>
      </c>
      <c r="F3" s="64">
        <f ca="1">COUNTA(INDIRECT("RC11:RC"&amp;11+playercnt-1,FALSE))</f>
        <v>11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/>
      <c r="N3" s="69"/>
      <c r="O3" s="69" t="s">
        <v>265</v>
      </c>
      <c r="P3" s="69"/>
      <c r="Q3" s="69" t="s">
        <v>265</v>
      </c>
      <c r="R3" s="69" t="s">
        <v>264</v>
      </c>
      <c r="S3" s="69" t="s">
        <v>265</v>
      </c>
      <c r="T3" s="69" t="s">
        <v>265</v>
      </c>
      <c r="U3" s="69" t="s">
        <v>264</v>
      </c>
      <c r="V3" s="69"/>
      <c r="W3" s="69" t="s">
        <v>264</v>
      </c>
      <c r="X3" s="69" t="s">
        <v>265</v>
      </c>
      <c r="Y3" s="69" t="s">
        <v>265</v>
      </c>
      <c r="Z3" s="69" t="s">
        <v>265</v>
      </c>
      <c r="AA3" s="69" t="s">
        <v>265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124</v>
      </c>
      <c r="C4" s="66">
        <v>10.5</v>
      </c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265</v>
      </c>
      <c r="M4" s="70" t="s">
        <v>266</v>
      </c>
      <c r="N4" s="70" t="s">
        <v>265</v>
      </c>
      <c r="O4" s="70"/>
      <c r="P4" s="70" t="s">
        <v>264</v>
      </c>
      <c r="Q4" s="70"/>
      <c r="R4" s="70"/>
      <c r="S4" s="70"/>
      <c r="T4" s="70"/>
      <c r="U4" s="97"/>
      <c r="V4" s="70" t="s">
        <v>265</v>
      </c>
      <c r="W4" s="70"/>
      <c r="X4" s="70"/>
      <c r="Y4" s="70"/>
      <c r="Z4" s="70"/>
      <c r="AA4" s="70"/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>
      <c r="A5" s="59">
        <v>2</v>
      </c>
      <c r="B5" s="67" t="s">
        <v>303</v>
      </c>
      <c r="C5" s="65"/>
      <c r="D5" s="64">
        <v>28</v>
      </c>
      <c r="E5" s="64">
        <f>IF(ISBLANK($D5),"0",IF(($D6-$D5)&lt;($C6-$C5),1,0))</f>
        <v>1</v>
      </c>
      <c r="F5" s="64">
        <f t="shared" ca="1" si="1"/>
        <v>13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265</v>
      </c>
      <c r="M5" s="69"/>
      <c r="N5" s="69"/>
      <c r="O5" s="69" t="s">
        <v>265</v>
      </c>
      <c r="P5" s="69" t="s">
        <v>264</v>
      </c>
      <c r="Q5" s="69"/>
      <c r="R5" s="69" t="s">
        <v>264</v>
      </c>
      <c r="S5" s="69" t="s">
        <v>265</v>
      </c>
      <c r="T5" s="69" t="s">
        <v>265</v>
      </c>
      <c r="U5" s="96"/>
      <c r="V5" s="69"/>
      <c r="W5" s="69" t="s">
        <v>264</v>
      </c>
      <c r="X5" s="69" t="s">
        <v>265</v>
      </c>
      <c r="Y5" s="69" t="s">
        <v>265</v>
      </c>
      <c r="Z5" s="69" t="s">
        <v>265</v>
      </c>
      <c r="AA5" s="69" t="s">
        <v>265</v>
      </c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>
      <c r="A6" s="61" t="s">
        <v>3</v>
      </c>
      <c r="B6" s="68" t="s">
        <v>297</v>
      </c>
      <c r="C6" s="66">
        <v>27.5</v>
      </c>
      <c r="D6" s="64">
        <v>24</v>
      </c>
      <c r="E6" s="64">
        <f>IF(ISBLANK($D6),"0",IF(($D6-$D5)&gt;($C6-$C5),1,0))</f>
        <v>0</v>
      </c>
      <c r="F6" s="64">
        <f t="shared" ca="1" si="1"/>
        <v>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266</v>
      </c>
      <c r="N6" s="70" t="s">
        <v>265</v>
      </c>
      <c r="O6" s="70"/>
      <c r="P6" s="70"/>
      <c r="Q6" s="70" t="s">
        <v>265</v>
      </c>
      <c r="R6" s="70"/>
      <c r="S6" s="70"/>
      <c r="T6" s="70"/>
      <c r="U6" s="70" t="s">
        <v>264</v>
      </c>
      <c r="V6" s="70" t="s">
        <v>265</v>
      </c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>
      <c r="A7" s="59">
        <v>3</v>
      </c>
      <c r="B7" s="67" t="s">
        <v>302</v>
      </c>
      <c r="C7" s="65"/>
      <c r="D7" s="64">
        <v>35</v>
      </c>
      <c r="E7" s="64">
        <f>IF(ISBLANK($D7),"0",IF(($D8-$D7)&lt;($C8-$C7),1,0))</f>
        <v>1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 t="s">
        <v>265</v>
      </c>
      <c r="O7" s="69"/>
      <c r="P7" s="69"/>
      <c r="Q7" s="69"/>
      <c r="R7" s="96"/>
      <c r="S7" s="96" t="s">
        <v>265</v>
      </c>
      <c r="T7" s="96"/>
      <c r="U7" s="96"/>
      <c r="V7" s="69"/>
      <c r="W7" s="69" t="s">
        <v>264</v>
      </c>
      <c r="X7" s="69" t="s">
        <v>265</v>
      </c>
      <c r="Y7" s="69" t="s">
        <v>265</v>
      </c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233</v>
      </c>
      <c r="C8" s="66">
        <v>7.5</v>
      </c>
      <c r="D8" s="64">
        <v>37</v>
      </c>
      <c r="E8" s="64">
        <f>IF(ISBLANK($D8),"0",IF(($D8-$D7)&gt;($C8-$C7),1,0))</f>
        <v>0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 t="s">
        <v>266</v>
      </c>
      <c r="N8" s="70"/>
      <c r="O8" s="70" t="s">
        <v>265</v>
      </c>
      <c r="P8" s="70" t="s">
        <v>264</v>
      </c>
      <c r="Q8" s="70" t="s">
        <v>265</v>
      </c>
      <c r="R8" s="97" t="s">
        <v>264</v>
      </c>
      <c r="S8" s="97"/>
      <c r="T8" s="97" t="s">
        <v>265</v>
      </c>
      <c r="U8" s="97" t="s">
        <v>264</v>
      </c>
      <c r="V8" s="70" t="s">
        <v>265</v>
      </c>
      <c r="W8" s="70"/>
      <c r="X8" s="70"/>
      <c r="Y8" s="70"/>
      <c r="Z8" s="70" t="s">
        <v>265</v>
      </c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>
      <c r="A9" s="59">
        <v>4</v>
      </c>
      <c r="B9" s="108" t="s">
        <v>304</v>
      </c>
      <c r="C9" s="65">
        <v>10.5</v>
      </c>
      <c r="D9" s="81">
        <v>34</v>
      </c>
      <c r="E9" s="64">
        <f>IF(ISBLANK($D9),"0",IF(($D10-$D9)&lt;($C10-$C9),1,0))</f>
        <v>1</v>
      </c>
      <c r="F9" s="64">
        <f t="shared" ca="1" si="1"/>
        <v>12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 t="s">
        <v>265</v>
      </c>
      <c r="M9" s="69" t="s">
        <v>266</v>
      </c>
      <c r="N9" s="69" t="s">
        <v>265</v>
      </c>
      <c r="O9" s="69" t="s">
        <v>265</v>
      </c>
      <c r="P9" s="69"/>
      <c r="Q9" s="69" t="s">
        <v>265</v>
      </c>
      <c r="R9" s="96" t="s">
        <v>264</v>
      </c>
      <c r="S9" s="96"/>
      <c r="T9" s="96"/>
      <c r="U9" s="96" t="s">
        <v>264</v>
      </c>
      <c r="V9" s="69"/>
      <c r="W9" s="69"/>
      <c r="X9" s="69" t="s">
        <v>265</v>
      </c>
      <c r="Y9" s="69" t="s">
        <v>265</v>
      </c>
      <c r="Z9" s="69" t="s">
        <v>265</v>
      </c>
      <c r="AA9" s="69" t="s">
        <v>265</v>
      </c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>
      <c r="A10" s="61" t="s">
        <v>3</v>
      </c>
      <c r="B10" s="68" t="s">
        <v>229</v>
      </c>
      <c r="C10" s="66"/>
      <c r="D10" s="64">
        <v>9</v>
      </c>
      <c r="E10" s="64">
        <f>IF(ISBLANK($D10),"0",IF(($D10-$D9)&gt;($C10-$C9),1,0))</f>
        <v>0</v>
      </c>
      <c r="F10" s="64">
        <f t="shared" ca="1" si="1"/>
        <v>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 t="s">
        <v>264</v>
      </c>
      <c r="Q10" s="70"/>
      <c r="R10" s="97"/>
      <c r="S10" s="97" t="s">
        <v>265</v>
      </c>
      <c r="T10" s="97" t="s">
        <v>265</v>
      </c>
      <c r="U10" s="70"/>
      <c r="V10" s="70" t="s">
        <v>265</v>
      </c>
      <c r="W10" s="70" t="s">
        <v>264</v>
      </c>
      <c r="X10" s="70"/>
      <c r="Y10" s="70"/>
      <c r="Z10" s="70"/>
      <c r="AA10" s="70"/>
      <c r="AB10" s="70" t="s">
        <v>265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>
      <c r="A11" s="59">
        <v>5</v>
      </c>
      <c r="B11" s="67" t="s">
        <v>133</v>
      </c>
      <c r="C11" s="65">
        <v>3.5</v>
      </c>
      <c r="D11" s="64">
        <v>28</v>
      </c>
      <c r="E11" s="64">
        <f>IF(ISBLANK($D11),"0",IF(($D12-$D11)&lt;($C12-$C11),1,0))</f>
        <v>0</v>
      </c>
      <c r="F11" s="64">
        <f t="shared" ca="1" si="1"/>
        <v>12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265</v>
      </c>
      <c r="M11" s="69" t="s">
        <v>266</v>
      </c>
      <c r="N11" s="69" t="s">
        <v>265</v>
      </c>
      <c r="O11" s="69"/>
      <c r="P11" s="69" t="s">
        <v>264</v>
      </c>
      <c r="Q11" s="69" t="s">
        <v>265</v>
      </c>
      <c r="R11" s="96" t="s">
        <v>264</v>
      </c>
      <c r="S11" s="96" t="s">
        <v>265</v>
      </c>
      <c r="T11" s="96" t="s">
        <v>265</v>
      </c>
      <c r="U11" s="69"/>
      <c r="V11" s="69" t="s">
        <v>265</v>
      </c>
      <c r="W11" s="69"/>
      <c r="X11" s="69" t="s">
        <v>265</v>
      </c>
      <c r="Y11" s="69" t="s">
        <v>265</v>
      </c>
      <c r="Z11" s="69"/>
      <c r="AA11" s="69" t="s">
        <v>265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182</v>
      </c>
      <c r="C12" s="66"/>
      <c r="D12" s="64">
        <v>35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264</v>
      </c>
      <c r="L12" s="70"/>
      <c r="M12" s="70"/>
      <c r="N12" s="70"/>
      <c r="O12" s="70" t="s">
        <v>265</v>
      </c>
      <c r="P12" s="70"/>
      <c r="Q12" s="70"/>
      <c r="R12" s="97"/>
      <c r="S12" s="97"/>
      <c r="T12" s="97"/>
      <c r="U12" s="97" t="s">
        <v>264</v>
      </c>
      <c r="V12" s="70"/>
      <c r="W12" s="70" t="s">
        <v>264</v>
      </c>
      <c r="X12" s="70"/>
      <c r="Y12" s="70"/>
      <c r="Z12" s="70" t="s">
        <v>265</v>
      </c>
      <c r="AA12" s="70"/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>
      <c r="A13" s="59">
        <v>6</v>
      </c>
      <c r="B13" s="67" t="s">
        <v>168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 t="s">
        <v>265</v>
      </c>
      <c r="P13" s="69"/>
      <c r="Q13" s="69" t="s">
        <v>265</v>
      </c>
      <c r="R13" s="96" t="s">
        <v>264</v>
      </c>
      <c r="S13" s="96"/>
      <c r="T13" s="96"/>
      <c r="U13" s="69"/>
      <c r="V13" s="69"/>
      <c r="W13" s="69" t="s">
        <v>264</v>
      </c>
      <c r="X13" s="69"/>
      <c r="Y13" s="69" t="s">
        <v>265</v>
      </c>
      <c r="Z13" s="69" t="s">
        <v>265</v>
      </c>
      <c r="AA13" s="69" t="s">
        <v>265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>
      <c r="A14" s="61" t="s">
        <v>3</v>
      </c>
      <c r="B14" s="68" t="s">
        <v>298</v>
      </c>
      <c r="C14" s="66">
        <v>17.5</v>
      </c>
      <c r="D14" s="64">
        <v>45</v>
      </c>
      <c r="E14" s="64">
        <f>IF(ISBLANK($D14),"0",IF(($D14-$D13)&gt;($C14-$C13),1,0))</f>
        <v>1</v>
      </c>
      <c r="F14" s="64">
        <f t="shared" ca="1" si="1"/>
        <v>11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 t="s">
        <v>266</v>
      </c>
      <c r="N14" s="70" t="s">
        <v>265</v>
      </c>
      <c r="O14" s="70"/>
      <c r="P14" s="70" t="s">
        <v>264</v>
      </c>
      <c r="Q14" s="70"/>
      <c r="R14" s="97"/>
      <c r="S14" s="97" t="s">
        <v>265</v>
      </c>
      <c r="T14" s="97" t="s">
        <v>265</v>
      </c>
      <c r="U14" s="97" t="s">
        <v>264</v>
      </c>
      <c r="V14" s="70" t="s">
        <v>265</v>
      </c>
      <c r="W14" s="70"/>
      <c r="X14" s="70" t="s">
        <v>265</v>
      </c>
      <c r="Y14" s="70"/>
      <c r="Z14" s="70"/>
      <c r="AA14" s="70"/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>
      <c r="A15" s="59">
        <v>7</v>
      </c>
      <c r="B15" s="67" t="s">
        <v>132</v>
      </c>
      <c r="C15" s="65"/>
      <c r="D15" s="64">
        <v>22</v>
      </c>
      <c r="E15" s="64">
        <f>IF(ISBLANK($D15),"0",IF(($D16-$D15)&lt;($C16-$C15),1,0))</f>
        <v>1</v>
      </c>
      <c r="F15" s="64">
        <f t="shared" ca="1" si="1"/>
        <v>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265</v>
      </c>
      <c r="M15" s="69"/>
      <c r="N15" s="69"/>
      <c r="O15" s="69"/>
      <c r="P15" s="69"/>
      <c r="Q15" s="69"/>
      <c r="R15" s="96" t="s">
        <v>264</v>
      </c>
      <c r="S15" s="96" t="s">
        <v>265</v>
      </c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148</v>
      </c>
      <c r="C16" s="66">
        <v>6.5</v>
      </c>
      <c r="D16" s="64">
        <v>27</v>
      </c>
      <c r="E16" s="64">
        <f>IF(ISBLANK($D16),"0",IF(($D16-$D15)&gt;($C16-$C15),1,0))</f>
        <v>0</v>
      </c>
      <c r="F16" s="64">
        <f t="shared" ca="1" si="1"/>
        <v>15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/>
      <c r="M16" s="70" t="s">
        <v>266</v>
      </c>
      <c r="N16" s="70" t="s">
        <v>265</v>
      </c>
      <c r="O16" s="70" t="s">
        <v>265</v>
      </c>
      <c r="P16" s="70" t="s">
        <v>264</v>
      </c>
      <c r="Q16" s="70" t="s">
        <v>265</v>
      </c>
      <c r="R16" s="70"/>
      <c r="S16" s="70"/>
      <c r="T16" s="70" t="s">
        <v>265</v>
      </c>
      <c r="U16" s="70" t="s">
        <v>264</v>
      </c>
      <c r="V16" s="70" t="s">
        <v>265</v>
      </c>
      <c r="W16" s="70" t="s">
        <v>264</v>
      </c>
      <c r="X16" s="70" t="s">
        <v>265</v>
      </c>
      <c r="Y16" s="70" t="s">
        <v>265</v>
      </c>
      <c r="Z16" s="70" t="s">
        <v>265</v>
      </c>
      <c r="AA16" s="70" t="s">
        <v>265</v>
      </c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127</v>
      </c>
      <c r="C17" s="65">
        <v>11.5</v>
      </c>
      <c r="D17" s="64">
        <v>31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266</v>
      </c>
      <c r="N17" s="69"/>
      <c r="O17" s="69"/>
      <c r="P17" s="69" t="s">
        <v>264</v>
      </c>
      <c r="Q17" s="69"/>
      <c r="R17" s="69"/>
      <c r="S17" s="69"/>
      <c r="T17" s="69" t="s">
        <v>265</v>
      </c>
      <c r="U17" s="69" t="s">
        <v>264</v>
      </c>
      <c r="V17" s="69" t="s">
        <v>265</v>
      </c>
      <c r="W17" s="69" t="s">
        <v>264</v>
      </c>
      <c r="X17" s="69"/>
      <c r="Y17" s="69"/>
      <c r="Z17" s="69" t="s">
        <v>265</v>
      </c>
      <c r="AA17" s="69"/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131</v>
      </c>
      <c r="C18" s="66"/>
      <c r="D18" s="64">
        <v>26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265</v>
      </c>
      <c r="M18" s="70"/>
      <c r="N18" s="70" t="s">
        <v>265</v>
      </c>
      <c r="O18" s="70" t="s">
        <v>265</v>
      </c>
      <c r="P18" s="70"/>
      <c r="Q18" s="70" t="s">
        <v>265</v>
      </c>
      <c r="R18" s="70" t="s">
        <v>264</v>
      </c>
      <c r="S18" s="70" t="s">
        <v>265</v>
      </c>
      <c r="T18" s="70"/>
      <c r="U18" s="97"/>
      <c r="V18" s="70"/>
      <c r="W18" s="70"/>
      <c r="X18" s="70" t="s">
        <v>265</v>
      </c>
      <c r="Y18" s="70" t="s">
        <v>265</v>
      </c>
      <c r="Z18" s="70"/>
      <c r="AA18" s="70" t="s">
        <v>265</v>
      </c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>
      <c r="A19" s="59">
        <v>9</v>
      </c>
      <c r="B19" s="67" t="s">
        <v>187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 t="s">
        <v>265</v>
      </c>
      <c r="P19" s="69" t="s">
        <v>264</v>
      </c>
      <c r="Q19" s="69"/>
      <c r="R19" s="69" t="s">
        <v>264</v>
      </c>
      <c r="S19" s="69" t="s">
        <v>265</v>
      </c>
      <c r="T19" s="69" t="s">
        <v>265</v>
      </c>
      <c r="U19" s="96"/>
      <c r="V19" s="69" t="s">
        <v>265</v>
      </c>
      <c r="W19" s="69" t="s">
        <v>264</v>
      </c>
      <c r="X19" s="69"/>
      <c r="Y19" s="69" t="s">
        <v>265</v>
      </c>
      <c r="Z19" s="69" t="s">
        <v>265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>
      <c r="A20" s="61" t="s">
        <v>3</v>
      </c>
      <c r="B20" s="68" t="s">
        <v>192</v>
      </c>
      <c r="C20" s="66">
        <v>17.5</v>
      </c>
      <c r="D20" s="64">
        <v>26</v>
      </c>
      <c r="E20" s="64">
        <f>IF(ISBLANK($D20),"0",IF(($D20-$D19)&gt;($C20-$C19),1,0))</f>
        <v>1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 t="s">
        <v>264</v>
      </c>
      <c r="L20" s="70" t="s">
        <v>265</v>
      </c>
      <c r="M20" s="70" t="s">
        <v>266</v>
      </c>
      <c r="N20" s="70" t="s">
        <v>265</v>
      </c>
      <c r="O20" s="70"/>
      <c r="P20" s="70"/>
      <c r="Q20" s="70" t="s">
        <v>265</v>
      </c>
      <c r="R20" s="70"/>
      <c r="S20" s="70"/>
      <c r="T20" s="70"/>
      <c r="U20" s="70" t="s">
        <v>264</v>
      </c>
      <c r="V20" s="70"/>
      <c r="W20" s="70"/>
      <c r="X20" s="70" t="s">
        <v>265</v>
      </c>
      <c r="Y20" s="70"/>
      <c r="Z20" s="70"/>
      <c r="AA20" s="70" t="s">
        <v>265</v>
      </c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>
      <c r="A21" s="59">
        <v>10</v>
      </c>
      <c r="B21" s="67" t="s">
        <v>296</v>
      </c>
      <c r="C21" s="65">
        <v>2.5</v>
      </c>
      <c r="D21" s="64">
        <v>0</v>
      </c>
      <c r="E21" s="64">
        <f>IF(ISBLANK($D21),"0",IF(($D22-$D21)&lt;($C22-$C21),1,0))</f>
        <v>0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266</v>
      </c>
      <c r="N21" s="69"/>
      <c r="O21" s="69" t="s">
        <v>265</v>
      </c>
      <c r="P21" s="69" t="s">
        <v>264</v>
      </c>
      <c r="Q21" s="69" t="s">
        <v>265</v>
      </c>
      <c r="R21" s="69" t="s">
        <v>264</v>
      </c>
      <c r="S21" s="69"/>
      <c r="T21" s="69" t="s">
        <v>265</v>
      </c>
      <c r="U21" s="96"/>
      <c r="V21" s="69"/>
      <c r="W21" s="69" t="s">
        <v>264</v>
      </c>
      <c r="X21" s="69" t="s">
        <v>265</v>
      </c>
      <c r="Y21" s="69" t="s">
        <v>265</v>
      </c>
      <c r="Z21" s="69" t="s">
        <v>265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>
      <c r="A22" s="61" t="s">
        <v>3</v>
      </c>
      <c r="B22" s="68" t="s">
        <v>149</v>
      </c>
      <c r="C22" s="66"/>
      <c r="D22" s="64">
        <v>27</v>
      </c>
      <c r="E22" s="64">
        <f>IF(ISBLANK($D22),"0",IF(($D22-$D21)&gt;($C22-$C21),1,0))</f>
        <v>1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264</v>
      </c>
      <c r="L22" s="70" t="s">
        <v>265</v>
      </c>
      <c r="M22" s="70"/>
      <c r="N22" s="70" t="s">
        <v>265</v>
      </c>
      <c r="O22" s="70"/>
      <c r="P22" s="70"/>
      <c r="Q22" s="70"/>
      <c r="R22" s="70"/>
      <c r="S22" s="70" t="s">
        <v>265</v>
      </c>
      <c r="T22" s="70"/>
      <c r="U22" s="70" t="s">
        <v>264</v>
      </c>
      <c r="V22" s="70" t="s">
        <v>265</v>
      </c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Penn St.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24</v>
      </c>
      <c r="L23" s="78">
        <v>24</v>
      </c>
      <c r="M23" s="78"/>
      <c r="N23" s="80">
        <v>13</v>
      </c>
      <c r="O23" s="78">
        <v>24</v>
      </c>
      <c r="P23" s="78">
        <v>24</v>
      </c>
      <c r="Q23" s="78">
        <v>31</v>
      </c>
      <c r="R23" s="78">
        <v>31</v>
      </c>
      <c r="S23" s="78">
        <v>21</v>
      </c>
      <c r="T23" s="78">
        <v>16</v>
      </c>
      <c r="U23" s="78">
        <v>24</v>
      </c>
      <c r="V23" s="78">
        <v>21</v>
      </c>
      <c r="W23" s="78">
        <v>21</v>
      </c>
      <c r="X23" s="78">
        <v>34</v>
      </c>
      <c r="Y23" s="78">
        <v>26</v>
      </c>
      <c r="Z23" s="78">
        <v>21</v>
      </c>
      <c r="AA23" s="78">
        <v>24</v>
      </c>
      <c r="AB23" s="78">
        <v>23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>
      <c r="A24" s="61"/>
      <c r="B24" s="68" t="str">
        <f>B22&amp; " - score"</f>
        <v>Michigan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/>
      <c r="K24" s="79">
        <v>28</v>
      </c>
      <c r="L24" s="79">
        <v>31</v>
      </c>
      <c r="M24" s="79"/>
      <c r="N24" s="79">
        <v>17</v>
      </c>
      <c r="O24" s="79">
        <v>21</v>
      </c>
      <c r="P24" s="79">
        <v>10</v>
      </c>
      <c r="Q24" s="79">
        <v>24</v>
      </c>
      <c r="R24" s="79">
        <v>24</v>
      </c>
      <c r="S24" s="79">
        <v>14</v>
      </c>
      <c r="T24" s="79">
        <v>12</v>
      </c>
      <c r="U24" s="79">
        <v>30</v>
      </c>
      <c r="V24" s="79">
        <v>24</v>
      </c>
      <c r="W24" s="79">
        <v>13</v>
      </c>
      <c r="X24" s="79">
        <v>27</v>
      </c>
      <c r="Y24" s="79">
        <v>18</v>
      </c>
      <c r="Z24" s="79">
        <v>10</v>
      </c>
      <c r="AA24" s="79">
        <v>18</v>
      </c>
      <c r="AB24" s="79">
        <v>20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3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2</v>
      </c>
      <c r="Q25" s="36">
        <f t="shared" si="3"/>
        <v>4</v>
      </c>
      <c r="R25" s="36">
        <f t="shared" si="3"/>
        <v>5</v>
      </c>
      <c r="S25" s="36">
        <f t="shared" si="3"/>
        <v>7</v>
      </c>
      <c r="T25" s="36">
        <f t="shared" si="3"/>
        <v>3</v>
      </c>
      <c r="U25" s="36">
        <f t="shared" si="3"/>
        <v>6</v>
      </c>
      <c r="V25" s="36">
        <f t="shared" si="3"/>
        <v>2</v>
      </c>
      <c r="W25" s="36">
        <f t="shared" si="3"/>
        <v>4</v>
      </c>
      <c r="X25" s="36">
        <f t="shared" si="3"/>
        <v>7</v>
      </c>
      <c r="Y25" s="36">
        <f t="shared" si="3"/>
        <v>5</v>
      </c>
      <c r="Z25" s="36">
        <f t="shared" si="3"/>
        <v>4</v>
      </c>
      <c r="AA25" s="36">
        <f t="shared" si="3"/>
        <v>5</v>
      </c>
      <c r="AB25" s="36">
        <f t="shared" si="3"/>
        <v>4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23</v>
      </c>
      <c r="L26" s="71">
        <f t="shared" ref="L26:AO26" si="4">ABS((L23-L24)-($D21-$D22))</f>
        <v>20</v>
      </c>
      <c r="M26" s="71">
        <f t="shared" si="4"/>
        <v>27</v>
      </c>
      <c r="N26" s="71">
        <f t="shared" si="4"/>
        <v>23</v>
      </c>
      <c r="O26" s="71">
        <f t="shared" si="4"/>
        <v>30</v>
      </c>
      <c r="P26" s="71">
        <f t="shared" si="4"/>
        <v>41</v>
      </c>
      <c r="Q26" s="71">
        <f t="shared" si="4"/>
        <v>34</v>
      </c>
      <c r="R26" s="71">
        <f t="shared" si="4"/>
        <v>34</v>
      </c>
      <c r="S26" s="71">
        <f t="shared" si="4"/>
        <v>34</v>
      </c>
      <c r="T26" s="71">
        <f t="shared" si="4"/>
        <v>31</v>
      </c>
      <c r="U26" s="71">
        <f t="shared" si="4"/>
        <v>21</v>
      </c>
      <c r="V26" s="71">
        <f t="shared" si="4"/>
        <v>24</v>
      </c>
      <c r="W26" s="71">
        <f t="shared" si="4"/>
        <v>35</v>
      </c>
      <c r="X26" s="71">
        <f t="shared" si="4"/>
        <v>34</v>
      </c>
      <c r="Y26" s="71">
        <f t="shared" si="4"/>
        <v>35</v>
      </c>
      <c r="Z26" s="71">
        <f t="shared" si="4"/>
        <v>38</v>
      </c>
      <c r="AA26" s="71">
        <f t="shared" si="4"/>
        <v>33</v>
      </c>
      <c r="AB26" s="71">
        <f t="shared" si="4"/>
        <v>30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25</v>
      </c>
      <c r="L27" s="71">
        <f t="shared" ref="L27:AO27" si="5">ABS(($D21+$D22)-(L23+L24))</f>
        <v>28</v>
      </c>
      <c r="M27" s="71">
        <f t="shared" si="5"/>
        <v>27</v>
      </c>
      <c r="N27" s="71">
        <f t="shared" si="5"/>
        <v>3</v>
      </c>
      <c r="O27" s="71">
        <f t="shared" si="5"/>
        <v>18</v>
      </c>
      <c r="P27" s="71">
        <f t="shared" si="5"/>
        <v>7</v>
      </c>
      <c r="Q27" s="71">
        <f t="shared" si="5"/>
        <v>28</v>
      </c>
      <c r="R27" s="71">
        <f t="shared" si="5"/>
        <v>28</v>
      </c>
      <c r="S27" s="71">
        <f t="shared" si="5"/>
        <v>8</v>
      </c>
      <c r="T27" s="71">
        <f t="shared" si="5"/>
        <v>1</v>
      </c>
      <c r="U27" s="71">
        <f t="shared" si="5"/>
        <v>27</v>
      </c>
      <c r="V27" s="71">
        <f t="shared" si="5"/>
        <v>18</v>
      </c>
      <c r="W27" s="71">
        <f t="shared" si="5"/>
        <v>7</v>
      </c>
      <c r="X27" s="71">
        <f t="shared" si="5"/>
        <v>34</v>
      </c>
      <c r="Y27" s="71">
        <f t="shared" si="5"/>
        <v>17</v>
      </c>
      <c r="Z27" s="71">
        <f t="shared" si="5"/>
        <v>4</v>
      </c>
      <c r="AA27" s="71">
        <f t="shared" si="5"/>
        <v>15</v>
      </c>
      <c r="AB27" s="71">
        <f t="shared" si="5"/>
        <v>16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>
        <f t="shared" ref="L28:AU28" ca="1" si="6">IF(COUNTA($D$3:$D$22)&lt;2,"",IF(L36=MAX(INDIRECT("R36C11:R36C"&amp;11+playercnt-1,FALSE)),1,""))</f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0.4777777777777778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3</v>
      </c>
      <c r="O29" s="71">
        <f t="shared" si="7"/>
        <v>6</v>
      </c>
      <c r="P29" s="71">
        <f t="shared" si="7"/>
        <v>5</v>
      </c>
      <c r="Q29" s="71">
        <f t="shared" si="7"/>
        <v>5</v>
      </c>
      <c r="R29" s="71">
        <f t="shared" si="7"/>
        <v>8</v>
      </c>
      <c r="S29" s="71">
        <f t="shared" si="7"/>
        <v>6</v>
      </c>
      <c r="T29" s="71">
        <f t="shared" si="7"/>
        <v>6</v>
      </c>
      <c r="U29" s="71">
        <f t="shared" si="7"/>
        <v>3</v>
      </c>
      <c r="V29" s="71">
        <f t="shared" si="7"/>
        <v>3</v>
      </c>
      <c r="W29" s="71">
        <f t="shared" si="7"/>
        <v>7</v>
      </c>
      <c r="X29" s="71">
        <f t="shared" si="7"/>
        <v>6</v>
      </c>
      <c r="Y29" s="71">
        <f t="shared" si="7"/>
        <v>8</v>
      </c>
      <c r="Z29" s="71">
        <f t="shared" si="7"/>
        <v>7</v>
      </c>
      <c r="AA29" s="71">
        <f t="shared" si="7"/>
        <v>6</v>
      </c>
      <c r="AB29" s="71">
        <f t="shared" si="7"/>
        <v>3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0</v>
      </c>
      <c r="N30" s="73">
        <f t="shared" si="8"/>
        <v>3</v>
      </c>
      <c r="O30" s="73">
        <f t="shared" si="8"/>
        <v>6</v>
      </c>
      <c r="P30" s="73">
        <f t="shared" si="8"/>
        <v>3</v>
      </c>
      <c r="Q30" s="73">
        <f t="shared" si="8"/>
        <v>3</v>
      </c>
      <c r="R30" s="73">
        <f t="shared" si="8"/>
        <v>6</v>
      </c>
      <c r="S30" s="73">
        <f t="shared" si="8"/>
        <v>8</v>
      </c>
      <c r="T30" s="73">
        <f t="shared" si="8"/>
        <v>4</v>
      </c>
      <c r="U30" s="73">
        <f t="shared" si="8"/>
        <v>3</v>
      </c>
      <c r="V30" s="73">
        <f t="shared" si="8"/>
        <v>3</v>
      </c>
      <c r="W30" s="73">
        <f t="shared" si="8"/>
        <v>7</v>
      </c>
      <c r="X30" s="73">
        <f t="shared" si="8"/>
        <v>4</v>
      </c>
      <c r="Y30" s="73">
        <f t="shared" si="8"/>
        <v>6</v>
      </c>
      <c r="Z30" s="73">
        <f t="shared" si="8"/>
        <v>5</v>
      </c>
      <c r="AA30" s="73">
        <f t="shared" si="8"/>
        <v>4</v>
      </c>
      <c r="AB30" s="73">
        <f t="shared" si="8"/>
        <v>3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3.5</v>
      </c>
      <c r="N31" s="71">
        <f t="shared" ca="1" si="9"/>
        <v>4.5</v>
      </c>
      <c r="O31" s="71">
        <f t="shared" ca="1" si="9"/>
        <v>2.5</v>
      </c>
      <c r="P31" s="71">
        <f t="shared" ca="1" si="9"/>
        <v>3.5</v>
      </c>
      <c r="Q31" s="71">
        <f t="shared" ca="1" si="9"/>
        <v>2.5</v>
      </c>
      <c r="R31" s="71">
        <f t="shared" ca="1" si="9"/>
        <v>2.5</v>
      </c>
      <c r="S31" s="71">
        <f t="shared" ca="1" si="9"/>
        <v>4.5</v>
      </c>
      <c r="T31" s="71">
        <f t="shared" ca="1" si="9"/>
        <v>2.5</v>
      </c>
      <c r="U31" s="71">
        <f t="shared" ca="1" si="9"/>
        <v>4.5</v>
      </c>
      <c r="V31" s="71">
        <f t="shared" ca="1" si="9"/>
        <v>5.5</v>
      </c>
      <c r="W31" s="71">
        <f t="shared" ca="1" si="9"/>
        <v>5.5</v>
      </c>
      <c r="X31" s="71">
        <f t="shared" ca="1" si="9"/>
        <v>1.5</v>
      </c>
      <c r="Y31" s="71">
        <f t="shared" ca="1" si="9"/>
        <v>2.5</v>
      </c>
      <c r="Z31" s="71">
        <f t="shared" ca="1" si="9"/>
        <v>3.5</v>
      </c>
      <c r="AA31" s="71">
        <f t="shared" ca="1" si="9"/>
        <v>1.5</v>
      </c>
      <c r="AB31" s="71">
        <f t="shared" ca="1" si="9"/>
        <v>4.5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141907900</v>
      </c>
      <c r="L36" s="32">
        <f t="shared" ref="L36:AO36" si="11">COUNTA(L23:L24)*((10000000*L25)+(1000000*(COUNTA(L21)*$E21+COUNTA(L22)*$E22))-(COUNTA($D$21:$D$22)*1000*L26)-(COUNTA($D$21:$D$22)*L27))</f>
        <v>141919888</v>
      </c>
      <c r="M36" s="32">
        <f t="shared" si="11"/>
        <v>0</v>
      </c>
      <c r="N36" s="32">
        <f t="shared" si="11"/>
        <v>121907988</v>
      </c>
      <c r="O36" s="32">
        <f t="shared" si="11"/>
        <v>99879928</v>
      </c>
      <c r="P36" s="32">
        <f t="shared" si="11"/>
        <v>39835972</v>
      </c>
      <c r="Q36" s="32">
        <f t="shared" si="11"/>
        <v>79863888</v>
      </c>
      <c r="R36" s="32">
        <f t="shared" si="11"/>
        <v>99863888</v>
      </c>
      <c r="S36" s="32">
        <f t="shared" si="11"/>
        <v>141863968</v>
      </c>
      <c r="T36" s="32">
        <f t="shared" si="11"/>
        <v>59875996</v>
      </c>
      <c r="U36" s="32">
        <f t="shared" si="11"/>
        <v>121915892</v>
      </c>
      <c r="V36" s="32">
        <f t="shared" si="11"/>
        <v>41903928</v>
      </c>
      <c r="W36" s="32">
        <f t="shared" si="11"/>
        <v>79859972</v>
      </c>
      <c r="X36" s="32">
        <f t="shared" si="11"/>
        <v>139863864</v>
      </c>
      <c r="Y36" s="32">
        <f t="shared" si="11"/>
        <v>99859932</v>
      </c>
      <c r="Z36" s="32">
        <f t="shared" si="11"/>
        <v>79847984</v>
      </c>
      <c r="AA36" s="32">
        <f t="shared" si="11"/>
        <v>99867940</v>
      </c>
      <c r="AB36" s="32">
        <f t="shared" si="11"/>
        <v>79879936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</v>
      </c>
      <c r="L40" s="3" t="str">
        <f t="shared" ref="L40:BM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</v>
      </c>
      <c r="Q40" s="3" t="str">
        <f t="shared" ca="1" si="13"/>
        <v>James, Larry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Chris;Batchler, Wayne;Blackmon, Vaughn;Cochcroft, Art;Crenshaw, Ed;Gibson, Johnny;James, Larry;Kieselhorst, Larry;Knotts, Brian;McGee, Steve;McMahon, Pat;Moxley, Dave;Nguyen, Thai;Nye, Mike;Reams,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1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70" priority="17" stopIfTrue="1" operator="equal">
      <formula>0</formula>
    </cfRule>
  </conditionalFormatting>
  <conditionalFormatting sqref="D26:J28 K28:BE28">
    <cfRule type="cellIs" dxfId="69" priority="16" stopIfTrue="1" operator="equal">
      <formula>1</formula>
    </cfRule>
  </conditionalFormatting>
  <conditionalFormatting sqref="H3:I3 F23 H5:I5 H7:I7 H9:I9 H11:I11 H13:I13 H15:I15 H17:I17 H19:I19 H21:I21">
    <cfRule type="cellIs" dxfId="68" priority="15" stopIfTrue="1" operator="equal">
      <formula>0</formula>
    </cfRule>
  </conditionalFormatting>
  <conditionalFormatting sqref="H4:I4 F24 H6:I6 H8:I8 H10:I10 H12:I12 H14:I14 H16:I16 H18:I18 H20:I20 H22:I22">
    <cfRule type="cellIs" dxfId="67" priority="14" stopIfTrue="1" operator="equal">
      <formula>0</formula>
    </cfRule>
  </conditionalFormatting>
  <conditionalFormatting sqref="F3 F5 F7 F9 F11 F13 F15 F17 F19 F21">
    <cfRule type="cellIs" dxfId="66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5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4" priority="10" stopIfTrue="1">
      <formula>AND(COUNTA(J4)=1,$E4=1,SUM($E3:$E4)=1)</formula>
    </cfRule>
    <cfRule type="expression" dxfId="63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62" priority="8" stopIfTrue="1">
      <formula>AND(COUNTA(J3)=1,$E3=1,SUM($E3:$E4)=1)</formula>
    </cfRule>
    <cfRule type="expression" dxfId="61" priority="9" stopIfTrue="1">
      <formula>AND(COUNTA(J3)=1,$E3=0,SUM($E3:$E4)=1)</formula>
    </cfRule>
  </conditionalFormatting>
  <conditionalFormatting sqref="BF23:BM23">
    <cfRule type="cellIs" dxfId="60" priority="7" stopIfTrue="1" operator="equal">
      <formula>0</formula>
    </cfRule>
  </conditionalFormatting>
  <conditionalFormatting sqref="BF24:BM24">
    <cfRule type="cellIs" dxfId="59" priority="6" stopIfTrue="1" operator="equal">
      <formula>0</formula>
    </cfRule>
  </conditionalFormatting>
  <conditionalFormatting sqref="BF28:BM28">
    <cfRule type="cellIs" dxfId="58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57" priority="3" stopIfTrue="1">
      <formula>AND(COUNTA(BF4)=1,$E4=1,SUM($E3:$E4)=1)</formula>
    </cfRule>
    <cfRule type="expression" dxfId="56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55" priority="1" stopIfTrue="1">
      <formula>AND(COUNTA(BF3)=1,$E3=1,SUM($E3:$E4)=1)</formula>
    </cfRule>
    <cfRule type="expression" dxfId="54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84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Barker, Chris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</v>
      </c>
      <c r="Q2" s="4" t="str">
        <f t="shared" ca="1" si="0"/>
        <v>James, Larry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>
      <c r="A3" s="59">
        <v>1</v>
      </c>
      <c r="B3" s="67" t="s">
        <v>146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265</v>
      </c>
      <c r="M3" s="69"/>
      <c r="N3" s="69" t="s">
        <v>265</v>
      </c>
      <c r="O3" s="69"/>
      <c r="P3" s="69"/>
      <c r="Q3" s="69"/>
      <c r="R3" s="69"/>
      <c r="S3" s="69"/>
      <c r="T3" s="69" t="s">
        <v>265</v>
      </c>
      <c r="U3" s="69" t="s">
        <v>264</v>
      </c>
      <c r="V3" s="69"/>
      <c r="W3" s="69" t="s">
        <v>264</v>
      </c>
      <c r="X3" s="69"/>
      <c r="Y3" s="69" t="s">
        <v>265</v>
      </c>
      <c r="Z3" s="69" t="s">
        <v>265</v>
      </c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125</v>
      </c>
      <c r="C4" s="66">
        <v>2.5</v>
      </c>
      <c r="D4" s="64">
        <v>26</v>
      </c>
      <c r="E4" s="64">
        <f>IF(ISBLANK($D4),"0",IF(($D4-$D3)&gt;($C4-$C3),1,0))</f>
        <v>1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/>
      <c r="M4" s="70" t="s">
        <v>264</v>
      </c>
      <c r="N4" s="70"/>
      <c r="O4" s="70" t="s">
        <v>265</v>
      </c>
      <c r="P4" s="70" t="s">
        <v>264</v>
      </c>
      <c r="Q4" s="70" t="s">
        <v>265</v>
      </c>
      <c r="R4" s="70" t="s">
        <v>264</v>
      </c>
      <c r="S4" s="70" t="s">
        <v>266</v>
      </c>
      <c r="T4" s="70"/>
      <c r="U4" s="97"/>
      <c r="V4" s="70" t="s">
        <v>264</v>
      </c>
      <c r="W4" s="70"/>
      <c r="X4" s="70" t="s">
        <v>265</v>
      </c>
      <c r="Y4" s="70"/>
      <c r="Z4" s="70"/>
      <c r="AA4" s="70" t="s">
        <v>265</v>
      </c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>
      <c r="A5" s="59">
        <v>2</v>
      </c>
      <c r="B5" s="67" t="s">
        <v>234</v>
      </c>
      <c r="C5" s="65"/>
      <c r="D5" s="64">
        <v>24</v>
      </c>
      <c r="E5" s="64">
        <f>IF(ISBLANK($D5),"0",IF(($D6-$D5)&lt;($C6-$C5),1,0))</f>
        <v>1</v>
      </c>
      <c r="F5" s="64">
        <f t="shared" ca="1" si="1"/>
        <v>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265</v>
      </c>
      <c r="M5" s="69" t="s">
        <v>264</v>
      </c>
      <c r="N5" s="69" t="s">
        <v>265</v>
      </c>
      <c r="O5" s="69"/>
      <c r="P5" s="69"/>
      <c r="Q5" s="69"/>
      <c r="R5" s="69"/>
      <c r="S5" s="69"/>
      <c r="T5" s="69"/>
      <c r="U5" s="96"/>
      <c r="V5" s="69"/>
      <c r="W5" s="69" t="s">
        <v>264</v>
      </c>
      <c r="X5" s="69"/>
      <c r="Y5" s="69" t="s">
        <v>265</v>
      </c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>
      <c r="A6" s="61" t="s">
        <v>3</v>
      </c>
      <c r="B6" s="68" t="s">
        <v>140</v>
      </c>
      <c r="C6" s="66">
        <v>10.5</v>
      </c>
      <c r="D6" s="64">
        <v>28</v>
      </c>
      <c r="E6" s="64">
        <f>IF(ISBLANK($D6),"0",IF(($D6-$D5)&gt;($C6-$C5),1,0))</f>
        <v>0</v>
      </c>
      <c r="F6" s="64">
        <f t="shared" ca="1" si="1"/>
        <v>13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/>
      <c r="M6" s="70"/>
      <c r="N6" s="70"/>
      <c r="O6" s="70" t="s">
        <v>265</v>
      </c>
      <c r="P6" s="70" t="s">
        <v>264</v>
      </c>
      <c r="Q6" s="70" t="s">
        <v>265</v>
      </c>
      <c r="R6" s="70" t="s">
        <v>264</v>
      </c>
      <c r="S6" s="70" t="s">
        <v>266</v>
      </c>
      <c r="T6" s="70" t="s">
        <v>265</v>
      </c>
      <c r="U6" s="70" t="s">
        <v>264</v>
      </c>
      <c r="V6" s="70" t="s">
        <v>264</v>
      </c>
      <c r="W6" s="70"/>
      <c r="X6" s="70" t="s">
        <v>265</v>
      </c>
      <c r="Y6" s="70"/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>
      <c r="A7" s="59">
        <v>3</v>
      </c>
      <c r="B7" s="67" t="s">
        <v>135</v>
      </c>
      <c r="C7" s="65">
        <v>4.5</v>
      </c>
      <c r="D7" s="64">
        <v>28</v>
      </c>
      <c r="E7" s="64">
        <f>IF(ISBLANK($D7),"0",IF(($D8-$D7)&lt;($C8-$C7),1,0))</f>
        <v>1</v>
      </c>
      <c r="F7" s="64">
        <f t="shared" ca="1" si="1"/>
        <v>15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264</v>
      </c>
      <c r="L7" s="69"/>
      <c r="M7" s="69" t="s">
        <v>264</v>
      </c>
      <c r="N7" s="69" t="s">
        <v>265</v>
      </c>
      <c r="O7" s="69" t="s">
        <v>265</v>
      </c>
      <c r="P7" s="69" t="s">
        <v>264</v>
      </c>
      <c r="Q7" s="69" t="s">
        <v>265</v>
      </c>
      <c r="R7" s="96" t="s">
        <v>264</v>
      </c>
      <c r="S7" s="96" t="s">
        <v>266</v>
      </c>
      <c r="T7" s="96" t="s">
        <v>265</v>
      </c>
      <c r="U7" s="96" t="s">
        <v>264</v>
      </c>
      <c r="V7" s="69" t="s">
        <v>264</v>
      </c>
      <c r="W7" s="69" t="s">
        <v>264</v>
      </c>
      <c r="X7" s="69" t="s">
        <v>265</v>
      </c>
      <c r="Y7" s="69"/>
      <c r="Z7" s="69"/>
      <c r="AA7" s="69" t="s">
        <v>265</v>
      </c>
      <c r="AB7" s="69" t="s">
        <v>265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139</v>
      </c>
      <c r="C8" s="66"/>
      <c r="D8" s="64">
        <v>17</v>
      </c>
      <c r="E8" s="64">
        <f>IF(ISBLANK($D8),"0",IF(($D8-$D7)&gt;($C8-$C7),1,0))</f>
        <v>0</v>
      </c>
      <c r="F8" s="64">
        <f t="shared" ca="1" si="1"/>
        <v>3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265</v>
      </c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 t="s">
        <v>265</v>
      </c>
      <c r="Z8" s="70" t="s">
        <v>265</v>
      </c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>
      <c r="A9" s="59">
        <v>4</v>
      </c>
      <c r="B9" s="108" t="s">
        <v>126</v>
      </c>
      <c r="C9" s="65">
        <v>8.5</v>
      </c>
      <c r="D9" s="81">
        <v>24</v>
      </c>
      <c r="E9" s="64">
        <f>IF(ISBLANK($D9),"0",IF(($D10-$D9)&lt;($C10-$C9),1,0))</f>
        <v>0</v>
      </c>
      <c r="F9" s="64">
        <f t="shared" ca="1" si="1"/>
        <v>10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 t="s">
        <v>265</v>
      </c>
      <c r="M9" s="69" t="s">
        <v>264</v>
      </c>
      <c r="N9" s="69"/>
      <c r="O9" s="69"/>
      <c r="P9" s="69"/>
      <c r="Q9" s="69"/>
      <c r="R9" s="96"/>
      <c r="S9" s="96" t="s">
        <v>266</v>
      </c>
      <c r="T9" s="96" t="s">
        <v>265</v>
      </c>
      <c r="U9" s="96"/>
      <c r="V9" s="69" t="s">
        <v>264</v>
      </c>
      <c r="W9" s="69"/>
      <c r="X9" s="69" t="s">
        <v>265</v>
      </c>
      <c r="Y9" s="69"/>
      <c r="Z9" s="69" t="s">
        <v>265</v>
      </c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>
      <c r="A10" s="61" t="s">
        <v>3</v>
      </c>
      <c r="B10" s="68" t="s">
        <v>143</v>
      </c>
      <c r="C10" s="66"/>
      <c r="D10" s="64">
        <v>21</v>
      </c>
      <c r="E10" s="64">
        <f>IF(ISBLANK($D10),"0",IF(($D10-$D9)&gt;($C10-$C9),1,0))</f>
        <v>1</v>
      </c>
      <c r="F10" s="64">
        <f t="shared" ca="1" si="1"/>
        <v>8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 t="s">
        <v>265</v>
      </c>
      <c r="O10" s="70" t="s">
        <v>265</v>
      </c>
      <c r="P10" s="70" t="s">
        <v>264</v>
      </c>
      <c r="Q10" s="70" t="s">
        <v>265</v>
      </c>
      <c r="R10" s="97" t="s">
        <v>264</v>
      </c>
      <c r="S10" s="97"/>
      <c r="T10" s="97"/>
      <c r="U10" s="70" t="s">
        <v>264</v>
      </c>
      <c r="V10" s="70"/>
      <c r="W10" s="70" t="s">
        <v>264</v>
      </c>
      <c r="X10" s="70"/>
      <c r="Y10" s="70" t="s">
        <v>265</v>
      </c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>
      <c r="A11" s="59">
        <v>5</v>
      </c>
      <c r="B11" s="67" t="s">
        <v>151</v>
      </c>
      <c r="C11" s="65"/>
      <c r="D11" s="64">
        <v>13</v>
      </c>
      <c r="E11" s="64">
        <f>IF(ISBLANK($D11),"0",IF(($D12-$D11)&lt;($C12-$C11),1,0))</f>
        <v>0</v>
      </c>
      <c r="F11" s="64">
        <f t="shared" ca="1" si="1"/>
        <v>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265</v>
      </c>
      <c r="O11" s="69"/>
      <c r="P11" s="69"/>
      <c r="Q11" s="69"/>
      <c r="R11" s="96"/>
      <c r="S11" s="96"/>
      <c r="T11" s="96" t="s">
        <v>265</v>
      </c>
      <c r="U11" s="69" t="s">
        <v>264</v>
      </c>
      <c r="V11" s="69"/>
      <c r="W11" s="69" t="s">
        <v>264</v>
      </c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168</v>
      </c>
      <c r="C12" s="66">
        <v>10.5</v>
      </c>
      <c r="D12" s="64">
        <v>30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 t="s">
        <v>265</v>
      </c>
      <c r="M12" s="70" t="s">
        <v>264</v>
      </c>
      <c r="N12" s="70"/>
      <c r="O12" s="70" t="s">
        <v>265</v>
      </c>
      <c r="P12" s="70" t="s">
        <v>264</v>
      </c>
      <c r="Q12" s="70" t="s">
        <v>265</v>
      </c>
      <c r="R12" s="97" t="s">
        <v>264</v>
      </c>
      <c r="S12" s="97" t="s">
        <v>266</v>
      </c>
      <c r="T12" s="97"/>
      <c r="U12" s="97"/>
      <c r="V12" s="70" t="s">
        <v>264</v>
      </c>
      <c r="W12" s="70"/>
      <c r="X12" s="70" t="s">
        <v>265</v>
      </c>
      <c r="Y12" s="70" t="s">
        <v>265</v>
      </c>
      <c r="Z12" s="70" t="s">
        <v>265</v>
      </c>
      <c r="AA12" s="70" t="s">
        <v>265</v>
      </c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>
      <c r="A13" s="59">
        <v>6</v>
      </c>
      <c r="B13" s="67" t="s">
        <v>191</v>
      </c>
      <c r="C13" s="65">
        <v>0.5</v>
      </c>
      <c r="D13" s="64">
        <v>25</v>
      </c>
      <c r="E13" s="64">
        <f>IF(ISBLANK($D13),"0",IF(($D14-$D13)&lt;($C14-$C13),1,0))</f>
        <v>1</v>
      </c>
      <c r="F13" s="64">
        <f t="shared" ca="1" si="1"/>
        <v>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266</v>
      </c>
      <c r="T13" s="96"/>
      <c r="U13" s="69"/>
      <c r="V13" s="69"/>
      <c r="W13" s="69" t="s">
        <v>264</v>
      </c>
      <c r="X13" s="69"/>
      <c r="Y13" s="69"/>
      <c r="Z13" s="69"/>
      <c r="AA13" s="69" t="s">
        <v>265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>
      <c r="A14" s="61" t="s">
        <v>3</v>
      </c>
      <c r="B14" s="68" t="s">
        <v>186</v>
      </c>
      <c r="C14" s="66"/>
      <c r="D14" s="64">
        <v>24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 t="s">
        <v>264</v>
      </c>
      <c r="N14" s="70" t="s">
        <v>265</v>
      </c>
      <c r="O14" s="70" t="s">
        <v>265</v>
      </c>
      <c r="P14" s="70" t="s">
        <v>264</v>
      </c>
      <c r="Q14" s="70" t="s">
        <v>265</v>
      </c>
      <c r="R14" s="97" t="s">
        <v>264</v>
      </c>
      <c r="S14" s="97"/>
      <c r="T14" s="97" t="s">
        <v>265</v>
      </c>
      <c r="U14" s="97" t="s">
        <v>264</v>
      </c>
      <c r="V14" s="70" t="s">
        <v>264</v>
      </c>
      <c r="W14" s="70"/>
      <c r="X14" s="70" t="s">
        <v>265</v>
      </c>
      <c r="Y14" s="70" t="s">
        <v>265</v>
      </c>
      <c r="Z14" s="70" t="s">
        <v>265</v>
      </c>
      <c r="AA14" s="70"/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>
      <c r="A15" s="59">
        <v>7</v>
      </c>
      <c r="B15" s="67" t="s">
        <v>137</v>
      </c>
      <c r="C15" s="65"/>
      <c r="D15" s="64">
        <v>14</v>
      </c>
      <c r="E15" s="64">
        <f>IF(ISBLANK($D15),"0",IF(($D16-$D15)&lt;($C16-$C15),1,0))</f>
        <v>1</v>
      </c>
      <c r="F15" s="64">
        <f t="shared" ca="1" si="1"/>
        <v>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264</v>
      </c>
      <c r="L15" s="69"/>
      <c r="M15" s="69"/>
      <c r="N15" s="69"/>
      <c r="O15" s="69"/>
      <c r="P15" s="69"/>
      <c r="Q15" s="69"/>
      <c r="R15" s="96"/>
      <c r="S15" s="96"/>
      <c r="T15" s="96" t="s">
        <v>265</v>
      </c>
      <c r="U15" s="96"/>
      <c r="V15" s="69"/>
      <c r="W15" s="69"/>
      <c r="X15" s="69"/>
      <c r="Y15" s="69"/>
      <c r="Z15" s="69"/>
      <c r="AA15" s="69"/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232</v>
      </c>
      <c r="C16" s="66">
        <v>31.5</v>
      </c>
      <c r="D16" s="64">
        <v>33</v>
      </c>
      <c r="E16" s="64">
        <f>IF(ISBLANK($D16),"0",IF(($D16-$D15)&gt;($C16-$C15),1,0))</f>
        <v>0</v>
      </c>
      <c r="F16" s="64">
        <f t="shared" ca="1" si="1"/>
        <v>15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265</v>
      </c>
      <c r="M16" s="70" t="s">
        <v>264</v>
      </c>
      <c r="N16" s="70" t="s">
        <v>265</v>
      </c>
      <c r="O16" s="70" t="s">
        <v>265</v>
      </c>
      <c r="P16" s="70" t="s">
        <v>264</v>
      </c>
      <c r="Q16" s="70" t="s">
        <v>265</v>
      </c>
      <c r="R16" s="70" t="s">
        <v>264</v>
      </c>
      <c r="S16" s="70" t="s">
        <v>266</v>
      </c>
      <c r="T16" s="70"/>
      <c r="U16" s="70" t="s">
        <v>264</v>
      </c>
      <c r="V16" s="70" t="s">
        <v>264</v>
      </c>
      <c r="W16" s="70" t="s">
        <v>264</v>
      </c>
      <c r="X16" s="70" t="s">
        <v>265</v>
      </c>
      <c r="Y16" s="70" t="s">
        <v>265</v>
      </c>
      <c r="Z16" s="70" t="s">
        <v>265</v>
      </c>
      <c r="AA16" s="70" t="s">
        <v>265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230</v>
      </c>
      <c r="C17" s="65">
        <v>7.5</v>
      </c>
      <c r="D17" s="64">
        <v>36</v>
      </c>
      <c r="E17" s="64">
        <f>IF(ISBLANK($D17),"0",IF(($D18-$D17)&lt;($C18-$C17),1,0))</f>
        <v>1</v>
      </c>
      <c r="F17" s="64">
        <f t="shared" ca="1" si="1"/>
        <v>16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265</v>
      </c>
      <c r="M17" s="69" t="s">
        <v>264</v>
      </c>
      <c r="N17" s="69" t="s">
        <v>265</v>
      </c>
      <c r="O17" s="69"/>
      <c r="P17" s="69" t="s">
        <v>264</v>
      </c>
      <c r="Q17" s="69" t="s">
        <v>265</v>
      </c>
      <c r="R17" s="69" t="s">
        <v>264</v>
      </c>
      <c r="S17" s="69" t="s">
        <v>266</v>
      </c>
      <c r="T17" s="69" t="s">
        <v>265</v>
      </c>
      <c r="U17" s="69" t="s">
        <v>264</v>
      </c>
      <c r="V17" s="69" t="s">
        <v>264</v>
      </c>
      <c r="W17" s="69" t="s">
        <v>264</v>
      </c>
      <c r="X17" s="69" t="s">
        <v>265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132</v>
      </c>
      <c r="C18" s="66"/>
      <c r="D18" s="64">
        <v>24</v>
      </c>
      <c r="E18" s="64">
        <f>IF(ISBLANK($D18),"0",IF(($D18-$D17)&gt;($C18-$C17),1,0))</f>
        <v>0</v>
      </c>
      <c r="F18" s="64">
        <f t="shared" ca="1" si="1"/>
        <v>2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264</v>
      </c>
      <c r="L18" s="70"/>
      <c r="M18" s="70"/>
      <c r="N18" s="70"/>
      <c r="O18" s="70" t="s">
        <v>265</v>
      </c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>
      <c r="A19" s="59">
        <v>9</v>
      </c>
      <c r="B19" s="67" t="s">
        <v>192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264</v>
      </c>
      <c r="L19" s="69"/>
      <c r="M19" s="69" t="s">
        <v>264</v>
      </c>
      <c r="N19" s="69"/>
      <c r="O19" s="69"/>
      <c r="P19" s="69"/>
      <c r="Q19" s="69" t="s">
        <v>265</v>
      </c>
      <c r="R19" s="69"/>
      <c r="S19" s="69"/>
      <c r="T19" s="69"/>
      <c r="U19" s="96" t="s">
        <v>264</v>
      </c>
      <c r="V19" s="69"/>
      <c r="W19" s="69"/>
      <c r="X19" s="69"/>
      <c r="Y19" s="69"/>
      <c r="Z19" s="69" t="s">
        <v>265</v>
      </c>
      <c r="AA19" s="69"/>
      <c r="AB19" s="69" t="s">
        <v>265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>
      <c r="A20" s="61" t="s">
        <v>3</v>
      </c>
      <c r="B20" s="68" t="s">
        <v>149</v>
      </c>
      <c r="C20" s="66">
        <v>3.5</v>
      </c>
      <c r="D20" s="64">
        <v>27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265</v>
      </c>
      <c r="M20" s="70"/>
      <c r="N20" s="70" t="s">
        <v>265</v>
      </c>
      <c r="O20" s="70" t="s">
        <v>265</v>
      </c>
      <c r="P20" s="70" t="s">
        <v>264</v>
      </c>
      <c r="Q20" s="70"/>
      <c r="R20" s="70" t="s">
        <v>264</v>
      </c>
      <c r="S20" s="70" t="s">
        <v>266</v>
      </c>
      <c r="T20" s="70" t="s">
        <v>265</v>
      </c>
      <c r="U20" s="70"/>
      <c r="V20" s="70" t="s">
        <v>264</v>
      </c>
      <c r="W20" s="70" t="s">
        <v>264</v>
      </c>
      <c r="X20" s="70" t="s">
        <v>265</v>
      </c>
      <c r="Y20" s="70" t="s">
        <v>265</v>
      </c>
      <c r="Z20" s="70"/>
      <c r="AA20" s="70" t="s">
        <v>265</v>
      </c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>
      <c r="A21" s="59">
        <v>10</v>
      </c>
      <c r="B21" s="67" t="s">
        <v>172</v>
      </c>
      <c r="C21" s="65"/>
      <c r="D21" s="64">
        <v>30</v>
      </c>
      <c r="E21" s="64">
        <f>IF(ISBLANK($D21),"0",IF(($D22-$D21)&lt;($C22-$C21),1,0))</f>
        <v>1</v>
      </c>
      <c r="F21" s="64">
        <f t="shared" ca="1" si="1"/>
        <v>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 t="s">
        <v>265</v>
      </c>
      <c r="M21" s="69"/>
      <c r="N21" s="69" t="s">
        <v>265</v>
      </c>
      <c r="O21" s="69" t="s">
        <v>265</v>
      </c>
      <c r="P21" s="69" t="s">
        <v>264</v>
      </c>
      <c r="Q21" s="69"/>
      <c r="R21" s="69" t="s">
        <v>264</v>
      </c>
      <c r="S21" s="69"/>
      <c r="T21" s="69"/>
      <c r="U21" s="96" t="s">
        <v>264</v>
      </c>
      <c r="V21" s="69" t="s">
        <v>264</v>
      </c>
      <c r="W21" s="69"/>
      <c r="X21" s="69" t="s">
        <v>265</v>
      </c>
      <c r="Y21" s="69"/>
      <c r="Z21" s="69"/>
      <c r="AA21" s="69"/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>
      <c r="A22" s="61" t="s">
        <v>3</v>
      </c>
      <c r="B22" s="68" t="s">
        <v>138</v>
      </c>
      <c r="C22" s="66">
        <v>10.5</v>
      </c>
      <c r="D22" s="64">
        <v>40</v>
      </c>
      <c r="E22" s="64">
        <f>IF(ISBLANK($D22),"0",IF(($D22-$D21)&gt;($C22-$C21),1,0))</f>
        <v>0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 t="s">
        <v>264</v>
      </c>
      <c r="L22" s="70"/>
      <c r="M22" s="70" t="s">
        <v>264</v>
      </c>
      <c r="N22" s="70"/>
      <c r="O22" s="70"/>
      <c r="P22" s="70"/>
      <c r="Q22" s="70" t="s">
        <v>265</v>
      </c>
      <c r="R22" s="70"/>
      <c r="S22" s="70" t="s">
        <v>266</v>
      </c>
      <c r="T22" s="70" t="s">
        <v>265</v>
      </c>
      <c r="U22" s="70"/>
      <c r="V22" s="70"/>
      <c r="W22" s="70" t="s">
        <v>264</v>
      </c>
      <c r="X22" s="70"/>
      <c r="Y22" s="70" t="s">
        <v>265</v>
      </c>
      <c r="Z22" s="70" t="s">
        <v>265</v>
      </c>
      <c r="AA22" s="70" t="s">
        <v>265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Nebraska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21</v>
      </c>
      <c r="L23" s="78">
        <v>34</v>
      </c>
      <c r="M23" s="78">
        <v>20</v>
      </c>
      <c r="N23" s="80">
        <v>21</v>
      </c>
      <c r="O23" s="78">
        <v>21</v>
      </c>
      <c r="P23" s="78">
        <v>35</v>
      </c>
      <c r="Q23" s="78">
        <v>24</v>
      </c>
      <c r="R23" s="78">
        <v>34</v>
      </c>
      <c r="S23" s="78"/>
      <c r="T23" s="78">
        <v>20</v>
      </c>
      <c r="U23" s="78">
        <v>21</v>
      </c>
      <c r="V23" s="78">
        <v>24</v>
      </c>
      <c r="W23" s="78">
        <v>21</v>
      </c>
      <c r="X23" s="78">
        <v>24</v>
      </c>
      <c r="Y23" s="78">
        <v>24</v>
      </c>
      <c r="Z23" s="78">
        <v>27</v>
      </c>
      <c r="AA23" s="78">
        <v>20</v>
      </c>
      <c r="AB23" s="78">
        <v>19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>
      <c r="A24" s="61"/>
      <c r="B24" s="68" t="str">
        <f>B22&amp; " - score"</f>
        <v>Kansas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29</v>
      </c>
      <c r="G24" s="61"/>
      <c r="H24" s="62"/>
      <c r="I24" s="63"/>
      <c r="J24" s="79"/>
      <c r="K24" s="79">
        <v>35</v>
      </c>
      <c r="L24" s="79">
        <v>21</v>
      </c>
      <c r="M24" s="79">
        <v>35</v>
      </c>
      <c r="N24" s="79">
        <v>27</v>
      </c>
      <c r="O24" s="79">
        <v>17</v>
      </c>
      <c r="P24" s="79">
        <v>20</v>
      </c>
      <c r="Q24" s="79">
        <v>38</v>
      </c>
      <c r="R24" s="79">
        <v>31</v>
      </c>
      <c r="S24" s="79"/>
      <c r="T24" s="79">
        <v>31</v>
      </c>
      <c r="U24" s="79">
        <v>24</v>
      </c>
      <c r="V24" s="79">
        <v>28</v>
      </c>
      <c r="W24" s="79">
        <v>41</v>
      </c>
      <c r="X24" s="79">
        <v>17</v>
      </c>
      <c r="Y24" s="79">
        <v>37</v>
      </c>
      <c r="Z24" s="79">
        <v>41</v>
      </c>
      <c r="AA24" s="79">
        <v>31</v>
      </c>
      <c r="AB24" s="79">
        <v>25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6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6</v>
      </c>
      <c r="P25" s="36">
        <f t="shared" si="3"/>
        <v>7</v>
      </c>
      <c r="Q25" s="36">
        <f t="shared" si="3"/>
        <v>5</v>
      </c>
      <c r="R25" s="36">
        <f t="shared" si="3"/>
        <v>7</v>
      </c>
      <c r="S25" s="36">
        <f t="shared" si="3"/>
        <v>6</v>
      </c>
      <c r="T25" s="36">
        <f t="shared" si="3"/>
        <v>4</v>
      </c>
      <c r="U25" s="36">
        <f t="shared" si="3"/>
        <v>4</v>
      </c>
      <c r="V25" s="36">
        <f t="shared" si="3"/>
        <v>6</v>
      </c>
      <c r="W25" s="36">
        <f t="shared" si="3"/>
        <v>6</v>
      </c>
      <c r="X25" s="36">
        <f t="shared" si="3"/>
        <v>6</v>
      </c>
      <c r="Y25" s="36">
        <f t="shared" si="3"/>
        <v>5</v>
      </c>
      <c r="Z25" s="36">
        <f t="shared" si="3"/>
        <v>2</v>
      </c>
      <c r="AA25" s="36">
        <f t="shared" si="3"/>
        <v>6</v>
      </c>
      <c r="AB25" s="36">
        <f t="shared" si="3"/>
        <v>6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O26" si="4">ABS((L23-L24)-($D21-$D22))</f>
        <v>23</v>
      </c>
      <c r="M26" s="71">
        <f t="shared" si="4"/>
        <v>5</v>
      </c>
      <c r="N26" s="71">
        <f t="shared" si="4"/>
        <v>4</v>
      </c>
      <c r="O26" s="71">
        <f t="shared" si="4"/>
        <v>14</v>
      </c>
      <c r="P26" s="71">
        <f t="shared" si="4"/>
        <v>25</v>
      </c>
      <c r="Q26" s="71">
        <f t="shared" si="4"/>
        <v>4</v>
      </c>
      <c r="R26" s="71">
        <f t="shared" si="4"/>
        <v>13</v>
      </c>
      <c r="S26" s="71">
        <f t="shared" si="4"/>
        <v>10</v>
      </c>
      <c r="T26" s="71">
        <f t="shared" si="4"/>
        <v>1</v>
      </c>
      <c r="U26" s="71">
        <f t="shared" si="4"/>
        <v>7</v>
      </c>
      <c r="V26" s="71">
        <f t="shared" si="4"/>
        <v>6</v>
      </c>
      <c r="W26" s="71">
        <f t="shared" si="4"/>
        <v>10</v>
      </c>
      <c r="X26" s="71">
        <f t="shared" si="4"/>
        <v>17</v>
      </c>
      <c r="Y26" s="71">
        <f t="shared" si="4"/>
        <v>3</v>
      </c>
      <c r="Z26" s="71">
        <f t="shared" si="4"/>
        <v>4</v>
      </c>
      <c r="AA26" s="71">
        <f t="shared" si="4"/>
        <v>1</v>
      </c>
      <c r="AB26" s="71">
        <f t="shared" si="4"/>
        <v>4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14</v>
      </c>
      <c r="L27" s="71">
        <f t="shared" ref="L27:AO27" si="5">ABS(($D21+$D22)-(L23+L24))</f>
        <v>15</v>
      </c>
      <c r="M27" s="71">
        <f t="shared" si="5"/>
        <v>15</v>
      </c>
      <c r="N27" s="71">
        <f t="shared" si="5"/>
        <v>22</v>
      </c>
      <c r="O27" s="71">
        <f t="shared" si="5"/>
        <v>32</v>
      </c>
      <c r="P27" s="71">
        <f t="shared" si="5"/>
        <v>15</v>
      </c>
      <c r="Q27" s="71">
        <f t="shared" si="5"/>
        <v>8</v>
      </c>
      <c r="R27" s="71">
        <f t="shared" si="5"/>
        <v>5</v>
      </c>
      <c r="S27" s="71">
        <f t="shared" si="5"/>
        <v>70</v>
      </c>
      <c r="T27" s="71">
        <f t="shared" si="5"/>
        <v>19</v>
      </c>
      <c r="U27" s="71">
        <f t="shared" si="5"/>
        <v>25</v>
      </c>
      <c r="V27" s="71">
        <f t="shared" si="5"/>
        <v>18</v>
      </c>
      <c r="W27" s="71">
        <f t="shared" si="5"/>
        <v>8</v>
      </c>
      <c r="X27" s="71">
        <f t="shared" si="5"/>
        <v>29</v>
      </c>
      <c r="Y27" s="71">
        <f t="shared" si="5"/>
        <v>9</v>
      </c>
      <c r="Z27" s="71">
        <f t="shared" si="5"/>
        <v>2</v>
      </c>
      <c r="AA27" s="71">
        <f t="shared" si="5"/>
        <v>19</v>
      </c>
      <c r="AB27" s="71">
        <f t="shared" si="5"/>
        <v>26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>
        <f t="shared" ca="1" si="6"/>
        <v>1</v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0.53333333333333333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5</v>
      </c>
      <c r="M29" s="71">
        <f t="shared" si="7"/>
        <v>5</v>
      </c>
      <c r="N29" s="71">
        <f t="shared" si="7"/>
        <v>6</v>
      </c>
      <c r="O29" s="71">
        <f t="shared" si="7"/>
        <v>2</v>
      </c>
      <c r="P29" s="71">
        <f t="shared" si="7"/>
        <v>3</v>
      </c>
      <c r="Q29" s="71">
        <f t="shared" si="7"/>
        <v>3</v>
      </c>
      <c r="R29" s="71">
        <f t="shared" si="7"/>
        <v>3</v>
      </c>
      <c r="S29" s="71">
        <f t="shared" si="7"/>
        <v>4</v>
      </c>
      <c r="T29" s="71">
        <f t="shared" si="7"/>
        <v>6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4</v>
      </c>
      <c r="Y29" s="71">
        <f t="shared" si="7"/>
        <v>3</v>
      </c>
      <c r="Z29" s="71">
        <f t="shared" si="7"/>
        <v>4</v>
      </c>
      <c r="AA29" s="71">
        <f t="shared" si="7"/>
        <v>4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3</v>
      </c>
      <c r="N30" s="73">
        <f t="shared" si="8"/>
        <v>6</v>
      </c>
      <c r="O30" s="73">
        <f t="shared" si="8"/>
        <v>4</v>
      </c>
      <c r="P30" s="73">
        <f t="shared" si="8"/>
        <v>3</v>
      </c>
      <c r="Q30" s="73">
        <f t="shared" si="8"/>
        <v>3</v>
      </c>
      <c r="R30" s="73">
        <f t="shared" si="8"/>
        <v>3</v>
      </c>
      <c r="S30" s="73">
        <f t="shared" si="8"/>
        <v>0</v>
      </c>
      <c r="T30" s="73">
        <f t="shared" si="8"/>
        <v>4</v>
      </c>
      <c r="U30" s="73">
        <f t="shared" si="8"/>
        <v>6</v>
      </c>
      <c r="V30" s="73">
        <f t="shared" si="8"/>
        <v>2</v>
      </c>
      <c r="W30" s="73">
        <f t="shared" si="8"/>
        <v>4</v>
      </c>
      <c r="X30" s="73">
        <f t="shared" si="8"/>
        <v>2</v>
      </c>
      <c r="Y30" s="73">
        <f t="shared" si="8"/>
        <v>5</v>
      </c>
      <c r="Z30" s="73">
        <f t="shared" si="8"/>
        <v>4</v>
      </c>
      <c r="AA30" s="73">
        <f t="shared" si="8"/>
        <v>0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2.5</v>
      </c>
      <c r="N31" s="71">
        <f t="shared" ca="1" si="9"/>
        <v>4.5</v>
      </c>
      <c r="O31" s="71">
        <f t="shared" ca="1" si="9"/>
        <v>2.5</v>
      </c>
      <c r="P31" s="71">
        <f t="shared" ca="1" si="9"/>
        <v>1.5</v>
      </c>
      <c r="Q31" s="71">
        <f t="shared" ca="1" si="9"/>
        <v>2.5</v>
      </c>
      <c r="R31" s="71">
        <f t="shared" ca="1" si="9"/>
        <v>1.5</v>
      </c>
      <c r="S31" s="71">
        <f t="shared" ca="1" si="9"/>
        <v>1.5</v>
      </c>
      <c r="T31" s="71">
        <f t="shared" ca="1" si="9"/>
        <v>3.5</v>
      </c>
      <c r="U31" s="71">
        <f t="shared" ca="1" si="9"/>
        <v>4.5</v>
      </c>
      <c r="V31" s="71">
        <f t="shared" ca="1" si="9"/>
        <v>0.5</v>
      </c>
      <c r="W31" s="71">
        <f t="shared" ca="1" si="9"/>
        <v>5.5</v>
      </c>
      <c r="X31" s="71">
        <f t="shared" ca="1" si="9"/>
        <v>0.5</v>
      </c>
      <c r="Y31" s="71">
        <f t="shared" ca="1" si="9"/>
        <v>4.5</v>
      </c>
      <c r="Z31" s="71">
        <f t="shared" ca="1" si="9"/>
        <v>3.5</v>
      </c>
      <c r="AA31" s="71">
        <f t="shared" ca="1" si="9"/>
        <v>1.5</v>
      </c>
      <c r="AB31" s="71">
        <f t="shared" ca="1" si="9"/>
        <v>2.5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79983944</v>
      </c>
      <c r="L36" s="32">
        <f t="shared" ref="L36:AO36" si="11">COUNTA(L23:L24)*((10000000*L25)+(1000000*(COUNTA(L21)*$E21+COUNTA(L22)*$E22))-(COUNTA($D$21:$D$22)*1000*L26)-(COUNTA($D$21:$D$22)*L27))</f>
        <v>101907940</v>
      </c>
      <c r="M36" s="32">
        <f t="shared" si="11"/>
        <v>99979940</v>
      </c>
      <c r="N36" s="32">
        <f t="shared" si="11"/>
        <v>121983912</v>
      </c>
      <c r="O36" s="32">
        <f t="shared" si="11"/>
        <v>121943872</v>
      </c>
      <c r="P36" s="32">
        <f t="shared" si="11"/>
        <v>141899940</v>
      </c>
      <c r="Q36" s="32">
        <f t="shared" si="11"/>
        <v>99983968</v>
      </c>
      <c r="R36" s="32">
        <f t="shared" si="11"/>
        <v>141947980</v>
      </c>
      <c r="S36" s="32">
        <f t="shared" si="11"/>
        <v>0</v>
      </c>
      <c r="T36" s="32">
        <f t="shared" si="11"/>
        <v>79995924</v>
      </c>
      <c r="U36" s="32">
        <f t="shared" si="11"/>
        <v>81971900</v>
      </c>
      <c r="V36" s="32">
        <f t="shared" si="11"/>
        <v>121975928</v>
      </c>
      <c r="W36" s="32">
        <f t="shared" si="11"/>
        <v>119959968</v>
      </c>
      <c r="X36" s="32">
        <f t="shared" si="11"/>
        <v>121931884</v>
      </c>
      <c r="Y36" s="32">
        <f t="shared" si="11"/>
        <v>99987964</v>
      </c>
      <c r="Z36" s="32">
        <f t="shared" si="11"/>
        <v>39983992</v>
      </c>
      <c r="AA36" s="32">
        <f t="shared" si="11"/>
        <v>119995924</v>
      </c>
      <c r="AB36" s="32">
        <f t="shared" si="11"/>
        <v>121983896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</v>
      </c>
      <c r="L40" s="3" t="str">
        <f t="shared" ref="L40:BM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</v>
      </c>
      <c r="Q40" s="3" t="str">
        <f t="shared" ca="1" si="13"/>
        <v>James, Larry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Chris;Batchler, Wayne;Blackmon, Vaughn;Cochcroft, Art;Crenshaw, Ed;Gibson, Johnny;James, Larry;Kieselhorst, Larry;Knotts, Brian;McGee, Steve;McMahon, Pat;Moxley, Dave;Nguyen, Thai;Nye, Mike;Reams,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3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52" priority="17" stopIfTrue="1" operator="equal">
      <formula>0</formula>
    </cfRule>
  </conditionalFormatting>
  <conditionalFormatting sqref="D26:J28 K28:BE28">
    <cfRule type="cellIs" dxfId="51" priority="16" stopIfTrue="1" operator="equal">
      <formula>1</formula>
    </cfRule>
  </conditionalFormatting>
  <conditionalFormatting sqref="H3:I3 F23 H5:I5 H7:I7 H9:I9 H11:I11 H13:I13 H15:I15 H17:I17 H19:I19 H21:I21">
    <cfRule type="cellIs" dxfId="50" priority="15" stopIfTrue="1" operator="equal">
      <formula>0</formula>
    </cfRule>
  </conditionalFormatting>
  <conditionalFormatting sqref="H4:I4 F24 H6:I6 H8:I8 H10:I10 H12:I12 H14:I14 H16:I16 H18:I18 H20:I20 H22:I22">
    <cfRule type="cellIs" dxfId="49" priority="14" stopIfTrue="1" operator="equal">
      <formula>0</formula>
    </cfRule>
  </conditionalFormatting>
  <conditionalFormatting sqref="F3 F5 F7 F9 F11 F13 F15 F17 F19 F21">
    <cfRule type="cellIs" dxfId="48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7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6" priority="10" stopIfTrue="1">
      <formula>AND(COUNTA(J4)=1,$E4=1,SUM($E3:$E4)=1)</formula>
    </cfRule>
    <cfRule type="expression" dxfId="45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44" priority="8" stopIfTrue="1">
      <formula>AND(COUNTA(J3)=1,$E3=1,SUM($E3:$E4)=1)</formula>
    </cfRule>
    <cfRule type="expression" dxfId="43" priority="9" stopIfTrue="1">
      <formula>AND(COUNTA(J3)=1,$E3=0,SUM($E3:$E4)=1)</formula>
    </cfRule>
  </conditionalFormatting>
  <conditionalFormatting sqref="BF23:BM23">
    <cfRule type="cellIs" dxfId="42" priority="7" stopIfTrue="1" operator="equal">
      <formula>0</formula>
    </cfRule>
  </conditionalFormatting>
  <conditionalFormatting sqref="BF24:BM24">
    <cfRule type="cellIs" dxfId="41" priority="6" stopIfTrue="1" operator="equal">
      <formula>0</formula>
    </cfRule>
  </conditionalFormatting>
  <conditionalFormatting sqref="BF28:BM28">
    <cfRule type="cellIs" dxfId="40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39" priority="3" stopIfTrue="1">
      <formula>AND(COUNTA(BF4)=1,$E4=1,SUM($E3:$E4)=1)</formula>
    </cfRule>
    <cfRule type="expression" dxfId="38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37" priority="1" stopIfTrue="1">
      <formula>AND(COUNTA(BF3)=1,$E3=1,SUM($E3:$E4)=1)</formula>
    </cfRule>
    <cfRule type="expression" dxfId="36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84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Barker, Chris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</v>
      </c>
      <c r="Q2" s="4" t="str">
        <f t="shared" ca="1" si="0"/>
        <v>James, Larry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>
      <c r="A3" s="59">
        <v>1</v>
      </c>
      <c r="B3" s="67" t="s">
        <v>139</v>
      </c>
      <c r="C3" s="65"/>
      <c r="D3" s="64">
        <v>17</v>
      </c>
      <c r="E3" s="64">
        <f>IF(ISBLANK($D3),"0",IF(($D4-$D3)&lt;($C4-$C3),1,0))</f>
        <v>0</v>
      </c>
      <c r="F3" s="64">
        <f ca="1">COUNTA(INDIRECT("RC11:RC"&amp;11+playercnt-1,FALSE))</f>
        <v>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265</v>
      </c>
      <c r="M3" s="69"/>
      <c r="N3" s="69"/>
      <c r="O3" s="69"/>
      <c r="P3" s="69" t="s">
        <v>264</v>
      </c>
      <c r="Q3" s="69"/>
      <c r="R3" s="69"/>
      <c r="S3" s="69"/>
      <c r="T3" s="69"/>
      <c r="U3" s="69"/>
      <c r="V3" s="69" t="s">
        <v>265</v>
      </c>
      <c r="W3" s="69"/>
      <c r="X3" s="69" t="s">
        <v>265</v>
      </c>
      <c r="Y3" s="69"/>
      <c r="Z3" s="69" t="s">
        <v>265</v>
      </c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146</v>
      </c>
      <c r="C4" s="66">
        <v>5.5</v>
      </c>
      <c r="D4" s="64">
        <v>31</v>
      </c>
      <c r="E4" s="64">
        <f>IF(ISBLANK($D4),"0",IF(($D4-$D3)&gt;($C4-$C3),1,0))</f>
        <v>1</v>
      </c>
      <c r="F4" s="64">
        <f t="shared" ref="F4:F22" ca="1" si="1">COUNTA(INDIRECT("RC11:RC"&amp;11+playercnt-1,FALSE))</f>
        <v>13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/>
      <c r="M4" s="70" t="s">
        <v>266</v>
      </c>
      <c r="N4" s="70" t="s">
        <v>265</v>
      </c>
      <c r="O4" s="70" t="s">
        <v>265</v>
      </c>
      <c r="P4" s="70"/>
      <c r="Q4" s="70" t="s">
        <v>265</v>
      </c>
      <c r="R4" s="70" t="s">
        <v>264</v>
      </c>
      <c r="S4" s="70" t="s">
        <v>266</v>
      </c>
      <c r="T4" s="70" t="s">
        <v>265</v>
      </c>
      <c r="U4" s="97" t="s">
        <v>264</v>
      </c>
      <c r="V4" s="70"/>
      <c r="W4" s="70" t="s">
        <v>264</v>
      </c>
      <c r="X4" s="70"/>
      <c r="Y4" s="70" t="s">
        <v>265</v>
      </c>
      <c r="Z4" s="70"/>
      <c r="AA4" s="70" t="s">
        <v>265</v>
      </c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>
      <c r="A5" s="59">
        <v>2</v>
      </c>
      <c r="B5" s="67" t="s">
        <v>234</v>
      </c>
      <c r="C5" s="65">
        <v>4.5</v>
      </c>
      <c r="D5" s="64">
        <v>21</v>
      </c>
      <c r="E5" s="64">
        <f>IF(ISBLANK($D5),"0",IF(($D6-$D5)&lt;($C6-$C5),1,0))</f>
        <v>0</v>
      </c>
      <c r="F5" s="64">
        <f t="shared" ca="1" si="1"/>
        <v>15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265</v>
      </c>
      <c r="M5" s="69" t="s">
        <v>266</v>
      </c>
      <c r="N5" s="69" t="s">
        <v>265</v>
      </c>
      <c r="O5" s="69" t="s">
        <v>265</v>
      </c>
      <c r="P5" s="69" t="s">
        <v>264</v>
      </c>
      <c r="Q5" s="69" t="s">
        <v>265</v>
      </c>
      <c r="R5" s="69" t="s">
        <v>264</v>
      </c>
      <c r="S5" s="69" t="s">
        <v>266</v>
      </c>
      <c r="T5" s="69" t="s">
        <v>265</v>
      </c>
      <c r="U5" s="96"/>
      <c r="V5" s="69" t="s">
        <v>265</v>
      </c>
      <c r="W5" s="69"/>
      <c r="X5" s="69" t="s">
        <v>265</v>
      </c>
      <c r="Y5" s="69"/>
      <c r="Z5" s="69" t="s">
        <v>265</v>
      </c>
      <c r="AA5" s="69" t="s">
        <v>265</v>
      </c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>
      <c r="A6" s="61" t="s">
        <v>3</v>
      </c>
      <c r="B6" s="68" t="s">
        <v>125</v>
      </c>
      <c r="C6" s="66"/>
      <c r="D6" s="64">
        <v>22</v>
      </c>
      <c r="E6" s="64">
        <f>IF(ISBLANK($D6),"0",IF(($D6-$D5)&gt;($C6-$C5),1,0))</f>
        <v>1</v>
      </c>
      <c r="F6" s="64">
        <f t="shared" ca="1" si="1"/>
        <v>3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 t="s">
        <v>264</v>
      </c>
      <c r="V6" s="70"/>
      <c r="W6" s="70" t="s">
        <v>264</v>
      </c>
      <c r="X6" s="70"/>
      <c r="Y6" s="70" t="s">
        <v>265</v>
      </c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>
      <c r="A7" s="59">
        <v>3</v>
      </c>
      <c r="B7" s="67" t="s">
        <v>233</v>
      </c>
      <c r="C7" s="65"/>
      <c r="D7" s="64">
        <v>21</v>
      </c>
      <c r="E7" s="64">
        <f>IF(ISBLANK($D7),"0",IF(($D8-$D7)&lt;($C8-$C7),1,0))</f>
        <v>0</v>
      </c>
      <c r="F7" s="64">
        <f t="shared" ca="1" si="1"/>
        <v>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 t="s">
        <v>265</v>
      </c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140</v>
      </c>
      <c r="C8" s="66">
        <v>11.5</v>
      </c>
      <c r="D8" s="64">
        <v>59</v>
      </c>
      <c r="E8" s="64">
        <f>IF(ISBLANK($D8),"0",IF(($D8-$D7)&gt;($C8-$C7),1,0))</f>
        <v>1</v>
      </c>
      <c r="F8" s="64">
        <f t="shared" ca="1" si="1"/>
        <v>17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 t="s">
        <v>266</v>
      </c>
      <c r="N8" s="70"/>
      <c r="O8" s="70" t="s">
        <v>265</v>
      </c>
      <c r="P8" s="70" t="s">
        <v>264</v>
      </c>
      <c r="Q8" s="70" t="s">
        <v>265</v>
      </c>
      <c r="R8" s="97" t="s">
        <v>264</v>
      </c>
      <c r="S8" s="97" t="s">
        <v>266</v>
      </c>
      <c r="T8" s="97" t="s">
        <v>265</v>
      </c>
      <c r="U8" s="97" t="s">
        <v>264</v>
      </c>
      <c r="V8" s="70" t="s">
        <v>265</v>
      </c>
      <c r="W8" s="70" t="s">
        <v>264</v>
      </c>
      <c r="X8" s="70" t="s">
        <v>265</v>
      </c>
      <c r="Y8" s="70" t="s">
        <v>265</v>
      </c>
      <c r="Z8" s="70" t="s">
        <v>265</v>
      </c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>
      <c r="A9" s="59">
        <v>4</v>
      </c>
      <c r="B9" s="108" t="s">
        <v>190</v>
      </c>
      <c r="C9" s="65"/>
      <c r="D9" s="81">
        <v>3</v>
      </c>
      <c r="E9" s="64">
        <f>IF(ISBLANK($D9),"0",IF(($D10-$D9)&lt;($C10-$C9),1,0))</f>
        <v>0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264</v>
      </c>
      <c r="L9" s="69"/>
      <c r="M9" s="69"/>
      <c r="N9" s="69"/>
      <c r="O9" s="69" t="s">
        <v>265</v>
      </c>
      <c r="P9" s="69" t="s">
        <v>264</v>
      </c>
      <c r="Q9" s="69"/>
      <c r="R9" s="96"/>
      <c r="S9" s="96"/>
      <c r="T9" s="96"/>
      <c r="U9" s="96"/>
      <c r="V9" s="69" t="s">
        <v>265</v>
      </c>
      <c r="W9" s="69" t="s">
        <v>264</v>
      </c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>
      <c r="A10" s="61" t="s">
        <v>3</v>
      </c>
      <c r="B10" s="68" t="s">
        <v>192</v>
      </c>
      <c r="C10" s="66">
        <v>1.5</v>
      </c>
      <c r="D10" s="64">
        <v>24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/>
      <c r="L10" s="70" t="s">
        <v>265</v>
      </c>
      <c r="M10" s="70" t="s">
        <v>266</v>
      </c>
      <c r="N10" s="70" t="s">
        <v>265</v>
      </c>
      <c r="O10" s="70"/>
      <c r="P10" s="70"/>
      <c r="Q10" s="70" t="s">
        <v>265</v>
      </c>
      <c r="R10" s="97" t="s">
        <v>264</v>
      </c>
      <c r="S10" s="97" t="s">
        <v>266</v>
      </c>
      <c r="T10" s="97" t="s">
        <v>265</v>
      </c>
      <c r="U10" s="70" t="s">
        <v>264</v>
      </c>
      <c r="V10" s="70"/>
      <c r="W10" s="70"/>
      <c r="X10" s="70" t="s">
        <v>265</v>
      </c>
      <c r="Y10" s="70" t="s">
        <v>265</v>
      </c>
      <c r="Z10" s="70" t="s">
        <v>265</v>
      </c>
      <c r="AA10" s="70" t="s">
        <v>265</v>
      </c>
      <c r="AB10" s="70" t="s">
        <v>265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>
      <c r="A11" s="59">
        <v>5</v>
      </c>
      <c r="B11" s="67" t="s">
        <v>228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 t="s">
        <v>265</v>
      </c>
      <c r="M11" s="69"/>
      <c r="N11" s="69"/>
      <c r="O11" s="69"/>
      <c r="P11" s="69" t="s">
        <v>264</v>
      </c>
      <c r="Q11" s="69"/>
      <c r="R11" s="96"/>
      <c r="S11" s="96"/>
      <c r="T11" s="96"/>
      <c r="U11" s="69"/>
      <c r="V11" s="69"/>
      <c r="W11" s="69" t="s">
        <v>264</v>
      </c>
      <c r="X11" s="69"/>
      <c r="Y11" s="69"/>
      <c r="Z11" s="69" t="s">
        <v>265</v>
      </c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230</v>
      </c>
      <c r="C12" s="66">
        <v>7.5</v>
      </c>
      <c r="D12" s="64">
        <v>34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/>
      <c r="M12" s="70" t="s">
        <v>266</v>
      </c>
      <c r="N12" s="70" t="s">
        <v>265</v>
      </c>
      <c r="O12" s="70" t="s">
        <v>265</v>
      </c>
      <c r="P12" s="70"/>
      <c r="Q12" s="70" t="s">
        <v>265</v>
      </c>
      <c r="R12" s="97" t="s">
        <v>264</v>
      </c>
      <c r="S12" s="97" t="s">
        <v>266</v>
      </c>
      <c r="T12" s="97" t="s">
        <v>265</v>
      </c>
      <c r="U12" s="97" t="s">
        <v>264</v>
      </c>
      <c r="V12" s="70" t="s">
        <v>265</v>
      </c>
      <c r="W12" s="70"/>
      <c r="X12" s="70" t="s">
        <v>265</v>
      </c>
      <c r="Y12" s="70" t="s">
        <v>265</v>
      </c>
      <c r="Z12" s="70"/>
      <c r="AA12" s="70" t="s">
        <v>265</v>
      </c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>
      <c r="A13" s="59">
        <v>6</v>
      </c>
      <c r="B13" s="67" t="s">
        <v>137</v>
      </c>
      <c r="C13" s="65"/>
      <c r="D13" s="64">
        <v>19</v>
      </c>
      <c r="E13" s="64">
        <f>IF(ISBLANK($D13),"0",IF(($D14-$D13)&lt;($C14-$C13),1,0))</f>
        <v>0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 t="s">
        <v>265</v>
      </c>
      <c r="P13" s="69"/>
      <c r="Q13" s="69"/>
      <c r="R13" s="96"/>
      <c r="S13" s="96"/>
      <c r="T13" s="96"/>
      <c r="U13" s="69"/>
      <c r="V13" s="69" t="s">
        <v>265</v>
      </c>
      <c r="W13" s="69"/>
      <c r="X13" s="69" t="s">
        <v>265</v>
      </c>
      <c r="Y13" s="69" t="s">
        <v>265</v>
      </c>
      <c r="Z13" s="69"/>
      <c r="AA13" s="69"/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>
      <c r="A14" s="61" t="s">
        <v>3</v>
      </c>
      <c r="B14" s="68" t="s">
        <v>143</v>
      </c>
      <c r="C14" s="66">
        <v>5.5</v>
      </c>
      <c r="D14" s="64">
        <v>28</v>
      </c>
      <c r="E14" s="64">
        <f>IF(ISBLANK($D14),"0",IF(($D14-$D13)&gt;($C14-$C13),1,0))</f>
        <v>1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 t="s">
        <v>266</v>
      </c>
      <c r="N14" s="70" t="s">
        <v>265</v>
      </c>
      <c r="O14" s="70"/>
      <c r="P14" s="70" t="s">
        <v>264</v>
      </c>
      <c r="Q14" s="70" t="s">
        <v>265</v>
      </c>
      <c r="R14" s="97" t="s">
        <v>264</v>
      </c>
      <c r="S14" s="97" t="s">
        <v>266</v>
      </c>
      <c r="T14" s="97" t="s">
        <v>265</v>
      </c>
      <c r="U14" s="97" t="s">
        <v>264</v>
      </c>
      <c r="V14" s="70"/>
      <c r="W14" s="70" t="s">
        <v>264</v>
      </c>
      <c r="X14" s="70"/>
      <c r="Y14" s="70"/>
      <c r="Z14" s="70" t="s">
        <v>265</v>
      </c>
      <c r="AA14" s="70" t="s">
        <v>265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>
      <c r="A15" s="59">
        <v>7</v>
      </c>
      <c r="B15" s="67" t="s">
        <v>138</v>
      </c>
      <c r="C15" s="65">
        <v>11.5</v>
      </c>
      <c r="D15" s="64">
        <v>31</v>
      </c>
      <c r="E15" s="64">
        <f>IF(ISBLANK($D15),"0",IF(($D16-$D15)&lt;($C16-$C15),1,0))</f>
        <v>0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 t="s">
        <v>266</v>
      </c>
      <c r="N15" s="69" t="s">
        <v>265</v>
      </c>
      <c r="O15" s="69" t="s">
        <v>265</v>
      </c>
      <c r="P15" s="69" t="s">
        <v>264</v>
      </c>
      <c r="Q15" s="69"/>
      <c r="R15" s="96" t="s">
        <v>264</v>
      </c>
      <c r="S15" s="96" t="s">
        <v>266</v>
      </c>
      <c r="T15" s="96" t="s">
        <v>265</v>
      </c>
      <c r="U15" s="96" t="s">
        <v>264</v>
      </c>
      <c r="V15" s="69" t="s">
        <v>265</v>
      </c>
      <c r="W15" s="69" t="s">
        <v>264</v>
      </c>
      <c r="X15" s="69"/>
      <c r="Y15" s="69"/>
      <c r="Z15" s="69"/>
      <c r="AA15" s="69" t="s">
        <v>265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171</v>
      </c>
      <c r="C16" s="66"/>
      <c r="D16" s="64">
        <v>25</v>
      </c>
      <c r="E16" s="64">
        <f>IF(ISBLANK($D16),"0",IF(($D16-$D15)&gt;($C16-$C15),1,0))</f>
        <v>1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 t="s">
        <v>265</v>
      </c>
      <c r="R16" s="70"/>
      <c r="S16" s="70"/>
      <c r="T16" s="70"/>
      <c r="U16" s="70"/>
      <c r="V16" s="70"/>
      <c r="W16" s="70"/>
      <c r="X16" s="70" t="s">
        <v>265</v>
      </c>
      <c r="Y16" s="70" t="s">
        <v>265</v>
      </c>
      <c r="Z16" s="70" t="s">
        <v>265</v>
      </c>
      <c r="AA16" s="70"/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149</v>
      </c>
      <c r="C17" s="65"/>
      <c r="D17" s="64">
        <v>16</v>
      </c>
      <c r="E17" s="64">
        <f>IF(ISBLANK($D17),"0",IF(($D18-$D17)&lt;($C18-$C17),1,0))</f>
        <v>0</v>
      </c>
      <c r="F17" s="64">
        <f t="shared" ca="1" si="1"/>
        <v>11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265</v>
      </c>
      <c r="M17" s="69"/>
      <c r="N17" s="69" t="s">
        <v>265</v>
      </c>
      <c r="O17" s="69" t="s">
        <v>265</v>
      </c>
      <c r="P17" s="69" t="s">
        <v>264</v>
      </c>
      <c r="Q17" s="69" t="s">
        <v>265</v>
      </c>
      <c r="R17" s="69"/>
      <c r="S17" s="69"/>
      <c r="T17" s="69" t="s">
        <v>265</v>
      </c>
      <c r="U17" s="69" t="s">
        <v>264</v>
      </c>
      <c r="V17" s="69"/>
      <c r="W17" s="69" t="s">
        <v>264</v>
      </c>
      <c r="X17" s="69" t="s">
        <v>265</v>
      </c>
      <c r="Y17" s="69"/>
      <c r="Z17" s="69" t="s">
        <v>265</v>
      </c>
      <c r="AA17" s="69"/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189</v>
      </c>
      <c r="C18" s="66">
        <v>11.5</v>
      </c>
      <c r="D18" s="64">
        <v>31</v>
      </c>
      <c r="E18" s="64">
        <f>IF(ISBLANK($D18),"0",IF(($D18-$D17)&gt;($C18-$C17),1,0))</f>
        <v>1</v>
      </c>
      <c r="F18" s="64">
        <f t="shared" ca="1" si="1"/>
        <v>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264</v>
      </c>
      <c r="L18" s="70"/>
      <c r="M18" s="70" t="s">
        <v>266</v>
      </c>
      <c r="N18" s="70"/>
      <c r="O18" s="70"/>
      <c r="P18" s="70"/>
      <c r="Q18" s="70"/>
      <c r="R18" s="70" t="s">
        <v>264</v>
      </c>
      <c r="S18" s="70" t="s">
        <v>266</v>
      </c>
      <c r="T18" s="70"/>
      <c r="U18" s="97"/>
      <c r="V18" s="70" t="s">
        <v>265</v>
      </c>
      <c r="W18" s="70"/>
      <c r="X18" s="70"/>
      <c r="Y18" s="70" t="s">
        <v>265</v>
      </c>
      <c r="Z18" s="70"/>
      <c r="AA18" s="70" t="s">
        <v>265</v>
      </c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>
      <c r="A19" s="59">
        <v>9</v>
      </c>
      <c r="B19" s="67" t="s">
        <v>124</v>
      </c>
      <c r="C19" s="65"/>
      <c r="D19" s="64">
        <v>36</v>
      </c>
      <c r="E19" s="64">
        <f>IF(ISBLANK($D19),"0",IF(($D20-$D19)&lt;($C20-$C19),1,0))</f>
        <v>1</v>
      </c>
      <c r="F19" s="64">
        <f t="shared" ca="1" si="1"/>
        <v>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264</v>
      </c>
      <c r="L19" s="69" t="s">
        <v>265</v>
      </c>
      <c r="M19" s="69"/>
      <c r="N19" s="69"/>
      <c r="O19" s="69" t="s">
        <v>265</v>
      </c>
      <c r="P19" s="69" t="s">
        <v>264</v>
      </c>
      <c r="Q19" s="69"/>
      <c r="R19" s="69"/>
      <c r="S19" s="69"/>
      <c r="T19" s="69"/>
      <c r="U19" s="96"/>
      <c r="V19" s="69"/>
      <c r="W19" s="69"/>
      <c r="X19" s="69"/>
      <c r="Y19" s="69" t="s">
        <v>265</v>
      </c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>
      <c r="A20" s="61" t="s">
        <v>3</v>
      </c>
      <c r="B20" s="68" t="s">
        <v>127</v>
      </c>
      <c r="C20" s="66">
        <v>3.5</v>
      </c>
      <c r="D20" s="64">
        <v>39</v>
      </c>
      <c r="E20" s="64">
        <f>IF(ISBLANK($D20),"0",IF(($D20-$D19)&gt;($C20-$C19),1,0))</f>
        <v>0</v>
      </c>
      <c r="F20" s="64">
        <f t="shared" ca="1" si="1"/>
        <v>13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/>
      <c r="M20" s="70" t="s">
        <v>266</v>
      </c>
      <c r="N20" s="70" t="s">
        <v>265</v>
      </c>
      <c r="O20" s="70"/>
      <c r="P20" s="70"/>
      <c r="Q20" s="70" t="s">
        <v>265</v>
      </c>
      <c r="R20" s="70" t="s">
        <v>264</v>
      </c>
      <c r="S20" s="70" t="s">
        <v>266</v>
      </c>
      <c r="T20" s="70" t="s">
        <v>265</v>
      </c>
      <c r="U20" s="70" t="s">
        <v>264</v>
      </c>
      <c r="V20" s="70" t="s">
        <v>265</v>
      </c>
      <c r="W20" s="70" t="s">
        <v>264</v>
      </c>
      <c r="X20" s="70" t="s">
        <v>265</v>
      </c>
      <c r="Y20" s="70"/>
      <c r="Z20" s="70" t="s">
        <v>265</v>
      </c>
      <c r="AA20" s="70" t="s">
        <v>265</v>
      </c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>
      <c r="A21" s="59">
        <v>10</v>
      </c>
      <c r="B21" s="67" t="s">
        <v>232</v>
      </c>
      <c r="C21" s="65"/>
      <c r="D21" s="64">
        <v>12</v>
      </c>
      <c r="E21" s="64">
        <f>IF(ISBLANK($D21),"0",IF(($D22-$D21)&lt;($C22-$C21),1,0))</f>
        <v>0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265</v>
      </c>
      <c r="O21" s="69"/>
      <c r="P21" s="69"/>
      <c r="Q21" s="69" t="s">
        <v>265</v>
      </c>
      <c r="R21" s="69" t="s">
        <v>264</v>
      </c>
      <c r="S21" s="69"/>
      <c r="T21" s="69" t="s">
        <v>265</v>
      </c>
      <c r="U21" s="96"/>
      <c r="V21" s="69"/>
      <c r="W21" s="69" t="s">
        <v>264</v>
      </c>
      <c r="X21" s="69"/>
      <c r="Y21" s="69"/>
      <c r="Z21" s="69" t="s">
        <v>265</v>
      </c>
      <c r="AA21" s="69"/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>
      <c r="A22" s="61" t="s">
        <v>3</v>
      </c>
      <c r="B22" s="68" t="s">
        <v>142</v>
      </c>
      <c r="C22" s="66">
        <v>2.5</v>
      </c>
      <c r="D22" s="64">
        <v>23</v>
      </c>
      <c r="E22" s="64">
        <f>IF(ISBLANK($D22),"0",IF(($D22-$D21)&gt;($C22-$C21),1,0))</f>
        <v>1</v>
      </c>
      <c r="F22" s="64">
        <f t="shared" ca="1" si="1"/>
        <v>11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 t="s">
        <v>265</v>
      </c>
      <c r="M22" s="70" t="s">
        <v>266</v>
      </c>
      <c r="N22" s="70"/>
      <c r="O22" s="70" t="s">
        <v>265</v>
      </c>
      <c r="P22" s="70" t="s">
        <v>264</v>
      </c>
      <c r="Q22" s="70"/>
      <c r="R22" s="70"/>
      <c r="S22" s="70" t="s">
        <v>266</v>
      </c>
      <c r="T22" s="70"/>
      <c r="U22" s="70" t="s">
        <v>264</v>
      </c>
      <c r="V22" s="70" t="s">
        <v>265</v>
      </c>
      <c r="W22" s="70"/>
      <c r="X22" s="70" t="s">
        <v>265</v>
      </c>
      <c r="Y22" s="70" t="s">
        <v>265</v>
      </c>
      <c r="Z22" s="70"/>
      <c r="AA22" s="70" t="s">
        <v>265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Florida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25</v>
      </c>
      <c r="G23" s="59"/>
      <c r="H23" s="59"/>
      <c r="I23" s="60"/>
      <c r="J23" s="78"/>
      <c r="K23" s="78">
        <v>24</v>
      </c>
      <c r="L23" s="78">
        <v>37</v>
      </c>
      <c r="M23" s="78"/>
      <c r="N23" s="80">
        <v>38</v>
      </c>
      <c r="O23" s="78">
        <v>21</v>
      </c>
      <c r="P23" s="78">
        <v>21</v>
      </c>
      <c r="Q23" s="78">
        <v>24</v>
      </c>
      <c r="R23" s="78">
        <v>32</v>
      </c>
      <c r="S23" s="78"/>
      <c r="T23" s="78">
        <v>24</v>
      </c>
      <c r="U23" s="78">
        <v>24</v>
      </c>
      <c r="V23" s="78">
        <v>24</v>
      </c>
      <c r="W23" s="78">
        <v>27</v>
      </c>
      <c r="X23" s="78">
        <v>21</v>
      </c>
      <c r="Y23" s="78">
        <v>19</v>
      </c>
      <c r="Z23" s="78">
        <v>28</v>
      </c>
      <c r="AA23" s="78">
        <v>21</v>
      </c>
      <c r="AB23" s="78">
        <v>17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/>
      <c r="K24" s="79">
        <v>31</v>
      </c>
      <c r="L24" s="79">
        <v>41</v>
      </c>
      <c r="M24" s="79"/>
      <c r="N24" s="79">
        <v>35</v>
      </c>
      <c r="O24" s="79">
        <v>24</v>
      </c>
      <c r="P24" s="79">
        <v>28</v>
      </c>
      <c r="Q24" s="79">
        <v>21</v>
      </c>
      <c r="R24" s="79">
        <v>34</v>
      </c>
      <c r="S24" s="79"/>
      <c r="T24" s="79">
        <v>20</v>
      </c>
      <c r="U24" s="79">
        <v>28</v>
      </c>
      <c r="V24" s="79">
        <v>28</v>
      </c>
      <c r="W24" s="79">
        <v>21</v>
      </c>
      <c r="X24" s="79">
        <v>27</v>
      </c>
      <c r="Y24" s="79">
        <v>26</v>
      </c>
      <c r="Z24" s="79">
        <v>30</v>
      </c>
      <c r="AA24" s="79">
        <v>24</v>
      </c>
      <c r="AB24" s="79">
        <v>19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9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4</v>
      </c>
      <c r="Q25" s="36">
        <f t="shared" si="3"/>
        <v>6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7</v>
      </c>
      <c r="V25" s="36">
        <f t="shared" si="3"/>
        <v>4</v>
      </c>
      <c r="W25" s="36">
        <f t="shared" si="3"/>
        <v>4</v>
      </c>
      <c r="X25" s="36">
        <f t="shared" si="3"/>
        <v>5</v>
      </c>
      <c r="Y25" s="36">
        <f t="shared" si="3"/>
        <v>9</v>
      </c>
      <c r="Z25" s="36">
        <f t="shared" si="3"/>
        <v>4</v>
      </c>
      <c r="AA25" s="36">
        <f t="shared" si="3"/>
        <v>7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O26" si="4">ABS((L23-L24)-($D21-$D22))</f>
        <v>7</v>
      </c>
      <c r="M26" s="71">
        <f t="shared" si="4"/>
        <v>11</v>
      </c>
      <c r="N26" s="71">
        <f t="shared" si="4"/>
        <v>14</v>
      </c>
      <c r="O26" s="71">
        <f t="shared" si="4"/>
        <v>8</v>
      </c>
      <c r="P26" s="71">
        <f t="shared" si="4"/>
        <v>4</v>
      </c>
      <c r="Q26" s="71">
        <f t="shared" si="4"/>
        <v>14</v>
      </c>
      <c r="R26" s="71">
        <f t="shared" si="4"/>
        <v>9</v>
      </c>
      <c r="S26" s="71">
        <f t="shared" si="4"/>
        <v>11</v>
      </c>
      <c r="T26" s="71">
        <f t="shared" si="4"/>
        <v>15</v>
      </c>
      <c r="U26" s="71">
        <f t="shared" si="4"/>
        <v>7</v>
      </c>
      <c r="V26" s="71">
        <f t="shared" si="4"/>
        <v>7</v>
      </c>
      <c r="W26" s="71">
        <f t="shared" si="4"/>
        <v>17</v>
      </c>
      <c r="X26" s="71">
        <f t="shared" si="4"/>
        <v>5</v>
      </c>
      <c r="Y26" s="71">
        <f t="shared" si="4"/>
        <v>4</v>
      </c>
      <c r="Z26" s="71">
        <f t="shared" si="4"/>
        <v>9</v>
      </c>
      <c r="AA26" s="71">
        <f t="shared" si="4"/>
        <v>8</v>
      </c>
      <c r="AB26" s="71">
        <f t="shared" si="4"/>
        <v>9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20</v>
      </c>
      <c r="L27" s="71">
        <f t="shared" ref="L27:AO27" si="5">ABS(($D21+$D22)-(L23+L24))</f>
        <v>43</v>
      </c>
      <c r="M27" s="71">
        <f t="shared" si="5"/>
        <v>35</v>
      </c>
      <c r="N27" s="71">
        <f t="shared" si="5"/>
        <v>38</v>
      </c>
      <c r="O27" s="71">
        <f t="shared" si="5"/>
        <v>10</v>
      </c>
      <c r="P27" s="71">
        <f t="shared" si="5"/>
        <v>14</v>
      </c>
      <c r="Q27" s="71">
        <f t="shared" si="5"/>
        <v>10</v>
      </c>
      <c r="R27" s="71">
        <f t="shared" si="5"/>
        <v>31</v>
      </c>
      <c r="S27" s="71">
        <f t="shared" si="5"/>
        <v>35</v>
      </c>
      <c r="T27" s="71">
        <f t="shared" si="5"/>
        <v>9</v>
      </c>
      <c r="U27" s="71">
        <f t="shared" si="5"/>
        <v>17</v>
      </c>
      <c r="V27" s="71">
        <f t="shared" si="5"/>
        <v>17</v>
      </c>
      <c r="W27" s="71">
        <f t="shared" si="5"/>
        <v>13</v>
      </c>
      <c r="X27" s="71">
        <f t="shared" si="5"/>
        <v>13</v>
      </c>
      <c r="Y27" s="71">
        <f t="shared" si="5"/>
        <v>10</v>
      </c>
      <c r="Z27" s="71">
        <f t="shared" si="5"/>
        <v>23</v>
      </c>
      <c r="AA27" s="71">
        <f t="shared" si="5"/>
        <v>10</v>
      </c>
      <c r="AB27" s="71">
        <f t="shared" si="5"/>
        <v>1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>
        <f t="shared" ca="1" si="6"/>
        <v>1</v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0.56111111111111112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2</v>
      </c>
      <c r="N29" s="71">
        <f t="shared" si="7"/>
        <v>5</v>
      </c>
      <c r="O29" s="71">
        <f t="shared" si="7"/>
        <v>6</v>
      </c>
      <c r="P29" s="71">
        <f t="shared" si="7"/>
        <v>7</v>
      </c>
      <c r="Q29" s="71">
        <f t="shared" si="7"/>
        <v>3</v>
      </c>
      <c r="R29" s="71">
        <f t="shared" si="7"/>
        <v>3</v>
      </c>
      <c r="S29" s="71">
        <f t="shared" si="7"/>
        <v>2</v>
      </c>
      <c r="T29" s="71">
        <f t="shared" si="7"/>
        <v>4</v>
      </c>
      <c r="U29" s="71">
        <f t="shared" si="7"/>
        <v>2</v>
      </c>
      <c r="V29" s="71">
        <f t="shared" si="7"/>
        <v>5</v>
      </c>
      <c r="W29" s="71">
        <f t="shared" si="7"/>
        <v>5</v>
      </c>
      <c r="X29" s="71">
        <f t="shared" si="7"/>
        <v>4</v>
      </c>
      <c r="Y29" s="71">
        <f t="shared" si="7"/>
        <v>2</v>
      </c>
      <c r="Z29" s="71">
        <f t="shared" si="7"/>
        <v>5</v>
      </c>
      <c r="AA29" s="71">
        <f t="shared" si="7"/>
        <v>2</v>
      </c>
      <c r="AB29" s="71">
        <f t="shared" si="7"/>
        <v>4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0</v>
      </c>
      <c r="N30" s="73">
        <f t="shared" si="8"/>
        <v>3</v>
      </c>
      <c r="O30" s="73">
        <f t="shared" si="8"/>
        <v>4</v>
      </c>
      <c r="P30" s="73">
        <f t="shared" si="8"/>
        <v>5</v>
      </c>
      <c r="Q30" s="73">
        <f t="shared" si="8"/>
        <v>3</v>
      </c>
      <c r="R30" s="73">
        <f t="shared" si="8"/>
        <v>1</v>
      </c>
      <c r="S30" s="73">
        <f t="shared" si="8"/>
        <v>0</v>
      </c>
      <c r="T30" s="73">
        <f t="shared" si="8"/>
        <v>2</v>
      </c>
      <c r="U30" s="73">
        <f t="shared" si="8"/>
        <v>2</v>
      </c>
      <c r="V30" s="73">
        <f t="shared" si="8"/>
        <v>3</v>
      </c>
      <c r="W30" s="73">
        <f t="shared" si="8"/>
        <v>5</v>
      </c>
      <c r="X30" s="73">
        <f t="shared" si="8"/>
        <v>4</v>
      </c>
      <c r="Y30" s="73">
        <f t="shared" si="8"/>
        <v>4</v>
      </c>
      <c r="Z30" s="73">
        <f t="shared" si="8"/>
        <v>5</v>
      </c>
      <c r="AA30" s="73">
        <f t="shared" si="8"/>
        <v>0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1</v>
      </c>
      <c r="N31" s="71">
        <f t="shared" ca="1" si="9"/>
        <v>2</v>
      </c>
      <c r="O31" s="71">
        <f t="shared" ca="1" si="9"/>
        <v>3</v>
      </c>
      <c r="P31" s="71">
        <f t="shared" ca="1" si="9"/>
        <v>4</v>
      </c>
      <c r="Q31" s="71">
        <f t="shared" ca="1" si="9"/>
        <v>2</v>
      </c>
      <c r="R31" s="71">
        <f t="shared" ca="1" si="9"/>
        <v>2</v>
      </c>
      <c r="S31" s="71">
        <f t="shared" ca="1" si="9"/>
        <v>1</v>
      </c>
      <c r="T31" s="71">
        <f t="shared" ca="1" si="9"/>
        <v>1</v>
      </c>
      <c r="U31" s="71">
        <f t="shared" ca="1" si="9"/>
        <v>1</v>
      </c>
      <c r="V31" s="71">
        <f t="shared" ca="1" si="9"/>
        <v>4</v>
      </c>
      <c r="W31" s="71">
        <f t="shared" ca="1" si="9"/>
        <v>4</v>
      </c>
      <c r="X31" s="71">
        <f t="shared" ca="1" si="9"/>
        <v>3</v>
      </c>
      <c r="Y31" s="71">
        <f t="shared" ca="1" si="9"/>
        <v>5</v>
      </c>
      <c r="Z31" s="71">
        <f t="shared" ca="1" si="9"/>
        <v>4</v>
      </c>
      <c r="AA31" s="71">
        <f t="shared" ca="1" si="9"/>
        <v>1</v>
      </c>
      <c r="AB31" s="71">
        <f t="shared" ca="1" si="9"/>
        <v>3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141983920</v>
      </c>
      <c r="L36" s="32">
        <f t="shared" ref="L36:AO36" si="11">COUNTA(L23:L24)*((10000000*L25)+(1000000*(COUNTA(L21)*$E21+COUNTA(L22)*$E22))-(COUNTA($D$21:$D$22)*1000*L26)-(COUNTA($D$21:$D$22)*L27))</f>
        <v>101971828</v>
      </c>
      <c r="M36" s="32">
        <f t="shared" si="11"/>
        <v>0</v>
      </c>
      <c r="N36" s="32">
        <f t="shared" si="11"/>
        <v>79943848</v>
      </c>
      <c r="O36" s="32">
        <f t="shared" si="11"/>
        <v>101967960</v>
      </c>
      <c r="P36" s="32">
        <f t="shared" si="11"/>
        <v>81983944</v>
      </c>
      <c r="Q36" s="32">
        <f t="shared" si="11"/>
        <v>119943960</v>
      </c>
      <c r="R36" s="32">
        <f t="shared" si="11"/>
        <v>119963876</v>
      </c>
      <c r="S36" s="32">
        <f t="shared" si="11"/>
        <v>0</v>
      </c>
      <c r="T36" s="32">
        <f t="shared" si="11"/>
        <v>99939964</v>
      </c>
      <c r="U36" s="32">
        <f t="shared" si="11"/>
        <v>141971932</v>
      </c>
      <c r="V36" s="32">
        <f t="shared" si="11"/>
        <v>81971932</v>
      </c>
      <c r="W36" s="32">
        <f t="shared" si="11"/>
        <v>79931948</v>
      </c>
      <c r="X36" s="32">
        <f t="shared" si="11"/>
        <v>101979948</v>
      </c>
      <c r="Y36" s="32">
        <f t="shared" si="11"/>
        <v>181983960</v>
      </c>
      <c r="Z36" s="32">
        <f t="shared" si="11"/>
        <v>79963908</v>
      </c>
      <c r="AA36" s="32">
        <f t="shared" si="11"/>
        <v>141967960</v>
      </c>
      <c r="AB36" s="32">
        <f t="shared" si="11"/>
        <v>99963996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</v>
      </c>
      <c r="L40" s="3" t="str">
        <f t="shared" ref="L40:BM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</v>
      </c>
      <c r="Q40" s="3" t="str">
        <f t="shared" ca="1" si="13"/>
        <v>James, Larry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Chris;Batchler, Wayne;Blackmon, Vaughn;Cochcroft, Art;Crenshaw, Ed;Gibson, Johnny;James, Larry;Kieselhorst, Larry;Knotts, Brian;McGee, Steve;McMahon, Pat;Moxley, Dave;Nguyen, Thai;Nye, Mike;Reams,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5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34" priority="17" stopIfTrue="1" operator="equal">
      <formula>0</formula>
    </cfRule>
  </conditionalFormatting>
  <conditionalFormatting sqref="D26:J28 K28:BE28">
    <cfRule type="cellIs" dxfId="33" priority="16" stopIfTrue="1" operator="equal">
      <formula>1</formula>
    </cfRule>
  </conditionalFormatting>
  <conditionalFormatting sqref="H3:I3 F23 H5:I5 H7:I7 H9:I9 H11:I11 H13:I13 H15:I15 H17:I17 H19:I19 H21:I21">
    <cfRule type="cellIs" dxfId="32" priority="15" stopIfTrue="1" operator="equal">
      <formula>0</formula>
    </cfRule>
  </conditionalFormatting>
  <conditionalFormatting sqref="H4:I4 F24 H6:I6 H8:I8 H10:I10 H12:I12 H14:I14 H16:I16 H18:I18 H20:I20 H22:I22">
    <cfRule type="cellIs" dxfId="31" priority="14" stopIfTrue="1" operator="equal">
      <formula>0</formula>
    </cfRule>
  </conditionalFormatting>
  <conditionalFormatting sqref="F3 F5 F7 F9 F11 F13 F15 F17 F19 F21">
    <cfRule type="cellIs" dxfId="30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9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8" priority="10" stopIfTrue="1">
      <formula>AND(COUNTA(J4)=1,$E4=1,SUM($E3:$E4)=1)</formula>
    </cfRule>
    <cfRule type="expression" dxfId="27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26" priority="8" stopIfTrue="1">
      <formula>AND(COUNTA(J3)=1,$E3=1,SUM($E3:$E4)=1)</formula>
    </cfRule>
    <cfRule type="expression" dxfId="25" priority="9" stopIfTrue="1">
      <formula>AND(COUNTA(J3)=1,$E3=0,SUM($E3:$E4)=1)</formula>
    </cfRule>
  </conditionalFormatting>
  <conditionalFormatting sqref="BF23:BM23">
    <cfRule type="cellIs" dxfId="24" priority="7" stopIfTrue="1" operator="equal">
      <formula>0</formula>
    </cfRule>
  </conditionalFormatting>
  <conditionalFormatting sqref="BF24:BM24">
    <cfRule type="cellIs" dxfId="23" priority="6" stopIfTrue="1" operator="equal">
      <formula>0</formula>
    </cfRule>
  </conditionalFormatting>
  <conditionalFormatting sqref="BF28:BM28">
    <cfRule type="cellIs" dxfId="22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1" priority="3" stopIfTrue="1">
      <formula>AND(COUNTA(BF4)=1,$E4=1,SUM($E3:$E4)=1)</formula>
    </cfRule>
    <cfRule type="expression" dxfId="20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9" priority="1" stopIfTrue="1">
      <formula>AND(COUNTA(BF3)=1,$E3=1,SUM($E3:$E4)=1)</formula>
    </cfRule>
    <cfRule type="expression" dxfId="18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84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Barker, Chris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</v>
      </c>
      <c r="Q2" s="4" t="str">
        <f t="shared" ca="1" si="0"/>
        <v>James, Larry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>
      <c r="A3" s="59">
        <v>1</v>
      </c>
      <c r="B3" s="67" t="s">
        <v>125</v>
      </c>
      <c r="C3" s="65">
        <v>5.5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14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/>
      <c r="N3" s="69"/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265</v>
      </c>
      <c r="T3" s="69" t="s">
        <v>265</v>
      </c>
      <c r="U3" s="69" t="s">
        <v>264</v>
      </c>
      <c r="V3" s="69" t="s">
        <v>265</v>
      </c>
      <c r="W3" s="69" t="s">
        <v>264</v>
      </c>
      <c r="X3" s="69"/>
      <c r="Y3" s="69" t="s">
        <v>265</v>
      </c>
      <c r="Z3" s="69"/>
      <c r="AA3" s="69" t="s">
        <v>265</v>
      </c>
      <c r="AB3" s="69" t="s">
        <v>266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235</v>
      </c>
      <c r="C4" s="66"/>
      <c r="D4" s="64">
        <v>6</v>
      </c>
      <c r="E4" s="64">
        <f>IF(ISBLANK($D4),"0",IF(($D4-$D3)&gt;($C4-$C3),1,0))</f>
        <v>0</v>
      </c>
      <c r="F4" s="64">
        <f t="shared" ref="F4:F22" ca="1" si="1">COUNTA(INDIRECT("RC11:RC"&amp;11+playercnt-1,FALSE))</f>
        <v>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264</v>
      </c>
      <c r="N4" s="70" t="s">
        <v>265</v>
      </c>
      <c r="O4" s="70"/>
      <c r="P4" s="70"/>
      <c r="Q4" s="70"/>
      <c r="R4" s="70"/>
      <c r="S4" s="70"/>
      <c r="T4" s="70"/>
      <c r="U4" s="97"/>
      <c r="V4" s="70"/>
      <c r="W4" s="70"/>
      <c r="X4" s="70" t="s">
        <v>264</v>
      </c>
      <c r="Y4" s="70"/>
      <c r="Z4" s="70" t="s">
        <v>265</v>
      </c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>
      <c r="A5" s="59">
        <v>2</v>
      </c>
      <c r="B5" s="67" t="s">
        <v>175</v>
      </c>
      <c r="C5" s="65">
        <v>1.5</v>
      </c>
      <c r="D5" s="64">
        <v>24</v>
      </c>
      <c r="E5" s="64">
        <f>IF(ISBLANK($D5),"0",IF(($D6-$D5)&lt;($C6-$C5),1,0))</f>
        <v>0</v>
      </c>
      <c r="F5" s="64">
        <f t="shared" ca="1" si="1"/>
        <v>14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265</v>
      </c>
      <c r="M5" s="69" t="s">
        <v>264</v>
      </c>
      <c r="N5" s="69" t="s">
        <v>265</v>
      </c>
      <c r="O5" s="69"/>
      <c r="P5" s="69" t="s">
        <v>264</v>
      </c>
      <c r="Q5" s="69" t="s">
        <v>265</v>
      </c>
      <c r="R5" s="69" t="s">
        <v>264</v>
      </c>
      <c r="S5" s="69" t="s">
        <v>265</v>
      </c>
      <c r="T5" s="69" t="s">
        <v>265</v>
      </c>
      <c r="U5" s="96" t="s">
        <v>264</v>
      </c>
      <c r="V5" s="69" t="s">
        <v>265</v>
      </c>
      <c r="W5" s="69" t="s">
        <v>264</v>
      </c>
      <c r="X5" s="69"/>
      <c r="Y5" s="69"/>
      <c r="Z5" s="69" t="s">
        <v>265</v>
      </c>
      <c r="AA5" s="69" t="s">
        <v>265</v>
      </c>
      <c r="AB5" s="69" t="s">
        <v>266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>
      <c r="A6" s="61" t="s">
        <v>3</v>
      </c>
      <c r="B6" s="68" t="s">
        <v>174</v>
      </c>
      <c r="C6" s="66"/>
      <c r="D6" s="64">
        <v>26</v>
      </c>
      <c r="E6" s="64">
        <f>IF(ISBLANK($D6),"0",IF(($D6-$D5)&gt;($C6-$C5),1,0))</f>
        <v>1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/>
      <c r="M6" s="70"/>
      <c r="N6" s="70"/>
      <c r="O6" s="70" t="s">
        <v>265</v>
      </c>
      <c r="P6" s="70"/>
      <c r="Q6" s="70"/>
      <c r="R6" s="70"/>
      <c r="S6" s="70"/>
      <c r="T6" s="70"/>
      <c r="U6" s="70"/>
      <c r="V6" s="70"/>
      <c r="W6" s="70"/>
      <c r="X6" s="70" t="s">
        <v>265</v>
      </c>
      <c r="Y6" s="70" t="s">
        <v>265</v>
      </c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>
      <c r="A7" s="59">
        <v>3</v>
      </c>
      <c r="B7" s="67" t="s">
        <v>168</v>
      </c>
      <c r="C7" s="65"/>
      <c r="D7" s="64">
        <v>36</v>
      </c>
      <c r="E7" s="64">
        <f>IF(ISBLANK($D7),"0",IF(($D8-$D7)&lt;($C8-$C7),1,0))</f>
        <v>1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265</v>
      </c>
      <c r="M7" s="69" t="s">
        <v>264</v>
      </c>
      <c r="N7" s="69"/>
      <c r="O7" s="69" t="s">
        <v>265</v>
      </c>
      <c r="P7" s="69"/>
      <c r="Q7" s="69"/>
      <c r="R7" s="96" t="s">
        <v>264</v>
      </c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154</v>
      </c>
      <c r="C8" s="66">
        <v>3.5</v>
      </c>
      <c r="D8" s="64">
        <v>32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/>
      <c r="M8" s="70"/>
      <c r="N8" s="70" t="s">
        <v>265</v>
      </c>
      <c r="O8" s="70"/>
      <c r="P8" s="70" t="s">
        <v>264</v>
      </c>
      <c r="Q8" s="70" t="s">
        <v>265</v>
      </c>
      <c r="R8" s="97"/>
      <c r="S8" s="97" t="s">
        <v>265</v>
      </c>
      <c r="T8" s="97" t="s">
        <v>265</v>
      </c>
      <c r="U8" s="97" t="s">
        <v>264</v>
      </c>
      <c r="V8" s="70" t="s">
        <v>265</v>
      </c>
      <c r="W8" s="70" t="s">
        <v>264</v>
      </c>
      <c r="X8" s="70" t="s">
        <v>265</v>
      </c>
      <c r="Y8" s="70" t="s">
        <v>265</v>
      </c>
      <c r="Z8" s="70" t="s">
        <v>265</v>
      </c>
      <c r="AA8" s="70" t="s">
        <v>265</v>
      </c>
      <c r="AB8" s="70" t="s">
        <v>266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>
      <c r="A9" s="59">
        <v>4</v>
      </c>
      <c r="B9" s="108" t="s">
        <v>291</v>
      </c>
      <c r="C9" s="65"/>
      <c r="D9" s="81">
        <v>13</v>
      </c>
      <c r="E9" s="64">
        <f>IF(ISBLANK($D9),"0",IF(($D10-$D9)&lt;($C10-$C9),1,0))</f>
        <v>0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 t="s">
        <v>265</v>
      </c>
      <c r="P9" s="69" t="s">
        <v>264</v>
      </c>
      <c r="Q9" s="69"/>
      <c r="R9" s="96" t="s">
        <v>264</v>
      </c>
      <c r="S9" s="96"/>
      <c r="T9" s="96"/>
      <c r="U9" s="96"/>
      <c r="V9" s="69"/>
      <c r="W9" s="69" t="s">
        <v>264</v>
      </c>
      <c r="X9" s="69"/>
      <c r="Y9" s="69" t="s">
        <v>265</v>
      </c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>
      <c r="A10" s="61" t="s">
        <v>3</v>
      </c>
      <c r="B10" s="68" t="s">
        <v>133</v>
      </c>
      <c r="C10" s="66">
        <v>3.5</v>
      </c>
      <c r="D10" s="64">
        <v>66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264</v>
      </c>
      <c r="L10" s="70" t="s">
        <v>265</v>
      </c>
      <c r="M10" s="70" t="s">
        <v>264</v>
      </c>
      <c r="N10" s="70" t="s">
        <v>265</v>
      </c>
      <c r="O10" s="70"/>
      <c r="P10" s="70"/>
      <c r="Q10" s="70" t="s">
        <v>265</v>
      </c>
      <c r="R10" s="97"/>
      <c r="S10" s="97" t="s">
        <v>265</v>
      </c>
      <c r="T10" s="97" t="s">
        <v>265</v>
      </c>
      <c r="U10" s="70" t="s">
        <v>264</v>
      </c>
      <c r="V10" s="70" t="s">
        <v>265</v>
      </c>
      <c r="W10" s="70"/>
      <c r="X10" s="70" t="s">
        <v>265</v>
      </c>
      <c r="Y10" s="70"/>
      <c r="Z10" s="70" t="s">
        <v>265</v>
      </c>
      <c r="AA10" s="70" t="s">
        <v>265</v>
      </c>
      <c r="AB10" s="70" t="s">
        <v>266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>
      <c r="A11" s="59">
        <v>5</v>
      </c>
      <c r="B11" s="67" t="s">
        <v>186</v>
      </c>
      <c r="C11" s="65"/>
      <c r="D11" s="64">
        <v>28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264</v>
      </c>
      <c r="L11" s="69"/>
      <c r="M11" s="69"/>
      <c r="N11" s="69"/>
      <c r="O11" s="69" t="s">
        <v>265</v>
      </c>
      <c r="P11" s="69"/>
      <c r="Q11" s="69"/>
      <c r="R11" s="96" t="s">
        <v>264</v>
      </c>
      <c r="S11" s="96"/>
      <c r="T11" s="96" t="s">
        <v>265</v>
      </c>
      <c r="U11" s="69"/>
      <c r="V11" s="69"/>
      <c r="W11" s="69" t="s">
        <v>264</v>
      </c>
      <c r="X11" s="69" t="s">
        <v>265</v>
      </c>
      <c r="Y11" s="69" t="s">
        <v>265</v>
      </c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190</v>
      </c>
      <c r="C12" s="66">
        <v>6.5</v>
      </c>
      <c r="D12" s="64">
        <v>51</v>
      </c>
      <c r="E12" s="64">
        <f>IF(ISBLANK($D12),"0",IF(($D12-$D11)&gt;($C12-$C11),1,0))</f>
        <v>1</v>
      </c>
      <c r="F12" s="64">
        <f t="shared" ca="1" si="1"/>
        <v>11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265</v>
      </c>
      <c r="M12" s="70" t="s">
        <v>264</v>
      </c>
      <c r="N12" s="70" t="s">
        <v>265</v>
      </c>
      <c r="O12" s="70"/>
      <c r="P12" s="70" t="s">
        <v>264</v>
      </c>
      <c r="Q12" s="70" t="s">
        <v>265</v>
      </c>
      <c r="R12" s="97"/>
      <c r="S12" s="97" t="s">
        <v>265</v>
      </c>
      <c r="T12" s="97"/>
      <c r="U12" s="97" t="s">
        <v>264</v>
      </c>
      <c r="V12" s="70" t="s">
        <v>265</v>
      </c>
      <c r="W12" s="70"/>
      <c r="X12" s="70"/>
      <c r="Y12" s="70"/>
      <c r="Z12" s="70" t="s">
        <v>265</v>
      </c>
      <c r="AA12" s="70" t="s">
        <v>265</v>
      </c>
      <c r="AB12" s="70" t="s">
        <v>266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>
      <c r="A13" s="59">
        <v>6</v>
      </c>
      <c r="B13" s="67" t="s">
        <v>151</v>
      </c>
      <c r="C13" s="65"/>
      <c r="D13" s="64">
        <v>37</v>
      </c>
      <c r="E13" s="64">
        <f>IF(ISBLANK($D13),"0",IF(($D14-$D13)&lt;($C14-$C13),1,0))</f>
        <v>1</v>
      </c>
      <c r="F13" s="64">
        <f t="shared" ca="1" si="1"/>
        <v>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 t="s">
        <v>265</v>
      </c>
      <c r="P13" s="69" t="s">
        <v>264</v>
      </c>
      <c r="Q13" s="69"/>
      <c r="R13" s="96"/>
      <c r="S13" s="96"/>
      <c r="T13" s="96"/>
      <c r="U13" s="69"/>
      <c r="V13" s="69"/>
      <c r="W13" s="69"/>
      <c r="X13" s="69"/>
      <c r="Y13" s="69" t="s">
        <v>265</v>
      </c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>
      <c r="A14" s="61" t="s">
        <v>3</v>
      </c>
      <c r="B14" s="68" t="s">
        <v>156</v>
      </c>
      <c r="C14" s="66">
        <v>1.5</v>
      </c>
      <c r="D14" s="64">
        <v>34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 t="s">
        <v>264</v>
      </c>
      <c r="N14" s="70" t="s">
        <v>265</v>
      </c>
      <c r="O14" s="70"/>
      <c r="P14" s="70"/>
      <c r="Q14" s="70" t="s">
        <v>265</v>
      </c>
      <c r="R14" s="97" t="s">
        <v>264</v>
      </c>
      <c r="S14" s="97" t="s">
        <v>265</v>
      </c>
      <c r="T14" s="97" t="s">
        <v>265</v>
      </c>
      <c r="U14" s="97" t="s">
        <v>264</v>
      </c>
      <c r="V14" s="70" t="s">
        <v>265</v>
      </c>
      <c r="W14" s="70" t="s">
        <v>264</v>
      </c>
      <c r="X14" s="70" t="s">
        <v>265</v>
      </c>
      <c r="Y14" s="70"/>
      <c r="Z14" s="70" t="s">
        <v>265</v>
      </c>
      <c r="AA14" s="70" t="s">
        <v>265</v>
      </c>
      <c r="AB14" s="70" t="s">
        <v>266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>
      <c r="A15" s="59">
        <v>7</v>
      </c>
      <c r="B15" s="67" t="s">
        <v>140</v>
      </c>
      <c r="C15" s="65">
        <v>27.5</v>
      </c>
      <c r="D15" s="64">
        <v>41</v>
      </c>
      <c r="E15" s="64">
        <f>IF(ISBLANK($D15),"0",IF(($D16-$D15)&lt;($C16-$C15),1,0))</f>
        <v>1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/>
      <c r="N15" s="69" t="s">
        <v>265</v>
      </c>
      <c r="O15" s="69"/>
      <c r="P15" s="69" t="s">
        <v>264</v>
      </c>
      <c r="Q15" s="69"/>
      <c r="R15" s="96" t="s">
        <v>264</v>
      </c>
      <c r="S15" s="96" t="s">
        <v>265</v>
      </c>
      <c r="T15" s="96"/>
      <c r="U15" s="96" t="s">
        <v>264</v>
      </c>
      <c r="V15" s="69" t="s">
        <v>265</v>
      </c>
      <c r="W15" s="69" t="s">
        <v>264</v>
      </c>
      <c r="X15" s="69"/>
      <c r="Y15" s="69" t="s">
        <v>265</v>
      </c>
      <c r="Z15" s="69" t="s">
        <v>265</v>
      </c>
      <c r="AA15" s="69" t="s">
        <v>265</v>
      </c>
      <c r="AB15" s="69" t="s">
        <v>266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147</v>
      </c>
      <c r="C16" s="66"/>
      <c r="D16" s="64">
        <v>0</v>
      </c>
      <c r="E16" s="64">
        <f>IF(ISBLANK($D16),"0",IF(($D16-$D15)&gt;($C16-$C15),1,0))</f>
        <v>0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264</v>
      </c>
      <c r="N16" s="70"/>
      <c r="O16" s="70" t="s">
        <v>265</v>
      </c>
      <c r="P16" s="70"/>
      <c r="Q16" s="70" t="s">
        <v>265</v>
      </c>
      <c r="R16" s="70"/>
      <c r="S16" s="70"/>
      <c r="T16" s="70" t="s">
        <v>265</v>
      </c>
      <c r="U16" s="70"/>
      <c r="V16" s="70"/>
      <c r="W16" s="70"/>
      <c r="X16" s="70" t="s">
        <v>265</v>
      </c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225</v>
      </c>
      <c r="C17" s="65"/>
      <c r="D17" s="64">
        <v>42</v>
      </c>
      <c r="E17" s="64">
        <f>IF(ISBLANK($D17),"0",IF(($D18-$D17)&lt;($C18-$C17),1,0))</f>
        <v>1</v>
      </c>
      <c r="F17" s="64">
        <f t="shared" ca="1" si="1"/>
        <v>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265</v>
      </c>
      <c r="M17" s="69"/>
      <c r="N17" s="69" t="s">
        <v>265</v>
      </c>
      <c r="O17" s="69"/>
      <c r="P17" s="69"/>
      <c r="Q17" s="69"/>
      <c r="R17" s="69" t="s">
        <v>264</v>
      </c>
      <c r="S17" s="69"/>
      <c r="T17" s="69"/>
      <c r="U17" s="69" t="s">
        <v>264</v>
      </c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226</v>
      </c>
      <c r="C18" s="66">
        <v>10.5</v>
      </c>
      <c r="D18" s="64">
        <v>50</v>
      </c>
      <c r="E18" s="64">
        <f>IF(ISBLANK($D18),"0",IF(($D18-$D17)&gt;($C18-$C17),1,0))</f>
        <v>0</v>
      </c>
      <c r="F18" s="64">
        <f t="shared" ca="1" si="1"/>
        <v>14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/>
      <c r="O18" s="70" t="s">
        <v>265</v>
      </c>
      <c r="P18" s="70" t="s">
        <v>264</v>
      </c>
      <c r="Q18" s="70" t="s">
        <v>265</v>
      </c>
      <c r="R18" s="70"/>
      <c r="S18" s="70" t="s">
        <v>265</v>
      </c>
      <c r="T18" s="70" t="s">
        <v>265</v>
      </c>
      <c r="U18" s="97"/>
      <c r="V18" s="70" t="s">
        <v>265</v>
      </c>
      <c r="W18" s="70" t="s">
        <v>264</v>
      </c>
      <c r="X18" s="70" t="s">
        <v>265</v>
      </c>
      <c r="Y18" s="70" t="s">
        <v>265</v>
      </c>
      <c r="Z18" s="70" t="s">
        <v>265</v>
      </c>
      <c r="AA18" s="70" t="s">
        <v>265</v>
      </c>
      <c r="AB18" s="70" t="s">
        <v>266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>
      <c r="A19" s="59">
        <v>9</v>
      </c>
      <c r="B19" s="67" t="s">
        <v>127</v>
      </c>
      <c r="C19" s="65"/>
      <c r="D19" s="64">
        <v>0</v>
      </c>
      <c r="E19" s="64">
        <f>IF(ISBLANK($D19),"0",IF(($D20-$D19)&lt;($C20-$C19),1,0))</f>
        <v>0</v>
      </c>
      <c r="F19" s="64">
        <f t="shared" ca="1" si="1"/>
        <v>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265</v>
      </c>
      <c r="M19" s="69"/>
      <c r="N19" s="69" t="s">
        <v>265</v>
      </c>
      <c r="O19" s="69"/>
      <c r="P19" s="69" t="s">
        <v>264</v>
      </c>
      <c r="Q19" s="69" t="s">
        <v>265</v>
      </c>
      <c r="R19" s="69"/>
      <c r="S19" s="69"/>
      <c r="T19" s="69" t="s">
        <v>265</v>
      </c>
      <c r="U19" s="96" t="s">
        <v>264</v>
      </c>
      <c r="V19" s="69"/>
      <c r="W19" s="69" t="s">
        <v>264</v>
      </c>
      <c r="X19" s="69"/>
      <c r="Y19" s="69"/>
      <c r="Z19" s="69" t="s">
        <v>265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>
      <c r="A20" s="61" t="s">
        <v>3</v>
      </c>
      <c r="B20" s="68" t="s">
        <v>228</v>
      </c>
      <c r="C20" s="66">
        <v>6.5</v>
      </c>
      <c r="D20" s="64">
        <v>10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/>
      <c r="M20" s="70" t="s">
        <v>264</v>
      </c>
      <c r="N20" s="70"/>
      <c r="O20" s="70" t="s">
        <v>265</v>
      </c>
      <c r="P20" s="70"/>
      <c r="Q20" s="70"/>
      <c r="R20" s="70" t="s">
        <v>264</v>
      </c>
      <c r="S20" s="70" t="s">
        <v>265</v>
      </c>
      <c r="T20" s="70"/>
      <c r="U20" s="70"/>
      <c r="V20" s="70" t="s">
        <v>265</v>
      </c>
      <c r="W20" s="70"/>
      <c r="X20" s="70" t="s">
        <v>265</v>
      </c>
      <c r="Y20" s="70" t="s">
        <v>265</v>
      </c>
      <c r="Z20" s="70"/>
      <c r="AA20" s="70" t="s">
        <v>265</v>
      </c>
      <c r="AB20" s="70" t="s">
        <v>266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>
      <c r="A21" s="59">
        <v>10</v>
      </c>
      <c r="B21" s="67" t="s">
        <v>126</v>
      </c>
      <c r="C21" s="65"/>
      <c r="D21" s="64">
        <v>21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/>
      <c r="N21" s="69" t="s">
        <v>265</v>
      </c>
      <c r="O21" s="69"/>
      <c r="P21" s="69" t="s">
        <v>264</v>
      </c>
      <c r="Q21" s="69" t="s">
        <v>265</v>
      </c>
      <c r="R21" s="69"/>
      <c r="S21" s="69"/>
      <c r="T21" s="69" t="s">
        <v>265</v>
      </c>
      <c r="U21" s="96" t="s">
        <v>264</v>
      </c>
      <c r="V21" s="69"/>
      <c r="W21" s="69"/>
      <c r="X21" s="69" t="s">
        <v>265</v>
      </c>
      <c r="Y21" s="69"/>
      <c r="Z21" s="69" t="s">
        <v>265</v>
      </c>
      <c r="AA21" s="69" t="s">
        <v>265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>
      <c r="A22" s="61" t="s">
        <v>3</v>
      </c>
      <c r="B22" s="68" t="s">
        <v>135</v>
      </c>
      <c r="C22" s="66">
        <v>3.5</v>
      </c>
      <c r="D22" s="64">
        <v>19</v>
      </c>
      <c r="E22" s="64">
        <f>IF(ISBLANK($D22),"0",IF(($D22-$D21)&gt;($C22-$C21),1,0))</f>
        <v>0</v>
      </c>
      <c r="F22" s="64">
        <f t="shared" ca="1" si="1"/>
        <v>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/>
      <c r="O22" s="70" t="s">
        <v>265</v>
      </c>
      <c r="P22" s="70"/>
      <c r="Q22" s="70"/>
      <c r="R22" s="70" t="s">
        <v>264</v>
      </c>
      <c r="S22" s="70" t="s">
        <v>265</v>
      </c>
      <c r="T22" s="70"/>
      <c r="U22" s="70"/>
      <c r="V22" s="70" t="s">
        <v>265</v>
      </c>
      <c r="W22" s="70" t="s">
        <v>264</v>
      </c>
      <c r="X22" s="70"/>
      <c r="Y22" s="70" t="s">
        <v>265</v>
      </c>
      <c r="Z22" s="70"/>
      <c r="AA22" s="70"/>
      <c r="AB22" s="70" t="s">
        <v>266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Georgia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31</v>
      </c>
      <c r="L23" s="78">
        <v>21</v>
      </c>
      <c r="M23" s="78">
        <v>17</v>
      </c>
      <c r="N23" s="80">
        <v>23</v>
      </c>
      <c r="O23" s="78">
        <v>24</v>
      </c>
      <c r="P23" s="78">
        <v>28</v>
      </c>
      <c r="Q23" s="78">
        <v>31</v>
      </c>
      <c r="R23" s="78">
        <v>17</v>
      </c>
      <c r="S23" s="78">
        <v>14</v>
      </c>
      <c r="T23" s="78">
        <v>28</v>
      </c>
      <c r="U23" s="78">
        <v>28</v>
      </c>
      <c r="V23" s="78">
        <v>24</v>
      </c>
      <c r="W23" s="78">
        <v>31</v>
      </c>
      <c r="X23" s="78">
        <v>20</v>
      </c>
      <c r="Y23" s="78">
        <v>24</v>
      </c>
      <c r="Z23" s="78">
        <v>27</v>
      </c>
      <c r="AA23" s="78">
        <v>24</v>
      </c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/>
      <c r="K24" s="79">
        <v>21</v>
      </c>
      <c r="L24" s="79">
        <v>24</v>
      </c>
      <c r="M24" s="79">
        <v>28</v>
      </c>
      <c r="N24" s="79">
        <v>20</v>
      </c>
      <c r="O24" s="79">
        <v>28</v>
      </c>
      <c r="P24" s="79">
        <v>20</v>
      </c>
      <c r="Q24" s="79">
        <v>28</v>
      </c>
      <c r="R24" s="79">
        <v>24</v>
      </c>
      <c r="S24" s="79">
        <v>21</v>
      </c>
      <c r="T24" s="79">
        <v>24</v>
      </c>
      <c r="U24" s="79">
        <v>24</v>
      </c>
      <c r="V24" s="79">
        <v>28</v>
      </c>
      <c r="W24" s="79">
        <v>35</v>
      </c>
      <c r="X24" s="79">
        <v>21</v>
      </c>
      <c r="Y24" s="79">
        <v>28</v>
      </c>
      <c r="Z24" s="79">
        <v>28</v>
      </c>
      <c r="AA24" s="79">
        <v>23</v>
      </c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5</v>
      </c>
      <c r="S25" s="36">
        <f t="shared" si="3"/>
        <v>5</v>
      </c>
      <c r="T25" s="36">
        <f t="shared" si="3"/>
        <v>3</v>
      </c>
      <c r="U25" s="36">
        <f t="shared" si="3"/>
        <v>6</v>
      </c>
      <c r="V25" s="36">
        <f t="shared" si="3"/>
        <v>5</v>
      </c>
      <c r="W25" s="36">
        <f t="shared" si="3"/>
        <v>2</v>
      </c>
      <c r="X25" s="36">
        <f t="shared" si="3"/>
        <v>4</v>
      </c>
      <c r="Y25" s="36">
        <f t="shared" si="3"/>
        <v>5</v>
      </c>
      <c r="Z25" s="36">
        <f t="shared" si="3"/>
        <v>4</v>
      </c>
      <c r="AA25" s="36">
        <f t="shared" si="3"/>
        <v>6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8</v>
      </c>
      <c r="L26" s="71">
        <f t="shared" ref="L26:AO26" si="4">ABS((L23-L24)-($D21-$D22))</f>
        <v>5</v>
      </c>
      <c r="M26" s="71">
        <f t="shared" si="4"/>
        <v>13</v>
      </c>
      <c r="N26" s="71">
        <f t="shared" si="4"/>
        <v>1</v>
      </c>
      <c r="O26" s="71">
        <f t="shared" si="4"/>
        <v>6</v>
      </c>
      <c r="P26" s="71">
        <f t="shared" si="4"/>
        <v>6</v>
      </c>
      <c r="Q26" s="71">
        <f t="shared" si="4"/>
        <v>1</v>
      </c>
      <c r="R26" s="71">
        <f t="shared" si="4"/>
        <v>9</v>
      </c>
      <c r="S26" s="71">
        <f t="shared" si="4"/>
        <v>9</v>
      </c>
      <c r="T26" s="71">
        <f t="shared" si="4"/>
        <v>2</v>
      </c>
      <c r="U26" s="71">
        <f t="shared" si="4"/>
        <v>2</v>
      </c>
      <c r="V26" s="71">
        <f t="shared" si="4"/>
        <v>6</v>
      </c>
      <c r="W26" s="71">
        <f t="shared" si="4"/>
        <v>6</v>
      </c>
      <c r="X26" s="71">
        <f t="shared" si="4"/>
        <v>3</v>
      </c>
      <c r="Y26" s="71">
        <f t="shared" si="4"/>
        <v>6</v>
      </c>
      <c r="Z26" s="71">
        <f t="shared" si="4"/>
        <v>3</v>
      </c>
      <c r="AA26" s="71">
        <f t="shared" si="4"/>
        <v>1</v>
      </c>
      <c r="AB26" s="71">
        <f t="shared" si="4"/>
        <v>2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AO27" si="5">ABS(($D21+$D22)-(L23+L24))</f>
        <v>5</v>
      </c>
      <c r="M27" s="71">
        <f t="shared" si="5"/>
        <v>5</v>
      </c>
      <c r="N27" s="71">
        <f t="shared" si="5"/>
        <v>3</v>
      </c>
      <c r="O27" s="71">
        <f t="shared" si="5"/>
        <v>12</v>
      </c>
      <c r="P27" s="71">
        <f t="shared" si="5"/>
        <v>8</v>
      </c>
      <c r="Q27" s="71">
        <f t="shared" si="5"/>
        <v>19</v>
      </c>
      <c r="R27" s="71">
        <f t="shared" si="5"/>
        <v>1</v>
      </c>
      <c r="S27" s="71">
        <f t="shared" si="5"/>
        <v>5</v>
      </c>
      <c r="T27" s="71">
        <f t="shared" si="5"/>
        <v>12</v>
      </c>
      <c r="U27" s="71">
        <f t="shared" si="5"/>
        <v>12</v>
      </c>
      <c r="V27" s="71">
        <f t="shared" si="5"/>
        <v>12</v>
      </c>
      <c r="W27" s="71">
        <f t="shared" si="5"/>
        <v>26</v>
      </c>
      <c r="X27" s="71">
        <f t="shared" si="5"/>
        <v>1</v>
      </c>
      <c r="Y27" s="71">
        <f t="shared" si="5"/>
        <v>12</v>
      </c>
      <c r="Z27" s="71">
        <f t="shared" si="5"/>
        <v>15</v>
      </c>
      <c r="AA27" s="71">
        <f t="shared" si="5"/>
        <v>7</v>
      </c>
      <c r="AB27" s="71">
        <f t="shared" si="5"/>
        <v>40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>
        <f t="shared" ref="L28:AU28" ca="1" si="6">IF(COUNTA($D$3:$D$22)&lt;2,"",IF(L36=MAX(INDIRECT("R36C11:R36C"&amp;11+playercnt-1,FALSE)),1,""))</f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0.4777777777777778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7</v>
      </c>
      <c r="M29" s="71">
        <f t="shared" si="7"/>
        <v>2</v>
      </c>
      <c r="N29" s="71">
        <f t="shared" si="7"/>
        <v>5</v>
      </c>
      <c r="O29" s="71">
        <f t="shared" si="7"/>
        <v>5</v>
      </c>
      <c r="P29" s="71">
        <f t="shared" si="7"/>
        <v>7</v>
      </c>
      <c r="Q29" s="71">
        <f t="shared" si="7"/>
        <v>4</v>
      </c>
      <c r="R29" s="71">
        <f t="shared" si="7"/>
        <v>7</v>
      </c>
      <c r="S29" s="71">
        <f t="shared" si="7"/>
        <v>3</v>
      </c>
      <c r="T29" s="71">
        <f t="shared" si="7"/>
        <v>5</v>
      </c>
      <c r="U29" s="71">
        <f t="shared" si="7"/>
        <v>6</v>
      </c>
      <c r="V29" s="71">
        <f t="shared" si="7"/>
        <v>3</v>
      </c>
      <c r="W29" s="71">
        <f t="shared" si="7"/>
        <v>6</v>
      </c>
      <c r="X29" s="71">
        <f t="shared" si="7"/>
        <v>2</v>
      </c>
      <c r="Y29" s="71">
        <f t="shared" si="7"/>
        <v>5</v>
      </c>
      <c r="Z29" s="71">
        <f t="shared" si="7"/>
        <v>4</v>
      </c>
      <c r="AA29" s="71">
        <f t="shared" si="7"/>
        <v>4</v>
      </c>
      <c r="AB29" s="71">
        <f t="shared" si="7"/>
        <v>3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4</v>
      </c>
      <c r="O30" s="73">
        <f t="shared" si="8"/>
        <v>6</v>
      </c>
      <c r="P30" s="73">
        <f t="shared" si="8"/>
        <v>4</v>
      </c>
      <c r="Q30" s="73">
        <f t="shared" si="8"/>
        <v>3</v>
      </c>
      <c r="R30" s="73">
        <f t="shared" si="8"/>
        <v>4</v>
      </c>
      <c r="S30" s="73">
        <f t="shared" si="8"/>
        <v>0</v>
      </c>
      <c r="T30" s="73">
        <f t="shared" si="8"/>
        <v>4</v>
      </c>
      <c r="U30" s="73">
        <f t="shared" si="8"/>
        <v>3</v>
      </c>
      <c r="V30" s="73">
        <f t="shared" si="8"/>
        <v>0</v>
      </c>
      <c r="W30" s="73">
        <f t="shared" si="8"/>
        <v>3</v>
      </c>
      <c r="X30" s="73">
        <f t="shared" si="8"/>
        <v>5</v>
      </c>
      <c r="Y30" s="73">
        <f t="shared" si="8"/>
        <v>4</v>
      </c>
      <c r="Z30" s="73">
        <f t="shared" si="8"/>
        <v>3</v>
      </c>
      <c r="AA30" s="73">
        <f t="shared" si="8"/>
        <v>1</v>
      </c>
      <c r="AB30" s="73">
        <f t="shared" si="8"/>
        <v>0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3</v>
      </c>
      <c r="O31" s="71">
        <f t="shared" ca="1" si="9"/>
        <v>7</v>
      </c>
      <c r="P31" s="71">
        <f t="shared" ca="1" si="9"/>
        <v>3</v>
      </c>
      <c r="Q31" s="71">
        <f t="shared" ca="1" si="9"/>
        <v>2</v>
      </c>
      <c r="R31" s="71">
        <f t="shared" ca="1" si="9"/>
        <v>5</v>
      </c>
      <c r="S31" s="71">
        <f t="shared" ca="1" si="9"/>
        <v>1</v>
      </c>
      <c r="T31" s="71">
        <f t="shared" ca="1" si="9"/>
        <v>3</v>
      </c>
      <c r="U31" s="71">
        <f t="shared" ca="1" si="9"/>
        <v>2</v>
      </c>
      <c r="V31" s="71">
        <f t="shared" ca="1" si="9"/>
        <v>1</v>
      </c>
      <c r="W31" s="71">
        <f t="shared" ca="1" si="9"/>
        <v>4</v>
      </c>
      <c r="X31" s="71">
        <f t="shared" ca="1" si="9"/>
        <v>4</v>
      </c>
      <c r="Y31" s="71">
        <f t="shared" ca="1" si="9"/>
        <v>5</v>
      </c>
      <c r="Z31" s="71">
        <f t="shared" ca="1" si="9"/>
        <v>2</v>
      </c>
      <c r="AA31" s="71">
        <f t="shared" ca="1" si="9"/>
        <v>0</v>
      </c>
      <c r="AB31" s="71">
        <f t="shared" ca="1" si="9"/>
        <v>1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121967952</v>
      </c>
      <c r="L36" s="32">
        <f t="shared" ref="L36:AO36" si="11">COUNTA(L23:L24)*((10000000*L25)+(1000000*(COUNTA(L21)*$E21+COUNTA(L22)*$E22))-(COUNTA($D$21:$D$22)*1000*L26)-(COUNTA($D$21:$D$22)*L27))</f>
        <v>141979980</v>
      </c>
      <c r="M36" s="32">
        <f t="shared" si="11"/>
        <v>79947980</v>
      </c>
      <c r="N36" s="32">
        <f t="shared" si="11"/>
        <v>101995988</v>
      </c>
      <c r="O36" s="32">
        <f t="shared" si="11"/>
        <v>99975952</v>
      </c>
      <c r="P36" s="32">
        <f t="shared" si="11"/>
        <v>101975968</v>
      </c>
      <c r="Q36" s="32">
        <f t="shared" si="11"/>
        <v>81995924</v>
      </c>
      <c r="R36" s="32">
        <f t="shared" si="11"/>
        <v>99963996</v>
      </c>
      <c r="S36" s="32">
        <f t="shared" si="11"/>
        <v>99963980</v>
      </c>
      <c r="T36" s="32">
        <f t="shared" si="11"/>
        <v>61991952</v>
      </c>
      <c r="U36" s="32">
        <f t="shared" si="11"/>
        <v>121991952</v>
      </c>
      <c r="V36" s="32">
        <f t="shared" si="11"/>
        <v>99975952</v>
      </c>
      <c r="W36" s="32">
        <f t="shared" si="11"/>
        <v>39975896</v>
      </c>
      <c r="X36" s="32">
        <f t="shared" si="11"/>
        <v>81987996</v>
      </c>
      <c r="Y36" s="32">
        <f t="shared" si="11"/>
        <v>99975952</v>
      </c>
      <c r="Z36" s="32">
        <f t="shared" si="11"/>
        <v>81987940</v>
      </c>
      <c r="AA36" s="32">
        <f t="shared" si="11"/>
        <v>121995972</v>
      </c>
      <c r="AB36" s="32">
        <f t="shared" si="11"/>
        <v>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</v>
      </c>
      <c r="L40" s="3" t="str">
        <f t="shared" ref="L40:BM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</v>
      </c>
      <c r="Q40" s="3" t="str">
        <f t="shared" ca="1" si="13"/>
        <v>James, Larry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Chris;Batchler, Wayne;Blackmon, Vaughn;Cochcroft, Art;Crenshaw, Ed;Gibson, Johnny;James, Larry;Kieselhorst, Larry;Knotts, Brian;McGee, Steve;McMahon, Pat;Moxley, Dave;Nguyen, Thai;Nye, Mike;Reams,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7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6" priority="17" stopIfTrue="1" operator="equal">
      <formula>0</formula>
    </cfRule>
  </conditionalFormatting>
  <conditionalFormatting sqref="D26:J28 K28:BE28">
    <cfRule type="cellIs" dxfId="15" priority="16" stopIfTrue="1" operator="equal">
      <formula>1</formula>
    </cfRule>
  </conditionalFormatting>
  <conditionalFormatting sqref="H3:I3 F23 H5:I5 H7:I7 H9:I9 H11:I11 H13:I13 H15:I15 H17:I17 H19:I19 H21:I21">
    <cfRule type="cellIs" dxfId="14" priority="15" stopIfTrue="1" operator="equal">
      <formula>0</formula>
    </cfRule>
  </conditionalFormatting>
  <conditionalFormatting sqref="H4:I4 F24 H6:I6 H8:I8 H10:I10 H12:I12 H14:I14 H16:I16 H18:I18 H20:I20 H22:I22">
    <cfRule type="cellIs" dxfId="13" priority="14" stopIfTrue="1" operator="equal">
      <formula>0</formula>
    </cfRule>
  </conditionalFormatting>
  <conditionalFormatting sqref="F3 F5 F7 F9 F11 F13 F15 F17 F19 F21">
    <cfRule type="cellIs" dxfId="12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" priority="10" stopIfTrue="1">
      <formula>AND(COUNTA(J4)=1,$E4=1,SUM($E3:$E4)=1)</formula>
    </cfRule>
    <cfRule type="expression" dxfId="9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8" priority="8" stopIfTrue="1">
      <formula>AND(COUNTA(J3)=1,$E3=1,SUM($E3:$E4)=1)</formula>
    </cfRule>
    <cfRule type="expression" dxfId="7" priority="9" stopIfTrue="1">
      <formula>AND(COUNTA(J3)=1,$E3=0,SUM($E3:$E4)=1)</formula>
    </cfRule>
  </conditionalFormatting>
  <conditionalFormatting sqref="BF23:BM23">
    <cfRule type="cellIs" dxfId="6" priority="7" stopIfTrue="1" operator="equal">
      <formula>0</formula>
    </cfRule>
  </conditionalFormatting>
  <conditionalFormatting sqref="BF24:BM24">
    <cfRule type="cellIs" dxfId="5" priority="6" stopIfTrue="1" operator="equal">
      <formula>0</formula>
    </cfRule>
  </conditionalFormatting>
  <conditionalFormatting sqref="BF28:BM28">
    <cfRule type="cellIs" dxfId="4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3" priority="3" stopIfTrue="1">
      <formula>AND(COUNTA(BF4)=1,$E4=1,SUM($E3:$E4)=1)</formula>
    </cfRule>
    <cfRule type="expression" dxfId="2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" priority="1" stopIfTrue="1">
      <formula>AND(COUNTA(BF3)=1,$E3=1,SUM($E3:$E4)=1)</formula>
    </cfRule>
    <cfRule type="expression" dxfId="0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41"/>
  <dimension ref="A1:W34"/>
  <sheetViews>
    <sheetView workbookViewId="0">
      <selection activeCell="B3" sqref="B3"/>
    </sheetView>
  </sheetViews>
  <sheetFormatPr defaultRowHeight="12.75"/>
  <cols>
    <col min="3" max="3" width="10.28515625" bestFit="1" customWidth="1"/>
    <col min="4" max="4" width="3.28515625" bestFit="1" customWidth="1"/>
    <col min="5" max="23" width="3.28515625" customWidth="1"/>
  </cols>
  <sheetData>
    <row r="1" spans="1:23">
      <c r="A1" t="s">
        <v>123</v>
      </c>
    </row>
    <row r="2" spans="1:23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18" priority="1" stopIfTrue="1" operator="equal">
      <formula>10</formula>
    </cfRule>
    <cfRule type="cellIs" dxfId="217" priority="2" stopIfTrue="1" operator="equal">
      <formula>9</formula>
    </cfRule>
    <cfRule type="cellIs" dxfId="216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2"/>
  <dimension ref="A2:W202"/>
  <sheetViews>
    <sheetView workbookViewId="0">
      <selection activeCell="A4" sqref="A4"/>
    </sheetView>
  </sheetViews>
  <sheetFormatPr defaultRowHeight="12.75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251</v>
      </c>
    </row>
    <row r="3" spans="1:23">
      <c r="B3" s="106">
        <f ca="1">SUM(B4:B14)</f>
        <v>17</v>
      </c>
      <c r="C3" s="106">
        <f t="shared" ref="C3:O3" ca="1" si="0">SUM(C4:C14)</f>
        <v>20</v>
      </c>
      <c r="D3" s="106">
        <f t="shared" ca="1" si="0"/>
        <v>17</v>
      </c>
      <c r="E3" s="106">
        <f t="shared" ca="1" si="0"/>
        <v>18</v>
      </c>
      <c r="F3" s="106">
        <f t="shared" ca="1" si="0"/>
        <v>15</v>
      </c>
      <c r="G3" s="106">
        <f t="shared" ca="1" si="0"/>
        <v>14</v>
      </c>
      <c r="H3" s="106">
        <f t="shared" ca="1" si="0"/>
        <v>20</v>
      </c>
      <c r="I3" s="106">
        <f t="shared" ca="1" si="0"/>
        <v>15</v>
      </c>
      <c r="J3" s="106">
        <f t="shared" ca="1" si="0"/>
        <v>17</v>
      </c>
      <c r="K3" s="106">
        <f t="shared" ca="1" si="0"/>
        <v>14</v>
      </c>
      <c r="L3" s="106">
        <f t="shared" ca="1" si="0"/>
        <v>20</v>
      </c>
      <c r="M3" s="106">
        <f t="shared" ca="1" si="0"/>
        <v>20</v>
      </c>
      <c r="N3" s="106">
        <f t="shared" ca="1" si="0"/>
        <v>18</v>
      </c>
      <c r="O3" s="106">
        <f t="shared" ca="1" si="0"/>
        <v>225</v>
      </c>
      <c r="P3" s="2"/>
      <c r="Q3" s="2"/>
      <c r="R3" s="2"/>
      <c r="S3" s="2"/>
      <c r="T3" s="2"/>
      <c r="U3" s="2"/>
      <c r="V3" s="2"/>
      <c r="W3" s="2"/>
    </row>
    <row r="4" spans="1:23">
      <c r="A4" s="88" t="str">
        <f>A$19</f>
        <v>Atlantic Coast</v>
      </c>
      <c r="B4" s="86">
        <f t="shared" ref="B4:N14" ca="1" si="1">SUMIF($A$19:$A$201,$A4,B$19:B$201)</f>
        <v>3</v>
      </c>
      <c r="C4" s="86">
        <f t="shared" ca="1" si="1"/>
        <v>6</v>
      </c>
      <c r="D4" s="86">
        <f t="shared" ca="1" si="1"/>
        <v>5</v>
      </c>
      <c r="E4" s="86">
        <f t="shared" ca="1" si="1"/>
        <v>4</v>
      </c>
      <c r="F4" s="86">
        <f t="shared" ca="1" si="1"/>
        <v>3</v>
      </c>
      <c r="G4" s="86">
        <f t="shared" ca="1" si="1"/>
        <v>1</v>
      </c>
      <c r="H4" s="86">
        <f t="shared" ca="1" si="1"/>
        <v>6</v>
      </c>
      <c r="I4" s="86">
        <f t="shared" ca="1" si="1"/>
        <v>3</v>
      </c>
      <c r="J4" s="86">
        <f t="shared" ca="1" si="1"/>
        <v>3</v>
      </c>
      <c r="K4" s="86">
        <f t="shared" ca="1" si="1"/>
        <v>3</v>
      </c>
      <c r="L4" s="86">
        <f t="shared" ca="1" si="1"/>
        <v>4</v>
      </c>
      <c r="M4" s="86">
        <f t="shared" ca="1" si="1"/>
        <v>2</v>
      </c>
      <c r="N4" s="86">
        <f t="shared" ca="1" si="1"/>
        <v>6</v>
      </c>
      <c r="O4" s="92">
        <f t="shared" ref="O4:O14" ca="1" si="2">SUM(B4:N4)</f>
        <v>49</v>
      </c>
      <c r="P4" s="2"/>
      <c r="Q4" s="2"/>
      <c r="R4" s="2"/>
      <c r="S4" s="2"/>
      <c r="T4" s="2"/>
      <c r="U4" s="2"/>
      <c r="V4" s="2"/>
      <c r="W4" s="2"/>
    </row>
    <row r="5" spans="1:23">
      <c r="A5" s="88" t="str">
        <f>A$159</f>
        <v>Southeastern</v>
      </c>
      <c r="B5" s="86">
        <f t="shared" ca="1" si="1"/>
        <v>4</v>
      </c>
      <c r="C5" s="86">
        <f t="shared" ca="1" si="1"/>
        <v>4</v>
      </c>
      <c r="D5" s="86">
        <f t="shared" ca="1" si="1"/>
        <v>6</v>
      </c>
      <c r="E5" s="86">
        <f t="shared" ca="1" si="1"/>
        <v>6</v>
      </c>
      <c r="F5" s="86">
        <f t="shared" ca="1" si="1"/>
        <v>8</v>
      </c>
      <c r="G5" s="86">
        <f t="shared" ca="1" si="1"/>
        <v>5</v>
      </c>
      <c r="H5" s="86">
        <f t="shared" ca="1" si="1"/>
        <v>4</v>
      </c>
      <c r="I5" s="86">
        <f t="shared" ca="1" si="1"/>
        <v>6</v>
      </c>
      <c r="J5" s="86">
        <f t="shared" ca="1" si="1"/>
        <v>8</v>
      </c>
      <c r="K5" s="86">
        <f t="shared" ca="1" si="1"/>
        <v>3</v>
      </c>
      <c r="L5" s="86">
        <f t="shared" ca="1" si="1"/>
        <v>8</v>
      </c>
      <c r="M5" s="86">
        <f t="shared" ca="1" si="1"/>
        <v>10</v>
      </c>
      <c r="N5" s="86">
        <f t="shared" ca="1" si="1"/>
        <v>5</v>
      </c>
      <c r="O5" s="92">
        <f t="shared" ca="1" si="2"/>
        <v>77</v>
      </c>
    </row>
    <row r="6" spans="1:23">
      <c r="A6" s="88" t="str">
        <f>A$129</f>
        <v>Mountain West</v>
      </c>
      <c r="B6" s="86">
        <f t="shared" ca="1" si="1"/>
        <v>1</v>
      </c>
      <c r="C6" s="86">
        <f t="shared" ca="1" si="1"/>
        <v>0</v>
      </c>
      <c r="D6" s="86">
        <f t="shared" ca="1" si="1"/>
        <v>2</v>
      </c>
      <c r="E6" s="86">
        <f t="shared" ca="1" si="1"/>
        <v>0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3</v>
      </c>
    </row>
    <row r="7" spans="1:23">
      <c r="A7" s="88" t="str">
        <f>A$66</f>
        <v>Big Ten</v>
      </c>
      <c r="B7" s="86">
        <f t="shared" ca="1" si="1"/>
        <v>2</v>
      </c>
      <c r="C7" s="86">
        <f t="shared" ca="1" si="1"/>
        <v>2</v>
      </c>
      <c r="D7" s="86">
        <f t="shared" ca="1" si="1"/>
        <v>1</v>
      </c>
      <c r="E7" s="86">
        <f t="shared" ca="1" si="1"/>
        <v>4</v>
      </c>
      <c r="F7" s="86">
        <f t="shared" ca="1" si="1"/>
        <v>1</v>
      </c>
      <c r="G7" s="86">
        <f t="shared" ca="1" si="1"/>
        <v>3</v>
      </c>
      <c r="H7" s="86">
        <f t="shared" ca="1" si="1"/>
        <v>2</v>
      </c>
      <c r="I7" s="86">
        <f t="shared" ca="1" si="1"/>
        <v>3</v>
      </c>
      <c r="J7" s="86">
        <f t="shared" ca="1" si="1"/>
        <v>1</v>
      </c>
      <c r="K7" s="86">
        <f t="shared" ca="1" si="1"/>
        <v>3</v>
      </c>
      <c r="L7" s="86">
        <f t="shared" ca="1" si="1"/>
        <v>5</v>
      </c>
      <c r="M7" s="86">
        <f t="shared" ca="1" si="1"/>
        <v>4</v>
      </c>
      <c r="N7" s="86">
        <f t="shared" ca="1" si="1"/>
        <v>2</v>
      </c>
      <c r="O7" s="92">
        <f t="shared" ca="1" si="2"/>
        <v>33</v>
      </c>
    </row>
    <row r="8" spans="1:23">
      <c r="A8" s="88" t="str">
        <f>A$144</f>
        <v>Pacific 12</v>
      </c>
      <c r="B8" s="86">
        <f t="shared" ca="1" si="1"/>
        <v>3</v>
      </c>
      <c r="C8" s="86">
        <f t="shared" ca="1" si="1"/>
        <v>4</v>
      </c>
      <c r="D8" s="86">
        <f t="shared" ca="1" si="1"/>
        <v>1</v>
      </c>
      <c r="E8" s="86">
        <f t="shared" ca="1" si="1"/>
        <v>3</v>
      </c>
      <c r="F8" s="86">
        <f t="shared" ca="1" si="1"/>
        <v>3</v>
      </c>
      <c r="G8" s="86">
        <f t="shared" ca="1" si="1"/>
        <v>4</v>
      </c>
      <c r="H8" s="86">
        <f t="shared" ca="1" si="1"/>
        <v>5</v>
      </c>
      <c r="I8" s="86">
        <f t="shared" ca="1" si="1"/>
        <v>2</v>
      </c>
      <c r="J8" s="86">
        <f t="shared" ca="1" si="1"/>
        <v>2</v>
      </c>
      <c r="K8" s="86">
        <f t="shared" ca="1" si="1"/>
        <v>3</v>
      </c>
      <c r="L8" s="86">
        <f t="shared" ca="1" si="1"/>
        <v>2</v>
      </c>
      <c r="M8" s="86">
        <f t="shared" ca="1" si="1"/>
        <v>2</v>
      </c>
      <c r="N8" s="86">
        <f t="shared" ca="1" si="1"/>
        <v>3</v>
      </c>
      <c r="O8" s="92">
        <f t="shared" ca="1" si="2"/>
        <v>37</v>
      </c>
    </row>
    <row r="9" spans="1:23">
      <c r="A9" s="88" t="str">
        <f>A$36</f>
        <v>Big 12</v>
      </c>
      <c r="B9" s="86">
        <f t="shared" ca="1" si="1"/>
        <v>0</v>
      </c>
      <c r="C9" s="86">
        <f t="shared" ca="1" si="1"/>
        <v>1</v>
      </c>
      <c r="D9" s="86">
        <f t="shared" ca="1" si="1"/>
        <v>1</v>
      </c>
      <c r="E9" s="86">
        <f t="shared" ca="1" si="1"/>
        <v>0</v>
      </c>
      <c r="F9" s="86">
        <f t="shared" ca="1" si="1"/>
        <v>0</v>
      </c>
      <c r="G9" s="86">
        <f t="shared" ca="1" si="1"/>
        <v>0</v>
      </c>
      <c r="H9" s="86">
        <f t="shared" ca="1" si="1"/>
        <v>3</v>
      </c>
      <c r="I9" s="86">
        <f t="shared" ca="1" si="1"/>
        <v>1</v>
      </c>
      <c r="J9" s="86">
        <f t="shared" ca="1" si="1"/>
        <v>2</v>
      </c>
      <c r="K9" s="86">
        <f t="shared" ca="1" si="1"/>
        <v>1</v>
      </c>
      <c r="L9" s="86">
        <f t="shared" ca="1" si="1"/>
        <v>1</v>
      </c>
      <c r="M9" s="86">
        <f t="shared" ca="1" si="1"/>
        <v>1</v>
      </c>
      <c r="N9" s="86">
        <f t="shared" ca="1" si="1"/>
        <v>1</v>
      </c>
      <c r="O9" s="92">
        <f t="shared" ca="1" si="2"/>
        <v>12</v>
      </c>
    </row>
    <row r="10" spans="1:23">
      <c r="A10" s="88" t="str">
        <f>A$99</f>
        <v>Independents</v>
      </c>
      <c r="B10" s="86">
        <f t="shared" ca="1" si="1"/>
        <v>2</v>
      </c>
      <c r="C10" s="86">
        <f t="shared" ca="1" si="1"/>
        <v>3</v>
      </c>
      <c r="D10" s="86">
        <f t="shared" ca="1" si="1"/>
        <v>0</v>
      </c>
      <c r="E10" s="86">
        <f t="shared" ca="1" si="1"/>
        <v>1</v>
      </c>
      <c r="F10" s="86">
        <f t="shared" ca="1" si="1"/>
        <v>0</v>
      </c>
      <c r="G10" s="86">
        <f t="shared" ca="1" si="1"/>
        <v>1</v>
      </c>
      <c r="H10" s="86">
        <f t="shared" ca="1" si="1"/>
        <v>0</v>
      </c>
      <c r="I10" s="86">
        <f t="shared" ca="1" si="1"/>
        <v>0</v>
      </c>
      <c r="J10" s="86">
        <f t="shared" ca="1" si="1"/>
        <v>1</v>
      </c>
      <c r="K10" s="86">
        <f t="shared" ca="1" si="1"/>
        <v>1</v>
      </c>
      <c r="L10" s="86">
        <f t="shared" ca="1" si="1"/>
        <v>0</v>
      </c>
      <c r="M10" s="86">
        <f t="shared" ca="1" si="1"/>
        <v>1</v>
      </c>
      <c r="N10" s="86">
        <f t="shared" ca="1" si="1"/>
        <v>1</v>
      </c>
      <c r="O10" s="92">
        <f t="shared" ca="1" si="2"/>
        <v>11</v>
      </c>
    </row>
    <row r="11" spans="1:23">
      <c r="A11" s="88" t="str">
        <f>A$52</f>
        <v>American Athletic</v>
      </c>
      <c r="B11" s="86">
        <f t="shared" ca="1" si="1"/>
        <v>0</v>
      </c>
      <c r="C11" s="86">
        <f t="shared" ca="1" si="1"/>
        <v>0</v>
      </c>
      <c r="D11" s="86">
        <f t="shared" ca="1" si="1"/>
        <v>0</v>
      </c>
      <c r="E11" s="86">
        <f t="shared" ca="1" si="1"/>
        <v>0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0</v>
      </c>
    </row>
    <row r="12" spans="1:23">
      <c r="A12" s="88" t="str">
        <f>A$82</f>
        <v>Conference USA</v>
      </c>
      <c r="B12" s="86">
        <f t="shared" ca="1" si="1"/>
        <v>1</v>
      </c>
      <c r="C12" s="86">
        <f t="shared" ca="1" si="1"/>
        <v>0</v>
      </c>
      <c r="D12" s="86">
        <f t="shared" ca="1" si="1"/>
        <v>1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2</v>
      </c>
    </row>
    <row r="13" spans="1:23">
      <c r="A13" s="88" t="str">
        <f>A$114</f>
        <v>Mid American</v>
      </c>
      <c r="B13" s="86">
        <f t="shared" ca="1" si="1"/>
        <v>1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1</v>
      </c>
    </row>
    <row r="14" spans="1:23">
      <c r="A14" s="88" t="str">
        <f>A$178</f>
        <v>Sun Belt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>
      <c r="O15"/>
    </row>
    <row r="19" spans="1:15" s="28" customFormat="1" ht="13.5" thickBot="1">
      <c r="A19" s="94" t="s">
        <v>164</v>
      </c>
      <c r="B19" s="89">
        <f ca="1">SUM(B20:B34)</f>
        <v>3</v>
      </c>
      <c r="C19" s="89">
        <f t="shared" ref="C19:N19" ca="1" si="3">SUM(C20:C34)</f>
        <v>6</v>
      </c>
      <c r="D19" s="89">
        <f t="shared" ca="1" si="3"/>
        <v>5</v>
      </c>
      <c r="E19" s="89">
        <f t="shared" ca="1" si="3"/>
        <v>4</v>
      </c>
      <c r="F19" s="89">
        <f t="shared" ca="1" si="3"/>
        <v>3</v>
      </c>
      <c r="G19" s="89">
        <f t="shared" ca="1" si="3"/>
        <v>1</v>
      </c>
      <c r="H19" s="89">
        <f t="shared" ca="1" si="3"/>
        <v>6</v>
      </c>
      <c r="I19" s="89">
        <f t="shared" ca="1" si="3"/>
        <v>3</v>
      </c>
      <c r="J19" s="89">
        <f t="shared" ca="1" si="3"/>
        <v>3</v>
      </c>
      <c r="K19" s="89">
        <f t="shared" ca="1" si="3"/>
        <v>3</v>
      </c>
      <c r="L19" s="89">
        <f t="shared" ca="1" si="3"/>
        <v>4</v>
      </c>
      <c r="M19" s="89">
        <f t="shared" ca="1" si="3"/>
        <v>2</v>
      </c>
      <c r="N19" s="89">
        <f t="shared" ca="1" si="3"/>
        <v>6</v>
      </c>
      <c r="O19" s="91"/>
    </row>
    <row r="20" spans="1:15">
      <c r="A20" s="95" t="s">
        <v>143</v>
      </c>
      <c r="B20" s="86">
        <f ca="1">COUNTIF(INDIRECT(ADDRESS(3,2,1,,B$2)):INDIRECT(ADDRESS(22,2,1,,B$2)),$A20)</f>
        <v>0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1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10</v>
      </c>
    </row>
    <row r="21" spans="1:15">
      <c r="A21" s="95" t="s">
        <v>142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1</v>
      </c>
      <c r="D21" s="86">
        <f ca="1">COUNTIF(INDIRECT(ADDRESS(3,2,1,,D$2)):INDIRECT(ADDRESS(22,2,1,,D$2)),$A21)</f>
        <v>0</v>
      </c>
      <c r="E21" s="86">
        <f ca="1">COUNTIF(INDIRECT(ADDRESS(3,2,1,,E$2)):INDIRECT(ADDRESS(22,2,1,,E$2)),$A21)</f>
        <v>1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1</v>
      </c>
      <c r="I21" s="86">
        <f ca="1">COUNTIF(INDIRECT(ADDRESS(3,2,1,,I$2)):INDIRECT(ADDRESS(22,2,1,,I$2)),$A21)</f>
        <v>0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0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1</v>
      </c>
      <c r="N21" s="86">
        <f ca="1">COUNTIF(INDIRECT(ADDRESS(3,2,1,,N$2)):INDIRECT(ADDRESS(22,2,1,,N$2)),$A21)</f>
        <v>0</v>
      </c>
      <c r="O21" s="92">
        <f t="shared" ca="1" si="4"/>
        <v>4</v>
      </c>
    </row>
    <row r="22" spans="1:15">
      <c r="A22" s="95" t="s">
        <v>180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0</v>
      </c>
    </row>
    <row r="23" spans="1:15">
      <c r="A23" s="95" t="s">
        <v>131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3</v>
      </c>
    </row>
    <row r="24" spans="1:15">
      <c r="A24" s="95" t="s">
        <v>126</v>
      </c>
      <c r="B24" s="86">
        <f ca="1">COUNTIF(INDIRECT(ADDRESS(3,2,1,,B$2)):INDIRECT(ADDRESS(22,2,1,,B$2)),$A24)</f>
        <v>1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0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1</v>
      </c>
      <c r="O24" s="92">
        <f t="shared" ca="1" si="4"/>
        <v>4</v>
      </c>
    </row>
    <row r="25" spans="1:15">
      <c r="A25" s="95" t="s">
        <v>144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0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0</v>
      </c>
    </row>
    <row r="26" spans="1:15">
      <c r="A26" s="95" t="s">
        <v>154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1</v>
      </c>
      <c r="D26" s="86">
        <f ca="1">COUNTIF(INDIRECT(ADDRESS(3,2,1,,D$2)):INDIRECT(ADDRESS(22,2,1,,D$2)),$A26)</f>
        <v>1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1</v>
      </c>
      <c r="O26" s="92">
        <f t="shared" ca="1" si="4"/>
        <v>3</v>
      </c>
    </row>
    <row r="27" spans="1:15">
      <c r="A27" s="95" t="s">
        <v>151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1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1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1</v>
      </c>
      <c r="O27" s="92">
        <f t="shared" ca="1" si="4"/>
        <v>6</v>
      </c>
    </row>
    <row r="28" spans="1:15">
      <c r="A28" s="95" t="s">
        <v>133</v>
      </c>
      <c r="B28" s="86">
        <f ca="1">COUNTIF(INDIRECT(ADDRESS(3,2,1,,B$2)):INDIRECT(ADDRESS(22,2,1,,B$2)),$A28)</f>
        <v>1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1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1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2">
        <f t="shared" ca="1" si="4"/>
        <v>6</v>
      </c>
    </row>
    <row r="29" spans="1:15">
      <c r="A29" s="95" t="s">
        <v>167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1</v>
      </c>
      <c r="J29" s="86">
        <f ca="1">COUNTIF(INDIRECT(ADDRESS(3,2,1,,J$2)):INDIRECT(ADDRESS(22,2,1,,J$2)),$A29)</f>
        <v>1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2</v>
      </c>
    </row>
    <row r="30" spans="1:15">
      <c r="A30" s="95" t="s">
        <v>179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>
      <c r="A31" s="95" t="s">
        <v>156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1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1</v>
      </c>
      <c r="O31" s="92">
        <f t="shared" ca="1" si="4"/>
        <v>3</v>
      </c>
    </row>
    <row r="32" spans="1:15">
      <c r="A32" s="95" t="s">
        <v>168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1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1</v>
      </c>
      <c r="I32" s="86">
        <f ca="1">COUNTIF(INDIRECT(ADDRESS(3,2,1,,I$2)):INDIRECT(ADDRESS(22,2,1,,I$2)),$A32)</f>
        <v>1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1</v>
      </c>
      <c r="O32" s="92">
        <f t="shared" ca="1" si="4"/>
        <v>6</v>
      </c>
    </row>
    <row r="33" spans="1:23">
      <c r="A33" s="95" t="s">
        <v>130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1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1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2</v>
      </c>
    </row>
    <row r="36" spans="1:23" ht="13.5" thickBot="1">
      <c r="A36" s="94" t="s">
        <v>165</v>
      </c>
      <c r="B36" s="89">
        <f t="shared" ref="B36:N36" ca="1" si="5">SUM(B37:B49)</f>
        <v>0</v>
      </c>
      <c r="C36" s="89">
        <f t="shared" ca="1" si="5"/>
        <v>1</v>
      </c>
      <c r="D36" s="89">
        <f t="shared" ca="1" si="5"/>
        <v>1</v>
      </c>
      <c r="E36" s="89">
        <f t="shared" ca="1" si="5"/>
        <v>0</v>
      </c>
      <c r="F36" s="89">
        <f t="shared" ca="1" si="5"/>
        <v>0</v>
      </c>
      <c r="G36" s="89">
        <f t="shared" ca="1" si="5"/>
        <v>0</v>
      </c>
      <c r="H36" s="89">
        <f t="shared" ca="1" si="5"/>
        <v>3</v>
      </c>
      <c r="I36" s="89">
        <f t="shared" ca="1" si="5"/>
        <v>1</v>
      </c>
      <c r="J36" s="89">
        <f t="shared" ca="1" si="5"/>
        <v>2</v>
      </c>
      <c r="K36" s="89">
        <f t="shared" ca="1" si="5"/>
        <v>1</v>
      </c>
      <c r="L36" s="89">
        <f t="shared" ca="1" si="5"/>
        <v>1</v>
      </c>
      <c r="M36" s="89">
        <f t="shared" ca="1" si="5"/>
        <v>1</v>
      </c>
      <c r="N36" s="89">
        <f t="shared" ca="1" si="5"/>
        <v>1</v>
      </c>
      <c r="O36" s="91"/>
    </row>
    <row r="37" spans="1:23" s="28" customFormat="1">
      <c r="A37" s="95" t="s">
        <v>134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1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1</v>
      </c>
    </row>
    <row r="38" spans="1:23">
      <c r="A38" s="95" t="s">
        <v>174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1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1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1</v>
      </c>
      <c r="O38" s="92">
        <f t="shared" ca="1" si="6"/>
        <v>3</v>
      </c>
      <c r="P38" s="2"/>
      <c r="Q38" s="2"/>
      <c r="R38" s="2"/>
      <c r="S38" s="2"/>
      <c r="T38" s="2"/>
      <c r="U38" s="2"/>
      <c r="V38" s="2"/>
      <c r="W38" s="2"/>
    </row>
    <row r="39" spans="1:23">
      <c r="A39" s="95" t="s">
        <v>182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1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1</v>
      </c>
    </row>
    <row r="40" spans="1:23">
      <c r="A40" s="95" t="s">
        <v>221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0</v>
      </c>
    </row>
    <row r="41" spans="1:23">
      <c r="A41" s="95" t="s">
        <v>173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1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1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2</v>
      </c>
    </row>
    <row r="42" spans="1:23">
      <c r="A42" s="95" t="s">
        <v>169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0</v>
      </c>
    </row>
    <row r="43" spans="1:23">
      <c r="A43" s="95" t="s">
        <v>170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>
      <c r="A44" s="95" t="s">
        <v>138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1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1</v>
      </c>
      <c r="N44" s="86">
        <f ca="1">COUNTIF(INDIRECT(ADDRESS(3,2,1,,N$2)):INDIRECT(ADDRESS(22,2,1,,N$2)),$A44)</f>
        <v>0</v>
      </c>
      <c r="O44" s="92">
        <f t="shared" ca="1" si="6"/>
        <v>3</v>
      </c>
    </row>
    <row r="45" spans="1:23">
      <c r="A45" s="95" t="s">
        <v>145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0</v>
      </c>
    </row>
    <row r="46" spans="1:23">
      <c r="A46" s="95" t="s">
        <v>176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1</v>
      </c>
      <c r="I46" s="86">
        <f ca="1">COUNTIF(INDIRECT(ADDRESS(3,2,1,,I$2)):INDIRECT(ADDRESS(22,2,1,,I$2)),$A46)</f>
        <v>1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>
      <c r="A52" s="94" t="s">
        <v>257</v>
      </c>
      <c r="B52" s="89">
        <f t="shared" ref="B52:N52" ca="1" si="7">SUM(B53:B64)</f>
        <v>0</v>
      </c>
      <c r="C52" s="89">
        <f t="shared" ca="1" si="7"/>
        <v>0</v>
      </c>
      <c r="D52" s="89">
        <f t="shared" ca="1" si="7"/>
        <v>0</v>
      </c>
      <c r="E52" s="89">
        <f t="shared" ca="1" si="7"/>
        <v>0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>
      <c r="A53" s="95" t="s">
        <v>200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>
      <c r="A54" s="95" t="s">
        <v>152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0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0</v>
      </c>
    </row>
    <row r="55" spans="1:15">
      <c r="A55" s="95" t="s">
        <v>177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>
      <c r="A56" s="95" t="s">
        <v>178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>
      <c r="A57" s="95" t="s">
        <v>197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>
      <c r="A58" s="95" t="s">
        <v>196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>
      <c r="A59" s="95" t="s">
        <v>201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>
      <c r="A60" s="95" t="s">
        <v>153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>
      <c r="A61" s="95" t="s">
        <v>199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>
      <c r="A62" s="95" t="s">
        <v>211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>
      <c r="A63" s="95" t="s">
        <v>194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5" thickBot="1">
      <c r="A66" s="94" t="s">
        <v>157</v>
      </c>
      <c r="B66" s="89">
        <f t="shared" ref="B66:N66" ca="1" si="9">SUM(B67:B79)</f>
        <v>2</v>
      </c>
      <c r="C66" s="89">
        <f t="shared" ca="1" si="9"/>
        <v>2</v>
      </c>
      <c r="D66" s="89">
        <f t="shared" ca="1" si="9"/>
        <v>1</v>
      </c>
      <c r="E66" s="89">
        <f t="shared" ca="1" si="9"/>
        <v>4</v>
      </c>
      <c r="F66" s="89">
        <f t="shared" ca="1" si="9"/>
        <v>1</v>
      </c>
      <c r="G66" s="89">
        <f t="shared" ca="1" si="9"/>
        <v>3</v>
      </c>
      <c r="H66" s="89">
        <f t="shared" ca="1" si="9"/>
        <v>2</v>
      </c>
      <c r="I66" s="89">
        <f t="shared" ca="1" si="9"/>
        <v>3</v>
      </c>
      <c r="J66" s="89">
        <f t="shared" ca="1" si="9"/>
        <v>1</v>
      </c>
      <c r="K66" s="89">
        <f t="shared" ca="1" si="9"/>
        <v>3</v>
      </c>
      <c r="L66" s="89">
        <f t="shared" ca="1" si="9"/>
        <v>5</v>
      </c>
      <c r="M66" s="89">
        <f t="shared" ca="1" si="9"/>
        <v>4</v>
      </c>
      <c r="N66" s="89">
        <f t="shared" ca="1" si="9"/>
        <v>2</v>
      </c>
      <c r="O66" s="91"/>
    </row>
    <row r="67" spans="1:15">
      <c r="A67" s="95" t="s">
        <v>149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1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1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1</v>
      </c>
      <c r="N67" s="86">
        <f ca="1">COUNTIF(INDIRECT(ADDRESS(3,2,1,,N$2)):INDIRECT(ADDRESS(22,2,1,,N$2)),$A67)</f>
        <v>0</v>
      </c>
      <c r="O67" s="92">
        <f t="shared" ref="O67:O80" ca="1" si="10">SUM(B67:N67)</f>
        <v>6</v>
      </c>
    </row>
    <row r="68" spans="1:15">
      <c r="A68" s="95" t="s">
        <v>189</v>
      </c>
      <c r="B68" s="86">
        <f ca="1">COUNTIF(INDIRECT(ADDRESS(3,2,1,,B$2)):INDIRECT(ADDRESS(22,2,1,,B$2)),$A68)</f>
        <v>1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1</v>
      </c>
      <c r="N68" s="86">
        <f ca="1">COUNTIF(INDIRECT(ADDRESS(3,2,1,,N$2)):INDIRECT(ADDRESS(22,2,1,,N$2)),$A68)</f>
        <v>0</v>
      </c>
      <c r="O68" s="92">
        <f t="shared" ca="1" si="10"/>
        <v>2</v>
      </c>
    </row>
    <row r="69" spans="1:15">
      <c r="A69" s="95" t="s">
        <v>186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1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1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0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1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1</v>
      </c>
      <c r="O69" s="92">
        <f t="shared" ca="1" si="10"/>
        <v>4</v>
      </c>
    </row>
    <row r="70" spans="1:15">
      <c r="A70" s="95" t="s">
        <v>192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1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1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1</v>
      </c>
      <c r="L70" s="86">
        <f ca="1">COUNTIF(INDIRECT(ADDRESS(3,2,1,,L$2)):INDIRECT(ADDRESS(22,2,1,,L$2)),$A70)</f>
        <v>1</v>
      </c>
      <c r="M70" s="86">
        <f ca="1">COUNTIF(INDIRECT(ADDRESS(3,2,1,,M$2)):INDIRECT(ADDRESS(22,2,1,,M$2)),$A70)</f>
        <v>1</v>
      </c>
      <c r="N70" s="86">
        <f ca="1">COUNTIF(INDIRECT(ADDRESS(3,2,1,,N$2)):INDIRECT(ADDRESS(22,2,1,,N$2)),$A70)</f>
        <v>0</v>
      </c>
      <c r="O70" s="92">
        <f t="shared" ca="1" si="10"/>
        <v>5</v>
      </c>
    </row>
    <row r="71" spans="1:15">
      <c r="A71" s="95" t="s">
        <v>188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0</v>
      </c>
    </row>
    <row r="72" spans="1:15">
      <c r="A72" s="95" t="s">
        <v>190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1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1</v>
      </c>
      <c r="N72" s="86">
        <f ca="1">COUNTIF(INDIRECT(ADDRESS(3,2,1,,N$2)):INDIRECT(ADDRESS(22,2,1,,N$2)),$A72)</f>
        <v>1</v>
      </c>
      <c r="O72" s="92">
        <f t="shared" ca="1" si="10"/>
        <v>3</v>
      </c>
    </row>
    <row r="73" spans="1:15">
      <c r="A73" s="95" t="s">
        <v>183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0</v>
      </c>
    </row>
    <row r="74" spans="1:15">
      <c r="A74" s="95" t="s">
        <v>184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0</v>
      </c>
    </row>
    <row r="75" spans="1:15">
      <c r="A75" s="95" t="s">
        <v>185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1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1</v>
      </c>
    </row>
    <row r="76" spans="1:15">
      <c r="A76" s="95" t="s">
        <v>187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1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1</v>
      </c>
    </row>
    <row r="77" spans="1:15">
      <c r="A77" s="95" t="s">
        <v>172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1</v>
      </c>
      <c r="F77" s="86">
        <f ca="1">COUNTIF(INDIRECT(ADDRESS(3,2,1,,F$2)):INDIRECT(ADDRESS(22,2,1,,F$2)),$A77)</f>
        <v>1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1</v>
      </c>
      <c r="J77" s="86">
        <f ca="1">COUNTIF(INDIRECT(ADDRESS(3,2,1,,J$2)):INDIRECT(ADDRESS(22,2,1,,J$2)),$A77)</f>
        <v>1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1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5</v>
      </c>
    </row>
    <row r="78" spans="1:15">
      <c r="A78" s="95" t="s">
        <v>191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1</v>
      </c>
      <c r="E78" s="86">
        <f ca="1">COUNTIF(INDIRECT(ADDRESS(3,2,1,,E$2)):INDIRECT(ADDRESS(22,2,1,,E$2)),$A78)</f>
        <v>1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1</v>
      </c>
      <c r="H78" s="86">
        <f ca="1">COUNTIF(INDIRECT(ADDRESS(3,2,1,,H$2)):INDIRECT(ADDRESS(22,2,1,,H$2)),$A78)</f>
        <v>1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1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5</v>
      </c>
    </row>
    <row r="79" spans="1:15">
      <c r="A79" s="95" t="s">
        <v>166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1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>
      <c r="A80" s="95" t="s">
        <v>181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5" thickBot="1">
      <c r="A82" s="94" t="s">
        <v>158</v>
      </c>
      <c r="B82" s="89">
        <f t="shared" ref="B82:N82" ca="1" si="11">SUM(B83:B97)</f>
        <v>1</v>
      </c>
      <c r="C82" s="89">
        <f t="shared" ca="1" si="11"/>
        <v>0</v>
      </c>
      <c r="D82" s="89">
        <f t="shared" ca="1" si="11"/>
        <v>1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>
      <c r="A83" s="95" t="s">
        <v>237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>
      <c r="A84" s="95" t="s">
        <v>238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>
      <c r="A85" s="95" t="s">
        <v>246</v>
      </c>
      <c r="B85" s="86">
        <f ca="1">COUNTIF(INDIRECT(ADDRESS(3,2,1,,B$2)):INDIRECT(ADDRESS(22,2,1,,B$2)),$A85)</f>
        <v>1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1</v>
      </c>
    </row>
    <row r="86" spans="1:15">
      <c r="A86" s="95" t="s">
        <v>195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1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1</v>
      </c>
    </row>
    <row r="87" spans="1:15">
      <c r="A87" s="95" t="s">
        <v>240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>
      <c r="A88" s="95" t="s">
        <v>241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>
      <c r="A89" s="95" t="s">
        <v>259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>
      <c r="A90" s="95" t="s">
        <v>198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>
      <c r="A91" s="95" t="s">
        <v>150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>
      <c r="A92" s="95" t="s">
        <v>258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>
      <c r="A93" s="95" t="s">
        <v>256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>
      <c r="A94" s="95" t="s">
        <v>204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>
      <c r="A95" s="95" t="s">
        <v>193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5" thickBot="1">
      <c r="A99" s="94" t="s">
        <v>159</v>
      </c>
      <c r="B99" s="89">
        <f t="shared" ref="B99:N99" ca="1" si="13">SUM(B100:B112)</f>
        <v>2</v>
      </c>
      <c r="C99" s="89">
        <f t="shared" ca="1" si="13"/>
        <v>3</v>
      </c>
      <c r="D99" s="89">
        <f t="shared" ca="1" si="13"/>
        <v>0</v>
      </c>
      <c r="E99" s="89">
        <f t="shared" ca="1" si="13"/>
        <v>1</v>
      </c>
      <c r="F99" s="89">
        <f t="shared" ca="1" si="13"/>
        <v>0</v>
      </c>
      <c r="G99" s="89">
        <f t="shared" ca="1" si="13"/>
        <v>1</v>
      </c>
      <c r="H99" s="89">
        <f t="shared" ca="1" si="13"/>
        <v>0</v>
      </c>
      <c r="I99" s="89">
        <f t="shared" ca="1" si="13"/>
        <v>0</v>
      </c>
      <c r="J99" s="89">
        <f t="shared" ca="1" si="13"/>
        <v>1</v>
      </c>
      <c r="K99" s="89">
        <f t="shared" ca="1" si="13"/>
        <v>1</v>
      </c>
      <c r="L99" s="89">
        <f t="shared" ca="1" si="13"/>
        <v>0</v>
      </c>
      <c r="M99" s="89">
        <f t="shared" ca="1" si="13"/>
        <v>1</v>
      </c>
      <c r="N99" s="89">
        <f t="shared" ca="1" si="13"/>
        <v>1</v>
      </c>
      <c r="O99" s="91"/>
    </row>
    <row r="100" spans="1:15">
      <c r="A100" s="95" t="s">
        <v>253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0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2</v>
      </c>
    </row>
    <row r="101" spans="1:15">
      <c r="A101" s="95" t="s">
        <v>203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1</v>
      </c>
    </row>
    <row r="102" spans="1:15">
      <c r="A102" s="95" t="s">
        <v>127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1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1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1</v>
      </c>
      <c r="K102" s="86">
        <f ca="1">COUNTIF(INDIRECT(ADDRESS(3,2,1,,K$2)):INDIRECT(ADDRESS(22,2,1,,K$2)),$A102)</f>
        <v>1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1</v>
      </c>
      <c r="N102" s="86">
        <f ca="1">COUNTIF(INDIRECT(ADDRESS(3,2,1,,N$2)):INDIRECT(ADDRESS(22,2,1,,N$2)),$A102)</f>
        <v>1</v>
      </c>
      <c r="O102" s="92">
        <f ca="1">SUM(B102:N102)</f>
        <v>8</v>
      </c>
    </row>
    <row r="103" spans="1:15">
      <c r="A103" s="95" t="s">
        <v>202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5" thickBot="1">
      <c r="A114" s="94" t="s">
        <v>160</v>
      </c>
      <c r="B114" s="89">
        <f t="shared" ref="B114:N114" ca="1" si="14">SUM(B115:B127)</f>
        <v>1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>
      <c r="A115" s="95" t="s">
        <v>205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>
      <c r="A116" s="95" t="s">
        <v>212</v>
      </c>
      <c r="B116" s="86">
        <f ca="1">COUNTIF(INDIRECT(ADDRESS(3,2,1,,B$2)):INDIRECT(ADDRESS(22,2,1,,B$2)),$A116)</f>
        <v>1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1</v>
      </c>
    </row>
    <row r="117" spans="1:15">
      <c r="A117" s="95" t="s">
        <v>206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>
      <c r="A118" s="95" t="s">
        <v>207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>
      <c r="A119" s="95" t="s">
        <v>213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>
      <c r="A120" s="95" t="s">
        <v>214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>
      <c r="A121" s="95" t="s">
        <v>208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>
      <c r="A122" s="95" t="s">
        <v>255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>
      <c r="A123" s="95" t="s">
        <v>209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>
      <c r="A124" s="95" t="s">
        <v>215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>
      <c r="A125" s="95" t="s">
        <v>210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>
      <c r="A126" s="95" t="s">
        <v>216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>
      <c r="A127" s="95" t="s">
        <v>217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5" thickBot="1">
      <c r="A129" s="94" t="s">
        <v>161</v>
      </c>
      <c r="B129" s="89">
        <f t="shared" ref="B129:N129" ca="1" si="16">SUM(B130:B142)</f>
        <v>1</v>
      </c>
      <c r="C129" s="89">
        <f t="shared" ca="1" si="16"/>
        <v>0</v>
      </c>
      <c r="D129" s="89">
        <f t="shared" ca="1" si="16"/>
        <v>2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>
      <c r="A130" s="95" t="s">
        <v>155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>
      <c r="A131" s="95" t="s">
        <v>128</v>
      </c>
      <c r="B131" s="86">
        <f ca="1">COUNTIF(INDIRECT(ADDRESS(3,2,1,,B$2)):INDIRECT(ADDRESS(22,2,1,,B$2)),$A131)</f>
        <v>1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1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2</v>
      </c>
    </row>
    <row r="132" spans="1:15">
      <c r="A132" s="95" t="s">
        <v>218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1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1</v>
      </c>
    </row>
    <row r="133" spans="1:15">
      <c r="A133" s="95" t="s">
        <v>224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>
      <c r="A134" s="95" t="s">
        <v>250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>
      <c r="A135" s="95" t="s">
        <v>243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>
      <c r="A136" s="95" t="s">
        <v>244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>
      <c r="A137" s="95" t="s">
        <v>247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>
      <c r="A138" s="95" t="s">
        <v>219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>
      <c r="A139" s="95" t="s">
        <v>220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>
      <c r="A140" s="95" t="s">
        <v>249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>
      <c r="A141" s="95" t="s">
        <v>222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5" thickBot="1">
      <c r="A144" s="94" t="s">
        <v>254</v>
      </c>
      <c r="B144" s="89">
        <f t="shared" ref="B144:N144" ca="1" si="18">SUM(B145:B157)</f>
        <v>3</v>
      </c>
      <c r="C144" s="89">
        <f t="shared" ca="1" si="18"/>
        <v>4</v>
      </c>
      <c r="D144" s="89">
        <f t="shared" ca="1" si="18"/>
        <v>1</v>
      </c>
      <c r="E144" s="89">
        <f t="shared" ca="1" si="18"/>
        <v>3</v>
      </c>
      <c r="F144" s="89">
        <f t="shared" ca="1" si="18"/>
        <v>3</v>
      </c>
      <c r="G144" s="89">
        <f t="shared" ca="1" si="18"/>
        <v>4</v>
      </c>
      <c r="H144" s="89">
        <f t="shared" ca="1" si="18"/>
        <v>5</v>
      </c>
      <c r="I144" s="89">
        <f t="shared" ca="1" si="18"/>
        <v>2</v>
      </c>
      <c r="J144" s="89">
        <f t="shared" ca="1" si="18"/>
        <v>2</v>
      </c>
      <c r="K144" s="89">
        <f t="shared" ca="1" si="18"/>
        <v>3</v>
      </c>
      <c r="L144" s="89">
        <f t="shared" ca="1" si="18"/>
        <v>2</v>
      </c>
      <c r="M144" s="89">
        <f t="shared" ca="1" si="18"/>
        <v>2</v>
      </c>
      <c r="N144" s="89">
        <f t="shared" ca="1" si="18"/>
        <v>3</v>
      </c>
      <c r="O144" s="91"/>
    </row>
    <row r="145" spans="1:15">
      <c r="A145" s="95" t="s">
        <v>129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1</v>
      </c>
      <c r="H145" s="86">
        <f ca="1">COUNTIF(INDIRECT(ADDRESS(3,2,1,,H$2)):INDIRECT(ADDRESS(22,2,1,,H$2)),$A145)</f>
        <v>1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3</v>
      </c>
    </row>
    <row r="146" spans="1:15">
      <c r="A146" s="95" t="s">
        <v>148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1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1</v>
      </c>
      <c r="K146" s="86">
        <f ca="1">COUNTIF(INDIRECT(ADDRESS(3,2,1,,K$2)):INDIRECT(ADDRESS(22,2,1,,K$2)),$A146)</f>
        <v>1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3</v>
      </c>
    </row>
    <row r="147" spans="1:15">
      <c r="A147" s="95" t="s">
        <v>228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1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0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1</v>
      </c>
      <c r="O147" s="92">
        <f t="shared" ca="1" si="19"/>
        <v>4</v>
      </c>
    </row>
    <row r="148" spans="1:15">
      <c r="A148" s="95" t="s">
        <v>229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1</v>
      </c>
      <c r="D148" s="86">
        <f ca="1">COUNTIF(INDIRECT(ADDRESS(3,2,1,,D$2)):INDIRECT(ADDRESS(22,2,1,,D$2)),$A148)</f>
        <v>1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1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3</v>
      </c>
    </row>
    <row r="149" spans="1:15">
      <c r="A149" s="95" t="s">
        <v>141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1</v>
      </c>
      <c r="I149" s="86">
        <f ca="1">COUNTIF(INDIRECT(ADDRESS(3,2,1,,I$2)):INDIRECT(ADDRESS(22,2,1,,I$2)),$A149)</f>
        <v>1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>
      <c r="A150" s="95" t="s">
        <v>223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0</v>
      </c>
    </row>
    <row r="151" spans="1:15">
      <c r="A151" s="95" t="s">
        <v>132</v>
      </c>
      <c r="B151" s="86">
        <f ca="1">COUNTIF(INDIRECT(ADDRESS(3,2,1,,B$2)):INDIRECT(ADDRESS(22,2,1,,B$2)),$A151)</f>
        <v>1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1</v>
      </c>
      <c r="F151" s="86">
        <f ca="1">COUNTIF(INDIRECT(ADDRESS(3,2,1,,F$2)):INDIRECT(ADDRESS(22,2,1,,F$2)),$A151)</f>
        <v>1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1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1</v>
      </c>
      <c r="L151" s="86">
        <f ca="1">COUNTIF(INDIRECT(ADDRESS(3,2,1,,L$2)):INDIRECT(ADDRESS(22,2,1,,L$2)),$A151)</f>
        <v>1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6</v>
      </c>
    </row>
    <row r="152" spans="1:15">
      <c r="A152" s="95" t="s">
        <v>226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1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1</v>
      </c>
      <c r="G152" s="86">
        <f ca="1">COUNTIF(INDIRECT(ADDRESS(3,2,1,,G$2)):INDIRECT(ADDRESS(22,2,1,,G$2)),$A152)</f>
        <v>1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1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1</v>
      </c>
      <c r="O152" s="92">
        <f t="shared" ca="1" si="19"/>
        <v>5</v>
      </c>
    </row>
    <row r="153" spans="1:15">
      <c r="A153" s="95" t="s">
        <v>225</v>
      </c>
      <c r="B153" s="86">
        <f ca="1">COUNTIF(INDIRECT(ADDRESS(3,2,1,,B$2)):INDIRECT(ADDRESS(22,2,1,,B$2)),$A153)</f>
        <v>1</v>
      </c>
      <c r="C153" s="86">
        <f ca="1">COUNTIF(INDIRECT(ADDRESS(3,2,1,,C$2)):INDIRECT(ADDRESS(22,2,1,,C$2)),$A153)</f>
        <v>1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1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1</v>
      </c>
      <c r="O153" s="92">
        <f t="shared" ca="1" si="19"/>
        <v>4</v>
      </c>
    </row>
    <row r="154" spans="1:15">
      <c r="A154" s="95" t="s">
        <v>227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>
      <c r="A155" s="95" t="s">
        <v>230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1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1</v>
      </c>
      <c r="H155" s="86">
        <f ca="1">COUNTIF(INDIRECT(ADDRESS(3,2,1,,H$2)):INDIRECT(ADDRESS(22,2,1,,H$2)),$A155)</f>
        <v>1</v>
      </c>
      <c r="I155" s="86">
        <f ca="1">COUNTIF(INDIRECT(ADDRESS(3,2,1,,I$2)):INDIRECT(ADDRESS(22,2,1,,I$2)),$A155)</f>
        <v>1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1</v>
      </c>
      <c r="M155" s="86">
        <f ca="1">COUNTIF(INDIRECT(ADDRESS(3,2,1,,M$2)):INDIRECT(ADDRESS(22,2,1,,M$2)),$A155)</f>
        <v>1</v>
      </c>
      <c r="N155" s="86">
        <f ca="1">COUNTIF(INDIRECT(ADDRESS(3,2,1,,N$2)):INDIRECT(ADDRESS(22,2,1,,N$2)),$A155)</f>
        <v>0</v>
      </c>
      <c r="O155" s="92">
        <f t="shared" ca="1" si="19"/>
        <v>7</v>
      </c>
    </row>
    <row r="156" spans="1:15">
      <c r="A156" s="95" t="s">
        <v>231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5" thickBot="1">
      <c r="A159" s="94" t="s">
        <v>162</v>
      </c>
      <c r="B159" s="89">
        <f t="shared" ref="B159:N159" ca="1" si="20">SUM(B160:B172)</f>
        <v>4</v>
      </c>
      <c r="C159" s="89">
        <f t="shared" ca="1" si="20"/>
        <v>4</v>
      </c>
      <c r="D159" s="89">
        <f ca="1">SUM(D160:D173)</f>
        <v>6</v>
      </c>
      <c r="E159" s="89">
        <f t="shared" ca="1" si="20"/>
        <v>6</v>
      </c>
      <c r="F159" s="89">
        <f t="shared" ca="1" si="20"/>
        <v>8</v>
      </c>
      <c r="G159" s="89">
        <f t="shared" ca="1" si="20"/>
        <v>5</v>
      </c>
      <c r="H159" s="89">
        <f t="shared" ca="1" si="20"/>
        <v>4</v>
      </c>
      <c r="I159" s="89">
        <f t="shared" ca="1" si="20"/>
        <v>6</v>
      </c>
      <c r="J159" s="89">
        <f t="shared" ca="1" si="20"/>
        <v>8</v>
      </c>
      <c r="K159" s="89">
        <f t="shared" ca="1" si="20"/>
        <v>3</v>
      </c>
      <c r="L159" s="89">
        <f t="shared" ca="1" si="20"/>
        <v>8</v>
      </c>
      <c r="M159" s="89">
        <f t="shared" ca="1" si="20"/>
        <v>10</v>
      </c>
      <c r="N159" s="89">
        <f t="shared" ca="1" si="20"/>
        <v>5</v>
      </c>
      <c r="O159" s="91"/>
    </row>
    <row r="160" spans="1:15">
      <c r="A160" s="95" t="s">
        <v>137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1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0</v>
      </c>
      <c r="O160" s="92">
        <f t="shared" ref="O160:O173" ca="1" si="21">SUM(B160:N160)</f>
        <v>10</v>
      </c>
    </row>
    <row r="161" spans="1:15">
      <c r="A161" s="95" t="s">
        <v>135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1</v>
      </c>
      <c r="O161" s="92">
        <f t="shared" ca="1" si="21"/>
        <v>7</v>
      </c>
    </row>
    <row r="162" spans="1:15">
      <c r="A162" s="95" t="s">
        <v>124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1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1</v>
      </c>
      <c r="I162" s="86">
        <f ca="1">COUNTIF(INDIRECT(ADDRESS(3,2,1,,I$2)):INDIRECT(ADDRESS(22,2,1,,I$2)),$A162)</f>
        <v>1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1</v>
      </c>
      <c r="N162" s="86">
        <f ca="1">COUNTIF(INDIRECT(ADDRESS(3,2,1,,N$2)):INDIRECT(ADDRESS(22,2,1,,N$2)),$A162)</f>
        <v>0</v>
      </c>
      <c r="O162" s="92">
        <f t="shared" ca="1" si="21"/>
        <v>8</v>
      </c>
    </row>
    <row r="163" spans="1:15">
      <c r="A163" s="95" t="s">
        <v>146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0</v>
      </c>
      <c r="I163" s="86">
        <f ca="1">COUNTIF(INDIRECT(ADDRESS(3,2,1,,I$2)):INDIRECT(ADDRESS(22,2,1,,I$2)),$A163)</f>
        <v>0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1</v>
      </c>
      <c r="L163" s="86">
        <f ca="1">COUNTIF(INDIRECT(ADDRESS(3,2,1,,L$2)):INDIRECT(ADDRESS(22,2,1,,L$2)),$A163)</f>
        <v>1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2">
        <f t="shared" ca="1" si="21"/>
        <v>5</v>
      </c>
    </row>
    <row r="164" spans="1:15">
      <c r="A164" s="95" t="s">
        <v>235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1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1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1</v>
      </c>
      <c r="O164" s="92">
        <f t="shared" ca="1" si="21"/>
        <v>4</v>
      </c>
    </row>
    <row r="165" spans="1:15">
      <c r="A165" s="95" t="s">
        <v>175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1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0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3</v>
      </c>
    </row>
    <row r="166" spans="1:15">
      <c r="A166" s="95" t="s">
        <v>125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1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1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1"/>
        <v>5</v>
      </c>
    </row>
    <row r="167" spans="1:15">
      <c r="A167" s="95" t="s">
        <v>234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1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1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0</v>
      </c>
      <c r="O167" s="92">
        <f t="shared" ca="1" si="21"/>
        <v>5</v>
      </c>
    </row>
    <row r="168" spans="1:15">
      <c r="A168" s="95" t="s">
        <v>139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1</v>
      </c>
      <c r="E168" s="86">
        <f ca="1">COUNTIF(INDIRECT(ADDRESS(3,2,1,,E$2)):INDIRECT(ADDRESS(22,2,1,,E$2)),$A168)</f>
        <v>0</v>
      </c>
      <c r="F168" s="86">
        <f ca="1">COUNTIF(INDIRECT(ADDRESS(3,2,1,,F$2)):INDIRECT(ADDRESS(22,2,1,,F$2)),$A168)</f>
        <v>1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7</v>
      </c>
    </row>
    <row r="169" spans="1:15">
      <c r="A169" s="95" t="s">
        <v>232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1</v>
      </c>
      <c r="H169" s="86">
        <f ca="1">COUNTIF(INDIRECT(ADDRESS(3,2,1,,H$2)):INDIRECT(ADDRESS(22,2,1,,H$2)),$A169)</f>
        <v>1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1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0</v>
      </c>
      <c r="O169" s="92">
        <f t="shared" ca="1" si="21"/>
        <v>7</v>
      </c>
    </row>
    <row r="170" spans="1:15">
      <c r="A170" s="95" t="s">
        <v>233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1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1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1</v>
      </c>
      <c r="N170" s="86">
        <f ca="1">COUNTIF(INDIRECT(ADDRESS(3,2,1,,N$2)):INDIRECT(ADDRESS(22,2,1,,N$2)),$A170)</f>
        <v>0</v>
      </c>
      <c r="O170" s="92">
        <f t="shared" ca="1" si="21"/>
        <v>7</v>
      </c>
    </row>
    <row r="171" spans="1:15">
      <c r="A171" s="95" t="s">
        <v>171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1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1</v>
      </c>
      <c r="N171" s="86">
        <f ca="1">COUNTIF(INDIRECT(ADDRESS(3,2,1,,N$2)):INDIRECT(ADDRESS(22,2,1,,N$2)),$A171)</f>
        <v>0</v>
      </c>
      <c r="O171" s="92">
        <f t="shared" ca="1" si="21"/>
        <v>2</v>
      </c>
    </row>
    <row r="172" spans="1:15">
      <c r="A172" s="95" t="s">
        <v>140</v>
      </c>
      <c r="B172" s="86">
        <f ca="1">COUNTIF(INDIRECT(ADDRESS(3,2,1,,B$2)):INDIRECT(ADDRESS(22,2,1,,B$2)),$A172)</f>
        <v>1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1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1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1</v>
      </c>
      <c r="M172" s="86">
        <f ca="1">COUNTIF(INDIRECT(ADDRESS(3,2,1,,M$2)):INDIRECT(ADDRESS(22,2,1,,M$2)),$A172)</f>
        <v>1</v>
      </c>
      <c r="N172" s="86">
        <f ca="1">COUNTIF(INDIRECT(ADDRESS(3,2,1,,N$2)):INDIRECT(ADDRESS(22,2,1,,N$2)),$A172)</f>
        <v>1</v>
      </c>
      <c r="O172" s="92">
        <f t="shared" ca="1" si="21"/>
        <v>7</v>
      </c>
    </row>
    <row r="173" spans="1:15">
      <c r="A173" s="95" t="s">
        <v>147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1</v>
      </c>
      <c r="J173" s="86">
        <f ca="1">COUNTIF(INDIRECT(ADDRESS(3,2,1,,J$2)):INDIRECT(ADDRESS(22,2,1,,J$2)),$A173)</f>
        <v>1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4</v>
      </c>
    </row>
    <row r="174" spans="1:15" s="28" customFormat="1"/>
    <row r="178" spans="1:15" ht="13.5" thickBot="1">
      <c r="A178" s="94" t="s">
        <v>163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>
      <c r="A179" s="95" t="s">
        <v>268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>
      <c r="A180" s="95" t="s">
        <v>236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>
      <c r="A181" s="95" t="s">
        <v>269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>
      <c r="A182" s="95" t="s">
        <v>260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>
      <c r="A183" s="95" t="s">
        <v>245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>
      <c r="A184" s="95" t="s">
        <v>239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>
      <c r="A185" s="95" t="s">
        <v>248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>
      <c r="A186" s="95" t="s">
        <v>252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>
      <c r="A187" s="95" t="s">
        <v>261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>
      <c r="A188" s="95" t="s">
        <v>242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>
      <c r="A189" s="95" t="s">
        <v>136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>
      <c r="O191"/>
    </row>
    <row r="192" spans="1:15">
      <c r="O192"/>
    </row>
    <row r="193" spans="15:15">
      <c r="O193"/>
    </row>
    <row r="194" spans="15:15">
      <c r="O194"/>
    </row>
    <row r="195" spans="15:15">
      <c r="O195"/>
    </row>
    <row r="196" spans="15:15">
      <c r="O196"/>
    </row>
    <row r="197" spans="15:15">
      <c r="O197"/>
    </row>
    <row r="198" spans="15:15">
      <c r="O198"/>
    </row>
    <row r="199" spans="15:15">
      <c r="O199"/>
    </row>
    <row r="200" spans="15:15">
      <c r="O200"/>
    </row>
    <row r="201" spans="15:15">
      <c r="O201"/>
    </row>
    <row r="202" spans="15:1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4"/>
  <dimension ref="A2:W202"/>
  <sheetViews>
    <sheetView workbookViewId="0">
      <selection activeCell="A26" sqref="A26"/>
    </sheetView>
  </sheetViews>
  <sheetFormatPr defaultRowHeight="12.75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251</v>
      </c>
    </row>
    <row r="3" spans="1:23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0</v>
      </c>
      <c r="H3" s="103">
        <f t="shared" ca="1" si="0"/>
        <v>2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1</v>
      </c>
      <c r="N3" s="103">
        <f t="shared" ca="1" si="0"/>
        <v>1</v>
      </c>
      <c r="O3" s="92">
        <f t="shared" ref="O3:O13" ca="1" si="1">SUM(B3:N3)</f>
        <v>5</v>
      </c>
      <c r="P3" s="2"/>
      <c r="Q3" s="2"/>
      <c r="R3" s="2"/>
      <c r="S3" s="2"/>
      <c r="T3" s="2"/>
      <c r="U3" s="2"/>
      <c r="V3" s="2"/>
      <c r="W3" s="2"/>
    </row>
    <row r="4" spans="1:23">
      <c r="A4" s="102" t="str">
        <f>A$159</f>
        <v>Southeastern</v>
      </c>
      <c r="B4" s="103">
        <f t="shared" ca="1" si="0"/>
        <v>1</v>
      </c>
      <c r="C4" s="103">
        <f t="shared" ca="1" si="0"/>
        <v>2</v>
      </c>
      <c r="D4" s="103">
        <f t="shared" ca="1" si="0"/>
        <v>2</v>
      </c>
      <c r="E4" s="103">
        <f t="shared" ca="1" si="0"/>
        <v>0</v>
      </c>
      <c r="F4" s="103">
        <f t="shared" ca="1" si="0"/>
        <v>0</v>
      </c>
      <c r="G4" s="103">
        <f t="shared" ca="1" si="0"/>
        <v>1</v>
      </c>
      <c r="H4" s="103">
        <f t="shared" ca="1" si="0"/>
        <v>0</v>
      </c>
      <c r="I4" s="103">
        <f t="shared" ca="1" si="0"/>
        <v>2</v>
      </c>
      <c r="J4" s="103">
        <f t="shared" ca="1" si="0"/>
        <v>0</v>
      </c>
      <c r="K4" s="103">
        <f t="shared" ca="1" si="0"/>
        <v>0</v>
      </c>
      <c r="L4" s="103">
        <f t="shared" ca="1" si="0"/>
        <v>0</v>
      </c>
      <c r="M4" s="103">
        <f t="shared" ca="1" si="0"/>
        <v>1</v>
      </c>
      <c r="N4" s="103">
        <f t="shared" ca="1" si="0"/>
        <v>1</v>
      </c>
      <c r="O4" s="92">
        <f t="shared" ca="1" si="1"/>
        <v>10</v>
      </c>
    </row>
    <row r="5" spans="1:23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1</v>
      </c>
      <c r="M6" s="103">
        <f t="shared" ca="1" si="0"/>
        <v>0</v>
      </c>
      <c r="N6" s="103">
        <f t="shared" ca="1" si="0"/>
        <v>0</v>
      </c>
      <c r="O6" s="92">
        <f t="shared" ca="1" si="1"/>
        <v>1</v>
      </c>
    </row>
    <row r="7" spans="1:23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0</v>
      </c>
      <c r="E7" s="103">
        <f t="shared" ca="1" si="0"/>
        <v>1</v>
      </c>
      <c r="F7" s="103">
        <f t="shared" ca="1" si="0"/>
        <v>0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1</v>
      </c>
      <c r="L7" s="103">
        <f t="shared" ca="1" si="0"/>
        <v>1</v>
      </c>
      <c r="M7" s="103">
        <f t="shared" ca="1" si="0"/>
        <v>0</v>
      </c>
      <c r="N7" s="103">
        <f t="shared" ca="1" si="0"/>
        <v>0</v>
      </c>
      <c r="O7" s="92">
        <f t="shared" ca="1" si="1"/>
        <v>3</v>
      </c>
    </row>
    <row r="8" spans="1:23">
      <c r="A8" s="102" t="str">
        <f>A$82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>
      <c r="A12" s="102" t="str">
        <f>A$144</f>
        <v>Pacific 12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1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2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3</v>
      </c>
    </row>
    <row r="13" spans="1:23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0</v>
      </c>
      <c r="G14" s="107">
        <f t="shared" ca="1" si="2"/>
        <v>1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1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22</v>
      </c>
      <c r="P14" s="2"/>
      <c r="Q14" s="2"/>
      <c r="R14" s="2"/>
      <c r="S14" s="2"/>
      <c r="T14" s="2"/>
      <c r="U14" s="2"/>
      <c r="V14" s="2"/>
      <c r="W14" s="2"/>
    </row>
    <row r="15" spans="1:23">
      <c r="O15"/>
    </row>
    <row r="19" spans="1:15" s="28" customFormat="1" ht="13.5" thickBot="1">
      <c r="A19" s="104" t="s">
        <v>164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0</v>
      </c>
      <c r="E19" s="100">
        <f t="shared" ca="1" si="3"/>
        <v>0</v>
      </c>
      <c r="F19" s="100">
        <f t="shared" ca="1" si="3"/>
        <v>0</v>
      </c>
      <c r="G19" s="100">
        <f t="shared" ca="1" si="3"/>
        <v>0</v>
      </c>
      <c r="H19" s="100">
        <f t="shared" ca="1" si="3"/>
        <v>2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1</v>
      </c>
      <c r="N19" s="100">
        <f t="shared" ca="1" si="3"/>
        <v>1</v>
      </c>
      <c r="O19" s="101"/>
    </row>
    <row r="20" spans="1:15">
      <c r="A20" s="105" t="s">
        <v>143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0</v>
      </c>
    </row>
    <row r="21" spans="1:15">
      <c r="A21" s="105" t="s">
        <v>131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>
      <c r="A23" s="105" t="s">
        <v>142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1</v>
      </c>
      <c r="N23" s="103">
        <f ca="1">COUNTIF(INDIRECT(ADDRESS(21,2,1,,N$2)):INDIRECT(ADDRESS(22,2,1,,N$2)),$A23)</f>
        <v>0</v>
      </c>
      <c r="O23" s="92">
        <f t="shared" ca="1" si="4"/>
        <v>1</v>
      </c>
    </row>
    <row r="24" spans="1:15">
      <c r="A24" s="105" t="s">
        <v>126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1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1</v>
      </c>
      <c r="O24" s="92">
        <f t="shared" ca="1" si="4"/>
        <v>2</v>
      </c>
    </row>
    <row r="25" spans="1:15">
      <c r="A25" s="105" t="s">
        <v>179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>
      <c r="A26" s="105" t="s">
        <v>144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>
      <c r="A27" s="105" t="s">
        <v>156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>
      <c r="A28" s="105" t="s">
        <v>151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>
      <c r="A29" s="105" t="s">
        <v>180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>
      <c r="A30" s="105" t="s">
        <v>133</v>
      </c>
      <c r="B30" s="103">
        <f ca="1">COUNTIF(INDIRECT(ADDRESS(21,2,1,,B$2)):INDIRECT(ADDRESS(22,2,1,,B$2)),$A30)</f>
        <v>1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1</v>
      </c>
    </row>
    <row r="31" spans="1:15">
      <c r="A31" s="105" t="s">
        <v>168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1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1</v>
      </c>
    </row>
    <row r="32" spans="1:15">
      <c r="A32" s="105" t="s">
        <v>154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>
      <c r="A33" s="105" t="s">
        <v>130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5" thickBot="1">
      <c r="A36" s="104" t="s">
        <v>165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1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>
      <c r="A37" s="105" t="s">
        <v>173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>
      <c r="A38" s="105" t="s">
        <v>169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>
      <c r="A39" s="105" t="s">
        <v>170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>
      <c r="A40" s="105" t="s">
        <v>138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1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1</v>
      </c>
    </row>
    <row r="41" spans="1:23">
      <c r="A41" s="105" t="s">
        <v>145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>
      <c r="A42" s="105" t="s">
        <v>134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>
      <c r="A43" s="105" t="s">
        <v>221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>
      <c r="A44" s="105" t="s">
        <v>174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>
      <c r="A45" s="105" t="s">
        <v>176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>
      <c r="A46" s="105" t="s">
        <v>182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>
      <c r="A52" s="104" t="s">
        <v>257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>
      <c r="A53" s="105" t="s">
        <v>177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>
      <c r="A54" s="105" t="s">
        <v>178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>
      <c r="A55" s="105" t="s">
        <v>197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>
      <c r="A56" s="105" t="s">
        <v>200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>
      <c r="A57" s="105" t="s">
        <v>196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>
      <c r="A58" s="105" t="s">
        <v>201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>
      <c r="A59" s="105" t="s">
        <v>153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>
      <c r="A60" s="105" t="s">
        <v>199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>
      <c r="A61" s="105" t="s">
        <v>211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>
      <c r="A62" s="105" t="s">
        <v>194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>
      <c r="A63" s="105" t="s">
        <v>152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0</v>
      </c>
    </row>
    <row r="66" spans="1:15" s="28" customFormat="1" ht="13.5" thickBot="1">
      <c r="A66" s="104" t="s">
        <v>157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0</v>
      </c>
      <c r="E66" s="100">
        <f t="shared" ca="1" si="10"/>
        <v>1</v>
      </c>
      <c r="F66" s="100">
        <f t="shared" ca="1" si="10"/>
        <v>0</v>
      </c>
      <c r="G66" s="100">
        <f t="shared" ca="1" si="10"/>
        <v>0</v>
      </c>
      <c r="H66" s="100">
        <f t="shared" ca="1" si="10"/>
        <v>0</v>
      </c>
      <c r="I66" s="100">
        <f t="shared" ca="1" si="10"/>
        <v>0</v>
      </c>
      <c r="J66" s="100">
        <f t="shared" ca="1" si="10"/>
        <v>0</v>
      </c>
      <c r="K66" s="100">
        <f t="shared" ca="1" si="10"/>
        <v>1</v>
      </c>
      <c r="L66" s="100">
        <f t="shared" ca="1" si="10"/>
        <v>1</v>
      </c>
      <c r="M66" s="100">
        <f t="shared" ca="1" si="10"/>
        <v>0</v>
      </c>
      <c r="N66" s="100">
        <f t="shared" ca="1" si="10"/>
        <v>0</v>
      </c>
      <c r="O66" s="101"/>
    </row>
    <row r="67" spans="1:15">
      <c r="A67" s="105" t="s">
        <v>183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>
      <c r="A68" s="105" t="s">
        <v>184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>
      <c r="A69" s="105" t="s">
        <v>185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>
      <c r="A70" s="105" t="s">
        <v>149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1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1</v>
      </c>
    </row>
    <row r="71" spans="1:15">
      <c r="A71" s="105" t="s">
        <v>186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0</v>
      </c>
    </row>
    <row r="72" spans="1:15">
      <c r="A72" s="105" t="s">
        <v>187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>
      <c r="A73" s="105" t="s">
        <v>172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1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1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2</v>
      </c>
    </row>
    <row r="74" spans="1:15">
      <c r="A74" s="105" t="s">
        <v>188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>
      <c r="A75" s="105" t="s">
        <v>189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0</v>
      </c>
    </row>
    <row r="76" spans="1:15">
      <c r="A76" s="105" t="s">
        <v>190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0</v>
      </c>
    </row>
    <row r="77" spans="1:15">
      <c r="A77" s="105" t="s">
        <v>191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0</v>
      </c>
    </row>
    <row r="78" spans="1:15">
      <c r="A78" s="105" t="s">
        <v>192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0</v>
      </c>
    </row>
    <row r="79" spans="1:15">
      <c r="A79" s="105" t="s">
        <v>166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>
      <c r="A80" s="105" t="s">
        <v>181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5" thickBot="1">
      <c r="A82" s="104" t="s">
        <v>158</v>
      </c>
      <c r="B82" s="100">
        <f t="shared" ref="B82:N82" ca="1" si="13">SUM(B83:B97)</f>
        <v>0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>
      <c r="A83" s="105" t="s">
        <v>237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>
      <c r="A84" s="105" t="s">
        <v>238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>
      <c r="A85" s="105" t="s">
        <v>246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>
      <c r="A86" s="105" t="s">
        <v>195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0</v>
      </c>
    </row>
    <row r="87" spans="1:15">
      <c r="A87" s="105" t="s">
        <v>240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>
      <c r="A88" s="105" t="s">
        <v>241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>
      <c r="A89" s="105" t="s">
        <v>259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>
      <c r="A90" s="105" t="s">
        <v>198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>
      <c r="A91" s="105" t="s">
        <v>150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>
      <c r="A92" s="105" t="s">
        <v>258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>
      <c r="A93" s="105" t="s">
        <v>256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>
      <c r="A94" s="105" t="s">
        <v>204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>
      <c r="A95" s="105" t="s">
        <v>193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5" thickBot="1">
      <c r="A99" s="104" t="s">
        <v>159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>
      <c r="A100" s="105" t="s">
        <v>202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>
      <c r="A101" s="105" t="s">
        <v>253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>
      <c r="A102" s="105" t="s">
        <v>203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>
      <c r="A103" s="105" t="s">
        <v>127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0</v>
      </c>
    </row>
    <row r="114" spans="1:15" s="28" customFormat="1" ht="13.5" thickBot="1">
      <c r="A114" s="104" t="s">
        <v>160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>
      <c r="A115" s="105" t="s">
        <v>205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>
      <c r="A116" s="105" t="s">
        <v>212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>
      <c r="A117" s="105" t="s">
        <v>206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>
      <c r="A118" s="105" t="s">
        <v>207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>
      <c r="A119" s="105" t="s">
        <v>213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>
      <c r="A120" s="105" t="s">
        <v>214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>
      <c r="A121" s="105" t="s">
        <v>208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>
      <c r="A122" s="105" t="s">
        <v>255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>
      <c r="A123" s="105" t="s">
        <v>209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>
      <c r="A124" s="105" t="s">
        <v>215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>
      <c r="A125" s="105" t="s">
        <v>210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>
      <c r="A126" s="105" t="s">
        <v>216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>
      <c r="A127" s="105" t="s">
        <v>217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5" thickBot="1">
      <c r="A129" s="104" t="s">
        <v>161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>
      <c r="A130" s="105" t="s">
        <v>218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>
      <c r="A131" s="105" t="s">
        <v>155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>
      <c r="A132" s="105" t="s">
        <v>128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>
      <c r="A133" s="105" t="s">
        <v>243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>
      <c r="A134" s="105" t="s">
        <v>244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>
      <c r="A135" s="105" t="s">
        <v>247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>
      <c r="A136" s="105" t="s">
        <v>219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>
      <c r="A137" s="105" t="s">
        <v>220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>
      <c r="A138" s="105" t="s">
        <v>249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>
      <c r="A139" s="105" t="s">
        <v>222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>
      <c r="A140" s="105" t="s">
        <v>250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>
      <c r="A141" s="105" t="s">
        <v>224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5" thickBot="1">
      <c r="A144" s="104" t="s">
        <v>254</v>
      </c>
      <c r="B144" s="100">
        <f t="shared" ref="B144:N144" ca="1" si="21">SUM(B145:B157)</f>
        <v>0</v>
      </c>
      <c r="C144" s="100">
        <f t="shared" ca="1" si="21"/>
        <v>0</v>
      </c>
      <c r="D144" s="100">
        <f t="shared" ca="1" si="21"/>
        <v>0</v>
      </c>
      <c r="E144" s="100">
        <f t="shared" ca="1" si="21"/>
        <v>1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2</v>
      </c>
      <c r="K144" s="100">
        <f t="shared" ca="1" si="21"/>
        <v>0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>
      <c r="A145" s="105" t="s">
        <v>226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1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1</v>
      </c>
    </row>
    <row r="146" spans="1:15">
      <c r="A146" s="105" t="s">
        <v>225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>
      <c r="A147" s="105" t="s">
        <v>141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>
      <c r="A148" s="105" t="s">
        <v>129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0</v>
      </c>
    </row>
    <row r="149" spans="1:15">
      <c r="A149" s="105" t="s">
        <v>148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1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1</v>
      </c>
    </row>
    <row r="150" spans="1:15">
      <c r="A150" s="105" t="s">
        <v>227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>
      <c r="A151" s="105" t="s">
        <v>228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0</v>
      </c>
    </row>
    <row r="152" spans="1:15">
      <c r="A152" s="105" t="s">
        <v>229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>
      <c r="A153" s="105" t="s">
        <v>230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>
      <c r="A154" s="105" t="s">
        <v>223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>
      <c r="A155" s="105" t="s">
        <v>132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1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1</v>
      </c>
    </row>
    <row r="156" spans="1:15">
      <c r="A156" s="105" t="s">
        <v>231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5" thickBot="1">
      <c r="A159" s="104" t="s">
        <v>162</v>
      </c>
      <c r="B159" s="100">
        <f t="shared" ref="B159:N159" ca="1" si="23">SUM(B160:B172)</f>
        <v>1</v>
      </c>
      <c r="C159" s="100">
        <f t="shared" ca="1" si="23"/>
        <v>2</v>
      </c>
      <c r="D159" s="100">
        <f ca="1">SUM(D160:D173)</f>
        <v>2</v>
      </c>
      <c r="E159" s="100">
        <f t="shared" ca="1" si="23"/>
        <v>0</v>
      </c>
      <c r="F159" s="100">
        <f t="shared" ca="1" si="23"/>
        <v>0</v>
      </c>
      <c r="G159" s="100">
        <f t="shared" ca="1" si="23"/>
        <v>1</v>
      </c>
      <c r="H159" s="100">
        <f t="shared" ca="1" si="23"/>
        <v>0</v>
      </c>
      <c r="I159" s="100">
        <f t="shared" ca="1" si="23"/>
        <v>2</v>
      </c>
      <c r="J159" s="100">
        <f t="shared" ca="1" si="23"/>
        <v>0</v>
      </c>
      <c r="K159" s="100">
        <f t="shared" ca="1" si="23"/>
        <v>0</v>
      </c>
      <c r="L159" s="100">
        <f t="shared" ca="1" si="23"/>
        <v>0</v>
      </c>
      <c r="M159" s="100">
        <f t="shared" ca="1" si="23"/>
        <v>1</v>
      </c>
      <c r="N159" s="100">
        <f t="shared" ca="1" si="23"/>
        <v>1</v>
      </c>
      <c r="O159" s="101"/>
    </row>
    <row r="160" spans="1:15">
      <c r="A160" s="105" t="s">
        <v>135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1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1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1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ref="O160:O173" ca="1" si="24">SUM(B160:N160)</f>
        <v>4</v>
      </c>
    </row>
    <row r="161" spans="1:15">
      <c r="A161" s="105" t="s">
        <v>146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0</v>
      </c>
    </row>
    <row r="162" spans="1:15">
      <c r="A162" s="105" t="s">
        <v>234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0</v>
      </c>
    </row>
    <row r="163" spans="1:15">
      <c r="A163" s="105" t="s">
        <v>139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0</v>
      </c>
    </row>
    <row r="164" spans="1:15">
      <c r="A164" s="105" t="s">
        <v>232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1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1</v>
      </c>
      <c r="N164" s="103">
        <f ca="1">COUNTIF(INDIRECT(ADDRESS(21,2,1,,N$2)):INDIRECT(ADDRESS(22,2,1,,N$2)),$A164)</f>
        <v>0</v>
      </c>
      <c r="O164" s="92">
        <f t="shared" ca="1" si="24"/>
        <v>2</v>
      </c>
    </row>
    <row r="165" spans="1:15">
      <c r="A165" s="105" t="s">
        <v>233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1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1</v>
      </c>
    </row>
    <row r="166" spans="1:15">
      <c r="A166" s="105" t="s">
        <v>124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>
      <c r="A167" s="105" t="s">
        <v>235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>
      <c r="A168" s="105" t="s">
        <v>125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>
      <c r="A169" s="105" t="s">
        <v>171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>
      <c r="A170" s="105" t="s">
        <v>137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1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4"/>
        <v>1</v>
      </c>
    </row>
    <row r="171" spans="1:15">
      <c r="A171" s="105" t="s">
        <v>140</v>
      </c>
      <c r="B171" s="103">
        <f ca="1">COUNTIF(INDIRECT(ADDRESS(21,2,1,,B$2)):INDIRECT(ADDRESS(22,2,1,,B$2)),$A171)</f>
        <v>1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1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2</v>
      </c>
    </row>
    <row r="172" spans="1:15">
      <c r="A172" s="105" t="s">
        <v>175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>
      <c r="A173" s="105" t="s">
        <v>147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/>
    <row r="178" spans="1:15" ht="13.5" thickBot="1">
      <c r="A178" s="104" t="s">
        <v>163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>
      <c r="A179" s="105" t="s">
        <v>268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>
      <c r="A180" s="105" t="s">
        <v>236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>
      <c r="A181" s="105" t="s">
        <v>269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>
      <c r="A182" s="105" t="s">
        <v>260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>
      <c r="A183" s="105" t="s">
        <v>245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>
      <c r="A184" s="105" t="s">
        <v>239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>
      <c r="A185" s="105" t="s">
        <v>248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>
      <c r="A186" s="105" t="s">
        <v>252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>
      <c r="A187" s="105" t="s">
        <v>261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>
      <c r="A188" s="105" t="s">
        <v>242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>
      <c r="A189" s="105" t="s">
        <v>136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>
      <c r="O191"/>
    </row>
    <row r="192" spans="1:15">
      <c r="O192"/>
    </row>
    <row r="193" spans="15:15">
      <c r="O193"/>
    </row>
    <row r="194" spans="15:15">
      <c r="O194"/>
    </row>
    <row r="195" spans="15:15">
      <c r="O195"/>
    </row>
    <row r="196" spans="15:15">
      <c r="O196"/>
    </row>
    <row r="197" spans="15:15">
      <c r="O197"/>
    </row>
    <row r="198" spans="15:15">
      <c r="O198"/>
    </row>
    <row r="199" spans="15:15">
      <c r="O199"/>
    </row>
    <row r="200" spans="15:15">
      <c r="O200"/>
    </row>
    <row r="201" spans="15:15">
      <c r="O201"/>
    </row>
    <row r="202" spans="15:1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5"/>
  <dimension ref="A1:D78"/>
  <sheetViews>
    <sheetView workbookViewId="0">
      <selection activeCell="B31" sqref="B31"/>
    </sheetView>
  </sheetViews>
  <sheetFormatPr defaultRowHeight="12.75"/>
  <sheetData>
    <row r="1" spans="1:4" ht="15.75">
      <c r="A1" s="57" t="s">
        <v>49</v>
      </c>
    </row>
    <row r="2" spans="1:4">
      <c r="A2" s="28" t="s">
        <v>50</v>
      </c>
    </row>
    <row r="3" spans="1:4">
      <c r="B3" t="s">
        <v>51</v>
      </c>
    </row>
    <row r="4" spans="1:4">
      <c r="B4" t="s">
        <v>53</v>
      </c>
    </row>
    <row r="5" spans="1:4">
      <c r="A5" s="28" t="s">
        <v>52</v>
      </c>
    </row>
    <row r="6" spans="1:4">
      <c r="B6" t="s">
        <v>54</v>
      </c>
    </row>
    <row r="7" spans="1:4">
      <c r="C7" t="s">
        <v>55</v>
      </c>
    </row>
    <row r="8" spans="1:4">
      <c r="C8" t="s">
        <v>72</v>
      </c>
    </row>
    <row r="9" spans="1:4">
      <c r="B9" t="s">
        <v>63</v>
      </c>
    </row>
    <row r="10" spans="1:4">
      <c r="C10" t="s">
        <v>64</v>
      </c>
    </row>
    <row r="11" spans="1:4">
      <c r="C11" t="s">
        <v>71</v>
      </c>
    </row>
    <row r="12" spans="1:4">
      <c r="C12" t="s">
        <v>59</v>
      </c>
    </row>
    <row r="13" spans="1:4">
      <c r="C13" t="s">
        <v>65</v>
      </c>
    </row>
    <row r="14" spans="1:4">
      <c r="D14" t="s">
        <v>66</v>
      </c>
    </row>
    <row r="15" spans="1:4">
      <c r="D15" t="s">
        <v>67</v>
      </c>
    </row>
    <row r="16" spans="1:4">
      <c r="B16" t="s">
        <v>62</v>
      </c>
    </row>
    <row r="17" spans="2:3">
      <c r="C17" t="s">
        <v>56</v>
      </c>
    </row>
    <row r="18" spans="2:3">
      <c r="C18" t="s">
        <v>57</v>
      </c>
    </row>
    <row r="25" spans="2:3">
      <c r="B25" t="s">
        <v>61</v>
      </c>
    </row>
    <row r="26" spans="2:3">
      <c r="C26" t="s">
        <v>58</v>
      </c>
    </row>
    <row r="27" spans="2:3">
      <c r="C27" t="s">
        <v>60</v>
      </c>
    </row>
    <row r="31" spans="2:3">
      <c r="B31" t="s">
        <v>68</v>
      </c>
    </row>
    <row r="32" spans="2:3">
      <c r="C32" t="s">
        <v>69</v>
      </c>
    </row>
    <row r="34" spans="1:3">
      <c r="C34" t="s">
        <v>70</v>
      </c>
    </row>
    <row r="36" spans="1:3">
      <c r="B36" t="s">
        <v>73</v>
      </c>
    </row>
    <row r="38" spans="1:3" ht="15.75">
      <c r="A38" s="57" t="s">
        <v>74</v>
      </c>
    </row>
    <row r="39" spans="1:3">
      <c r="A39" s="28" t="s">
        <v>75</v>
      </c>
    </row>
    <row r="40" spans="1:3">
      <c r="B40" t="s">
        <v>76</v>
      </c>
    </row>
    <row r="41" spans="1:3">
      <c r="B41" t="s">
        <v>77</v>
      </c>
    </row>
    <row r="42" spans="1:3">
      <c r="A42" s="28" t="s">
        <v>78</v>
      </c>
    </row>
    <row r="43" spans="1:3">
      <c r="B43" t="s">
        <v>79</v>
      </c>
    </row>
    <row r="44" spans="1:3">
      <c r="B44" t="s">
        <v>109</v>
      </c>
    </row>
    <row r="45" spans="1:3">
      <c r="A45" s="28" t="s">
        <v>80</v>
      </c>
    </row>
    <row r="46" spans="1:3">
      <c r="B46" t="s">
        <v>81</v>
      </c>
    </row>
    <row r="47" spans="1:3">
      <c r="B47" t="s">
        <v>82</v>
      </c>
    </row>
    <row r="48" spans="1:3">
      <c r="C48" t="s">
        <v>83</v>
      </c>
    </row>
    <row r="49" spans="1:3">
      <c r="C49" t="s">
        <v>84</v>
      </c>
    </row>
    <row r="50" spans="1:3">
      <c r="C50" t="s">
        <v>85</v>
      </c>
    </row>
    <row r="51" spans="1:3">
      <c r="B51" t="s">
        <v>86</v>
      </c>
    </row>
    <row r="52" spans="1:3">
      <c r="B52" t="s">
        <v>110</v>
      </c>
    </row>
    <row r="53" spans="1:3">
      <c r="C53" t="s">
        <v>111</v>
      </c>
    </row>
    <row r="54" spans="1:3">
      <c r="A54" s="28" t="s">
        <v>87</v>
      </c>
    </row>
    <row r="55" spans="1:3">
      <c r="B55" t="s">
        <v>88</v>
      </c>
    </row>
    <row r="56" spans="1:3">
      <c r="B56" t="s">
        <v>89</v>
      </c>
    </row>
    <row r="57" spans="1:3">
      <c r="B57" t="s">
        <v>90</v>
      </c>
    </row>
    <row r="58" spans="1:3">
      <c r="B58" t="s">
        <v>119</v>
      </c>
    </row>
    <row r="59" spans="1:3">
      <c r="C59" t="s">
        <v>118</v>
      </c>
    </row>
    <row r="60" spans="1:3">
      <c r="C60" t="s">
        <v>91</v>
      </c>
    </row>
    <row r="61" spans="1:3">
      <c r="C61" t="s">
        <v>92</v>
      </c>
    </row>
    <row r="62" spans="1:3">
      <c r="B62" t="s">
        <v>112</v>
      </c>
    </row>
    <row r="63" spans="1:3">
      <c r="C63" t="s">
        <v>113</v>
      </c>
    </row>
    <row r="64" spans="1:3">
      <c r="A64" s="28" t="s">
        <v>93</v>
      </c>
    </row>
    <row r="65" spans="1:3">
      <c r="B65" t="s">
        <v>94</v>
      </c>
    </row>
    <row r="66" spans="1:3">
      <c r="B66" t="s">
        <v>95</v>
      </c>
    </row>
    <row r="67" spans="1:3">
      <c r="B67" t="s">
        <v>96</v>
      </c>
    </row>
    <row r="68" spans="1:3">
      <c r="B68" t="s">
        <v>97</v>
      </c>
    </row>
    <row r="69" spans="1:3">
      <c r="B69" t="s">
        <v>102</v>
      </c>
    </row>
    <row r="70" spans="1:3">
      <c r="B70" t="s">
        <v>103</v>
      </c>
    </row>
    <row r="71" spans="1:3">
      <c r="B71" t="s">
        <v>98</v>
      </c>
    </row>
    <row r="72" spans="1:3">
      <c r="B72" t="s">
        <v>99</v>
      </c>
    </row>
    <row r="73" spans="1:3">
      <c r="B73" t="s">
        <v>100</v>
      </c>
    </row>
    <row r="74" spans="1:3">
      <c r="B74" t="s">
        <v>101</v>
      </c>
    </row>
    <row r="75" spans="1:3">
      <c r="A75" s="28" t="s">
        <v>114</v>
      </c>
    </row>
    <row r="76" spans="1:3">
      <c r="B76" t="s">
        <v>115</v>
      </c>
    </row>
    <row r="77" spans="1:3">
      <c r="C77" t="s">
        <v>116</v>
      </c>
    </row>
    <row r="78" spans="1:3">
      <c r="B78" t="s">
        <v>117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2015-05-12T12:55:16Z</dcterms:modified>
</cp:coreProperties>
</file>