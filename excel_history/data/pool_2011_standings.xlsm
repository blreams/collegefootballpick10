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9.xml" ContentType="application/vnd.ms-excel.controlproperties+xml"/>
  <Override PartName="/xl/drawings/drawing18.xml" ContentType="application/vnd.openxmlformats-officedocument.drawing+xml"/>
  <Override PartName="/xl/ctrlProps/ctrlProp6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fileSharing userName="tdrobbin" algorithmName="SHA-512" hashValue="o1D9jWHvQukjq7nZk9NqFPfoqa8SuSXa9XNQx3S+vy63TTZW3Cj/4lFqdY/Sa5d2jpz17RKqFJePM3Gpe38iSg==" saltValue="PAEgyRruGK0LbatWY7AwLA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1320" yWindow="588" windowWidth="13992" windowHeight="10248" tabRatio="863" activeTab="1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24" r:id="rId7"/>
    <sheet name="Wk03" sheetId="225" r:id="rId8"/>
    <sheet name="Wk04" sheetId="226" r:id="rId9"/>
    <sheet name="Wk05" sheetId="227" r:id="rId10"/>
    <sheet name="Wk06" sheetId="228" r:id="rId11"/>
    <sheet name="Wk07" sheetId="229" r:id="rId12"/>
    <sheet name="Wk08" sheetId="230" r:id="rId13"/>
    <sheet name="Wk09" sheetId="231" r:id="rId14"/>
    <sheet name="Wk10" sheetId="232" r:id="rId15"/>
    <sheet name="Wk11" sheetId="233" r:id="rId16"/>
    <sheet name="Wk12" sheetId="234" r:id="rId17"/>
    <sheet name="Wk13" sheetId="235" r:id="rId18"/>
    <sheet name="End" sheetId="31" r:id="rId19"/>
    <sheet name="Conference" sheetId="223" r:id="rId20"/>
    <sheet name="Featured" sheetId="236" r:id="rId21"/>
    <sheet name="Instructions" sheetId="184" r:id="rId22"/>
  </sheets>
  <functionGroups builtInGroupCount="18"/>
  <definedNames>
    <definedName name="acc_conf" localSheetId="20">Featured!$A$19:$O$31</definedName>
    <definedName name="acc_conf">Conference!$A$19:$O$31</definedName>
    <definedName name="big10_conf" localSheetId="20">Featured!$A$65:$O$77</definedName>
    <definedName name="big10_conf">Conference!$A$65:$O$77</definedName>
    <definedName name="big12_conf" localSheetId="20">Featured!$A$34:$O$44</definedName>
    <definedName name="big12_conf">Conference!$A$34:$O$44</definedName>
    <definedName name="bigeast_conf" localSheetId="20">Featured!$A$50:$O$58</definedName>
    <definedName name="bigeast_conf">Conference!$A$50:$O$58</definedName>
    <definedName name="confusa_conf" localSheetId="20">Featured!$A$80:$O$92</definedName>
    <definedName name="confusa_conf">Conference!$A$80:$O$92</definedName>
    <definedName name="cum_conf" localSheetId="20">Featured!$A$2:$O$14</definedName>
    <definedName name="cum_conf">Conference!$A$2:$O$14</definedName>
    <definedName name="games_completed">Begin!$A$4</definedName>
    <definedName name="indep_conf" localSheetId="20">Featured!$A$95:$O$99</definedName>
    <definedName name="indep_conf">Conference!$A$95:$O$99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Featured!$A$110:$O$123</definedName>
    <definedName name="midam_conf">Conference!$A$110:$O$123</definedName>
    <definedName name="mtnwest_conf" localSheetId="20">Featured!$A$125:$O$133</definedName>
    <definedName name="mtnwest_conf">Conference!$A$125:$O$133</definedName>
    <definedName name="pac12_conf" localSheetId="20">Featured!$A$140:$O$152</definedName>
    <definedName name="pac12_conf">Conference!$A$140:$O$152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Featured!$A$155:$O$167</definedName>
    <definedName name="sec_conf">Conference!$A$155:$O$167</definedName>
    <definedName name="sunbelt_conf" localSheetId="20">Featured!$A$170:$O$182</definedName>
    <definedName name="sunbelt_conf">Conference!$A$170:$O$182</definedName>
    <definedName name="wac_conf" localSheetId="20">Featured!$A$185:$O$193</definedName>
    <definedName name="wac_conf">Conference!$A$185:$O$193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A14" i="236" l="1"/>
  <c r="A13" i="236"/>
  <c r="A12" i="236"/>
  <c r="A11" i="236"/>
  <c r="A10" i="236"/>
  <c r="A9" i="236"/>
  <c r="A8" i="236"/>
  <c r="A7" i="236"/>
  <c r="A4" i="236"/>
  <c r="A6" i="236"/>
  <c r="A3" i="236"/>
  <c r="A5" i="236"/>
  <c r="BN35" i="235"/>
  <c r="BM35" i="235"/>
  <c r="BL35" i="235"/>
  <c r="BK35" i="235"/>
  <c r="BJ35" i="235"/>
  <c r="BI35" i="235"/>
  <c r="BH35" i="235"/>
  <c r="BG35" i="235"/>
  <c r="BF35" i="235"/>
  <c r="BE35" i="235"/>
  <c r="BD35" i="235"/>
  <c r="BC35" i="235"/>
  <c r="BB35" i="235"/>
  <c r="BA35" i="235"/>
  <c r="AZ35" i="235"/>
  <c r="AY35" i="235"/>
  <c r="AX35" i="235"/>
  <c r="AW35" i="235"/>
  <c r="AV35" i="235"/>
  <c r="AU35" i="235"/>
  <c r="AT35" i="235"/>
  <c r="AS35" i="235"/>
  <c r="AR35" i="235"/>
  <c r="AQ35" i="235"/>
  <c r="AP35" i="235"/>
  <c r="AO35" i="235"/>
  <c r="AN35" i="235"/>
  <c r="AM35" i="235"/>
  <c r="AL35" i="235"/>
  <c r="AK35" i="235"/>
  <c r="AJ35" i="235"/>
  <c r="AI35" i="235"/>
  <c r="AH35" i="235"/>
  <c r="AG35" i="235"/>
  <c r="AF35" i="235"/>
  <c r="AE35" i="235"/>
  <c r="AD35" i="235"/>
  <c r="AC35" i="235"/>
  <c r="AB35" i="235"/>
  <c r="AA35" i="235"/>
  <c r="Z35" i="235"/>
  <c r="Y35" i="235"/>
  <c r="X35" i="235"/>
  <c r="W35" i="235"/>
  <c r="V35" i="235"/>
  <c r="U35" i="235"/>
  <c r="T35" i="235"/>
  <c r="S35" i="235"/>
  <c r="R35" i="235"/>
  <c r="Q35" i="235"/>
  <c r="P35" i="235"/>
  <c r="O35" i="235"/>
  <c r="N35" i="235"/>
  <c r="M35" i="235"/>
  <c r="L35" i="235"/>
  <c r="K35" i="235"/>
  <c r="BN29" i="235" l="1"/>
  <c r="BM29" i="235"/>
  <c r="BL29" i="235"/>
  <c r="BK29" i="235"/>
  <c r="BJ29" i="235"/>
  <c r="BI29" i="235"/>
  <c r="BH29" i="235"/>
  <c r="BG29" i="235"/>
  <c r="BF29" i="235"/>
  <c r="BE29" i="235"/>
  <c r="BD29" i="235"/>
  <c r="BC29" i="235"/>
  <c r="BB29" i="235"/>
  <c r="BA29" i="235"/>
  <c r="AZ29" i="235"/>
  <c r="AY29" i="235"/>
  <c r="AX29" i="235"/>
  <c r="AW29" i="235"/>
  <c r="AV29" i="235"/>
  <c r="AU29" i="235"/>
  <c r="AT29" i="235"/>
  <c r="AS29" i="235"/>
  <c r="AR29" i="235"/>
  <c r="AQ29" i="235"/>
  <c r="AP29" i="235"/>
  <c r="AO29" i="235"/>
  <c r="AN29" i="235"/>
  <c r="AM29" i="235"/>
  <c r="AL29" i="235"/>
  <c r="AK29" i="235"/>
  <c r="AJ29" i="235"/>
  <c r="AI29" i="235"/>
  <c r="AH29" i="235"/>
  <c r="AG29" i="235"/>
  <c r="AF29" i="235"/>
  <c r="AE29" i="235"/>
  <c r="AD29" i="235"/>
  <c r="AC29" i="235"/>
  <c r="AB29" i="235"/>
  <c r="AA29" i="235"/>
  <c r="Z29" i="235"/>
  <c r="Y29" i="235"/>
  <c r="X29" i="235"/>
  <c r="W29" i="235"/>
  <c r="V29" i="235"/>
  <c r="U29" i="235"/>
  <c r="T29" i="235"/>
  <c r="S29" i="235"/>
  <c r="R29" i="235"/>
  <c r="Q29" i="235"/>
  <c r="P29" i="235"/>
  <c r="O29" i="235"/>
  <c r="N29" i="235"/>
  <c r="M29" i="235"/>
  <c r="L29" i="235"/>
  <c r="K29" i="235"/>
  <c r="BN27" i="235"/>
  <c r="BM27" i="235"/>
  <c r="BL27" i="235"/>
  <c r="BK27" i="235"/>
  <c r="BJ27" i="235"/>
  <c r="BI27" i="235"/>
  <c r="BH27" i="235"/>
  <c r="BG27" i="235"/>
  <c r="BF27" i="235"/>
  <c r="BE27" i="235"/>
  <c r="BD27" i="235"/>
  <c r="BC27" i="235"/>
  <c r="BB27" i="235"/>
  <c r="BA27" i="235"/>
  <c r="AZ27" i="235"/>
  <c r="AY27" i="235"/>
  <c r="AX27" i="235"/>
  <c r="AW27" i="235"/>
  <c r="AV27" i="235"/>
  <c r="AU27" i="235"/>
  <c r="AT27" i="235"/>
  <c r="AS27" i="235"/>
  <c r="AR27" i="235"/>
  <c r="AQ27" i="235"/>
  <c r="AP27" i="235"/>
  <c r="AO27" i="235"/>
  <c r="AN27" i="235"/>
  <c r="AM27" i="235"/>
  <c r="AL27" i="235"/>
  <c r="AK27" i="235"/>
  <c r="AJ27" i="235"/>
  <c r="AI27" i="235"/>
  <c r="AH27" i="235"/>
  <c r="AG27" i="235"/>
  <c r="AF27" i="235"/>
  <c r="AE27" i="235"/>
  <c r="AD27" i="235"/>
  <c r="AC27" i="235"/>
  <c r="AB27" i="235"/>
  <c r="AA27" i="235"/>
  <c r="Z27" i="235"/>
  <c r="Y27" i="235"/>
  <c r="X27" i="235"/>
  <c r="W27" i="235"/>
  <c r="V27" i="235"/>
  <c r="U27" i="235"/>
  <c r="T27" i="235"/>
  <c r="S27" i="235"/>
  <c r="R27" i="235"/>
  <c r="Q27" i="235"/>
  <c r="P27" i="235"/>
  <c r="O27" i="235"/>
  <c r="N27" i="235"/>
  <c r="M27" i="235"/>
  <c r="L27" i="235"/>
  <c r="K27" i="235"/>
  <c r="BN26" i="235"/>
  <c r="BM26" i="235"/>
  <c r="BL26" i="235"/>
  <c r="BK26" i="235"/>
  <c r="BJ26" i="235"/>
  <c r="BI26" i="235"/>
  <c r="BH26" i="235"/>
  <c r="BG26" i="235"/>
  <c r="BF26" i="235"/>
  <c r="BE26" i="235"/>
  <c r="BD26" i="235"/>
  <c r="BC26" i="235"/>
  <c r="BB26" i="235"/>
  <c r="BA26" i="235"/>
  <c r="AZ26" i="235"/>
  <c r="AY26" i="235"/>
  <c r="AX26" i="235"/>
  <c r="AW26" i="235"/>
  <c r="AV26" i="235"/>
  <c r="AU26" i="235"/>
  <c r="AT26" i="235"/>
  <c r="AS26" i="235"/>
  <c r="AR26" i="235"/>
  <c r="AQ26" i="235"/>
  <c r="AP26" i="235"/>
  <c r="AO26" i="235"/>
  <c r="AN26" i="235"/>
  <c r="AM26" i="235"/>
  <c r="AL26" i="235"/>
  <c r="AK26" i="235"/>
  <c r="AJ26" i="235"/>
  <c r="AI26" i="235"/>
  <c r="AH26" i="235"/>
  <c r="AG26" i="235"/>
  <c r="AF26" i="235"/>
  <c r="AE26" i="235"/>
  <c r="AD26" i="235"/>
  <c r="AC26" i="235"/>
  <c r="AB26" i="235"/>
  <c r="AA26" i="235"/>
  <c r="Z26" i="235"/>
  <c r="Y26" i="235"/>
  <c r="X26" i="235"/>
  <c r="W26" i="235"/>
  <c r="V26" i="235"/>
  <c r="U26" i="235"/>
  <c r="T26" i="235"/>
  <c r="S26" i="235"/>
  <c r="R26" i="235"/>
  <c r="Q26" i="235"/>
  <c r="P26" i="235"/>
  <c r="O26" i="235"/>
  <c r="N26" i="235"/>
  <c r="M26" i="235"/>
  <c r="L26" i="235"/>
  <c r="K26" i="235"/>
  <c r="B24" i="235"/>
  <c r="B23" i="235"/>
  <c r="H22" i="235"/>
  <c r="E22" i="235"/>
  <c r="H21" i="235"/>
  <c r="E21" i="235"/>
  <c r="H20" i="235"/>
  <c r="E20" i="235"/>
  <c r="H19" i="235"/>
  <c r="E19" i="235"/>
  <c r="H18" i="235"/>
  <c r="E18" i="235"/>
  <c r="H17" i="235"/>
  <c r="E17" i="235"/>
  <c r="H16" i="235"/>
  <c r="E16" i="235"/>
  <c r="H15" i="235"/>
  <c r="E15" i="235"/>
  <c r="H14" i="235"/>
  <c r="E14" i="235"/>
  <c r="H13" i="235"/>
  <c r="E13" i="235"/>
  <c r="H12" i="235"/>
  <c r="E12" i="235"/>
  <c r="H11" i="235"/>
  <c r="E11" i="235"/>
  <c r="H10" i="235"/>
  <c r="E10" i="235"/>
  <c r="H9" i="235"/>
  <c r="E9" i="235"/>
  <c r="H8" i="235"/>
  <c r="E8" i="235"/>
  <c r="H7" i="235"/>
  <c r="E7" i="235"/>
  <c r="H6" i="235"/>
  <c r="E6" i="235"/>
  <c r="H5" i="235"/>
  <c r="E5" i="235"/>
  <c r="H4" i="235"/>
  <c r="E4" i="235"/>
  <c r="H3" i="235" l="1"/>
  <c r="BM30" i="235" l="1"/>
  <c r="BK30" i="235"/>
  <c r="BI30" i="235"/>
  <c r="BG30" i="235"/>
  <c r="BE30" i="235"/>
  <c r="BC30" i="235"/>
  <c r="BA30" i="235"/>
  <c r="AY30" i="235"/>
  <c r="AW30" i="235"/>
  <c r="AU30" i="235"/>
  <c r="AS30" i="235"/>
  <c r="AQ30" i="235"/>
  <c r="AO30" i="235"/>
  <c r="AM30" i="235"/>
  <c r="AK30" i="235"/>
  <c r="AI30" i="235"/>
  <c r="AG30" i="235"/>
  <c r="AE30" i="235"/>
  <c r="AC30" i="235"/>
  <c r="AA30" i="235"/>
  <c r="Y30" i="235"/>
  <c r="W30" i="235"/>
  <c r="U30" i="235"/>
  <c r="S30" i="235"/>
  <c r="Q30" i="235"/>
  <c r="O30" i="235"/>
  <c r="M30" i="235"/>
  <c r="K30" i="235"/>
  <c r="BN30" i="235"/>
  <c r="BL30" i="235"/>
  <c r="BJ30" i="235"/>
  <c r="BH30" i="235"/>
  <c r="BD30" i="235"/>
  <c r="AZ30" i="235"/>
  <c r="AV30" i="235"/>
  <c r="AR30" i="235"/>
  <c r="AN30" i="235"/>
  <c r="AJ30" i="235"/>
  <c r="AF30" i="235"/>
  <c r="AB30" i="235"/>
  <c r="X30" i="235"/>
  <c r="T30" i="235"/>
  <c r="P30" i="235"/>
  <c r="L30" i="235"/>
  <c r="BF30" i="235"/>
  <c r="BB30" i="235"/>
  <c r="AX30" i="235"/>
  <c r="AT30" i="235"/>
  <c r="AP30" i="235"/>
  <c r="AL30" i="235"/>
  <c r="AH30" i="235"/>
  <c r="AD30" i="235"/>
  <c r="Z30" i="235"/>
  <c r="V30" i="235"/>
  <c r="R30" i="235"/>
  <c r="N30" i="235"/>
  <c r="E3" i="235"/>
  <c r="H25" i="235" s="1"/>
  <c r="BN25" i="235" l="1"/>
  <c r="BN36" i="235" s="1"/>
  <c r="BL25" i="235"/>
  <c r="BL36" i="235" s="1"/>
  <c r="BJ25" i="235"/>
  <c r="BJ36" i="235" s="1"/>
  <c r="BH25" i="235"/>
  <c r="BH36" i="235" s="1"/>
  <c r="BF25" i="235"/>
  <c r="BF36" i="235" s="1"/>
  <c r="BD25" i="235"/>
  <c r="BD36" i="235" s="1"/>
  <c r="BB25" i="235"/>
  <c r="BB36" i="235" s="1"/>
  <c r="AZ25" i="235"/>
  <c r="AZ36" i="235" s="1"/>
  <c r="AX25" i="235"/>
  <c r="AX36" i="235" s="1"/>
  <c r="AV25" i="235"/>
  <c r="AV36" i="235" s="1"/>
  <c r="AT25" i="235"/>
  <c r="AT36" i="235" s="1"/>
  <c r="AR25" i="235"/>
  <c r="AR36" i="235" s="1"/>
  <c r="AP25" i="235"/>
  <c r="AP36" i="235" s="1"/>
  <c r="AN25" i="235"/>
  <c r="AN36" i="235" s="1"/>
  <c r="AL25" i="235"/>
  <c r="AL36" i="235" s="1"/>
  <c r="AJ25" i="235"/>
  <c r="AJ36" i="235" s="1"/>
  <c r="AH25" i="235"/>
  <c r="AH36" i="235" s="1"/>
  <c r="AF25" i="235"/>
  <c r="AF36" i="235" s="1"/>
  <c r="AD25" i="235"/>
  <c r="AD36" i="235" s="1"/>
  <c r="AB25" i="235"/>
  <c r="AB36" i="235" s="1"/>
  <c r="Z25" i="235"/>
  <c r="Z36" i="235" s="1"/>
  <c r="X25" i="235"/>
  <c r="X36" i="235" s="1"/>
  <c r="V25" i="235"/>
  <c r="V36" i="235" s="1"/>
  <c r="T25" i="235"/>
  <c r="T36" i="235" s="1"/>
  <c r="R25" i="235"/>
  <c r="R36" i="235" s="1"/>
  <c r="P25" i="235"/>
  <c r="P36" i="235" s="1"/>
  <c r="N25" i="235"/>
  <c r="N36" i="235" s="1"/>
  <c r="L25" i="235"/>
  <c r="L36" i="235" s="1"/>
  <c r="J25" i="235"/>
  <c r="BM25" i="235"/>
  <c r="BM36" i="235" s="1"/>
  <c r="BK25" i="235"/>
  <c r="BK36" i="235" s="1"/>
  <c r="BI25" i="235"/>
  <c r="BI36" i="235" s="1"/>
  <c r="BG25" i="235"/>
  <c r="BG36" i="235" s="1"/>
  <c r="BE25" i="235"/>
  <c r="BE36" i="235" s="1"/>
  <c r="BC25" i="235"/>
  <c r="BC36" i="235" s="1"/>
  <c r="BA25" i="235"/>
  <c r="BA36" i="235" s="1"/>
  <c r="AY25" i="235"/>
  <c r="AY36" i="235" s="1"/>
  <c r="AW25" i="235"/>
  <c r="AW36" i="235" s="1"/>
  <c r="AU25" i="235"/>
  <c r="AU36" i="235" s="1"/>
  <c r="AS25" i="235"/>
  <c r="AS36" i="235" s="1"/>
  <c r="AQ25" i="235"/>
  <c r="AQ36" i="235" s="1"/>
  <c r="AO25" i="235"/>
  <c r="AO36" i="235" s="1"/>
  <c r="AM25" i="235"/>
  <c r="AM36" i="235" s="1"/>
  <c r="AK25" i="235"/>
  <c r="AK36" i="235" s="1"/>
  <c r="AI25" i="235"/>
  <c r="AI36" i="235" s="1"/>
  <c r="AG25" i="235"/>
  <c r="AG36" i="235" s="1"/>
  <c r="AE25" i="235"/>
  <c r="AE36" i="235" s="1"/>
  <c r="AC25" i="235"/>
  <c r="AC36" i="235" s="1"/>
  <c r="AA25" i="235"/>
  <c r="AA36" i="235" s="1"/>
  <c r="Y25" i="235"/>
  <c r="Y36" i="235" s="1"/>
  <c r="W25" i="235"/>
  <c r="W36" i="235" s="1"/>
  <c r="U25" i="235"/>
  <c r="U36" i="235" s="1"/>
  <c r="S25" i="235"/>
  <c r="S36" i="235" s="1"/>
  <c r="Q25" i="235"/>
  <c r="Q36" i="235" s="1"/>
  <c r="O25" i="235"/>
  <c r="O36" i="235" s="1"/>
  <c r="M25" i="235"/>
  <c r="M36" i="235" s="1"/>
  <c r="K25" i="235"/>
  <c r="G25" i="235"/>
  <c r="J1" i="235"/>
  <c r="I1" i="235"/>
  <c r="K36" i="235" l="1"/>
  <c r="BN35" i="234"/>
  <c r="BM35" i="234"/>
  <c r="BL35" i="234"/>
  <c r="BK35" i="234"/>
  <c r="BJ35" i="234"/>
  <c r="BI35" i="234"/>
  <c r="BH35" i="234"/>
  <c r="BG35" i="234"/>
  <c r="BF35" i="234"/>
  <c r="BE35" i="234"/>
  <c r="BD35" i="234"/>
  <c r="BC35" i="234"/>
  <c r="BB35" i="234"/>
  <c r="BA35" i="234"/>
  <c r="AZ35" i="234"/>
  <c r="AY35" i="234"/>
  <c r="AX35" i="234"/>
  <c r="AW35" i="234"/>
  <c r="AV35" i="234"/>
  <c r="AU35" i="234"/>
  <c r="AT35" i="234"/>
  <c r="AS35" i="234"/>
  <c r="AR35" i="234"/>
  <c r="AQ35" i="234"/>
  <c r="AP35" i="234"/>
  <c r="AO35" i="234"/>
  <c r="AN35" i="234"/>
  <c r="AM35" i="234"/>
  <c r="AL35" i="234"/>
  <c r="AK35" i="234"/>
  <c r="AJ35" i="234"/>
  <c r="AI35" i="234"/>
  <c r="AH35" i="234"/>
  <c r="AG35" i="234"/>
  <c r="AF35" i="234"/>
  <c r="AE35" i="234"/>
  <c r="AD35" i="234"/>
  <c r="AC35" i="234"/>
  <c r="AB35" i="234"/>
  <c r="AA35" i="234"/>
  <c r="Z35" i="234"/>
  <c r="Y35" i="234"/>
  <c r="X35" i="234"/>
  <c r="W35" i="234"/>
  <c r="V35" i="234"/>
  <c r="U35" i="234"/>
  <c r="T35" i="234"/>
  <c r="S35" i="234"/>
  <c r="R35" i="234"/>
  <c r="Q35" i="234"/>
  <c r="P35" i="234"/>
  <c r="O35" i="234"/>
  <c r="N35" i="234"/>
  <c r="M35" i="234"/>
  <c r="L35" i="234"/>
  <c r="K35" i="234"/>
  <c r="BN29" i="234" l="1"/>
  <c r="BM29" i="234"/>
  <c r="BL29" i="234"/>
  <c r="BK29" i="234"/>
  <c r="BJ29" i="234"/>
  <c r="BI29" i="234"/>
  <c r="BH29" i="234"/>
  <c r="BG29" i="234"/>
  <c r="BF29" i="234"/>
  <c r="BE29" i="234"/>
  <c r="BD29" i="234"/>
  <c r="BC29" i="234"/>
  <c r="BB29" i="234"/>
  <c r="BA29" i="234"/>
  <c r="AZ29" i="234"/>
  <c r="AY29" i="234"/>
  <c r="AX29" i="234"/>
  <c r="AW29" i="234"/>
  <c r="AV29" i="234"/>
  <c r="AU29" i="234"/>
  <c r="AT29" i="234"/>
  <c r="AS29" i="234"/>
  <c r="AR29" i="234"/>
  <c r="AQ29" i="234"/>
  <c r="AP29" i="234"/>
  <c r="AO29" i="234"/>
  <c r="AN29" i="234"/>
  <c r="AM29" i="234"/>
  <c r="AL29" i="234"/>
  <c r="AK29" i="234"/>
  <c r="AJ29" i="234"/>
  <c r="AI29" i="234"/>
  <c r="AH29" i="234"/>
  <c r="AG29" i="234"/>
  <c r="AF29" i="234"/>
  <c r="AE29" i="234"/>
  <c r="AD29" i="234"/>
  <c r="AC29" i="234"/>
  <c r="AB29" i="234"/>
  <c r="AA29" i="234"/>
  <c r="Z29" i="234"/>
  <c r="Y29" i="234"/>
  <c r="X29" i="234"/>
  <c r="W29" i="234"/>
  <c r="V29" i="234"/>
  <c r="U29" i="234"/>
  <c r="T29" i="234"/>
  <c r="S29" i="234"/>
  <c r="R29" i="234"/>
  <c r="Q29" i="234"/>
  <c r="P29" i="234"/>
  <c r="O29" i="234"/>
  <c r="N29" i="234"/>
  <c r="M29" i="234"/>
  <c r="L29" i="234"/>
  <c r="K29" i="234"/>
  <c r="BN27" i="234"/>
  <c r="BM27" i="234"/>
  <c r="BL27" i="234"/>
  <c r="BK27" i="234"/>
  <c r="BJ27" i="234"/>
  <c r="BI27" i="234"/>
  <c r="BH27" i="234"/>
  <c r="BG27" i="234"/>
  <c r="BF27" i="234"/>
  <c r="BE27" i="234"/>
  <c r="BD27" i="234"/>
  <c r="BC27" i="234"/>
  <c r="BB27" i="234"/>
  <c r="BA27" i="234"/>
  <c r="AZ27" i="234"/>
  <c r="AY27" i="234"/>
  <c r="AX27" i="234"/>
  <c r="AW27" i="234"/>
  <c r="AV27" i="234"/>
  <c r="AU27" i="234"/>
  <c r="AT27" i="234"/>
  <c r="AS27" i="234"/>
  <c r="AR27" i="234"/>
  <c r="AQ27" i="234"/>
  <c r="AP27" i="234"/>
  <c r="AO27" i="234"/>
  <c r="AN27" i="234"/>
  <c r="AM27" i="234"/>
  <c r="AL27" i="234"/>
  <c r="AK27" i="234"/>
  <c r="AJ27" i="234"/>
  <c r="AI27" i="234"/>
  <c r="AH27" i="234"/>
  <c r="AG27" i="234"/>
  <c r="AF27" i="234"/>
  <c r="AE27" i="234"/>
  <c r="AD27" i="234"/>
  <c r="AC27" i="234"/>
  <c r="AB27" i="234"/>
  <c r="AA27" i="234"/>
  <c r="Z27" i="234"/>
  <c r="Y27" i="234"/>
  <c r="X27" i="234"/>
  <c r="W27" i="234"/>
  <c r="V27" i="234"/>
  <c r="U27" i="234"/>
  <c r="T27" i="234"/>
  <c r="S27" i="234"/>
  <c r="R27" i="234"/>
  <c r="Q27" i="234"/>
  <c r="P27" i="234"/>
  <c r="O27" i="234"/>
  <c r="N27" i="234"/>
  <c r="M27" i="234"/>
  <c r="L27" i="234"/>
  <c r="K27" i="234"/>
  <c r="BN26" i="234"/>
  <c r="BM26" i="234"/>
  <c r="BL26" i="234"/>
  <c r="BK26" i="234"/>
  <c r="BJ26" i="234"/>
  <c r="BI26" i="234"/>
  <c r="BH26" i="234"/>
  <c r="BG26" i="234"/>
  <c r="BF26" i="234"/>
  <c r="BE26" i="234"/>
  <c r="BD26" i="234"/>
  <c r="BC26" i="234"/>
  <c r="BB26" i="234"/>
  <c r="BA26" i="234"/>
  <c r="AZ26" i="234"/>
  <c r="AY26" i="234"/>
  <c r="AX26" i="234"/>
  <c r="AW26" i="234"/>
  <c r="AV26" i="234"/>
  <c r="AU26" i="234"/>
  <c r="AT26" i="234"/>
  <c r="AS26" i="234"/>
  <c r="AR26" i="234"/>
  <c r="AQ26" i="234"/>
  <c r="AP26" i="234"/>
  <c r="AO26" i="234"/>
  <c r="AN26" i="234"/>
  <c r="AM26" i="234"/>
  <c r="AL26" i="234"/>
  <c r="AK26" i="234"/>
  <c r="AJ26" i="234"/>
  <c r="AI26" i="234"/>
  <c r="AH26" i="234"/>
  <c r="AG26" i="234"/>
  <c r="AF26" i="234"/>
  <c r="AE26" i="234"/>
  <c r="AD26" i="234"/>
  <c r="AC26" i="234"/>
  <c r="AB26" i="234"/>
  <c r="AA26" i="234"/>
  <c r="Z26" i="234"/>
  <c r="Y26" i="234"/>
  <c r="X26" i="234"/>
  <c r="W26" i="234"/>
  <c r="V26" i="234"/>
  <c r="U26" i="234"/>
  <c r="T26" i="234"/>
  <c r="S26" i="234"/>
  <c r="R26" i="234"/>
  <c r="Q26" i="234"/>
  <c r="P26" i="234"/>
  <c r="O26" i="234"/>
  <c r="N26" i="234"/>
  <c r="M26" i="234"/>
  <c r="L26" i="234"/>
  <c r="K26" i="234"/>
  <c r="B24" i="234"/>
  <c r="B23" i="234"/>
  <c r="H22" i="234"/>
  <c r="E22" i="234"/>
  <c r="H21" i="234"/>
  <c r="E21" i="234"/>
  <c r="H20" i="234"/>
  <c r="E20" i="234"/>
  <c r="H19" i="234"/>
  <c r="E19" i="234"/>
  <c r="H18" i="234"/>
  <c r="E18" i="234"/>
  <c r="H17" i="234"/>
  <c r="E17" i="234"/>
  <c r="H16" i="234"/>
  <c r="E16" i="234"/>
  <c r="H15" i="234"/>
  <c r="E15" i="234"/>
  <c r="H14" i="234"/>
  <c r="E14" i="234"/>
  <c r="H13" i="234"/>
  <c r="E13" i="234"/>
  <c r="H12" i="234"/>
  <c r="E12" i="234"/>
  <c r="H11" i="234"/>
  <c r="E11" i="234"/>
  <c r="H10" i="234"/>
  <c r="E10" i="234"/>
  <c r="H9" i="234"/>
  <c r="E9" i="234"/>
  <c r="H8" i="234"/>
  <c r="E8" i="234"/>
  <c r="H7" i="234"/>
  <c r="E7" i="234"/>
  <c r="H6" i="234"/>
  <c r="E6" i="234"/>
  <c r="H5" i="234"/>
  <c r="E5" i="234"/>
  <c r="H4" i="234"/>
  <c r="E4" i="234"/>
  <c r="H3" i="234" l="1"/>
  <c r="BM30" i="234" l="1"/>
  <c r="BK30" i="234"/>
  <c r="BI30" i="234"/>
  <c r="BG30" i="234"/>
  <c r="BE30" i="234"/>
  <c r="BC30" i="234"/>
  <c r="BA30" i="234"/>
  <c r="AY30" i="234"/>
  <c r="AW30" i="234"/>
  <c r="AU30" i="234"/>
  <c r="AS30" i="234"/>
  <c r="AQ30" i="234"/>
  <c r="AO30" i="234"/>
  <c r="AM30" i="234"/>
  <c r="AK30" i="234"/>
  <c r="AI30" i="234"/>
  <c r="AG30" i="234"/>
  <c r="AE30" i="234"/>
  <c r="AC30" i="234"/>
  <c r="AA30" i="234"/>
  <c r="Y30" i="234"/>
  <c r="W30" i="234"/>
  <c r="U30" i="234"/>
  <c r="S30" i="234"/>
  <c r="Q30" i="234"/>
  <c r="O30" i="234"/>
  <c r="M30" i="234"/>
  <c r="K30" i="234"/>
  <c r="BN30" i="234"/>
  <c r="BL30" i="234"/>
  <c r="BJ30" i="234"/>
  <c r="BH30" i="234"/>
  <c r="BD30" i="234"/>
  <c r="AZ30" i="234"/>
  <c r="AV30" i="234"/>
  <c r="AR30" i="234"/>
  <c r="AN30" i="234"/>
  <c r="AJ30" i="234"/>
  <c r="AF30" i="234"/>
  <c r="AB30" i="234"/>
  <c r="X30" i="234"/>
  <c r="T30" i="234"/>
  <c r="P30" i="234"/>
  <c r="L30" i="234"/>
  <c r="BF30" i="234"/>
  <c r="BB30" i="234"/>
  <c r="AX30" i="234"/>
  <c r="AT30" i="234"/>
  <c r="AP30" i="234"/>
  <c r="AL30" i="234"/>
  <c r="AH30" i="234"/>
  <c r="AD30" i="234"/>
  <c r="Z30" i="234"/>
  <c r="V30" i="234"/>
  <c r="R30" i="234"/>
  <c r="N30" i="234"/>
  <c r="E3" i="234"/>
  <c r="K39" i="234" l="1"/>
  <c r="L39" i="234"/>
  <c r="M39" i="234"/>
  <c r="N39" i="234"/>
  <c r="O39" i="234"/>
  <c r="P39" i="234"/>
  <c r="Q39" i="234"/>
  <c r="R39" i="234"/>
  <c r="S39" i="234"/>
  <c r="T39" i="234"/>
  <c r="U39" i="234"/>
  <c r="V39" i="234"/>
  <c r="W39" i="234"/>
  <c r="X39" i="234"/>
  <c r="Y39" i="234"/>
  <c r="Z39" i="234"/>
  <c r="AA39" i="234"/>
  <c r="AB39" i="234"/>
  <c r="AC39" i="234"/>
  <c r="AD39" i="234"/>
  <c r="AE39" i="234"/>
  <c r="AF39" i="234"/>
  <c r="AG39" i="234"/>
  <c r="AH39" i="234"/>
  <c r="AI39" i="234"/>
  <c r="AJ39" i="234"/>
  <c r="AK39" i="234"/>
  <c r="AL39" i="234"/>
  <c r="AM39" i="234"/>
  <c r="AN39" i="234"/>
  <c r="AO39" i="234"/>
  <c r="AP39" i="234"/>
  <c r="AQ39" i="234"/>
  <c r="AR39" i="234"/>
  <c r="AS39" i="234"/>
  <c r="AT39" i="234"/>
  <c r="AU39" i="234"/>
  <c r="AV39" i="234"/>
  <c r="AW39" i="234"/>
  <c r="AX39" i="234"/>
  <c r="AY39" i="234"/>
  <c r="AZ39" i="234"/>
  <c r="BA39" i="234"/>
  <c r="BB39" i="234"/>
  <c r="BC39" i="234"/>
  <c r="BD39" i="234"/>
  <c r="BE39" i="234"/>
  <c r="BF39" i="234"/>
  <c r="BG39" i="234"/>
  <c r="BH39" i="234"/>
  <c r="BI39" i="234"/>
  <c r="BJ39" i="234"/>
  <c r="BK39" i="234"/>
  <c r="BL39" i="234"/>
  <c r="BM39" i="234"/>
  <c r="BN39" i="234"/>
  <c r="BM25" i="234"/>
  <c r="BM36" i="234" s="1"/>
  <c r="BK25" i="234"/>
  <c r="BK36" i="234" s="1"/>
  <c r="BI25" i="234"/>
  <c r="BI36" i="234" s="1"/>
  <c r="BG25" i="234"/>
  <c r="BG36" i="234" s="1"/>
  <c r="BE25" i="234"/>
  <c r="BE36" i="234" s="1"/>
  <c r="BC25" i="234"/>
  <c r="BC36" i="234" s="1"/>
  <c r="BA25" i="234"/>
  <c r="BA36" i="234" s="1"/>
  <c r="AY25" i="234"/>
  <c r="AY36" i="234" s="1"/>
  <c r="AW25" i="234"/>
  <c r="AW36" i="234" s="1"/>
  <c r="AU25" i="234"/>
  <c r="AU36" i="234" s="1"/>
  <c r="AS25" i="234"/>
  <c r="AS36" i="234" s="1"/>
  <c r="AQ25" i="234"/>
  <c r="AQ36" i="234" s="1"/>
  <c r="AO25" i="234"/>
  <c r="AO36" i="234" s="1"/>
  <c r="AM25" i="234"/>
  <c r="AM36" i="234" s="1"/>
  <c r="AK25" i="234"/>
  <c r="AK36" i="234" s="1"/>
  <c r="AI25" i="234"/>
  <c r="AI36" i="234" s="1"/>
  <c r="AG25" i="234"/>
  <c r="AG36" i="234" s="1"/>
  <c r="AE25" i="234"/>
  <c r="AE36" i="234" s="1"/>
  <c r="AC25" i="234"/>
  <c r="AC36" i="234" s="1"/>
  <c r="AA25" i="234"/>
  <c r="AA36" i="234" s="1"/>
  <c r="Y25" i="234"/>
  <c r="Y36" i="234" s="1"/>
  <c r="W25" i="234"/>
  <c r="W36" i="234" s="1"/>
  <c r="U25" i="234"/>
  <c r="U36" i="234" s="1"/>
  <c r="S25" i="234"/>
  <c r="S36" i="234" s="1"/>
  <c r="Q25" i="234"/>
  <c r="Q36" i="234" s="1"/>
  <c r="O25" i="234"/>
  <c r="O36" i="234" s="1"/>
  <c r="M25" i="234"/>
  <c r="M36" i="234" s="1"/>
  <c r="K25" i="234"/>
  <c r="G25" i="234"/>
  <c r="BN25" i="234"/>
  <c r="BN36" i="234" s="1"/>
  <c r="BL25" i="234"/>
  <c r="BL36" i="234" s="1"/>
  <c r="BJ25" i="234"/>
  <c r="BJ36" i="234" s="1"/>
  <c r="BH25" i="234"/>
  <c r="BH36" i="234" s="1"/>
  <c r="BF25" i="234"/>
  <c r="BF36" i="234" s="1"/>
  <c r="BD25" i="234"/>
  <c r="BD36" i="234" s="1"/>
  <c r="BB25" i="234"/>
  <c r="BB36" i="234" s="1"/>
  <c r="AZ25" i="234"/>
  <c r="AZ36" i="234" s="1"/>
  <c r="AX25" i="234"/>
  <c r="AX36" i="234" s="1"/>
  <c r="AV25" i="234"/>
  <c r="AV36" i="234" s="1"/>
  <c r="AT25" i="234"/>
  <c r="AT36" i="234" s="1"/>
  <c r="AR25" i="234"/>
  <c r="AR36" i="234" s="1"/>
  <c r="AP25" i="234"/>
  <c r="AP36" i="234" s="1"/>
  <c r="AN25" i="234"/>
  <c r="AN36" i="234" s="1"/>
  <c r="AL25" i="234"/>
  <c r="AL36" i="234" s="1"/>
  <c r="AJ25" i="234"/>
  <c r="AJ36" i="234" s="1"/>
  <c r="AH25" i="234"/>
  <c r="AH36" i="234" s="1"/>
  <c r="AF25" i="234"/>
  <c r="AF36" i="234" s="1"/>
  <c r="AD25" i="234"/>
  <c r="AD36" i="234" s="1"/>
  <c r="AB25" i="234"/>
  <c r="AB36" i="234" s="1"/>
  <c r="Z25" i="234"/>
  <c r="Z36" i="234" s="1"/>
  <c r="X25" i="234"/>
  <c r="X36" i="234" s="1"/>
  <c r="V25" i="234"/>
  <c r="V36" i="234" s="1"/>
  <c r="T25" i="234"/>
  <c r="T36" i="234" s="1"/>
  <c r="R25" i="234"/>
  <c r="R36" i="234" s="1"/>
  <c r="P25" i="234"/>
  <c r="P36" i="234" s="1"/>
  <c r="N25" i="234"/>
  <c r="N36" i="234" s="1"/>
  <c r="L25" i="234"/>
  <c r="L36" i="234" s="1"/>
  <c r="J25" i="234"/>
  <c r="H25" i="234"/>
  <c r="J1" i="234"/>
  <c r="I1" i="234"/>
  <c r="BE39" i="235" l="1"/>
  <c r="AH39" i="235"/>
  <c r="M39" i="235"/>
  <c r="W39" i="235"/>
  <c r="AA39" i="235"/>
  <c r="AR39" i="235"/>
  <c r="AK39" i="235"/>
  <c r="AE39" i="235"/>
  <c r="BC39" i="235"/>
  <c r="AQ39" i="235"/>
  <c r="BJ39" i="235"/>
  <c r="L39" i="235"/>
  <c r="BL39" i="235"/>
  <c r="AM39" i="235"/>
  <c r="U39" i="235"/>
  <c r="Z39" i="235"/>
  <c r="S39" i="235"/>
  <c r="Y39" i="235"/>
  <c r="AT39" i="235"/>
  <c r="AP39" i="235"/>
  <c r="AZ39" i="235"/>
  <c r="BD39" i="235"/>
  <c r="AN39" i="235"/>
  <c r="AO39" i="235"/>
  <c r="BF39" i="235"/>
  <c r="AW39" i="235"/>
  <c r="BK39" i="235"/>
  <c r="BH39" i="235"/>
  <c r="T39" i="235"/>
  <c r="AB39" i="235"/>
  <c r="AS39" i="235"/>
  <c r="P39" i="235"/>
  <c r="V39" i="235"/>
  <c r="BM39" i="235"/>
  <c r="R39" i="235"/>
  <c r="O39" i="235"/>
  <c r="N39" i="235"/>
  <c r="AG39" i="235"/>
  <c r="BA39" i="235"/>
  <c r="BG39" i="235"/>
  <c r="X39" i="235"/>
  <c r="AL39" i="235"/>
  <c r="AY39" i="235"/>
  <c r="K36" i="234"/>
  <c r="BN35" i="233"/>
  <c r="BM35" i="233"/>
  <c r="BL35" i="233"/>
  <c r="BK35" i="233"/>
  <c r="BJ35" i="233"/>
  <c r="BI35" i="233"/>
  <c r="BH35" i="233"/>
  <c r="BG35" i="233"/>
  <c r="BF35" i="233"/>
  <c r="BE35" i="233"/>
  <c r="BD35" i="233"/>
  <c r="BC35" i="233"/>
  <c r="BB35" i="233"/>
  <c r="BA35" i="233"/>
  <c r="AZ35" i="233"/>
  <c r="AY35" i="233"/>
  <c r="AX35" i="233"/>
  <c r="AW35" i="233"/>
  <c r="AV35" i="233"/>
  <c r="AU35" i="233"/>
  <c r="AT35" i="233"/>
  <c r="AS35" i="233"/>
  <c r="AR35" i="233"/>
  <c r="AQ35" i="233"/>
  <c r="AP35" i="233"/>
  <c r="AO35" i="233"/>
  <c r="AN35" i="233"/>
  <c r="AM35" i="233"/>
  <c r="AL35" i="233"/>
  <c r="AK35" i="233"/>
  <c r="AJ35" i="233"/>
  <c r="AI35" i="233"/>
  <c r="AH35" i="233"/>
  <c r="AG35" i="233"/>
  <c r="AF35" i="233"/>
  <c r="AE35" i="233"/>
  <c r="AD35" i="233"/>
  <c r="AC35" i="233"/>
  <c r="AB35" i="233"/>
  <c r="AA35" i="233"/>
  <c r="Z35" i="233"/>
  <c r="Y35" i="233"/>
  <c r="X35" i="233"/>
  <c r="W35" i="233"/>
  <c r="V35" i="233"/>
  <c r="U35" i="233"/>
  <c r="T35" i="233"/>
  <c r="S35" i="233"/>
  <c r="R35" i="233"/>
  <c r="Q35" i="233"/>
  <c r="P35" i="233"/>
  <c r="O35" i="233"/>
  <c r="N35" i="233"/>
  <c r="M35" i="233"/>
  <c r="L35" i="233"/>
  <c r="K35" i="233"/>
  <c r="J172" i="236"/>
  <c r="J193" i="236"/>
  <c r="N190" i="236"/>
  <c r="F188" i="236"/>
  <c r="B175" i="236"/>
  <c r="J180" i="236"/>
  <c r="N177" i="236"/>
  <c r="F175" i="236"/>
  <c r="N165" i="236"/>
  <c r="F163" i="236"/>
  <c r="J161" i="236"/>
  <c r="N159" i="236"/>
  <c r="J149" i="236"/>
  <c r="N147" i="236"/>
  <c r="F145" i="236"/>
  <c r="L157" i="236"/>
  <c r="H158" i="236"/>
  <c r="D179" i="236"/>
  <c r="L173" i="236"/>
  <c r="E192" i="236"/>
  <c r="M186" i="236"/>
  <c r="H146" i="236"/>
  <c r="D167" i="236"/>
  <c r="M157" i="236"/>
  <c r="I158" i="236"/>
  <c r="E179" i="236"/>
  <c r="M173" i="236"/>
  <c r="N193" i="236"/>
  <c r="J188" i="236"/>
  <c r="I146" i="236"/>
  <c r="E167" i="236"/>
  <c r="C141" i="236"/>
  <c r="H172" i="236"/>
  <c r="H193" i="236"/>
  <c r="L190" i="236"/>
  <c r="D188" i="236"/>
  <c r="B173" i="236"/>
  <c r="H180" i="236"/>
  <c r="L177" i="236"/>
  <c r="D175" i="236"/>
  <c r="L165" i="236"/>
  <c r="D163" i="236"/>
  <c r="H161" i="236"/>
  <c r="L159" i="236"/>
  <c r="H149" i="236"/>
  <c r="L147" i="236"/>
  <c r="D145" i="236"/>
  <c r="H163" i="236"/>
  <c r="D156" i="236"/>
  <c r="L180" i="236"/>
  <c r="H175" i="236"/>
  <c r="M193" i="236"/>
  <c r="I188" i="236"/>
  <c r="D148" i="236"/>
  <c r="B166" i="236"/>
  <c r="I163" i="236"/>
  <c r="E156" i="236"/>
  <c r="M180" i="236"/>
  <c r="F186" i="236"/>
  <c r="N174" i="236"/>
  <c r="F172" i="236"/>
  <c r="F193" i="236"/>
  <c r="J190" i="236"/>
  <c r="J159" i="236"/>
  <c r="N182" i="236"/>
  <c r="F180" i="236"/>
  <c r="J177" i="236"/>
  <c r="B161" i="236"/>
  <c r="J165" i="236"/>
  <c r="N162" i="236"/>
  <c r="F161" i="236"/>
  <c r="C188" i="236"/>
  <c r="F149" i="236"/>
  <c r="J147" i="236"/>
  <c r="D115" i="236"/>
  <c r="H112" i="236"/>
  <c r="H133" i="236"/>
  <c r="L130" i="236"/>
  <c r="K96" i="236"/>
  <c r="D123" i="236"/>
  <c r="H120" i="236"/>
  <c r="L117" i="236"/>
  <c r="K128" i="236"/>
  <c r="C126" i="236"/>
  <c r="G151" i="236"/>
  <c r="E149" i="236"/>
  <c r="K115" i="236"/>
  <c r="C113" i="236"/>
  <c r="B127" i="236"/>
  <c r="G131" i="236"/>
  <c r="L181" i="236"/>
  <c r="L174" i="236"/>
  <c r="D172" i="236"/>
  <c r="D193" i="236"/>
  <c r="H190" i="236"/>
  <c r="H159" i="236"/>
  <c r="L182" i="236"/>
  <c r="D180" i="236"/>
  <c r="H177" i="236"/>
  <c r="B156" i="236"/>
  <c r="H165" i="236"/>
  <c r="L162" i="236"/>
  <c r="D161" i="236"/>
  <c r="M187" i="236"/>
  <c r="D149" i="236"/>
  <c r="H147" i="236"/>
  <c r="E97" i="236"/>
  <c r="J123" i="236"/>
  <c r="N120" i="236"/>
  <c r="F118" i="236"/>
  <c r="I88" i="236"/>
  <c r="M85" i="236"/>
  <c r="E83" i="236"/>
  <c r="H176" i="236"/>
  <c r="J176" i="236"/>
  <c r="J189" i="236"/>
  <c r="G86" i="236"/>
  <c r="K176" i="236"/>
  <c r="N141" i="236"/>
  <c r="H131" i="236"/>
  <c r="G190" i="236"/>
  <c r="D132" i="236"/>
  <c r="I157" i="236"/>
  <c r="E144" i="236"/>
  <c r="K85" i="236"/>
  <c r="K42" i="236"/>
  <c r="B67" i="236"/>
  <c r="N157" i="236"/>
  <c r="J158" i="236"/>
  <c r="F179" i="236"/>
  <c r="N173" i="236"/>
  <c r="G192" i="236"/>
  <c r="C187" i="236"/>
  <c r="J146" i="236"/>
  <c r="F167" i="236"/>
  <c r="C162" i="236"/>
  <c r="K158" i="236"/>
  <c r="G179" i="236"/>
  <c r="C174" i="236"/>
  <c r="D192" i="236"/>
  <c r="L186" i="236"/>
  <c r="K172" i="236"/>
  <c r="K193" i="236"/>
  <c r="C191" i="236"/>
  <c r="G188" i="236"/>
  <c r="B176" i="236"/>
  <c r="K180" i="236"/>
  <c r="C178" i="236"/>
  <c r="G175" i="236"/>
  <c r="C166" i="236"/>
  <c r="G163" i="236"/>
  <c r="K161" i="236"/>
  <c r="C156" i="236"/>
  <c r="K149" i="236"/>
  <c r="C148" i="236"/>
  <c r="G145" i="236"/>
  <c r="B165" i="236"/>
  <c r="G148" i="236"/>
  <c r="M120" i="236"/>
  <c r="J163" i="236"/>
  <c r="F156" i="236"/>
  <c r="N180" i="236"/>
  <c r="J175" i="236"/>
  <c r="B187" i="236"/>
  <c r="K188" i="236"/>
  <c r="F148" i="236"/>
  <c r="B158" i="236"/>
  <c r="K163" i="236"/>
  <c r="G156" i="236"/>
  <c r="C181" i="236"/>
  <c r="K175" i="236"/>
  <c r="L193" i="236"/>
  <c r="H188" i="236"/>
  <c r="I172" i="236"/>
  <c r="I193" i="236"/>
  <c r="M190" i="236"/>
  <c r="E188" i="236"/>
  <c r="B174" i="236"/>
  <c r="I180" i="236"/>
  <c r="M177" i="236"/>
  <c r="E175" i="236"/>
  <c r="M165" i="236"/>
  <c r="E163" i="236"/>
  <c r="I161" i="236"/>
  <c r="I160" i="236"/>
  <c r="I149" i="236"/>
  <c r="E115" i="236"/>
  <c r="I112" i="236"/>
  <c r="I133" i="236"/>
  <c r="M130" i="236"/>
  <c r="L96" i="236"/>
  <c r="E123" i="236"/>
  <c r="I120" i="236"/>
  <c r="M117" i="236"/>
  <c r="D88" i="236"/>
  <c r="H85" i="236"/>
  <c r="L82" i="236"/>
  <c r="H99" i="236"/>
  <c r="D128" i="236"/>
  <c r="B142" i="236"/>
  <c r="C175" i="236"/>
  <c r="G172" i="236"/>
  <c r="G193" i="236"/>
  <c r="K190" i="236"/>
  <c r="K159" i="236"/>
  <c r="B172" i="236"/>
  <c r="G180" i="236"/>
  <c r="K177" i="236"/>
  <c r="B157" i="236"/>
  <c r="K165" i="236"/>
  <c r="C163" i="236"/>
  <c r="G161" i="236"/>
  <c r="L187" i="236"/>
  <c r="G149" i="236"/>
  <c r="K147" i="236"/>
  <c r="C145" i="236"/>
  <c r="D141" i="236"/>
  <c r="H73" i="236"/>
  <c r="F97" i="236"/>
  <c r="K123" i="236"/>
  <c r="C121" i="236"/>
  <c r="G118" i="236"/>
  <c r="J88" i="236"/>
  <c r="N85" i="236"/>
  <c r="F83" i="236"/>
  <c r="N99" i="236"/>
  <c r="J128" i="236"/>
  <c r="B141" i="236"/>
  <c r="F151" i="236"/>
  <c r="F91" i="236"/>
  <c r="J115" i="236"/>
  <c r="N112" i="236"/>
  <c r="M174" i="236"/>
  <c r="E172" i="236"/>
  <c r="E193" i="236"/>
  <c r="I190" i="236"/>
  <c r="I159" i="236"/>
  <c r="M182" i="236"/>
  <c r="E180" i="236"/>
  <c r="I177" i="236"/>
  <c r="B160" i="236"/>
  <c r="I165" i="236"/>
  <c r="M162" i="236"/>
  <c r="C81" i="236"/>
  <c r="K189" i="236"/>
  <c r="D178" i="236"/>
  <c r="H113" i="236"/>
  <c r="G165" i="236"/>
  <c r="K83" i="236"/>
  <c r="M126" i="236"/>
  <c r="H130" i="236"/>
  <c r="J70" i="236"/>
  <c r="J55" i="236"/>
  <c r="G150" i="236"/>
  <c r="N167" i="236"/>
  <c r="F159" i="236"/>
  <c r="K174" i="236"/>
  <c r="K187" i="236"/>
  <c r="B159" i="236"/>
  <c r="G159" i="236"/>
  <c r="H174" i="236"/>
  <c r="G173" i="236"/>
  <c r="K191" i="236"/>
  <c r="C158" i="236"/>
  <c r="K178" i="236"/>
  <c r="K166" i="236"/>
  <c r="G157" i="236"/>
  <c r="D186" i="236"/>
  <c r="C146" i="236"/>
  <c r="B162" i="236"/>
  <c r="J141" i="236"/>
  <c r="N156" i="236"/>
  <c r="G176" i="236"/>
  <c r="G189" i="236"/>
  <c r="K141" i="236"/>
  <c r="C160" i="236"/>
  <c r="D176" i="236"/>
  <c r="E173" i="236"/>
  <c r="I191" i="236"/>
  <c r="B182" i="236"/>
  <c r="I178" i="236"/>
  <c r="I166" i="236"/>
  <c r="E157" i="236"/>
  <c r="F174" i="236"/>
  <c r="J192" i="236"/>
  <c r="N158" i="236"/>
  <c r="J179" i="236"/>
  <c r="J167" i="236"/>
  <c r="F162" i="236"/>
  <c r="G187" i="236"/>
  <c r="N146" i="236"/>
  <c r="L132" i="236"/>
  <c r="H127" i="236"/>
  <c r="L119" i="236"/>
  <c r="H114" i="236"/>
  <c r="K143" i="236"/>
  <c r="C96" i="236"/>
  <c r="G133" i="236"/>
  <c r="C128" i="236"/>
  <c r="D174" i="236"/>
  <c r="H192" i="236"/>
  <c r="L158" i="236"/>
  <c r="H179" i="236"/>
  <c r="H167" i="236"/>
  <c r="D162" i="236"/>
  <c r="E187" i="236"/>
  <c r="L146" i="236"/>
  <c r="F120" i="236"/>
  <c r="N114" i="236"/>
  <c r="I82" i="236"/>
  <c r="I96" i="236"/>
  <c r="C85" i="236"/>
  <c r="F192" i="236"/>
  <c r="L144" i="236"/>
  <c r="I20" i="236"/>
  <c r="M146" i="236"/>
  <c r="K87" i="236"/>
  <c r="I142" i="236"/>
  <c r="H67" i="236"/>
  <c r="F117" i="236"/>
  <c r="M56" i="236"/>
  <c r="D86" i="236"/>
  <c r="C182" i="236"/>
  <c r="F166" i="236"/>
  <c r="B122" i="236"/>
  <c r="L57" i="236"/>
  <c r="L116" i="236"/>
  <c r="F144" i="236"/>
  <c r="D77" i="236"/>
  <c r="C118" i="236"/>
  <c r="D38" i="236"/>
  <c r="M82" i="236"/>
  <c r="K22" i="236"/>
  <c r="I84" i="236"/>
  <c r="E57" i="236"/>
  <c r="D112" i="236"/>
  <c r="I25" i="236"/>
  <c r="K164" i="236"/>
  <c r="H132" i="236"/>
  <c r="C112" i="236"/>
  <c r="M97" i="236"/>
  <c r="C37" i="236"/>
  <c r="M116" i="236"/>
  <c r="J114" i="236"/>
  <c r="E116" i="236"/>
  <c r="M152" i="236"/>
  <c r="E148" i="236"/>
  <c r="N127" i="236"/>
  <c r="I131" i="236"/>
  <c r="M52" i="236"/>
  <c r="K126" i="236"/>
  <c r="N66" i="236"/>
  <c r="M181" i="236"/>
  <c r="H55" i="236"/>
  <c r="D166" i="236"/>
  <c r="I90" i="236"/>
  <c r="I29" i="236"/>
  <c r="B22" i="236"/>
  <c r="F43" i="236"/>
  <c r="D29" i="236"/>
  <c r="L20" i="236"/>
  <c r="B83" i="236"/>
  <c r="K146" i="236"/>
  <c r="N118" i="236"/>
  <c r="B179" i="236"/>
  <c r="H41" i="236"/>
  <c r="E166" i="236"/>
  <c r="M68" i="236"/>
  <c r="F143" i="236"/>
  <c r="K39" i="236"/>
  <c r="H164" i="236"/>
  <c r="H75" i="236"/>
  <c r="I51" i="236"/>
  <c r="L23" i="236"/>
  <c r="G76" i="236"/>
  <c r="B41" i="236"/>
  <c r="K26" i="236"/>
  <c r="N192" i="236"/>
  <c r="L87" i="236"/>
  <c r="H44" i="236"/>
  <c r="B75" i="236"/>
  <c r="J151" i="236"/>
  <c r="N82" i="236"/>
  <c r="E86" i="236"/>
  <c r="K37" i="236"/>
  <c r="C157" i="236"/>
  <c r="J145" i="236"/>
  <c r="C122" i="236"/>
  <c r="J43" i="236"/>
  <c r="B123" i="236"/>
  <c r="D191" i="236"/>
  <c r="L143" i="236"/>
  <c r="J84" i="236"/>
  <c r="B130" i="236"/>
  <c r="J122" i="236"/>
  <c r="G91" i="236"/>
  <c r="F158" i="236"/>
  <c r="K151" i="236"/>
  <c r="H129" i="236"/>
  <c r="F86" i="236"/>
  <c r="C151" i="236"/>
  <c r="J35" i="236"/>
  <c r="J116" i="236"/>
  <c r="M44" i="236"/>
  <c r="I91" i="236"/>
  <c r="L166" i="236"/>
  <c r="H189" i="236"/>
  <c r="H96" i="236"/>
  <c r="J51" i="236"/>
  <c r="N187" i="236"/>
  <c r="M145" i="236"/>
  <c r="D144" i="236"/>
  <c r="L150" i="236"/>
  <c r="N24" i="236"/>
  <c r="B144" i="236"/>
  <c r="N71" i="236"/>
  <c r="E89" i="236"/>
  <c r="G43" i="236"/>
  <c r="E122" i="236"/>
  <c r="D55" i="236"/>
  <c r="L178" i="236"/>
  <c r="H82" i="236"/>
  <c r="E55" i="236"/>
  <c r="H27" i="236"/>
  <c r="K51" i="236"/>
  <c r="E143" i="236"/>
  <c r="L71" i="236"/>
  <c r="F82" i="236"/>
  <c r="E150" i="236"/>
  <c r="E28" i="236"/>
  <c r="H84" i="236"/>
  <c r="D41" i="236"/>
  <c r="G97" i="236"/>
  <c r="E84" i="236"/>
  <c r="J121" i="236"/>
  <c r="G39" i="236"/>
  <c r="J44" i="236"/>
  <c r="M39" i="236"/>
  <c r="M37" i="236"/>
  <c r="B70" i="236"/>
  <c r="E40" i="236"/>
  <c r="B99" i="236"/>
  <c r="J42" i="236"/>
  <c r="L91" i="236"/>
  <c r="M23" i="236"/>
  <c r="H98" i="236"/>
  <c r="L39" i="236"/>
  <c r="C23" i="236"/>
  <c r="F84" i="236"/>
  <c r="H56" i="236"/>
  <c r="K66" i="236"/>
  <c r="H128" i="236"/>
  <c r="K131" i="236"/>
  <c r="BG2" i="235"/>
  <c r="F40" i="236"/>
  <c r="M77" i="236"/>
  <c r="M118" i="236"/>
  <c r="F57" i="236"/>
  <c r="N2" i="235"/>
  <c r="G56" i="236"/>
  <c r="F129" i="236"/>
  <c r="L131" i="236"/>
  <c r="E38" i="236"/>
  <c r="G2" i="235"/>
  <c r="F165" i="236"/>
  <c r="H81" i="236"/>
  <c r="I173" i="236"/>
  <c r="B53" i="236"/>
  <c r="E39" i="236"/>
  <c r="D31" i="236"/>
  <c r="L73" i="236"/>
  <c r="M115" i="236"/>
  <c r="C111" i="236"/>
  <c r="B68" i="236"/>
  <c r="B111" i="236"/>
  <c r="D81" i="236"/>
  <c r="G113" i="236"/>
  <c r="M26" i="236"/>
  <c r="BH2" i="235"/>
  <c r="G177" i="236"/>
  <c r="F74" i="236"/>
  <c r="K89" i="236"/>
  <c r="AT2" i="234"/>
  <c r="BN2" i="234"/>
  <c r="BH2" i="234"/>
  <c r="C29" i="236"/>
  <c r="G99" i="236"/>
  <c r="E25" i="236"/>
  <c r="B89" i="236"/>
  <c r="C26" i="236"/>
  <c r="G54" i="236"/>
  <c r="K132" i="236"/>
  <c r="BD2" i="235"/>
  <c r="D73" i="236"/>
  <c r="N90" i="236"/>
  <c r="L171" i="236"/>
  <c r="H72" i="236"/>
  <c r="J73" i="236"/>
  <c r="I97" i="236"/>
  <c r="L160" i="236"/>
  <c r="AP2" i="235"/>
  <c r="J27" i="236"/>
  <c r="F69" i="236"/>
  <c r="C173" i="236"/>
  <c r="J41" i="236"/>
  <c r="J85" i="236"/>
  <c r="N26" i="236"/>
  <c r="G44" i="236"/>
  <c r="C72" i="236"/>
  <c r="J162" i="236"/>
  <c r="N179" i="236"/>
  <c r="C193" i="236"/>
  <c r="F147" i="236"/>
  <c r="K162" i="236"/>
  <c r="C180" i="236"/>
  <c r="L192" i="236"/>
  <c r="B191" i="236"/>
  <c r="C189" i="236"/>
  <c r="G181" i="236"/>
  <c r="C176" i="236"/>
  <c r="C164" i="236"/>
  <c r="K156" i="236"/>
  <c r="K148" i="236"/>
  <c r="G141" i="236"/>
  <c r="C54" i="236"/>
  <c r="F164" i="236"/>
  <c r="J181" i="236"/>
  <c r="C171" i="236"/>
  <c r="N148" i="236"/>
  <c r="G164" i="236"/>
  <c r="K181" i="236"/>
  <c r="B192" i="236"/>
  <c r="B189" i="236"/>
  <c r="M188" i="236"/>
  <c r="E181" i="236"/>
  <c r="M175" i="236"/>
  <c r="M163" i="236"/>
  <c r="M87" i="236"/>
  <c r="J171" i="236"/>
  <c r="N189" i="236"/>
  <c r="F182" i="236"/>
  <c r="N176" i="236"/>
  <c r="N164" i="236"/>
  <c r="J160" i="236"/>
  <c r="J142" i="236"/>
  <c r="L111" i="236"/>
  <c r="D130" i="236"/>
  <c r="H122" i="236"/>
  <c r="D117" i="236"/>
  <c r="B148" i="236"/>
  <c r="M148" i="236"/>
  <c r="G112" i="236"/>
  <c r="K130" i="236"/>
  <c r="C142" i="236"/>
  <c r="H171" i="236"/>
  <c r="L189" i="236"/>
  <c r="D182" i="236"/>
  <c r="L176" i="236"/>
  <c r="L164" i="236"/>
  <c r="H160" i="236"/>
  <c r="H142" i="236"/>
  <c r="N122" i="236"/>
  <c r="J117" i="236"/>
  <c r="E85" i="236"/>
  <c r="E99" i="236"/>
  <c r="G90" i="236"/>
  <c r="C99" i="236"/>
  <c r="I147" i="236"/>
  <c r="N181" i="236"/>
  <c r="I164" i="236"/>
  <c r="G116" i="236"/>
  <c r="N92" i="236"/>
  <c r="C127" i="236"/>
  <c r="B128" i="236"/>
  <c r="N121" i="236"/>
  <c r="G85" i="236"/>
  <c r="I41" i="236"/>
  <c r="E31" i="236"/>
  <c r="D44" i="236"/>
  <c r="H54" i="236"/>
  <c r="L53" i="236"/>
  <c r="M75" i="236"/>
  <c r="I119" i="236"/>
  <c r="M128" i="236"/>
  <c r="B120" i="236"/>
  <c r="C152" i="236"/>
  <c r="I87" i="236"/>
  <c r="I176" i="236"/>
  <c r="K91" i="236"/>
  <c r="L161" i="236"/>
  <c r="L118" i="236"/>
  <c r="K77" i="236"/>
  <c r="L92" i="236"/>
  <c r="I71" i="236"/>
  <c r="J39" i="236"/>
  <c r="B56" i="236"/>
  <c r="I52" i="236"/>
  <c r="H70" i="236"/>
  <c r="E70" i="236"/>
  <c r="I175" i="236"/>
  <c r="M150" i="236"/>
  <c r="B167" i="236"/>
  <c r="B37" i="236"/>
  <c r="I77" i="236"/>
  <c r="E35" i="236"/>
  <c r="J92" i="236"/>
  <c r="L97" i="236"/>
  <c r="D52" i="236"/>
  <c r="C74" i="236"/>
  <c r="C84" i="236"/>
  <c r="K21" i="236"/>
  <c r="B84" i="236"/>
  <c r="G67" i="236"/>
  <c r="I22" i="236"/>
  <c r="E81" i="236"/>
  <c r="D25" i="236"/>
  <c r="E118" i="236"/>
  <c r="G167" i="236"/>
  <c r="F41" i="236"/>
  <c r="D37" i="236"/>
  <c r="B87" i="236"/>
  <c r="I73" i="236"/>
  <c r="D23" i="236"/>
  <c r="C57" i="236"/>
  <c r="K71" i="236"/>
  <c r="D68" i="236"/>
  <c r="E41" i="236"/>
  <c r="C70" i="236"/>
  <c r="D99" i="236"/>
  <c r="G123" i="236"/>
  <c r="H118" i="236"/>
  <c r="B20" i="236"/>
  <c r="K92" i="236"/>
  <c r="B28" i="236"/>
  <c r="N76" i="236"/>
  <c r="G83" i="236"/>
  <c r="G128" i="236"/>
  <c r="N40" i="236"/>
  <c r="G55" i="236"/>
  <c r="H23" i="236"/>
  <c r="D150" i="236"/>
  <c r="E165" i="236"/>
  <c r="L126" i="236"/>
  <c r="J111" i="236"/>
  <c r="E92" i="236"/>
  <c r="B145" i="236"/>
  <c r="L90" i="236"/>
  <c r="F127" i="236"/>
  <c r="F128" i="236"/>
  <c r="N29" i="236"/>
  <c r="N171" i="236"/>
  <c r="E158" i="236"/>
  <c r="E146" i="236"/>
  <c r="B25" i="236"/>
  <c r="L127" i="236"/>
  <c r="J76" i="236"/>
  <c r="J173" i="236"/>
  <c r="B86" i="236"/>
  <c r="N111" i="236"/>
  <c r="L191" i="236"/>
  <c r="F123" i="236"/>
  <c r="G122" i="236"/>
  <c r="K52" i="236"/>
  <c r="I156" i="236"/>
  <c r="I148" i="236"/>
  <c r="E141" i="236"/>
  <c r="E53" i="236"/>
  <c r="B39" i="236"/>
  <c r="J57" i="236"/>
  <c r="G29" i="236"/>
  <c r="B58" i="236"/>
  <c r="C38" i="236"/>
  <c r="G24" i="236"/>
  <c r="L51" i="236"/>
  <c r="D67" i="236"/>
  <c r="B112" i="236"/>
  <c r="M133" i="236"/>
  <c r="B151" i="236"/>
  <c r="J87" i="236"/>
  <c r="C55" i="236"/>
  <c r="D171" i="236"/>
  <c r="F141" i="236"/>
  <c r="G70" i="236"/>
  <c r="M25" i="236"/>
  <c r="F44" i="236"/>
  <c r="L35" i="236"/>
  <c r="E73" i="236"/>
  <c r="M98" i="236"/>
  <c r="G23" i="236"/>
  <c r="K56" i="236"/>
  <c r="M73" i="236"/>
  <c r="M112" i="236"/>
  <c r="B98" i="236"/>
  <c r="B116" i="236"/>
  <c r="B121" i="236"/>
  <c r="K133" i="236"/>
  <c r="L77" i="236"/>
  <c r="AY2" i="235"/>
  <c r="B38" i="236"/>
  <c r="J75" i="236"/>
  <c r="D57" i="236"/>
  <c r="L40" i="236"/>
  <c r="N42" i="236"/>
  <c r="K152" i="236"/>
  <c r="F121" i="236"/>
  <c r="B44" i="236"/>
  <c r="F177" i="236"/>
  <c r="N89" i="236"/>
  <c r="N131" i="236"/>
  <c r="E131" i="236"/>
  <c r="M90" i="236"/>
  <c r="I117" i="236"/>
  <c r="G119" i="236"/>
  <c r="K90" i="236"/>
  <c r="I26" i="236"/>
  <c r="E121" i="236"/>
  <c r="K40" i="236"/>
  <c r="G30" i="236"/>
  <c r="F190" i="236"/>
  <c r="D158" i="236"/>
  <c r="H157" i="236"/>
  <c r="I89" i="236"/>
  <c r="AS2" i="235"/>
  <c r="K122" i="236"/>
  <c r="I132" i="236"/>
  <c r="H152" i="236"/>
  <c r="N86" i="236"/>
  <c r="G88" i="236"/>
  <c r="T2" i="235"/>
  <c r="G191" i="236"/>
  <c r="H51" i="236"/>
  <c r="F142" i="236"/>
  <c r="J131" i="236"/>
  <c r="E44" i="236"/>
  <c r="E111" i="236"/>
  <c r="H121" i="236"/>
  <c r="N55" i="236"/>
  <c r="AN2" i="234"/>
  <c r="BL2" i="234"/>
  <c r="AZ2" i="234"/>
  <c r="J113" i="236"/>
  <c r="BI2" i="235"/>
  <c r="K127" i="236"/>
  <c r="F68" i="236"/>
  <c r="F90" i="236"/>
  <c r="K57" i="236"/>
  <c r="AN2" i="235"/>
  <c r="K84" i="236"/>
  <c r="E82" i="236"/>
  <c r="K82" i="236"/>
  <c r="D152" i="236"/>
  <c r="B146" i="236"/>
  <c r="K69" i="236"/>
  <c r="G75" i="236"/>
  <c r="M151" i="236"/>
  <c r="I55" i="236"/>
  <c r="K44" i="236"/>
  <c r="D114" i="236"/>
  <c r="S2" i="235"/>
  <c r="I115" i="236"/>
  <c r="K54" i="236"/>
  <c r="K75" i="236"/>
  <c r="C144" i="236"/>
  <c r="I126" i="236"/>
  <c r="J191" i="236"/>
  <c r="J178" i="236"/>
  <c r="F157" i="236"/>
  <c r="N145" i="236"/>
  <c r="L179" i="236"/>
  <c r="D147" i="236"/>
  <c r="M179" i="236"/>
  <c r="E147" i="236"/>
  <c r="H191" i="236"/>
  <c r="H178" i="236"/>
  <c r="D157" i="236"/>
  <c r="L145" i="236"/>
  <c r="H181" i="236"/>
  <c r="L148" i="236"/>
  <c r="J174" i="236"/>
  <c r="I127" i="236"/>
  <c r="I114" i="236"/>
  <c r="D96" i="236"/>
  <c r="K171" i="236"/>
  <c r="G182" i="236"/>
  <c r="C165" i="236"/>
  <c r="K142" i="236"/>
  <c r="C192" i="236"/>
  <c r="C115" i="236"/>
  <c r="J96" i="236"/>
  <c r="N87" i="236"/>
  <c r="I171" i="236"/>
  <c r="E182" i="236"/>
  <c r="M164" i="236"/>
  <c r="M144" i="236"/>
  <c r="L54" i="236"/>
  <c r="E178" i="236"/>
  <c r="B115" i="236"/>
  <c r="M36" i="236"/>
  <c r="D69" i="236"/>
  <c r="G146" i="236"/>
  <c r="D90" i="236"/>
  <c r="C119" i="236"/>
  <c r="C91" i="236"/>
  <c r="B178" i="236"/>
  <c r="D113" i="236"/>
  <c r="L24" i="236"/>
  <c r="M21" i="236"/>
  <c r="C30" i="236"/>
  <c r="H144" i="236"/>
  <c r="F187" i="236"/>
  <c r="J130" i="236"/>
  <c r="I113" i="236"/>
  <c r="G132" i="236"/>
  <c r="M166" i="236"/>
  <c r="F114" i="236"/>
  <c r="M67" i="236"/>
  <c r="M30" i="236"/>
  <c r="I35" i="236"/>
  <c r="L128" i="236"/>
  <c r="L86" i="236"/>
  <c r="G73" i="236"/>
  <c r="C44" i="236"/>
  <c r="H173" i="236"/>
  <c r="G77" i="236"/>
  <c r="J81" i="236"/>
  <c r="N98" i="236"/>
  <c r="C90" i="236"/>
  <c r="G143" i="236"/>
  <c r="N84" i="236"/>
  <c r="N21" i="236"/>
  <c r="I121" i="236"/>
  <c r="G89" i="236"/>
  <c r="I43" i="236"/>
  <c r="C133" i="236"/>
  <c r="N152" i="236"/>
  <c r="L81" i="236"/>
  <c r="D122" i="236"/>
  <c r="C58" i="236"/>
  <c r="E120" i="236"/>
  <c r="L70" i="236"/>
  <c r="N30" i="236"/>
  <c r="I181" i="236"/>
  <c r="E142" i="236"/>
  <c r="C130" i="236"/>
  <c r="G115" i="236"/>
  <c r="J67" i="236"/>
  <c r="F146" i="236"/>
  <c r="M127" i="236"/>
  <c r="B43" i="236"/>
  <c r="M20" i="236"/>
  <c r="G147" i="236"/>
  <c r="F38" i="236"/>
  <c r="I116" i="236"/>
  <c r="D27" i="236"/>
  <c r="K25" i="236"/>
  <c r="M53" i="236"/>
  <c r="F75" i="236"/>
  <c r="N53" i="236"/>
  <c r="AD2" i="235"/>
  <c r="K55" i="236"/>
  <c r="N27" i="236"/>
  <c r="G114" i="236"/>
  <c r="C76" i="236"/>
  <c r="M74" i="236"/>
  <c r="E67" i="236"/>
  <c r="B114" i="236"/>
  <c r="B117" i="236"/>
  <c r="C149" i="236"/>
  <c r="B42" i="236"/>
  <c r="K129" i="236"/>
  <c r="N36" i="236"/>
  <c r="H25" i="236"/>
  <c r="C66" i="236"/>
  <c r="F73" i="236"/>
  <c r="M122" i="236"/>
  <c r="I23" i="236"/>
  <c r="D131" i="236"/>
  <c r="J118" i="236"/>
  <c r="AK2" i="234"/>
  <c r="BI2" i="234"/>
  <c r="BF2" i="235"/>
  <c r="F132" i="236"/>
  <c r="J182" i="236"/>
  <c r="I111" i="236"/>
  <c r="K121" i="236"/>
  <c r="M131" i="236"/>
  <c r="N72" i="236"/>
  <c r="D127" i="236"/>
  <c r="E77" i="236"/>
  <c r="M41" i="236"/>
  <c r="L21" i="236"/>
  <c r="I75" i="236"/>
  <c r="L123" i="236"/>
  <c r="K31" i="236"/>
  <c r="N67" i="236"/>
  <c r="E119" i="236"/>
  <c r="K74" i="236"/>
  <c r="B190" i="236"/>
  <c r="F181" i="236"/>
  <c r="N163" i="236"/>
  <c r="J148" i="236"/>
  <c r="D159" i="236"/>
  <c r="I187" i="236"/>
  <c r="E159" i="236"/>
  <c r="F189" i="236"/>
  <c r="B188" i="236"/>
  <c r="D181" i="236"/>
  <c r="L163" i="236"/>
  <c r="H148" i="236"/>
  <c r="L156" i="236"/>
  <c r="E189" i="236"/>
  <c r="M156" i="236"/>
  <c r="E130" i="236"/>
  <c r="E117" i="236"/>
  <c r="L98" i="236"/>
  <c r="G174" i="236"/>
  <c r="C159" i="236"/>
  <c r="K167" i="236"/>
  <c r="D187" i="236"/>
  <c r="D189" i="236"/>
  <c r="K117" i="236"/>
  <c r="F99" i="236"/>
  <c r="J90" i="236"/>
  <c r="E174" i="236"/>
  <c r="M158" i="236"/>
  <c r="I167" i="236"/>
  <c r="N186" i="236"/>
  <c r="I85" i="236"/>
  <c r="E20" i="236"/>
  <c r="E129" i="236"/>
  <c r="M28" i="236"/>
  <c r="M22" i="236"/>
  <c r="C97" i="236"/>
  <c r="B96" i="236"/>
  <c r="I144" i="236"/>
  <c r="K116" i="236"/>
  <c r="D53" i="236"/>
  <c r="F35" i="236"/>
  <c r="D119" i="236"/>
  <c r="C86" i="236"/>
  <c r="D97" i="236"/>
  <c r="D118" i="236"/>
  <c r="M159" i="236"/>
  <c r="B163" i="236"/>
  <c r="I130" i="236"/>
  <c r="B143" i="236"/>
  <c r="M191" i="236"/>
  <c r="J152" i="236"/>
  <c r="H111" i="236"/>
  <c r="I152" i="236"/>
  <c r="E96" i="236"/>
  <c r="B164" i="236"/>
  <c r="M121" i="236"/>
  <c r="C89" i="236"/>
  <c r="C87" i="236"/>
  <c r="K157" i="236"/>
  <c r="N151" i="236"/>
  <c r="B129" i="236"/>
  <c r="C20" i="236"/>
  <c r="E151" i="236"/>
  <c r="C53" i="236"/>
  <c r="M76" i="236"/>
  <c r="J186" i="236"/>
  <c r="E190" i="236"/>
  <c r="L149" i="236"/>
  <c r="D126" i="236"/>
  <c r="B27" i="236"/>
  <c r="F77" i="236"/>
  <c r="D89" i="236"/>
  <c r="F26" i="236"/>
  <c r="J22" i="236"/>
  <c r="G121" i="236"/>
  <c r="D142" i="236"/>
  <c r="L172" i="236"/>
  <c r="Q2" i="235"/>
  <c r="M143" i="236"/>
  <c r="B131" i="236"/>
  <c r="F126" i="236"/>
  <c r="D83" i="236"/>
  <c r="H123" i="236"/>
  <c r="L36" i="236"/>
  <c r="B69" i="236"/>
  <c r="C36" i="236"/>
  <c r="H187" i="236"/>
  <c r="D151" i="236"/>
  <c r="G126" i="236"/>
  <c r="G82" i="236"/>
  <c r="I123" i="236"/>
  <c r="I24" i="236"/>
  <c r="N142" i="236"/>
  <c r="L114" i="236"/>
  <c r="AF2" i="235"/>
  <c r="F36" i="236"/>
  <c r="D98" i="236"/>
  <c r="G160" i="236"/>
  <c r="I42" i="236"/>
  <c r="H116" i="236"/>
  <c r="G53" i="236"/>
  <c r="M141" i="236"/>
  <c r="M114" i="236"/>
  <c r="C52" i="236"/>
  <c r="E54" i="236"/>
  <c r="C41" i="236"/>
  <c r="L52" i="236"/>
  <c r="L42" i="236"/>
  <c r="F152" i="236"/>
  <c r="E90" i="236"/>
  <c r="D35" i="236"/>
  <c r="M89" i="236"/>
  <c r="H91" i="236"/>
  <c r="N191" i="236"/>
  <c r="AH2" i="234"/>
  <c r="AC2" i="234"/>
  <c r="B77" i="236"/>
  <c r="N96" i="236"/>
  <c r="G41" i="236"/>
  <c r="G57" i="236"/>
  <c r="N126" i="236"/>
  <c r="F191" i="236"/>
  <c r="B82" i="236"/>
  <c r="E113" i="236"/>
  <c r="F31" i="236"/>
  <c r="F25" i="236"/>
  <c r="B21" i="236"/>
  <c r="N175" i="236"/>
  <c r="L167" i="236"/>
  <c r="M167" i="236"/>
  <c r="F116" i="236"/>
  <c r="L175" i="236"/>
  <c r="H141" i="236"/>
  <c r="I141" i="236"/>
  <c r="I122" i="236"/>
  <c r="L152" i="236"/>
  <c r="K179" i="236"/>
  <c r="C147" i="236"/>
  <c r="F85" i="236"/>
  <c r="F112" i="236"/>
  <c r="I179" i="236"/>
  <c r="G20" i="236"/>
  <c r="C31" i="236"/>
  <c r="E37" i="236"/>
  <c r="I129" i="236"/>
  <c r="J68" i="236"/>
  <c r="M71" i="236"/>
  <c r="I30" i="236"/>
  <c r="J66" i="236"/>
  <c r="M147" i="236"/>
  <c r="F52" i="236"/>
  <c r="G72" i="236"/>
  <c r="F89" i="236"/>
  <c r="B126" i="236"/>
  <c r="M27" i="236"/>
  <c r="H182" i="236"/>
  <c r="G178" i="236"/>
  <c r="J187" i="236"/>
  <c r="C25" i="236"/>
  <c r="D85" i="236"/>
  <c r="M92" i="236"/>
  <c r="F76" i="236"/>
  <c r="D39" i="236"/>
  <c r="M160" i="236"/>
  <c r="B72" i="236"/>
  <c r="E128" i="236"/>
  <c r="N116" i="236"/>
  <c r="B74" i="236"/>
  <c r="G25" i="236"/>
  <c r="K182" i="236"/>
  <c r="D21" i="236"/>
  <c r="H29" i="236"/>
  <c r="I36" i="236"/>
  <c r="K68" i="236"/>
  <c r="M149" i="236"/>
  <c r="H76" i="236"/>
  <c r="AC2" i="235"/>
  <c r="G66" i="236"/>
  <c r="C21" i="236"/>
  <c r="E171" i="236"/>
  <c r="M57" i="236"/>
  <c r="F21" i="236"/>
  <c r="N56" i="236"/>
  <c r="AW2" i="235"/>
  <c r="N81" i="236"/>
  <c r="L25" i="236"/>
  <c r="H68" i="236"/>
  <c r="F23" i="236"/>
  <c r="L31" i="236"/>
  <c r="H150" i="236"/>
  <c r="E68" i="236"/>
  <c r="L122" i="236"/>
  <c r="M81" i="236"/>
  <c r="K24" i="236"/>
  <c r="B180" i="236"/>
  <c r="B152" i="236"/>
  <c r="N38" i="236"/>
  <c r="K43" i="236"/>
  <c r="E114" i="236"/>
  <c r="L129" i="236"/>
  <c r="AR2" i="235"/>
  <c r="I128" i="236"/>
  <c r="N74" i="236"/>
  <c r="B52" i="236"/>
  <c r="H39" i="236"/>
  <c r="L41" i="236"/>
  <c r="E98" i="236"/>
  <c r="AR2" i="234"/>
  <c r="Q2" i="234"/>
  <c r="AY2" i="234"/>
  <c r="AP2" i="234"/>
  <c r="C179" i="236"/>
  <c r="D116" i="236"/>
  <c r="H57" i="236"/>
  <c r="C40" i="236"/>
  <c r="D92" i="236"/>
  <c r="F51" i="236"/>
  <c r="N70" i="236"/>
  <c r="J26" i="236"/>
  <c r="N44" i="236"/>
  <c r="E24" i="236"/>
  <c r="N150" i="236"/>
  <c r="F92" i="236"/>
  <c r="F130" i="236"/>
  <c r="C73" i="236"/>
  <c r="B71" i="236"/>
  <c r="M54" i="236"/>
  <c r="B57" i="236"/>
  <c r="D111" i="236"/>
  <c r="F58" i="236"/>
  <c r="J150" i="236"/>
  <c r="L56" i="236"/>
  <c r="AI2" i="235"/>
  <c r="M86" i="236"/>
  <c r="J91" i="236"/>
  <c r="G35" i="236"/>
  <c r="I37" i="236"/>
  <c r="H40" i="236"/>
  <c r="N123" i="236"/>
  <c r="L133" i="236"/>
  <c r="C92" i="236"/>
  <c r="F53" i="236"/>
  <c r="K98" i="236"/>
  <c r="C150" i="236"/>
  <c r="M123" i="236"/>
  <c r="H35" i="236"/>
  <c r="D190" i="236"/>
  <c r="F88" i="236"/>
  <c r="K186" i="236"/>
  <c r="B118" i="236"/>
  <c r="K29" i="236"/>
  <c r="N37" i="236"/>
  <c r="AJ2" i="234"/>
  <c r="P2" i="234"/>
  <c r="BK2" i="234"/>
  <c r="J133" i="236"/>
  <c r="J56" i="236"/>
  <c r="C132" i="236"/>
  <c r="J74" i="236"/>
  <c r="I86" i="236"/>
  <c r="L27" i="236"/>
  <c r="N119" i="236"/>
  <c r="J69" i="236"/>
  <c r="H69" i="236"/>
  <c r="G84" i="236"/>
  <c r="H43" i="236"/>
  <c r="M70" i="236"/>
  <c r="L72" i="236"/>
  <c r="K28" i="236"/>
  <c r="I31" i="236"/>
  <c r="B29" i="236"/>
  <c r="L83" i="236"/>
  <c r="I74" i="236"/>
  <c r="Z2" i="235"/>
  <c r="B54" i="236"/>
  <c r="D74" i="236"/>
  <c r="U2" i="235"/>
  <c r="D87" i="236"/>
  <c r="L43" i="236"/>
  <c r="G98" i="236"/>
  <c r="G26" i="236"/>
  <c r="BB2" i="235"/>
  <c r="B36" i="236"/>
  <c r="M91" i="236"/>
  <c r="D51" i="236"/>
  <c r="N115" i="236"/>
  <c r="N160" i="236"/>
  <c r="AJ2" i="235"/>
  <c r="N178" i="236"/>
  <c r="E133" i="236"/>
  <c r="N22" i="236"/>
  <c r="C51" i="236"/>
  <c r="K145" i="236"/>
  <c r="C22" i="236"/>
  <c r="G142" i="236"/>
  <c r="H2" i="235"/>
  <c r="Y2" i="234"/>
  <c r="AB2" i="234"/>
  <c r="AI2" i="234"/>
  <c r="AV2" i="234"/>
  <c r="F173" i="236"/>
  <c r="J166" i="236"/>
  <c r="H162" i="236"/>
  <c r="I162" i="236"/>
  <c r="D173" i="236"/>
  <c r="H166" i="236"/>
  <c r="D164" i="236"/>
  <c r="E164" i="236"/>
  <c r="M119" i="236"/>
  <c r="D143" i="236"/>
  <c r="C177" i="236"/>
  <c r="G144" i="236"/>
  <c r="J82" i="236"/>
  <c r="F133" i="236"/>
  <c r="M176" i="236"/>
  <c r="C43" i="236"/>
  <c r="B85" i="236"/>
  <c r="L142" i="236"/>
  <c r="J21" i="236"/>
  <c r="N75" i="236"/>
  <c r="E74" i="236"/>
  <c r="L55" i="236"/>
  <c r="F42" i="236"/>
  <c r="E145" i="236"/>
  <c r="M161" i="236"/>
  <c r="D160" i="236"/>
  <c r="K70" i="236"/>
  <c r="G51" i="236"/>
  <c r="E160" i="236"/>
  <c r="G158" i="236"/>
  <c r="H86" i="236"/>
  <c r="M99" i="236"/>
  <c r="K30" i="236"/>
  <c r="K53" i="236"/>
  <c r="B26" i="236"/>
  <c r="N54" i="236"/>
  <c r="H37" i="236"/>
  <c r="L151" i="236"/>
  <c r="F72" i="236"/>
  <c r="B149" i="236"/>
  <c r="E76" i="236"/>
  <c r="C69" i="236"/>
  <c r="I76" i="236"/>
  <c r="J157" i="236"/>
  <c r="K41" i="236"/>
  <c r="L75" i="236"/>
  <c r="I39" i="236"/>
  <c r="C42" i="236"/>
  <c r="D146" i="236"/>
  <c r="M84" i="236"/>
  <c r="N39" i="236"/>
  <c r="E75" i="236"/>
  <c r="I186" i="236"/>
  <c r="H77" i="236"/>
  <c r="H71" i="236"/>
  <c r="K111" i="236"/>
  <c r="F115" i="236"/>
  <c r="BJ2" i="234"/>
  <c r="J37" i="236"/>
  <c r="K81" i="236"/>
  <c r="H97" i="236"/>
  <c r="J72" i="236"/>
  <c r="K113" i="236"/>
  <c r="K20" i="236"/>
  <c r="N188" i="236"/>
  <c r="J156" i="236"/>
  <c r="I174" i="236"/>
  <c r="F176" i="236"/>
  <c r="L188" i="236"/>
  <c r="H156" i="236"/>
  <c r="E176" i="236"/>
  <c r="M111" i="236"/>
  <c r="L84" i="236"/>
  <c r="K192" i="236"/>
  <c r="G162" i="236"/>
  <c r="C123" i="236"/>
  <c r="B147" i="236"/>
  <c r="I192" i="236"/>
  <c r="E162" i="236"/>
  <c r="N133" i="236"/>
  <c r="N43" i="236"/>
  <c r="L38" i="236"/>
  <c r="H87" i="236"/>
  <c r="L28" i="236"/>
  <c r="C24" i="236"/>
  <c r="J53" i="236"/>
  <c r="N41" i="236"/>
  <c r="J83" i="236"/>
  <c r="L76" i="236"/>
  <c r="J30" i="236"/>
  <c r="L115" i="236"/>
  <c r="N113" i="236"/>
  <c r="E43" i="236"/>
  <c r="N132" i="236"/>
  <c r="H145" i="236"/>
  <c r="L85" i="236"/>
  <c r="C77" i="236"/>
  <c r="D84" i="236"/>
  <c r="N144" i="236"/>
  <c r="C39" i="236"/>
  <c r="I58" i="236"/>
  <c r="F113" i="236"/>
  <c r="C75" i="236"/>
  <c r="H119" i="236"/>
  <c r="N143" i="236"/>
  <c r="M178" i="236"/>
  <c r="E21" i="236"/>
  <c r="I83" i="236"/>
  <c r="C98" i="236"/>
  <c r="G31" i="236"/>
  <c r="J89" i="236"/>
  <c r="H88" i="236"/>
  <c r="E51" i="236"/>
  <c r="D26" i="236"/>
  <c r="M66" i="236"/>
  <c r="I68" i="236"/>
  <c r="J127" i="236"/>
  <c r="K2" i="235"/>
  <c r="J99" i="236"/>
  <c r="C67" i="236"/>
  <c r="E42" i="236"/>
  <c r="U2" i="234"/>
  <c r="AO2" i="235"/>
  <c r="I182" i="236"/>
  <c r="B133" i="236"/>
  <c r="M171" i="236"/>
  <c r="J24" i="236"/>
  <c r="G58" i="236"/>
  <c r="F24" i="236"/>
  <c r="K150" i="236"/>
  <c r="H26" i="236"/>
  <c r="N57" i="236"/>
  <c r="F27" i="236"/>
  <c r="K114" i="236"/>
  <c r="F171" i="236"/>
  <c r="BC2" i="235"/>
  <c r="D75" i="236"/>
  <c r="K88" i="236"/>
  <c r="J23" i="236"/>
  <c r="I143" i="236"/>
  <c r="E56" i="236"/>
  <c r="G152" i="236"/>
  <c r="M43" i="236"/>
  <c r="L30" i="236"/>
  <c r="L2" i="234"/>
  <c r="N2" i="234"/>
  <c r="AU2" i="234"/>
  <c r="AS2" i="234"/>
  <c r="BE2" i="234"/>
  <c r="J132" i="236"/>
  <c r="M142" i="236"/>
  <c r="D36" i="236"/>
  <c r="M172" i="236"/>
  <c r="I66" i="236"/>
  <c r="B35" i="236"/>
  <c r="E69" i="236"/>
  <c r="E91" i="236"/>
  <c r="I92" i="236"/>
  <c r="E30" i="236"/>
  <c r="D43" i="236"/>
  <c r="BA2" i="235"/>
  <c r="M72" i="236"/>
  <c r="N35" i="236"/>
  <c r="F37" i="236"/>
  <c r="B97" i="236"/>
  <c r="J97" i="236"/>
  <c r="O2" i="235"/>
  <c r="K76" i="236"/>
  <c r="I54" i="236"/>
  <c r="BM2" i="235"/>
  <c r="G129" i="236"/>
  <c r="K99" i="236"/>
  <c r="M83" i="236"/>
  <c r="K38" i="236"/>
  <c r="L74" i="236"/>
  <c r="D120" i="236"/>
  <c r="G74" i="236"/>
  <c r="D177" i="236"/>
  <c r="F81" i="236"/>
  <c r="K72" i="236"/>
  <c r="L66" i="236"/>
  <c r="J31" i="236"/>
  <c r="E36" i="236"/>
  <c r="J98" i="236"/>
  <c r="D24" i="236"/>
  <c r="I69" i="236"/>
  <c r="M31" i="236"/>
  <c r="BK2" i="235"/>
  <c r="I56" i="236"/>
  <c r="BD2" i="234"/>
  <c r="BG2" i="234"/>
  <c r="M2" i="234"/>
  <c r="M29" i="236"/>
  <c r="H42" i="236"/>
  <c r="H22" i="236"/>
  <c r="F66" i="236"/>
  <c r="D129" i="236"/>
  <c r="H24" i="236"/>
  <c r="H74" i="236"/>
  <c r="K58" i="236"/>
  <c r="J144" i="236"/>
  <c r="F55" i="236"/>
  <c r="K119" i="236"/>
  <c r="L58" i="236"/>
  <c r="I72" i="236"/>
  <c r="L29" i="236"/>
  <c r="E26" i="236"/>
  <c r="AT2" i="235"/>
  <c r="N129" i="236"/>
  <c r="K97" i="236"/>
  <c r="F20" i="236"/>
  <c r="G36" i="236"/>
  <c r="F30" i="236"/>
  <c r="F29" i="236"/>
  <c r="BL2" i="235"/>
  <c r="H38" i="236"/>
  <c r="M35" i="236"/>
  <c r="I44" i="236"/>
  <c r="E71" i="236"/>
  <c r="BJ2" i="235"/>
  <c r="B150" i="236"/>
  <c r="L121" i="236"/>
  <c r="G87" i="236"/>
  <c r="E88" i="236"/>
  <c r="E132" i="236"/>
  <c r="H115" i="236"/>
  <c r="K118" i="236"/>
  <c r="AA2" i="235"/>
  <c r="G71" i="236"/>
  <c r="J77" i="236"/>
  <c r="M129" i="236"/>
  <c r="L37" i="236"/>
  <c r="G117" i="236"/>
  <c r="H186" i="236"/>
  <c r="AW2" i="234"/>
  <c r="O2" i="234"/>
  <c r="BA2" i="234"/>
  <c r="X2" i="234"/>
  <c r="B171" i="236"/>
  <c r="G186" i="236"/>
  <c r="M192" i="236"/>
  <c r="B186" i="236"/>
  <c r="B181" i="236"/>
  <c r="E186" i="236"/>
  <c r="B193" i="236"/>
  <c r="M132" i="236"/>
  <c r="D82" i="236"/>
  <c r="C190" i="236"/>
  <c r="K160" i="236"/>
  <c r="G120" i="236"/>
  <c r="J143" i="236"/>
  <c r="M189" i="236"/>
  <c r="E161" i="236"/>
  <c r="G92" i="236"/>
  <c r="H21" i="236"/>
  <c r="D76" i="236"/>
  <c r="L120" i="236"/>
  <c r="B30" i="236"/>
  <c r="G27" i="236"/>
  <c r="F39" i="236"/>
  <c r="G40" i="236"/>
  <c r="F178" i="236"/>
  <c r="F131" i="236"/>
  <c r="H52" i="236"/>
  <c r="J120" i="236"/>
  <c r="N117" i="236"/>
  <c r="L141" i="236"/>
  <c r="B91" i="236"/>
  <c r="H117" i="236"/>
  <c r="D58" i="236"/>
  <c r="G52" i="236"/>
  <c r="B24" i="236"/>
  <c r="B177" i="236"/>
  <c r="G37" i="236"/>
  <c r="M40" i="236"/>
  <c r="I81" i="236"/>
  <c r="N52" i="236"/>
  <c r="C167" i="236"/>
  <c r="B40" i="236"/>
  <c r="D42" i="236"/>
  <c r="M88" i="236"/>
  <c r="B66" i="236"/>
  <c r="K86" i="236"/>
  <c r="F56" i="236"/>
  <c r="N88" i="236"/>
  <c r="F54" i="236"/>
  <c r="X2" i="235"/>
  <c r="I27" i="236"/>
  <c r="K27" i="236"/>
  <c r="G81" i="236"/>
  <c r="K35" i="236"/>
  <c r="AB2" i="235"/>
  <c r="N25" i="236"/>
  <c r="I67" i="236"/>
  <c r="I21" i="236"/>
  <c r="AG2" i="234"/>
  <c r="N128" i="236"/>
  <c r="AV2" i="235"/>
  <c r="I150" i="236"/>
  <c r="D71" i="236"/>
  <c r="J36" i="236"/>
  <c r="N58" i="236"/>
  <c r="AE2" i="235"/>
  <c r="C35" i="236"/>
  <c r="M58" i="236"/>
  <c r="N69" i="236"/>
  <c r="BE2" i="235"/>
  <c r="AM2" i="234"/>
  <c r="K2" i="234"/>
  <c r="F98" i="236"/>
  <c r="K36" i="236"/>
  <c r="I70" i="236"/>
  <c r="G166" i="236"/>
  <c r="J164" i="236"/>
  <c r="J20" i="236"/>
  <c r="N83" i="236"/>
  <c r="I118" i="236"/>
  <c r="H143" i="236"/>
  <c r="D28" i="236"/>
  <c r="V2" i="235"/>
  <c r="J28" i="236"/>
  <c r="N68" i="236"/>
  <c r="F67" i="236"/>
  <c r="D72" i="236"/>
  <c r="F22" i="236"/>
  <c r="E72" i="236"/>
  <c r="I53" i="236"/>
  <c r="M38" i="236"/>
  <c r="N166" i="236"/>
  <c r="AF2" i="234"/>
  <c r="S2" i="234"/>
  <c r="M51" i="236"/>
  <c r="C114" i="236"/>
  <c r="I99" i="236"/>
  <c r="C27" i="236"/>
  <c r="J58" i="236"/>
  <c r="E126" i="236"/>
  <c r="G68" i="236"/>
  <c r="E52" i="236"/>
  <c r="Y2" i="235"/>
  <c r="AU2" i="235"/>
  <c r="C56" i="236"/>
  <c r="H89" i="236"/>
  <c r="G96" i="236"/>
  <c r="AQ2" i="235"/>
  <c r="G127" i="236"/>
  <c r="M69" i="236"/>
  <c r="K144" i="236"/>
  <c r="M2" i="235"/>
  <c r="AH2" i="235"/>
  <c r="BN2" i="235"/>
  <c r="AO2" i="234"/>
  <c r="AD2" i="234"/>
  <c r="H2" i="234"/>
  <c r="L113" i="236"/>
  <c r="C28" i="236"/>
  <c r="J54" i="236"/>
  <c r="N23" i="236"/>
  <c r="D20" i="236"/>
  <c r="L67" i="236"/>
  <c r="W2" i="235"/>
  <c r="J71" i="236"/>
  <c r="M24" i="236"/>
  <c r="V2" i="234"/>
  <c r="Z2" i="234"/>
  <c r="AE2" i="234"/>
  <c r="I2" i="235"/>
  <c r="I189" i="236"/>
  <c r="E22" i="236"/>
  <c r="N28" i="236"/>
  <c r="E127" i="236"/>
  <c r="AX2" i="235"/>
  <c r="C68" i="236"/>
  <c r="E58" i="236"/>
  <c r="L69" i="236"/>
  <c r="I38" i="236"/>
  <c r="P2" i="235"/>
  <c r="H58" i="236"/>
  <c r="D22" i="236"/>
  <c r="C83" i="236"/>
  <c r="N51" i="236"/>
  <c r="D40" i="236"/>
  <c r="I57" i="236"/>
  <c r="D165" i="236"/>
  <c r="H30" i="236"/>
  <c r="M96" i="236"/>
  <c r="BB2" i="234"/>
  <c r="B113" i="236"/>
  <c r="C82" i="236"/>
  <c r="D54" i="236"/>
  <c r="M42" i="236"/>
  <c r="L112" i="236"/>
  <c r="C161" i="236"/>
  <c r="B73" i="236"/>
  <c r="G171" i="236"/>
  <c r="C116" i="236"/>
  <c r="D70" i="236"/>
  <c r="G21" i="236"/>
  <c r="AM2" i="235"/>
  <c r="C117" i="236"/>
  <c r="K120" i="236"/>
  <c r="H83" i="236"/>
  <c r="N161" i="236"/>
  <c r="C172" i="236"/>
  <c r="B76" i="236"/>
  <c r="N97" i="236"/>
  <c r="H126" i="236"/>
  <c r="H66" i="236"/>
  <c r="W2" i="234"/>
  <c r="R2" i="234"/>
  <c r="B132" i="236"/>
  <c r="E191" i="236"/>
  <c r="J38" i="236"/>
  <c r="J29" i="236"/>
  <c r="G38" i="236"/>
  <c r="G69" i="236"/>
  <c r="H28" i="236"/>
  <c r="H90" i="236"/>
  <c r="N91" i="236"/>
  <c r="AQ2" i="234"/>
  <c r="I2" i="234"/>
  <c r="K67" i="236"/>
  <c r="E152" i="236"/>
  <c r="F122" i="236"/>
  <c r="AL2" i="235"/>
  <c r="C120" i="236"/>
  <c r="H92" i="236"/>
  <c r="L88" i="236"/>
  <c r="M55" i="236"/>
  <c r="K112" i="236"/>
  <c r="E23" i="236"/>
  <c r="D133" i="236"/>
  <c r="C71" i="236"/>
  <c r="L99" i="236"/>
  <c r="E29" i="236"/>
  <c r="G22" i="236"/>
  <c r="N77" i="236"/>
  <c r="H36" i="236"/>
  <c r="L22" i="236"/>
  <c r="I151" i="236"/>
  <c r="F70" i="236"/>
  <c r="J86" i="236"/>
  <c r="G2" i="234"/>
  <c r="H151" i="236"/>
  <c r="I145" i="236"/>
  <c r="D121" i="236"/>
  <c r="B90" i="236"/>
  <c r="E177" i="236"/>
  <c r="C186" i="236"/>
  <c r="G42" i="236"/>
  <c r="I28" i="236"/>
  <c r="J119" i="236"/>
  <c r="L44" i="236"/>
  <c r="K173" i="236"/>
  <c r="L2" i="235"/>
  <c r="B88" i="236"/>
  <c r="B55" i="236"/>
  <c r="N130" i="236"/>
  <c r="J25" i="236"/>
  <c r="C143" i="236"/>
  <c r="I98" i="236"/>
  <c r="K73" i="236"/>
  <c r="D66" i="236"/>
  <c r="H20" i="236"/>
  <c r="AX2" i="234"/>
  <c r="AL2" i="234"/>
  <c r="D91" i="236"/>
  <c r="G28" i="236"/>
  <c r="J126" i="236"/>
  <c r="E66" i="236"/>
  <c r="J129" i="236"/>
  <c r="N31" i="236"/>
  <c r="B92" i="236"/>
  <c r="B31" i="236"/>
  <c r="J40" i="236"/>
  <c r="BC2" i="234"/>
  <c r="J2" i="234"/>
  <c r="D56" i="236"/>
  <c r="M113" i="236"/>
  <c r="E87" i="236"/>
  <c r="L68" i="236"/>
  <c r="L26" i="236"/>
  <c r="L89" i="236"/>
  <c r="F111" i="236"/>
  <c r="E112" i="236"/>
  <c r="AG2" i="235"/>
  <c r="R2" i="235"/>
  <c r="B81" i="236"/>
  <c r="H31" i="236"/>
  <c r="F71" i="236"/>
  <c r="H53" i="236"/>
  <c r="B23" i="236"/>
  <c r="J112" i="236"/>
  <c r="F28" i="236"/>
  <c r="C88" i="236"/>
  <c r="D30" i="236"/>
  <c r="K23" i="236"/>
  <c r="BF2" i="234"/>
  <c r="BM2" i="234"/>
  <c r="F87" i="236"/>
  <c r="C131" i="236"/>
  <c r="B119" i="236"/>
  <c r="E27" i="236"/>
  <c r="F150" i="236"/>
  <c r="N20" i="236"/>
  <c r="F96" i="236"/>
  <c r="AZ2" i="235"/>
  <c r="N73" i="236"/>
  <c r="B51" i="236"/>
  <c r="G111" i="236"/>
  <c r="C129" i="236"/>
  <c r="N149" i="236"/>
  <c r="J2" i="235"/>
  <c r="F160" i="236"/>
  <c r="F119" i="236"/>
  <c r="AK2" i="235"/>
  <c r="I40" i="236"/>
  <c r="N172" i="236"/>
  <c r="G130" i="236"/>
  <c r="J52" i="236"/>
  <c r="T2" i="234"/>
  <c r="AA2" i="234"/>
  <c r="X40" i="234" l="1"/>
  <c r="AA40" i="234"/>
  <c r="AV40" i="234"/>
  <c r="AL40" i="234"/>
  <c r="BA40" i="234"/>
  <c r="R40" i="234"/>
  <c r="AI40" i="234"/>
  <c r="AD40" i="234"/>
  <c r="O40" i="234"/>
  <c r="T40" i="234"/>
  <c r="AB40" i="234"/>
  <c r="AX40" i="234"/>
  <c r="AW40" i="234"/>
  <c r="W40" i="234"/>
  <c r="Y40" i="234"/>
  <c r="AO40" i="234"/>
  <c r="H185" i="236"/>
  <c r="H13" i="236" s="1"/>
  <c r="H19" i="236"/>
  <c r="H6" i="236" s="1"/>
  <c r="H65" i="236"/>
  <c r="H3" i="236" s="1"/>
  <c r="BN39" i="235"/>
  <c r="BN40" i="235"/>
  <c r="D65" i="236"/>
  <c r="D3" i="236" s="1"/>
  <c r="H125" i="236"/>
  <c r="H10" i="236" s="1"/>
  <c r="AH40" i="235"/>
  <c r="C50" i="236"/>
  <c r="C8" i="236" s="1"/>
  <c r="M40" i="235"/>
  <c r="AA40" i="235"/>
  <c r="O76" i="236"/>
  <c r="AK40" i="235"/>
  <c r="AJ39" i="235"/>
  <c r="AJ40" i="235"/>
  <c r="D50" i="236"/>
  <c r="D8" i="236" s="1"/>
  <c r="O150" i="236"/>
  <c r="O36" i="236"/>
  <c r="AQ40" i="235"/>
  <c r="BJ40" i="235"/>
  <c r="BB40" i="235"/>
  <c r="BB39" i="235"/>
  <c r="O55" i="236"/>
  <c r="G95" i="236"/>
  <c r="G9" i="236" s="1"/>
  <c r="O88" i="236"/>
  <c r="M34" i="236"/>
  <c r="M4" i="236" s="1"/>
  <c r="L40" i="235"/>
  <c r="BL40" i="235"/>
  <c r="AM40" i="235"/>
  <c r="U40" i="235"/>
  <c r="G110" i="236"/>
  <c r="G14" i="236" s="1"/>
  <c r="O54" i="236"/>
  <c r="AU40" i="235"/>
  <c r="AU39" i="235"/>
  <c r="B50" i="236"/>
  <c r="B8" i="236" s="1"/>
  <c r="O51" i="236"/>
  <c r="Z40" i="235"/>
  <c r="F19" i="236"/>
  <c r="F6" i="236" s="1"/>
  <c r="Y40" i="235"/>
  <c r="O29" i="236"/>
  <c r="AT40" i="235"/>
  <c r="AZ40" i="235"/>
  <c r="G170" i="236"/>
  <c r="G12" i="236" s="1"/>
  <c r="F95" i="236"/>
  <c r="F9" i="236" s="1"/>
  <c r="O73" i="236"/>
  <c r="E125" i="236"/>
  <c r="E10" i="236" s="1"/>
  <c r="N19" i="236"/>
  <c r="N6" i="236" s="1"/>
  <c r="C185" i="236"/>
  <c r="C13" i="236" s="1"/>
  <c r="O90" i="236"/>
  <c r="O119" i="236"/>
  <c r="F65" i="236"/>
  <c r="F3" i="236" s="1"/>
  <c r="M50" i="236"/>
  <c r="M8" i="236" s="1"/>
  <c r="O113" i="236"/>
  <c r="BK40" i="234"/>
  <c r="S40" i="234"/>
  <c r="M40" i="234"/>
  <c r="BM40" i="234"/>
  <c r="P40" i="234"/>
  <c r="BG40" i="234"/>
  <c r="BB40" i="234"/>
  <c r="AJ40" i="234"/>
  <c r="AF40" i="234"/>
  <c r="BD40" i="234"/>
  <c r="BF40" i="234"/>
  <c r="M95" i="236"/>
  <c r="M9" i="236" s="1"/>
  <c r="BK40" i="235"/>
  <c r="O118" i="236"/>
  <c r="K185" i="236"/>
  <c r="K13" i="236" s="1"/>
  <c r="H34" i="236"/>
  <c r="H4" i="236" s="1"/>
  <c r="L65" i="236"/>
  <c r="L3" i="236" s="1"/>
  <c r="F80" i="236"/>
  <c r="F11" i="236" s="1"/>
  <c r="N50" i="236"/>
  <c r="N8" i="236" s="1"/>
  <c r="O23" i="236"/>
  <c r="G34" i="236"/>
  <c r="G4" i="236" s="1"/>
  <c r="P40" i="235"/>
  <c r="AI40" i="235"/>
  <c r="AI39" i="235"/>
  <c r="V40" i="235"/>
  <c r="BM40" i="235"/>
  <c r="O81" i="236"/>
  <c r="B80" i="236"/>
  <c r="B11" i="236" s="1"/>
  <c r="R40" i="235"/>
  <c r="O40" i="235"/>
  <c r="D110" i="236"/>
  <c r="D14" i="236" s="1"/>
  <c r="AG40" i="235"/>
  <c r="O57" i="236"/>
  <c r="O97" i="236"/>
  <c r="O71" i="236"/>
  <c r="N34" i="236"/>
  <c r="N4" i="236" s="1"/>
  <c r="F110" i="236"/>
  <c r="F14" i="236" s="1"/>
  <c r="BA40" i="235"/>
  <c r="AX39" i="235"/>
  <c r="AX40" i="235"/>
  <c r="J19" i="236"/>
  <c r="J6" i="236" s="1"/>
  <c r="AL40" i="235"/>
  <c r="O35" i="236"/>
  <c r="B34" i="236"/>
  <c r="B4" i="236" s="1"/>
  <c r="F50" i="236"/>
  <c r="F8" i="236" s="1"/>
  <c r="I65" i="236"/>
  <c r="I3" i="236" s="1"/>
  <c r="BE40" i="234"/>
  <c r="AE40" i="234"/>
  <c r="AP40" i="234"/>
  <c r="K40" i="234"/>
  <c r="AS40" i="234"/>
  <c r="AY40" i="234"/>
  <c r="AU40" i="234"/>
  <c r="Z40" i="234"/>
  <c r="Q40" i="234"/>
  <c r="AM40" i="234"/>
  <c r="N40" i="234"/>
  <c r="BC40" i="234"/>
  <c r="AR40" i="234"/>
  <c r="AQ40" i="234"/>
  <c r="L40" i="234"/>
  <c r="V40" i="234"/>
  <c r="BE40" i="235"/>
  <c r="O31" i="236"/>
  <c r="O52" i="236"/>
  <c r="O92" i="236"/>
  <c r="W40" i="235"/>
  <c r="AR40" i="235"/>
  <c r="C34" i="236"/>
  <c r="C4" i="236" s="1"/>
  <c r="AE40" i="235"/>
  <c r="BC40" i="235"/>
  <c r="F170" i="236"/>
  <c r="F12" i="236" s="1"/>
  <c r="D19" i="236"/>
  <c r="D6" i="236" s="1"/>
  <c r="E65" i="236"/>
  <c r="E3" i="236" s="1"/>
  <c r="O152" i="236"/>
  <c r="O180" i="236"/>
  <c r="J125" i="236"/>
  <c r="J10" i="236" s="1"/>
  <c r="M80" i="236"/>
  <c r="M11" i="236" s="1"/>
  <c r="I125" i="236"/>
  <c r="I10" i="236" s="1"/>
  <c r="O21" i="236"/>
  <c r="K19" i="236"/>
  <c r="K6" i="236" s="1"/>
  <c r="S40" i="235"/>
  <c r="AP40" i="235"/>
  <c r="O132" i="236"/>
  <c r="M170" i="236"/>
  <c r="M12" i="236" s="1"/>
  <c r="O82" i="236"/>
  <c r="O146" i="236"/>
  <c r="O133" i="236"/>
  <c r="L170" i="236"/>
  <c r="L12" i="236" s="1"/>
  <c r="N125" i="236"/>
  <c r="N10" i="236" s="1"/>
  <c r="I110" i="236"/>
  <c r="I14" i="236" s="1"/>
  <c r="BD40" i="235"/>
  <c r="AV39" i="235"/>
  <c r="AV40" i="235"/>
  <c r="AN40" i="235"/>
  <c r="K80" i="236"/>
  <c r="K11" i="236" s="1"/>
  <c r="N95" i="236"/>
  <c r="N9" i="236" s="1"/>
  <c r="O89" i="236"/>
  <c r="AO40" i="235"/>
  <c r="BF40" i="235"/>
  <c r="BI39" i="235"/>
  <c r="BI40" i="235"/>
  <c r="O77" i="236"/>
  <c r="N80" i="236"/>
  <c r="N11" i="236" s="1"/>
  <c r="BI40" i="234"/>
  <c r="AZ40" i="234"/>
  <c r="AC40" i="234"/>
  <c r="BH40" i="234"/>
  <c r="AG40" i="234"/>
  <c r="BL40" i="234"/>
  <c r="U40" i="234"/>
  <c r="BN40" i="234"/>
  <c r="AK40" i="234"/>
  <c r="AN40" i="234"/>
  <c r="AH40" i="234"/>
  <c r="AT40" i="234"/>
  <c r="BJ40" i="234"/>
  <c r="AW40" i="235"/>
  <c r="E110" i="236"/>
  <c r="E14" i="236" s="1"/>
  <c r="BH40" i="235"/>
  <c r="H50" i="236"/>
  <c r="H8" i="236" s="1"/>
  <c r="D80" i="236"/>
  <c r="D11" i="236" s="1"/>
  <c r="D34" i="236"/>
  <c r="D4" i="236" s="1"/>
  <c r="B110" i="236"/>
  <c r="B14" i="236" s="1"/>
  <c r="O111" i="236"/>
  <c r="K110" i="236"/>
  <c r="K14" i="236" s="1"/>
  <c r="T40" i="235"/>
  <c r="O68" i="236"/>
  <c r="C110" i="236"/>
  <c r="C14" i="236" s="1"/>
  <c r="C65" i="236"/>
  <c r="C3" i="236" s="1"/>
  <c r="AB40" i="235"/>
  <c r="AS40" i="235"/>
  <c r="K40" i="235"/>
  <c r="K39" i="235"/>
  <c r="O53" i="236"/>
  <c r="E170" i="236"/>
  <c r="E12" i="236" s="1"/>
  <c r="H80" i="236"/>
  <c r="H11" i="236" s="1"/>
  <c r="K34" i="236"/>
  <c r="K4" i="236" s="1"/>
  <c r="O42" i="236"/>
  <c r="I185" i="236"/>
  <c r="I13" i="236" s="1"/>
  <c r="G80" i="236"/>
  <c r="G11" i="236" s="1"/>
  <c r="O117" i="236"/>
  <c r="N40" i="235"/>
  <c r="G65" i="236"/>
  <c r="G3" i="236" s="1"/>
  <c r="O114" i="236"/>
  <c r="M140" i="236"/>
  <c r="M7" i="236" s="1"/>
  <c r="M65" i="236"/>
  <c r="M3" i="236" s="1"/>
  <c r="AC39" i="235"/>
  <c r="AC40" i="235"/>
  <c r="BG40" i="235"/>
  <c r="O44" i="236"/>
  <c r="K65" i="236"/>
  <c r="K3" i="236" s="1"/>
  <c r="X40" i="235"/>
  <c r="E50" i="236"/>
  <c r="E8" i="236" s="1"/>
  <c r="O38" i="236"/>
  <c r="AD39" i="235"/>
  <c r="AD40" i="235"/>
  <c r="AY40" i="235"/>
  <c r="AF40" i="235"/>
  <c r="AF39" i="235"/>
  <c r="O99" i="236"/>
  <c r="O121" i="236"/>
  <c r="O70" i="236"/>
  <c r="O116" i="236"/>
  <c r="O98" i="236"/>
  <c r="L34" i="236"/>
  <c r="L4" i="236" s="1"/>
  <c r="G125" i="236"/>
  <c r="G10" i="236" s="1"/>
  <c r="O66" i="236"/>
  <c r="B65" i="236"/>
  <c r="B3" i="236" s="1"/>
  <c r="F140" i="236"/>
  <c r="F7" i="236" s="1"/>
  <c r="D170" i="236"/>
  <c r="D12" i="236" s="1"/>
  <c r="M19" i="236"/>
  <c r="M6" i="236" s="1"/>
  <c r="K50" i="236"/>
  <c r="K8" i="236" s="1"/>
  <c r="O43" i="236"/>
  <c r="O151" i="236"/>
  <c r="O69" i="236"/>
  <c r="O112" i="236"/>
  <c r="L50" i="236"/>
  <c r="L8" i="236" s="1"/>
  <c r="O74" i="236"/>
  <c r="O40" i="236"/>
  <c r="O58" i="236"/>
  <c r="F125" i="236"/>
  <c r="F10" i="236" s="1"/>
  <c r="O144" i="236"/>
  <c r="O39" i="236"/>
  <c r="O131" i="236"/>
  <c r="E140" i="236"/>
  <c r="E7" i="236" s="1"/>
  <c r="O149" i="236"/>
  <c r="I155" i="236"/>
  <c r="I5" i="236" s="1"/>
  <c r="Q39" i="235"/>
  <c r="Q40" i="235"/>
  <c r="J50" i="236"/>
  <c r="J8" i="236" s="1"/>
  <c r="H95" i="236"/>
  <c r="H9" i="236" s="1"/>
  <c r="O72" i="236"/>
  <c r="I80" i="236"/>
  <c r="I11" i="236" s="1"/>
  <c r="N110" i="236"/>
  <c r="N14" i="236" s="1"/>
  <c r="O86" i="236"/>
  <c r="J34" i="236"/>
  <c r="J4" i="236" s="1"/>
  <c r="O25" i="236"/>
  <c r="L80" i="236"/>
  <c r="L11" i="236" s="1"/>
  <c r="N170" i="236"/>
  <c r="N12" i="236" s="1"/>
  <c r="O130" i="236"/>
  <c r="O27" i="236"/>
  <c r="O177" i="236"/>
  <c r="O145" i="236"/>
  <c r="D125" i="236"/>
  <c r="D10" i="236" s="1"/>
  <c r="O26" i="236"/>
  <c r="O123" i="236"/>
  <c r="J110" i="236"/>
  <c r="J14" i="236" s="1"/>
  <c r="O24" i="236"/>
  <c r="L125" i="236"/>
  <c r="L10" i="236" s="1"/>
  <c r="J185" i="236"/>
  <c r="J13" i="236" s="1"/>
  <c r="O75" i="236"/>
  <c r="O28" i="236"/>
  <c r="C19" i="236"/>
  <c r="C6" i="236" s="1"/>
  <c r="O41" i="236"/>
  <c r="J80" i="236"/>
  <c r="J11" i="236" s="1"/>
  <c r="O129" i="236"/>
  <c r="I50" i="236"/>
  <c r="I8" i="236" s="1"/>
  <c r="O91" i="236"/>
  <c r="L140" i="236"/>
  <c r="L7" i="236" s="1"/>
  <c r="O87" i="236"/>
  <c r="O179" i="236"/>
  <c r="O164" i="236"/>
  <c r="G50" i="236"/>
  <c r="G8" i="236" s="1"/>
  <c r="B125" i="236"/>
  <c r="B10" i="236" s="1"/>
  <c r="O126" i="236"/>
  <c r="O83" i="236"/>
  <c r="I34" i="236"/>
  <c r="I4" i="236" s="1"/>
  <c r="E95" i="236"/>
  <c r="E9" i="236" s="1"/>
  <c r="L19" i="236"/>
  <c r="L6" i="236" s="1"/>
  <c r="E80" i="236"/>
  <c r="E11" i="236" s="1"/>
  <c r="O22" i="236"/>
  <c r="O84" i="236"/>
  <c r="H110" i="236"/>
  <c r="H14" i="236" s="1"/>
  <c r="N65" i="236"/>
  <c r="N3" i="236" s="1"/>
  <c r="O143" i="236"/>
  <c r="K125" i="236"/>
  <c r="K10" i="236" s="1"/>
  <c r="E34" i="236"/>
  <c r="E4" i="236" s="1"/>
  <c r="O37" i="236"/>
  <c r="O167" i="236"/>
  <c r="O163" i="236"/>
  <c r="J65" i="236"/>
  <c r="J3" i="236" s="1"/>
  <c r="O56" i="236"/>
  <c r="F34" i="236"/>
  <c r="F4" i="236" s="1"/>
  <c r="O178" i="236"/>
  <c r="O30" i="236"/>
  <c r="O120" i="236"/>
  <c r="B95" i="236"/>
  <c r="B9" i="236" s="1"/>
  <c r="O96" i="236"/>
  <c r="O122" i="236"/>
  <c r="O115" i="236"/>
  <c r="O128" i="236"/>
  <c r="O85" i="236"/>
  <c r="O67" i="236"/>
  <c r="E19" i="236"/>
  <c r="E6" i="236" s="1"/>
  <c r="M125" i="236"/>
  <c r="M10" i="236" s="1"/>
  <c r="I19" i="236"/>
  <c r="I6" i="236" s="1"/>
  <c r="G19" i="236"/>
  <c r="G6" i="236" s="1"/>
  <c r="N140" i="236"/>
  <c r="N7" i="236" s="1"/>
  <c r="N185" i="236"/>
  <c r="N13" i="236" s="1"/>
  <c r="C80" i="236"/>
  <c r="C11" i="236" s="1"/>
  <c r="O160" i="236"/>
  <c r="I95" i="236"/>
  <c r="I9" i="236" s="1"/>
  <c r="I170" i="236"/>
  <c r="I12" i="236" s="1"/>
  <c r="B140" i="236"/>
  <c r="B7" i="236" s="1"/>
  <c r="O141" i="236"/>
  <c r="O147" i="236"/>
  <c r="O156" i="236"/>
  <c r="B155" i="236"/>
  <c r="B5" i="236" s="1"/>
  <c r="J95" i="236"/>
  <c r="J9" i="236" s="1"/>
  <c r="H170" i="236"/>
  <c r="H12" i="236" s="1"/>
  <c r="D140" i="236"/>
  <c r="D7" i="236" s="1"/>
  <c r="O127" i="236"/>
  <c r="C95" i="236"/>
  <c r="C9" i="236" s="1"/>
  <c r="C125" i="236"/>
  <c r="C10" i="236" s="1"/>
  <c r="O148" i="236"/>
  <c r="O157" i="236"/>
  <c r="O172" i="236"/>
  <c r="K95" i="236"/>
  <c r="K9" i="236" s="1"/>
  <c r="K170" i="236"/>
  <c r="K12" i="236" s="1"/>
  <c r="L110" i="236"/>
  <c r="L14" i="236" s="1"/>
  <c r="O142" i="236"/>
  <c r="D95" i="236"/>
  <c r="D9" i="236" s="1"/>
  <c r="O161" i="236"/>
  <c r="L95" i="236"/>
  <c r="L9" i="236" s="1"/>
  <c r="J170" i="236"/>
  <c r="J12" i="236" s="1"/>
  <c r="M110" i="236"/>
  <c r="M14" i="236" s="1"/>
  <c r="F185" i="236"/>
  <c r="F13" i="236" s="1"/>
  <c r="M155" i="236"/>
  <c r="M5" i="236" s="1"/>
  <c r="E155" i="236"/>
  <c r="E5" i="236" s="1"/>
  <c r="I140" i="236"/>
  <c r="I7" i="236" s="1"/>
  <c r="O166" i="236"/>
  <c r="O193" i="236"/>
  <c r="O182" i="236"/>
  <c r="O174" i="236"/>
  <c r="L155" i="236"/>
  <c r="L5" i="236" s="1"/>
  <c r="D155" i="236"/>
  <c r="D5" i="236" s="1"/>
  <c r="O189" i="236"/>
  <c r="H140" i="236"/>
  <c r="H7" i="236" s="1"/>
  <c r="O192" i="236"/>
  <c r="E185" i="236"/>
  <c r="E13" i="236" s="1"/>
  <c r="H155" i="236"/>
  <c r="H5" i="236" s="1"/>
  <c r="G155" i="236"/>
  <c r="G5" i="236" s="1"/>
  <c r="K140" i="236"/>
  <c r="K7" i="236" s="1"/>
  <c r="O158" i="236"/>
  <c r="C170" i="236"/>
  <c r="C12" i="236" s="1"/>
  <c r="O187" i="236"/>
  <c r="O181" i="236"/>
  <c r="O173" i="236"/>
  <c r="N155" i="236"/>
  <c r="N5" i="236" s="1"/>
  <c r="F155" i="236"/>
  <c r="F5" i="236" s="1"/>
  <c r="O188" i="236"/>
  <c r="J140" i="236"/>
  <c r="J7" i="236" s="1"/>
  <c r="C140" i="236"/>
  <c r="C7" i="236" s="1"/>
  <c r="O162" i="236"/>
  <c r="G140" i="236"/>
  <c r="G7" i="236" s="1"/>
  <c r="O165" i="236"/>
  <c r="O186" i="236"/>
  <c r="B185" i="236"/>
  <c r="B13" i="236" s="1"/>
  <c r="D185" i="236"/>
  <c r="D13" i="236" s="1"/>
  <c r="K155" i="236"/>
  <c r="K5" i="236" s="1"/>
  <c r="C155" i="236"/>
  <c r="C5" i="236" s="1"/>
  <c r="M185" i="236"/>
  <c r="M13" i="236" s="1"/>
  <c r="O176" i="236"/>
  <c r="O191" i="236"/>
  <c r="L185" i="236"/>
  <c r="L13" i="236" s="1"/>
  <c r="G185" i="236"/>
  <c r="G13" i="236" s="1"/>
  <c r="J155" i="236"/>
  <c r="J5" i="236" s="1"/>
  <c r="O159" i="236"/>
  <c r="O171" i="236"/>
  <c r="B170" i="236"/>
  <c r="B12" i="236" s="1"/>
  <c r="O175" i="236"/>
  <c r="O190" i="236"/>
  <c r="BN29" i="233"/>
  <c r="BM29" i="233"/>
  <c r="BL29" i="233"/>
  <c r="BK29" i="233"/>
  <c r="BJ29" i="233"/>
  <c r="BI29" i="233"/>
  <c r="BH29" i="233"/>
  <c r="BG29" i="233"/>
  <c r="BF29" i="233"/>
  <c r="BE29" i="233"/>
  <c r="BD29" i="233"/>
  <c r="BC29" i="233"/>
  <c r="BB29" i="233"/>
  <c r="BA29" i="233"/>
  <c r="AZ29" i="233"/>
  <c r="AY29" i="233"/>
  <c r="AX29" i="233"/>
  <c r="AW29" i="233"/>
  <c r="AV29" i="233"/>
  <c r="AU29" i="233"/>
  <c r="AT29" i="233"/>
  <c r="AS29" i="233"/>
  <c r="AR29" i="233"/>
  <c r="AQ29" i="233"/>
  <c r="AP29" i="233"/>
  <c r="AO29" i="233"/>
  <c r="AN29" i="233"/>
  <c r="AM29" i="233"/>
  <c r="AL29" i="233"/>
  <c r="AK29" i="233"/>
  <c r="AJ29" i="233"/>
  <c r="AI29" i="233"/>
  <c r="AH29" i="233"/>
  <c r="AG29" i="233"/>
  <c r="AF29" i="233"/>
  <c r="AE29" i="233"/>
  <c r="AD29" i="233"/>
  <c r="AC29" i="233"/>
  <c r="AB29" i="233"/>
  <c r="AA29" i="233"/>
  <c r="Z29" i="233"/>
  <c r="Y29" i="233"/>
  <c r="X29" i="233"/>
  <c r="W29" i="233"/>
  <c r="V29" i="233"/>
  <c r="U29" i="233"/>
  <c r="T29" i="233"/>
  <c r="S29" i="233"/>
  <c r="R29" i="233"/>
  <c r="Q29" i="233"/>
  <c r="P29" i="233"/>
  <c r="O29" i="233"/>
  <c r="N29" i="233"/>
  <c r="M29" i="233"/>
  <c r="L29" i="233"/>
  <c r="K29" i="233"/>
  <c r="BN27" i="233"/>
  <c r="BM27" i="233"/>
  <c r="BL27" i="233"/>
  <c r="BK27" i="233"/>
  <c r="BJ27" i="233"/>
  <c r="BI27" i="233"/>
  <c r="BH27" i="233"/>
  <c r="BG27" i="233"/>
  <c r="BF27" i="233"/>
  <c r="BE27" i="233"/>
  <c r="BD27" i="233"/>
  <c r="BC27" i="233"/>
  <c r="BB27" i="233"/>
  <c r="BA27" i="233"/>
  <c r="AZ27" i="233"/>
  <c r="AY27" i="233"/>
  <c r="AX27" i="233"/>
  <c r="AW27" i="233"/>
  <c r="AV27" i="233"/>
  <c r="AU27" i="233"/>
  <c r="AT27" i="233"/>
  <c r="AS27" i="233"/>
  <c r="AR27" i="233"/>
  <c r="AQ27" i="233"/>
  <c r="AP27" i="233"/>
  <c r="AO27" i="233"/>
  <c r="AN27" i="233"/>
  <c r="AM27" i="233"/>
  <c r="AL27" i="233"/>
  <c r="AK27" i="233"/>
  <c r="AJ27" i="233"/>
  <c r="AI27" i="233"/>
  <c r="AH27" i="233"/>
  <c r="AG27" i="233"/>
  <c r="AF27" i="233"/>
  <c r="AE27" i="233"/>
  <c r="AD27" i="233"/>
  <c r="AC27" i="233"/>
  <c r="AB27" i="233"/>
  <c r="AA27" i="233"/>
  <c r="Z27" i="233"/>
  <c r="Y27" i="233"/>
  <c r="X27" i="233"/>
  <c r="W27" i="233"/>
  <c r="V27" i="233"/>
  <c r="U27" i="233"/>
  <c r="T27" i="233"/>
  <c r="S27" i="233"/>
  <c r="R27" i="233"/>
  <c r="Q27" i="233"/>
  <c r="P27" i="233"/>
  <c r="O27" i="233"/>
  <c r="N27" i="233"/>
  <c r="M27" i="233"/>
  <c r="L27" i="233"/>
  <c r="K27" i="233"/>
  <c r="BN26" i="233"/>
  <c r="BM26" i="233"/>
  <c r="BL26" i="233"/>
  <c r="BK26" i="233"/>
  <c r="BJ26" i="233"/>
  <c r="BI26" i="233"/>
  <c r="BH26" i="233"/>
  <c r="BG26" i="233"/>
  <c r="BF26" i="233"/>
  <c r="BE26" i="233"/>
  <c r="BD26" i="233"/>
  <c r="BC26" i="233"/>
  <c r="BB26" i="233"/>
  <c r="BA26" i="233"/>
  <c r="AZ26" i="233"/>
  <c r="AY26" i="233"/>
  <c r="AX26" i="233"/>
  <c r="AW26" i="233"/>
  <c r="AV26" i="233"/>
  <c r="AU26" i="233"/>
  <c r="AT26" i="233"/>
  <c r="AS26" i="233"/>
  <c r="AR26" i="233"/>
  <c r="AQ26" i="233"/>
  <c r="AP26" i="233"/>
  <c r="AO26" i="233"/>
  <c r="AN26" i="233"/>
  <c r="AM26" i="233"/>
  <c r="AL26" i="233"/>
  <c r="AK26" i="233"/>
  <c r="AJ26" i="233"/>
  <c r="AI26" i="233"/>
  <c r="AH26" i="233"/>
  <c r="AG26" i="233"/>
  <c r="AF26" i="233"/>
  <c r="AE26" i="233"/>
  <c r="AD26" i="233"/>
  <c r="AC26" i="233"/>
  <c r="AB26" i="233"/>
  <c r="AA26" i="233"/>
  <c r="Z26" i="233"/>
  <c r="Y26" i="233"/>
  <c r="X26" i="233"/>
  <c r="W26" i="233"/>
  <c r="V26" i="233"/>
  <c r="U26" i="233"/>
  <c r="T26" i="233"/>
  <c r="S26" i="233"/>
  <c r="R26" i="233"/>
  <c r="Q26" i="233"/>
  <c r="P26" i="233"/>
  <c r="O26" i="233"/>
  <c r="N26" i="233"/>
  <c r="M26" i="233"/>
  <c r="L26" i="233"/>
  <c r="K26" i="233"/>
  <c r="B24" i="233"/>
  <c r="B23" i="233"/>
  <c r="H22" i="233"/>
  <c r="E22" i="233"/>
  <c r="H21" i="233"/>
  <c r="E21" i="233"/>
  <c r="H20" i="233"/>
  <c r="E20" i="233"/>
  <c r="H19" i="233"/>
  <c r="E19" i="233"/>
  <c r="H18" i="233"/>
  <c r="E18" i="233"/>
  <c r="H17" i="233"/>
  <c r="E17" i="233"/>
  <c r="H16" i="233"/>
  <c r="E16" i="233"/>
  <c r="H15" i="233"/>
  <c r="E15" i="233"/>
  <c r="H14" i="233"/>
  <c r="E14" i="233"/>
  <c r="H13" i="233"/>
  <c r="E13" i="233"/>
  <c r="H12" i="233"/>
  <c r="E12" i="233"/>
  <c r="H11" i="233"/>
  <c r="E11" i="233"/>
  <c r="H10" i="233"/>
  <c r="E10" i="233"/>
  <c r="H9" i="233"/>
  <c r="E9" i="233"/>
  <c r="H8" i="233"/>
  <c r="E8" i="233"/>
  <c r="H7" i="233"/>
  <c r="E7" i="233"/>
  <c r="H6" i="233"/>
  <c r="E6" i="233"/>
  <c r="H5" i="233"/>
  <c r="E5" i="233"/>
  <c r="H4" i="233"/>
  <c r="E4" i="233"/>
  <c r="N15" i="236" l="1"/>
  <c r="J15" i="236"/>
  <c r="C15" i="236"/>
  <c r="O3" i="236"/>
  <c r="O8" i="236"/>
  <c r="O11" i="236"/>
  <c r="O12" i="236"/>
  <c r="O13" i="236"/>
  <c r="O7" i="236"/>
  <c r="F15" i="236"/>
  <c r="I15" i="236"/>
  <c r="G15" i="236"/>
  <c r="D15" i="236"/>
  <c r="O9" i="236"/>
  <c r="O10" i="236"/>
  <c r="M15" i="236"/>
  <c r="L15" i="236"/>
  <c r="K15" i="236"/>
  <c r="O14" i="236"/>
  <c r="E15" i="236"/>
  <c r="O4" i="236"/>
  <c r="H15" i="236"/>
  <c r="O5" i="236"/>
  <c r="H3" i="233"/>
  <c r="BN30" i="233" l="1"/>
  <c r="BL30" i="233"/>
  <c r="BJ30" i="233"/>
  <c r="BH30" i="233"/>
  <c r="BF30" i="233"/>
  <c r="BD30" i="233"/>
  <c r="BB30" i="233"/>
  <c r="AZ30" i="233"/>
  <c r="AX30" i="233"/>
  <c r="AV30" i="233"/>
  <c r="AT30" i="233"/>
  <c r="AR30" i="233"/>
  <c r="AP30" i="233"/>
  <c r="AN30" i="233"/>
  <c r="AL30" i="233"/>
  <c r="AJ30" i="233"/>
  <c r="AH30" i="233"/>
  <c r="AF30" i="233"/>
  <c r="AD30" i="233"/>
  <c r="AB30" i="233"/>
  <c r="Z30" i="233"/>
  <c r="X30" i="233"/>
  <c r="V30" i="233"/>
  <c r="T30" i="233"/>
  <c r="R30" i="233"/>
  <c r="P30" i="233"/>
  <c r="N30" i="233"/>
  <c r="L30" i="233"/>
  <c r="BM30" i="233"/>
  <c r="BK30" i="233"/>
  <c r="BI30" i="233"/>
  <c r="BG30" i="233"/>
  <c r="BE30" i="233"/>
  <c r="BC30" i="233"/>
  <c r="BA30" i="233"/>
  <c r="AY30" i="233"/>
  <c r="AW30" i="233"/>
  <c r="AU30" i="233"/>
  <c r="AS30" i="233"/>
  <c r="AQ30" i="233"/>
  <c r="AO30" i="233"/>
  <c r="AM30" i="233"/>
  <c r="AK30" i="233"/>
  <c r="AI30" i="233"/>
  <c r="AG30" i="233"/>
  <c r="AE30" i="233"/>
  <c r="AC30" i="233"/>
  <c r="AA30" i="233"/>
  <c r="Y30" i="233"/>
  <c r="W30" i="233"/>
  <c r="U30" i="233"/>
  <c r="S30" i="233"/>
  <c r="Q30" i="233"/>
  <c r="O30" i="233"/>
  <c r="M30" i="233"/>
  <c r="K30" i="233"/>
  <c r="E3" i="233"/>
  <c r="H25" i="233" s="1"/>
  <c r="BH2" i="233"/>
  <c r="AE2" i="233"/>
  <c r="BD2" i="233"/>
  <c r="K2" i="233"/>
  <c r="P2" i="233"/>
  <c r="AG2" i="233"/>
  <c r="AF2" i="233"/>
  <c r="O2" i="233"/>
  <c r="AD2" i="233"/>
  <c r="AS2" i="233"/>
  <c r="BJ2" i="233"/>
  <c r="AL2" i="233"/>
  <c r="AQ2" i="233"/>
  <c r="AY2" i="233"/>
  <c r="AA2" i="233"/>
  <c r="W2" i="233"/>
  <c r="G2" i="233"/>
  <c r="AN2" i="233"/>
  <c r="BF2" i="233"/>
  <c r="AI2" i="233"/>
  <c r="L2" i="233"/>
  <c r="H2" i="233"/>
  <c r="V2" i="233"/>
  <c r="AK2" i="233"/>
  <c r="AW2" i="233"/>
  <c r="AB2" i="233"/>
  <c r="X2" i="233"/>
  <c r="AH2" i="233"/>
  <c r="AX2" i="233"/>
  <c r="AR2" i="233"/>
  <c r="M2" i="233"/>
  <c r="BK2" i="233"/>
  <c r="R2" i="233"/>
  <c r="AC2" i="233"/>
  <c r="BI2" i="233"/>
  <c r="AO2" i="233"/>
  <c r="Y2" i="233"/>
  <c r="I2" i="233"/>
  <c r="Z2" i="233"/>
  <c r="AM2" i="233"/>
  <c r="AT2" i="233"/>
  <c r="AZ2" i="233"/>
  <c r="N2" i="233"/>
  <c r="BG2" i="233"/>
  <c r="AV2" i="233"/>
  <c r="Q2" i="233"/>
  <c r="BA2" i="233"/>
  <c r="AU2" i="233"/>
  <c r="BN2" i="233"/>
  <c r="S2" i="233"/>
  <c r="BL2" i="233"/>
  <c r="BE2" i="233"/>
  <c r="BC2" i="233"/>
  <c r="AJ2" i="233"/>
  <c r="BB2" i="233"/>
  <c r="J2" i="233"/>
  <c r="AP2" i="233"/>
  <c r="U2" i="233"/>
  <c r="T2" i="233"/>
  <c r="BM2" i="233"/>
  <c r="K40" i="233" l="1"/>
  <c r="K39" i="233"/>
  <c r="L40" i="233"/>
  <c r="L39" i="233"/>
  <c r="M40" i="233"/>
  <c r="M39" i="233"/>
  <c r="N40" i="233"/>
  <c r="N39" i="233"/>
  <c r="O40" i="233"/>
  <c r="O39" i="233"/>
  <c r="P40" i="233"/>
  <c r="P39" i="233"/>
  <c r="Q40" i="233"/>
  <c r="Q39" i="233"/>
  <c r="R40" i="233"/>
  <c r="R39" i="233"/>
  <c r="S40" i="233"/>
  <c r="S39" i="233"/>
  <c r="T40" i="233"/>
  <c r="T39" i="233"/>
  <c r="U40" i="233"/>
  <c r="U39" i="233"/>
  <c r="V40" i="233"/>
  <c r="V39" i="233"/>
  <c r="W40" i="233"/>
  <c r="W39" i="233"/>
  <c r="X40" i="233"/>
  <c r="X39" i="233"/>
  <c r="Y40" i="233"/>
  <c r="Y39" i="233"/>
  <c r="Z40" i="233"/>
  <c r="Z39" i="233"/>
  <c r="AA40" i="233"/>
  <c r="AA39" i="233"/>
  <c r="AB40" i="233"/>
  <c r="AB39" i="233"/>
  <c r="AC40" i="233"/>
  <c r="AC39" i="233"/>
  <c r="AD40" i="233"/>
  <c r="AD39" i="233"/>
  <c r="AE40" i="233"/>
  <c r="AE39" i="233"/>
  <c r="AF40" i="233"/>
  <c r="AF39" i="233"/>
  <c r="AG40" i="233"/>
  <c r="AG39" i="233"/>
  <c r="AH40" i="233"/>
  <c r="AH39" i="233"/>
  <c r="AI40" i="233"/>
  <c r="AI39" i="233"/>
  <c r="AJ40" i="233"/>
  <c r="AJ39" i="233"/>
  <c r="AK40" i="233"/>
  <c r="AK39" i="233"/>
  <c r="AL40" i="233"/>
  <c r="AL39" i="233"/>
  <c r="AM40" i="233"/>
  <c r="AM39" i="233"/>
  <c r="AN40" i="233"/>
  <c r="AN39" i="233"/>
  <c r="AO40" i="233"/>
  <c r="AO39" i="233"/>
  <c r="AP40" i="233"/>
  <c r="AP39" i="233"/>
  <c r="AQ40" i="233"/>
  <c r="AQ39" i="233"/>
  <c r="AR40" i="233"/>
  <c r="AR39" i="233"/>
  <c r="AS40" i="233"/>
  <c r="AS39" i="233"/>
  <c r="AT40" i="233"/>
  <c r="AT39" i="233"/>
  <c r="AU40" i="233"/>
  <c r="AU39" i="233"/>
  <c r="AV40" i="233"/>
  <c r="AV39" i="233"/>
  <c r="AW40" i="233"/>
  <c r="AW39" i="233"/>
  <c r="AX40" i="233"/>
  <c r="AX39" i="233"/>
  <c r="AY40" i="233"/>
  <c r="AY39" i="233"/>
  <c r="AZ40" i="233"/>
  <c r="AZ39" i="233"/>
  <c r="BA40" i="233"/>
  <c r="BA39" i="233"/>
  <c r="BB40" i="233"/>
  <c r="BB39" i="233"/>
  <c r="BC40" i="233"/>
  <c r="BC39" i="233"/>
  <c r="BD40" i="233"/>
  <c r="BD39" i="233"/>
  <c r="BE40" i="233"/>
  <c r="BE39" i="233"/>
  <c r="BF40" i="233"/>
  <c r="BF39" i="233"/>
  <c r="BG40" i="233"/>
  <c r="BG39" i="233"/>
  <c r="BH40" i="233"/>
  <c r="BH39" i="233"/>
  <c r="BI40" i="233"/>
  <c r="BI39" i="233"/>
  <c r="BJ40" i="233"/>
  <c r="BJ39" i="233"/>
  <c r="BK40" i="233"/>
  <c r="BK39" i="233"/>
  <c r="BL40" i="233"/>
  <c r="BL39" i="233"/>
  <c r="BM40" i="233"/>
  <c r="BM39" i="233"/>
  <c r="BN40" i="233"/>
  <c r="BN39" i="233"/>
  <c r="BN25" i="233"/>
  <c r="BN36" i="233" s="1"/>
  <c r="BL25" i="233"/>
  <c r="BL36" i="233" s="1"/>
  <c r="BJ25" i="233"/>
  <c r="BJ36" i="233" s="1"/>
  <c r="BH25" i="233"/>
  <c r="BH36" i="233" s="1"/>
  <c r="BF25" i="233"/>
  <c r="BF36" i="233" s="1"/>
  <c r="BD25" i="233"/>
  <c r="BD36" i="233" s="1"/>
  <c r="BB25" i="233"/>
  <c r="BB36" i="233" s="1"/>
  <c r="AZ25" i="233"/>
  <c r="AZ36" i="233" s="1"/>
  <c r="AX25" i="233"/>
  <c r="AX36" i="233" s="1"/>
  <c r="AV25" i="233"/>
  <c r="AV36" i="233" s="1"/>
  <c r="AT25" i="233"/>
  <c r="AT36" i="233" s="1"/>
  <c r="AR25" i="233"/>
  <c r="AR36" i="233" s="1"/>
  <c r="AP25" i="233"/>
  <c r="AP36" i="233" s="1"/>
  <c r="AN25" i="233"/>
  <c r="AN36" i="233" s="1"/>
  <c r="AL25" i="233"/>
  <c r="AL36" i="233" s="1"/>
  <c r="AJ25" i="233"/>
  <c r="AJ36" i="233" s="1"/>
  <c r="AH25" i="233"/>
  <c r="AH36" i="233" s="1"/>
  <c r="AF25" i="233"/>
  <c r="AF36" i="233" s="1"/>
  <c r="AD25" i="233"/>
  <c r="AD36" i="233" s="1"/>
  <c r="AB25" i="233"/>
  <c r="AB36" i="233" s="1"/>
  <c r="Z25" i="233"/>
  <c r="Z36" i="233" s="1"/>
  <c r="X25" i="233"/>
  <c r="X36" i="233" s="1"/>
  <c r="V25" i="233"/>
  <c r="V36" i="233" s="1"/>
  <c r="T25" i="233"/>
  <c r="T36" i="233" s="1"/>
  <c r="R25" i="233"/>
  <c r="R36" i="233" s="1"/>
  <c r="P25" i="233"/>
  <c r="P36" i="233" s="1"/>
  <c r="N25" i="233"/>
  <c r="N36" i="233" s="1"/>
  <c r="L25" i="233"/>
  <c r="L36" i="233" s="1"/>
  <c r="J25" i="233"/>
  <c r="BM25" i="233"/>
  <c r="BM36" i="233" s="1"/>
  <c r="BK25" i="233"/>
  <c r="BK36" i="233" s="1"/>
  <c r="BI25" i="233"/>
  <c r="BI36" i="233" s="1"/>
  <c r="BG25" i="233"/>
  <c r="BG36" i="233" s="1"/>
  <c r="BE25" i="233"/>
  <c r="BE36" i="233" s="1"/>
  <c r="BC25" i="233"/>
  <c r="BC36" i="233" s="1"/>
  <c r="BA25" i="233"/>
  <c r="BA36" i="233" s="1"/>
  <c r="AY25" i="233"/>
  <c r="AY36" i="233" s="1"/>
  <c r="AW25" i="233"/>
  <c r="AW36" i="233" s="1"/>
  <c r="AU25" i="233"/>
  <c r="AU36" i="233" s="1"/>
  <c r="AS25" i="233"/>
  <c r="AS36" i="233" s="1"/>
  <c r="AQ25" i="233"/>
  <c r="AQ36" i="233" s="1"/>
  <c r="AO25" i="233"/>
  <c r="AO36" i="233" s="1"/>
  <c r="AM25" i="233"/>
  <c r="AM36" i="233" s="1"/>
  <c r="AK25" i="233"/>
  <c r="AK36" i="233" s="1"/>
  <c r="AI25" i="233"/>
  <c r="AI36" i="233" s="1"/>
  <c r="AG25" i="233"/>
  <c r="AG36" i="233" s="1"/>
  <c r="AE25" i="233"/>
  <c r="AE36" i="233" s="1"/>
  <c r="AC25" i="233"/>
  <c r="AC36" i="233" s="1"/>
  <c r="AA25" i="233"/>
  <c r="AA36" i="233" s="1"/>
  <c r="Y25" i="233"/>
  <c r="Y36" i="233" s="1"/>
  <c r="W25" i="233"/>
  <c r="W36" i="233" s="1"/>
  <c r="U25" i="233"/>
  <c r="U36" i="233" s="1"/>
  <c r="S25" i="233"/>
  <c r="S36" i="233" s="1"/>
  <c r="Q25" i="233"/>
  <c r="Q36" i="233" s="1"/>
  <c r="O25" i="233"/>
  <c r="O36" i="233" s="1"/>
  <c r="M25" i="233"/>
  <c r="M36" i="233" s="1"/>
  <c r="K25" i="233"/>
  <c r="G25" i="233"/>
  <c r="J1" i="233"/>
  <c r="I1" i="233"/>
  <c r="K36" i="233" l="1"/>
  <c r="BN35" i="232"/>
  <c r="BM35" i="232"/>
  <c r="BL35" i="232"/>
  <c r="BK35" i="232"/>
  <c r="BJ35" i="232"/>
  <c r="BI35" i="232"/>
  <c r="BH35" i="232"/>
  <c r="BG35" i="232"/>
  <c r="BF35" i="232"/>
  <c r="BE35" i="232"/>
  <c r="BD35" i="232"/>
  <c r="BC35" i="232"/>
  <c r="BB35" i="232"/>
  <c r="BA35" i="232"/>
  <c r="AZ35" i="232"/>
  <c r="AY35" i="232"/>
  <c r="AX35" i="232"/>
  <c r="AW35" i="232"/>
  <c r="AV35" i="232"/>
  <c r="AU35" i="232"/>
  <c r="AT35" i="232"/>
  <c r="AS35" i="232"/>
  <c r="AR35" i="232"/>
  <c r="AQ35" i="232"/>
  <c r="AP35" i="232"/>
  <c r="AO35" i="232"/>
  <c r="AN35" i="232"/>
  <c r="AM35" i="232"/>
  <c r="AL35" i="232"/>
  <c r="AK35" i="232"/>
  <c r="AJ35" i="232"/>
  <c r="AI35" i="232"/>
  <c r="AH35" i="232"/>
  <c r="AG35" i="232"/>
  <c r="AF35" i="232"/>
  <c r="AE35" i="232"/>
  <c r="AD35" i="232"/>
  <c r="AC35" i="232"/>
  <c r="AB35" i="232"/>
  <c r="AA35" i="232"/>
  <c r="Z35" i="232"/>
  <c r="Y35" i="232"/>
  <c r="X35" i="232"/>
  <c r="W35" i="232"/>
  <c r="V35" i="232"/>
  <c r="U35" i="232"/>
  <c r="T35" i="232"/>
  <c r="S35" i="232"/>
  <c r="R35" i="232"/>
  <c r="Q35" i="232"/>
  <c r="P35" i="232"/>
  <c r="O35" i="232"/>
  <c r="N35" i="232"/>
  <c r="M35" i="232"/>
  <c r="L35" i="232"/>
  <c r="K35" i="232"/>
  <c r="BN29" i="232" l="1"/>
  <c r="BM29" i="232"/>
  <c r="BL29" i="232"/>
  <c r="BK29" i="232"/>
  <c r="BJ29" i="232"/>
  <c r="BI29" i="232"/>
  <c r="BH29" i="232"/>
  <c r="BG29" i="232"/>
  <c r="BF29" i="232"/>
  <c r="BE29" i="232"/>
  <c r="BD29" i="232"/>
  <c r="BC29" i="232"/>
  <c r="BB29" i="232"/>
  <c r="BA29" i="232"/>
  <c r="AZ29" i="232"/>
  <c r="AY29" i="232"/>
  <c r="AX29" i="232"/>
  <c r="AW29" i="232"/>
  <c r="AV29" i="232"/>
  <c r="AU29" i="232"/>
  <c r="AT29" i="232"/>
  <c r="AS29" i="232"/>
  <c r="AR29" i="232"/>
  <c r="AQ29" i="232"/>
  <c r="AP29" i="232"/>
  <c r="AO29" i="232"/>
  <c r="AN29" i="232"/>
  <c r="AM29" i="232"/>
  <c r="AL29" i="232"/>
  <c r="AK29" i="232"/>
  <c r="AJ29" i="232"/>
  <c r="AI29" i="232"/>
  <c r="AH29" i="232"/>
  <c r="AG29" i="232"/>
  <c r="AF29" i="232"/>
  <c r="AE29" i="232"/>
  <c r="AD29" i="232"/>
  <c r="AC29" i="232"/>
  <c r="AB29" i="232"/>
  <c r="AA29" i="232"/>
  <c r="Z29" i="232"/>
  <c r="Y29" i="232"/>
  <c r="X29" i="232"/>
  <c r="W29" i="232"/>
  <c r="V29" i="232"/>
  <c r="U29" i="232"/>
  <c r="T29" i="232"/>
  <c r="S29" i="232"/>
  <c r="R29" i="232"/>
  <c r="Q29" i="232"/>
  <c r="P29" i="232"/>
  <c r="O29" i="232"/>
  <c r="N29" i="232"/>
  <c r="M29" i="232"/>
  <c r="L29" i="232"/>
  <c r="K29" i="232"/>
  <c r="BN27" i="232"/>
  <c r="BM27" i="232"/>
  <c r="BL27" i="232"/>
  <c r="BK27" i="232"/>
  <c r="BJ27" i="232"/>
  <c r="BI27" i="232"/>
  <c r="BH27" i="232"/>
  <c r="BG27" i="232"/>
  <c r="BF27" i="232"/>
  <c r="BE27" i="232"/>
  <c r="BD27" i="232"/>
  <c r="BC27" i="232"/>
  <c r="BB27" i="232"/>
  <c r="BA27" i="232"/>
  <c r="AZ27" i="232"/>
  <c r="AY27" i="232"/>
  <c r="AX27" i="232"/>
  <c r="AW27" i="232"/>
  <c r="AV27" i="232"/>
  <c r="AU27" i="232"/>
  <c r="AT27" i="232"/>
  <c r="AS27" i="232"/>
  <c r="AR27" i="232"/>
  <c r="AQ27" i="232"/>
  <c r="AP27" i="232"/>
  <c r="AO27" i="232"/>
  <c r="AN27" i="232"/>
  <c r="AM27" i="232"/>
  <c r="AL27" i="232"/>
  <c r="AK27" i="232"/>
  <c r="AJ27" i="232"/>
  <c r="AI27" i="232"/>
  <c r="AH27" i="232"/>
  <c r="AG27" i="232"/>
  <c r="AF27" i="232"/>
  <c r="AE27" i="232"/>
  <c r="AD27" i="232"/>
  <c r="AC27" i="232"/>
  <c r="AB27" i="232"/>
  <c r="AA27" i="232"/>
  <c r="Z27" i="232"/>
  <c r="Y27" i="232"/>
  <c r="X27" i="232"/>
  <c r="W27" i="232"/>
  <c r="V27" i="232"/>
  <c r="U27" i="232"/>
  <c r="T27" i="232"/>
  <c r="S27" i="232"/>
  <c r="R27" i="232"/>
  <c r="Q27" i="232"/>
  <c r="P27" i="232"/>
  <c r="O27" i="232"/>
  <c r="N27" i="232"/>
  <c r="M27" i="232"/>
  <c r="L27" i="232"/>
  <c r="K27" i="232"/>
  <c r="BN26" i="232"/>
  <c r="BM26" i="232"/>
  <c r="BL26" i="232"/>
  <c r="BK26" i="232"/>
  <c r="BJ26" i="232"/>
  <c r="BI26" i="232"/>
  <c r="BH26" i="232"/>
  <c r="BG26" i="232"/>
  <c r="BF26" i="232"/>
  <c r="BE26" i="232"/>
  <c r="BD26" i="232"/>
  <c r="BC26" i="232"/>
  <c r="BB26" i="232"/>
  <c r="BA26" i="232"/>
  <c r="AZ26" i="232"/>
  <c r="AY26" i="232"/>
  <c r="AX26" i="232"/>
  <c r="AW26" i="232"/>
  <c r="AV26" i="232"/>
  <c r="AU26" i="232"/>
  <c r="AT26" i="232"/>
  <c r="AS26" i="232"/>
  <c r="AR26" i="232"/>
  <c r="AQ26" i="232"/>
  <c r="AP26" i="232"/>
  <c r="AO26" i="232"/>
  <c r="AN26" i="232"/>
  <c r="AM26" i="232"/>
  <c r="AL26" i="232"/>
  <c r="AK26" i="232"/>
  <c r="AJ26" i="232"/>
  <c r="AI26" i="232"/>
  <c r="AH26" i="232"/>
  <c r="AG26" i="232"/>
  <c r="AF26" i="232"/>
  <c r="AE26" i="232"/>
  <c r="AD26" i="232"/>
  <c r="AC26" i="232"/>
  <c r="AB26" i="232"/>
  <c r="AA26" i="232"/>
  <c r="Z26" i="232"/>
  <c r="Y26" i="232"/>
  <c r="X26" i="232"/>
  <c r="W26" i="232"/>
  <c r="V26" i="232"/>
  <c r="U26" i="232"/>
  <c r="T26" i="232"/>
  <c r="S26" i="232"/>
  <c r="R26" i="232"/>
  <c r="Q26" i="232"/>
  <c r="P26" i="232"/>
  <c r="O26" i="232"/>
  <c r="N26" i="232"/>
  <c r="M26" i="232"/>
  <c r="L26" i="232"/>
  <c r="K26" i="232"/>
  <c r="B24" i="232"/>
  <c r="B23" i="232"/>
  <c r="H22" i="232"/>
  <c r="E22" i="232"/>
  <c r="H21" i="232"/>
  <c r="E21" i="232"/>
  <c r="H20" i="232"/>
  <c r="E20" i="232"/>
  <c r="H19" i="232"/>
  <c r="E19" i="232"/>
  <c r="H18" i="232"/>
  <c r="E18" i="232"/>
  <c r="H17" i="232"/>
  <c r="E17" i="232"/>
  <c r="H16" i="232"/>
  <c r="E16" i="232"/>
  <c r="H15" i="232"/>
  <c r="E15" i="232"/>
  <c r="H14" i="232"/>
  <c r="E14" i="232"/>
  <c r="H13" i="232"/>
  <c r="E13" i="232"/>
  <c r="H12" i="232"/>
  <c r="E12" i="232"/>
  <c r="H11" i="232"/>
  <c r="E11" i="232"/>
  <c r="H10" i="232"/>
  <c r="E10" i="232"/>
  <c r="H9" i="232"/>
  <c r="E9" i="232"/>
  <c r="H8" i="232"/>
  <c r="E8" i="232"/>
  <c r="H7" i="232"/>
  <c r="E7" i="232"/>
  <c r="H6" i="232"/>
  <c r="E6" i="232"/>
  <c r="H5" i="232"/>
  <c r="E5" i="232"/>
  <c r="H4" i="232"/>
  <c r="E4" i="232"/>
  <c r="H3" i="232" l="1"/>
  <c r="BN30" i="232" l="1"/>
  <c r="BL30" i="232"/>
  <c r="BJ30" i="232"/>
  <c r="BH30" i="232"/>
  <c r="BF30" i="232"/>
  <c r="BD30" i="232"/>
  <c r="BB30" i="232"/>
  <c r="AZ30" i="232"/>
  <c r="AX30" i="232"/>
  <c r="AV30" i="232"/>
  <c r="AT30" i="232"/>
  <c r="AR30" i="232"/>
  <c r="AP30" i="232"/>
  <c r="AN30" i="232"/>
  <c r="AL30" i="232"/>
  <c r="AJ30" i="232"/>
  <c r="AH30" i="232"/>
  <c r="AF30" i="232"/>
  <c r="AD30" i="232"/>
  <c r="AB30" i="232"/>
  <c r="Z30" i="232"/>
  <c r="X30" i="232"/>
  <c r="V30" i="232"/>
  <c r="T30" i="232"/>
  <c r="R30" i="232"/>
  <c r="P30" i="232"/>
  <c r="N30" i="232"/>
  <c r="L30" i="232"/>
  <c r="BM30" i="232"/>
  <c r="BK30" i="232"/>
  <c r="BI30" i="232"/>
  <c r="BG30" i="232"/>
  <c r="BE30" i="232"/>
  <c r="BC30" i="232"/>
  <c r="BA30" i="232"/>
  <c r="AY30" i="232"/>
  <c r="AW30" i="232"/>
  <c r="AU30" i="232"/>
  <c r="AS30" i="232"/>
  <c r="AQ30" i="232"/>
  <c r="AO30" i="232"/>
  <c r="AM30" i="232"/>
  <c r="AK30" i="232"/>
  <c r="AI30" i="232"/>
  <c r="AG30" i="232"/>
  <c r="AE30" i="232"/>
  <c r="AC30" i="232"/>
  <c r="AA30" i="232"/>
  <c r="Y30" i="232"/>
  <c r="W30" i="232"/>
  <c r="U30" i="232"/>
  <c r="S30" i="232"/>
  <c r="Q30" i="232"/>
  <c r="O30" i="232"/>
  <c r="M30" i="232"/>
  <c r="K30" i="232"/>
  <c r="E3" i="232"/>
  <c r="H25" i="232" s="1"/>
  <c r="K2" i="232"/>
  <c r="BK2" i="232"/>
  <c r="G2" i="232"/>
  <c r="BJ2" i="232"/>
  <c r="AA2" i="232"/>
  <c r="Z2" i="232"/>
  <c r="AX2" i="232"/>
  <c r="BM2" i="232"/>
  <c r="O2" i="232"/>
  <c r="AB2" i="232"/>
  <c r="AM2" i="232"/>
  <c r="AS2" i="232"/>
  <c r="I2" i="232"/>
  <c r="V2" i="232"/>
  <c r="BL2" i="232"/>
  <c r="AV2" i="232"/>
  <c r="BD2" i="232"/>
  <c r="AH2" i="232"/>
  <c r="AW2" i="232"/>
  <c r="AL2" i="232"/>
  <c r="X2" i="232"/>
  <c r="AI2" i="232"/>
  <c r="BN2" i="232"/>
  <c r="AD2" i="232"/>
  <c r="AO2" i="232"/>
  <c r="L2" i="232"/>
  <c r="M2" i="232"/>
  <c r="BI2" i="232"/>
  <c r="S2" i="232"/>
  <c r="AK2" i="232"/>
  <c r="T2" i="232"/>
  <c r="AC2" i="232"/>
  <c r="AZ2" i="232"/>
  <c r="U2" i="232"/>
  <c r="BC2" i="232"/>
  <c r="Q2" i="232"/>
  <c r="AN2" i="232"/>
  <c r="BB2" i="232"/>
  <c r="R2" i="232"/>
  <c r="AT2" i="232"/>
  <c r="AQ2" i="232"/>
  <c r="AJ2" i="232"/>
  <c r="BA2" i="232"/>
  <c r="BE2" i="232"/>
  <c r="AF2" i="232"/>
  <c r="W2" i="232"/>
  <c r="Y2" i="232"/>
  <c r="H2" i="232"/>
  <c r="P2" i="232"/>
  <c r="BG2" i="232"/>
  <c r="AP2" i="232"/>
  <c r="AE2" i="232"/>
  <c r="AR2" i="232"/>
  <c r="N2" i="232"/>
  <c r="BH2" i="232"/>
  <c r="AY2" i="232"/>
  <c r="AU2" i="232"/>
  <c r="J2" i="232"/>
  <c r="AG2" i="232"/>
  <c r="BF2" i="232"/>
  <c r="K40" i="232" l="1"/>
  <c r="K39" i="232"/>
  <c r="L40" i="232"/>
  <c r="L39" i="232"/>
  <c r="M40" i="232"/>
  <c r="M39" i="232"/>
  <c r="N40" i="232"/>
  <c r="N39" i="232"/>
  <c r="O40" i="232"/>
  <c r="O39" i="232"/>
  <c r="P40" i="232"/>
  <c r="P39" i="232"/>
  <c r="Q40" i="232"/>
  <c r="Q39" i="232"/>
  <c r="R40" i="232"/>
  <c r="R39" i="232"/>
  <c r="S40" i="232"/>
  <c r="S39" i="232"/>
  <c r="T40" i="232"/>
  <c r="T39" i="232"/>
  <c r="U40" i="232"/>
  <c r="U39" i="232"/>
  <c r="V40" i="232"/>
  <c r="V39" i="232"/>
  <c r="W40" i="232"/>
  <c r="W39" i="232"/>
  <c r="X40" i="232"/>
  <c r="X39" i="232"/>
  <c r="Y40" i="232"/>
  <c r="Y39" i="232"/>
  <c r="Z40" i="232"/>
  <c r="Z39" i="232"/>
  <c r="AA40" i="232"/>
  <c r="AA39" i="232"/>
  <c r="AB40" i="232"/>
  <c r="AB39" i="232"/>
  <c r="AC40" i="232"/>
  <c r="AC39" i="232"/>
  <c r="AD40" i="232"/>
  <c r="AD39" i="232"/>
  <c r="AE40" i="232"/>
  <c r="AE39" i="232"/>
  <c r="AF40" i="232"/>
  <c r="AF39" i="232"/>
  <c r="AG40" i="232"/>
  <c r="AG39" i="232"/>
  <c r="AH40" i="232"/>
  <c r="AH39" i="232"/>
  <c r="AI40" i="232"/>
  <c r="AI39" i="232"/>
  <c r="AJ40" i="232"/>
  <c r="AJ39" i="232"/>
  <c r="AK40" i="232"/>
  <c r="AK39" i="232"/>
  <c r="AL40" i="232"/>
  <c r="AL39" i="232"/>
  <c r="AM40" i="232"/>
  <c r="AM39" i="232"/>
  <c r="AN40" i="232"/>
  <c r="AN39" i="232"/>
  <c r="AO40" i="232"/>
  <c r="AO39" i="232"/>
  <c r="AP40" i="232"/>
  <c r="AP39" i="232"/>
  <c r="AQ40" i="232"/>
  <c r="AQ39" i="232"/>
  <c r="AR40" i="232"/>
  <c r="AR39" i="232"/>
  <c r="AS40" i="232"/>
  <c r="AS39" i="232"/>
  <c r="AT40" i="232"/>
  <c r="AT39" i="232"/>
  <c r="AU40" i="232"/>
  <c r="AU39" i="232"/>
  <c r="AV40" i="232"/>
  <c r="AV39" i="232"/>
  <c r="AW40" i="232"/>
  <c r="AW39" i="232"/>
  <c r="AX40" i="232"/>
  <c r="AX39" i="232"/>
  <c r="AY40" i="232"/>
  <c r="AY39" i="232"/>
  <c r="AZ40" i="232"/>
  <c r="AZ39" i="232"/>
  <c r="BA40" i="232"/>
  <c r="BA39" i="232"/>
  <c r="BB40" i="232"/>
  <c r="BB39" i="232"/>
  <c r="BC40" i="232"/>
  <c r="BC39" i="232"/>
  <c r="BD40" i="232"/>
  <c r="BD39" i="232"/>
  <c r="BE40" i="232"/>
  <c r="BE39" i="232"/>
  <c r="BF40" i="232"/>
  <c r="BF39" i="232"/>
  <c r="BG40" i="232"/>
  <c r="BG39" i="232"/>
  <c r="BH40" i="232"/>
  <c r="BH39" i="232"/>
  <c r="BI40" i="232"/>
  <c r="BI39" i="232"/>
  <c r="BJ40" i="232"/>
  <c r="BJ39" i="232"/>
  <c r="BK40" i="232"/>
  <c r="BK39" i="232"/>
  <c r="BL40" i="232"/>
  <c r="BL39" i="232"/>
  <c r="BM40" i="232"/>
  <c r="BM39" i="232"/>
  <c r="BN40" i="232"/>
  <c r="BN39" i="232"/>
  <c r="BN25" i="232"/>
  <c r="BN36" i="232" s="1"/>
  <c r="BL25" i="232"/>
  <c r="BL36" i="232" s="1"/>
  <c r="BJ25" i="232"/>
  <c r="BJ36" i="232" s="1"/>
  <c r="BH25" i="232"/>
  <c r="BH36" i="232" s="1"/>
  <c r="BF25" i="232"/>
  <c r="BF36" i="232" s="1"/>
  <c r="BD25" i="232"/>
  <c r="BD36" i="232" s="1"/>
  <c r="BB25" i="232"/>
  <c r="BB36" i="232" s="1"/>
  <c r="AZ25" i="232"/>
  <c r="AZ36" i="232" s="1"/>
  <c r="AX25" i="232"/>
  <c r="AX36" i="232" s="1"/>
  <c r="AV25" i="232"/>
  <c r="AV36" i="232" s="1"/>
  <c r="AT25" i="232"/>
  <c r="AT36" i="232" s="1"/>
  <c r="AR25" i="232"/>
  <c r="AR36" i="232" s="1"/>
  <c r="AP25" i="232"/>
  <c r="AP36" i="232" s="1"/>
  <c r="AN25" i="232"/>
  <c r="AN36" i="232" s="1"/>
  <c r="AL25" i="232"/>
  <c r="AL36" i="232" s="1"/>
  <c r="AJ25" i="232"/>
  <c r="AJ36" i="232" s="1"/>
  <c r="AH25" i="232"/>
  <c r="AH36" i="232" s="1"/>
  <c r="AF25" i="232"/>
  <c r="AF36" i="232" s="1"/>
  <c r="AD25" i="232"/>
  <c r="AD36" i="232" s="1"/>
  <c r="AB25" i="232"/>
  <c r="AB36" i="232" s="1"/>
  <c r="Z25" i="232"/>
  <c r="Z36" i="232" s="1"/>
  <c r="X25" i="232"/>
  <c r="X36" i="232" s="1"/>
  <c r="V25" i="232"/>
  <c r="V36" i="232" s="1"/>
  <c r="T25" i="232"/>
  <c r="T36" i="232" s="1"/>
  <c r="R25" i="232"/>
  <c r="R36" i="232" s="1"/>
  <c r="P25" i="232"/>
  <c r="P36" i="232" s="1"/>
  <c r="N25" i="232"/>
  <c r="N36" i="232" s="1"/>
  <c r="L25" i="232"/>
  <c r="L36" i="232" s="1"/>
  <c r="J25" i="232"/>
  <c r="G25" i="232"/>
  <c r="BM25" i="232"/>
  <c r="BM36" i="232" s="1"/>
  <c r="BK25" i="232"/>
  <c r="BK36" i="232" s="1"/>
  <c r="BI25" i="232"/>
  <c r="BI36" i="232" s="1"/>
  <c r="BG25" i="232"/>
  <c r="BG36" i="232" s="1"/>
  <c r="BE25" i="232"/>
  <c r="BE36" i="232" s="1"/>
  <c r="BC25" i="232"/>
  <c r="BC36" i="232" s="1"/>
  <c r="BA25" i="232"/>
  <c r="BA36" i="232" s="1"/>
  <c r="AY25" i="232"/>
  <c r="AY36" i="232" s="1"/>
  <c r="AW25" i="232"/>
  <c r="AW36" i="232" s="1"/>
  <c r="AU25" i="232"/>
  <c r="AU36" i="232" s="1"/>
  <c r="AS25" i="232"/>
  <c r="AS36" i="232" s="1"/>
  <c r="AQ25" i="232"/>
  <c r="AQ36" i="232" s="1"/>
  <c r="AO25" i="232"/>
  <c r="AO36" i="232" s="1"/>
  <c r="AM25" i="232"/>
  <c r="AM36" i="232" s="1"/>
  <c r="AK25" i="232"/>
  <c r="AK36" i="232" s="1"/>
  <c r="AI25" i="232"/>
  <c r="AI36" i="232" s="1"/>
  <c r="AG25" i="232"/>
  <c r="AG36" i="232" s="1"/>
  <c r="AE25" i="232"/>
  <c r="AE36" i="232" s="1"/>
  <c r="AC25" i="232"/>
  <c r="AC36" i="232" s="1"/>
  <c r="AA25" i="232"/>
  <c r="AA36" i="232" s="1"/>
  <c r="Y25" i="232"/>
  <c r="Y36" i="232" s="1"/>
  <c r="W25" i="232"/>
  <c r="W36" i="232" s="1"/>
  <c r="U25" i="232"/>
  <c r="U36" i="232" s="1"/>
  <c r="S25" i="232"/>
  <c r="S36" i="232" s="1"/>
  <c r="Q25" i="232"/>
  <c r="Q36" i="232" s="1"/>
  <c r="O25" i="232"/>
  <c r="O36" i="232" s="1"/>
  <c r="M25" i="232"/>
  <c r="M36" i="232" s="1"/>
  <c r="K25" i="232"/>
  <c r="J1" i="232"/>
  <c r="I1" i="232"/>
  <c r="K36" i="232" l="1"/>
  <c r="BN35" i="231"/>
  <c r="BM35" i="231"/>
  <c r="BL35" i="231"/>
  <c r="BK35" i="231"/>
  <c r="BJ35" i="231"/>
  <c r="BI35" i="231"/>
  <c r="BH35" i="231"/>
  <c r="BG35" i="231"/>
  <c r="BF35" i="231"/>
  <c r="BE35" i="231"/>
  <c r="BD35" i="231"/>
  <c r="BC35" i="231"/>
  <c r="BB35" i="231"/>
  <c r="BA35" i="231"/>
  <c r="AZ35" i="231"/>
  <c r="AY35" i="231"/>
  <c r="AX35" i="231"/>
  <c r="AW35" i="231"/>
  <c r="AV35" i="231"/>
  <c r="AU35" i="231"/>
  <c r="AT35" i="231"/>
  <c r="AS35" i="231"/>
  <c r="AR35" i="231"/>
  <c r="AQ35" i="231"/>
  <c r="AP35" i="231"/>
  <c r="AO35" i="231"/>
  <c r="AN35" i="231"/>
  <c r="AM35" i="231"/>
  <c r="AL35" i="231"/>
  <c r="AK35" i="231"/>
  <c r="AJ35" i="231"/>
  <c r="AI35" i="231"/>
  <c r="AH35" i="231"/>
  <c r="AG35" i="231"/>
  <c r="AF35" i="231"/>
  <c r="AE35" i="231"/>
  <c r="AD35" i="231"/>
  <c r="AC35" i="231"/>
  <c r="AB35" i="231"/>
  <c r="AA35" i="231"/>
  <c r="Z35" i="231"/>
  <c r="Y35" i="231"/>
  <c r="X35" i="231"/>
  <c r="W35" i="231"/>
  <c r="V35" i="231"/>
  <c r="U35" i="231"/>
  <c r="T35" i="231"/>
  <c r="S35" i="231"/>
  <c r="R35" i="231"/>
  <c r="Q35" i="231"/>
  <c r="P35" i="231"/>
  <c r="O35" i="231"/>
  <c r="N35" i="231"/>
  <c r="M35" i="231"/>
  <c r="L35" i="231"/>
  <c r="K35" i="231"/>
  <c r="BN29" i="231" l="1"/>
  <c r="BM29" i="231"/>
  <c r="BL29" i="231"/>
  <c r="BK29" i="231"/>
  <c r="BJ29" i="231"/>
  <c r="BI29" i="231"/>
  <c r="BH29" i="231"/>
  <c r="BG29" i="231"/>
  <c r="BF29" i="231"/>
  <c r="BE29" i="231"/>
  <c r="BD29" i="231"/>
  <c r="BC29" i="231"/>
  <c r="BB29" i="231"/>
  <c r="BA29" i="231"/>
  <c r="AZ29" i="231"/>
  <c r="AY29" i="231"/>
  <c r="AX29" i="231"/>
  <c r="AW29" i="231"/>
  <c r="AV29" i="231"/>
  <c r="AU29" i="231"/>
  <c r="AT29" i="231"/>
  <c r="AS29" i="231"/>
  <c r="AR29" i="231"/>
  <c r="AQ29" i="231"/>
  <c r="AP29" i="231"/>
  <c r="AO29" i="231"/>
  <c r="AN29" i="231"/>
  <c r="AM29" i="231"/>
  <c r="AL29" i="231"/>
  <c r="AK29" i="231"/>
  <c r="AJ29" i="231"/>
  <c r="AI29" i="231"/>
  <c r="AH29" i="231"/>
  <c r="AG29" i="231"/>
  <c r="AF29" i="231"/>
  <c r="AE29" i="231"/>
  <c r="AD29" i="231"/>
  <c r="AC29" i="231"/>
  <c r="AB29" i="231"/>
  <c r="AA29" i="231"/>
  <c r="Z29" i="231"/>
  <c r="Y29" i="231"/>
  <c r="X29" i="231"/>
  <c r="W29" i="231"/>
  <c r="V29" i="231"/>
  <c r="U29" i="231"/>
  <c r="T29" i="231"/>
  <c r="S29" i="231"/>
  <c r="R29" i="231"/>
  <c r="Q29" i="231"/>
  <c r="P29" i="231"/>
  <c r="O29" i="231"/>
  <c r="N29" i="231"/>
  <c r="M29" i="231"/>
  <c r="L29" i="231"/>
  <c r="K29" i="231"/>
  <c r="BN27" i="231"/>
  <c r="BM27" i="231"/>
  <c r="BL27" i="231"/>
  <c r="BK27" i="231"/>
  <c r="BJ27" i="231"/>
  <c r="BI27" i="231"/>
  <c r="BH27" i="231"/>
  <c r="BG27" i="231"/>
  <c r="BF27" i="231"/>
  <c r="BE27" i="231"/>
  <c r="BD27" i="231"/>
  <c r="BC27" i="231"/>
  <c r="BB27" i="231"/>
  <c r="BA27" i="231"/>
  <c r="AZ27" i="231"/>
  <c r="AY27" i="231"/>
  <c r="AX27" i="231"/>
  <c r="AW27" i="231"/>
  <c r="AV27" i="231"/>
  <c r="AU27" i="231"/>
  <c r="AT27" i="231"/>
  <c r="AS27" i="231"/>
  <c r="AR27" i="231"/>
  <c r="AQ27" i="231"/>
  <c r="AP27" i="231"/>
  <c r="AO27" i="231"/>
  <c r="AN27" i="231"/>
  <c r="AM27" i="231"/>
  <c r="AL27" i="231"/>
  <c r="AK27" i="231"/>
  <c r="AJ27" i="231"/>
  <c r="AI27" i="231"/>
  <c r="AH27" i="231"/>
  <c r="AG27" i="231"/>
  <c r="AF27" i="231"/>
  <c r="AE27" i="231"/>
  <c r="AD27" i="231"/>
  <c r="AC27" i="231"/>
  <c r="AB27" i="231"/>
  <c r="AA27" i="231"/>
  <c r="Z27" i="231"/>
  <c r="Y27" i="231"/>
  <c r="X27" i="231"/>
  <c r="W27" i="231"/>
  <c r="V27" i="231"/>
  <c r="U27" i="231"/>
  <c r="T27" i="231"/>
  <c r="S27" i="231"/>
  <c r="R27" i="231"/>
  <c r="Q27" i="231"/>
  <c r="P27" i="231"/>
  <c r="O27" i="231"/>
  <c r="N27" i="231"/>
  <c r="M27" i="231"/>
  <c r="L27" i="231"/>
  <c r="K27" i="231"/>
  <c r="BN26" i="231"/>
  <c r="BM26" i="231"/>
  <c r="BL26" i="231"/>
  <c r="BK26" i="231"/>
  <c r="BJ26" i="231"/>
  <c r="BI26" i="231"/>
  <c r="BH26" i="231"/>
  <c r="BG26" i="231"/>
  <c r="BF26" i="231"/>
  <c r="BE26" i="231"/>
  <c r="BD26" i="231"/>
  <c r="BC26" i="231"/>
  <c r="BB26" i="231"/>
  <c r="BA26" i="231"/>
  <c r="AZ26" i="231"/>
  <c r="AY26" i="231"/>
  <c r="AX26" i="231"/>
  <c r="AW26" i="231"/>
  <c r="AV26" i="231"/>
  <c r="AU26" i="231"/>
  <c r="AT26" i="231"/>
  <c r="AS26" i="231"/>
  <c r="AR26" i="231"/>
  <c r="AQ26" i="231"/>
  <c r="AP26" i="231"/>
  <c r="AO26" i="231"/>
  <c r="AN26" i="231"/>
  <c r="AM26" i="231"/>
  <c r="AL26" i="231"/>
  <c r="AK26" i="231"/>
  <c r="AJ26" i="231"/>
  <c r="AI26" i="231"/>
  <c r="AH26" i="231"/>
  <c r="AG26" i="231"/>
  <c r="AF26" i="231"/>
  <c r="AE26" i="231"/>
  <c r="AD26" i="231"/>
  <c r="AC26" i="231"/>
  <c r="AB26" i="231"/>
  <c r="AA26" i="231"/>
  <c r="Z26" i="231"/>
  <c r="Y26" i="231"/>
  <c r="X26" i="231"/>
  <c r="W26" i="231"/>
  <c r="V26" i="231"/>
  <c r="U26" i="231"/>
  <c r="T26" i="231"/>
  <c r="S26" i="231"/>
  <c r="R26" i="231"/>
  <c r="Q26" i="231"/>
  <c r="P26" i="231"/>
  <c r="O26" i="231"/>
  <c r="N26" i="231"/>
  <c r="M26" i="231"/>
  <c r="L26" i="231"/>
  <c r="K26" i="231"/>
  <c r="B24" i="231"/>
  <c r="B23" i="231"/>
  <c r="H22" i="231"/>
  <c r="E22" i="231"/>
  <c r="H21" i="231"/>
  <c r="E21" i="231"/>
  <c r="H20" i="231"/>
  <c r="E20" i="231"/>
  <c r="H19" i="231"/>
  <c r="E19" i="231"/>
  <c r="H18" i="231"/>
  <c r="E18" i="231"/>
  <c r="H17" i="231"/>
  <c r="E17" i="231"/>
  <c r="H16" i="231"/>
  <c r="E16" i="231"/>
  <c r="H15" i="231"/>
  <c r="E15" i="231"/>
  <c r="H14" i="231"/>
  <c r="E14" i="231"/>
  <c r="H13" i="231"/>
  <c r="E13" i="231"/>
  <c r="H12" i="231"/>
  <c r="E12" i="231"/>
  <c r="H11" i="231"/>
  <c r="E11" i="231"/>
  <c r="H10" i="231"/>
  <c r="E10" i="231"/>
  <c r="H9" i="231"/>
  <c r="E9" i="231"/>
  <c r="H8" i="231"/>
  <c r="E8" i="231"/>
  <c r="H7" i="231"/>
  <c r="E7" i="231"/>
  <c r="H6" i="231"/>
  <c r="E6" i="231"/>
  <c r="H5" i="231"/>
  <c r="E5" i="231"/>
  <c r="H4" i="231"/>
  <c r="E4" i="231"/>
  <c r="H3" i="231" l="1"/>
  <c r="BN30" i="231" l="1"/>
  <c r="BL30" i="231"/>
  <c r="BJ30" i="231"/>
  <c r="BH30" i="231"/>
  <c r="BF30" i="231"/>
  <c r="BD30" i="231"/>
  <c r="BB30" i="231"/>
  <c r="AZ30" i="231"/>
  <c r="AX30" i="231"/>
  <c r="AV30" i="231"/>
  <c r="AT30" i="231"/>
  <c r="AR30" i="231"/>
  <c r="AP30" i="231"/>
  <c r="AN30" i="231"/>
  <c r="AL30" i="231"/>
  <c r="AJ30" i="231"/>
  <c r="AH30" i="231"/>
  <c r="AF30" i="231"/>
  <c r="AD30" i="231"/>
  <c r="AB30" i="231"/>
  <c r="Z30" i="231"/>
  <c r="X30" i="231"/>
  <c r="V30" i="231"/>
  <c r="T30" i="231"/>
  <c r="R30" i="231"/>
  <c r="P30" i="231"/>
  <c r="N30" i="231"/>
  <c r="L30" i="231"/>
  <c r="BM30" i="231"/>
  <c r="BK30" i="231"/>
  <c r="BI30" i="231"/>
  <c r="BG30" i="231"/>
  <c r="BE30" i="231"/>
  <c r="BC30" i="231"/>
  <c r="BA30" i="231"/>
  <c r="AY30" i="231"/>
  <c r="AW30" i="231"/>
  <c r="AU30" i="231"/>
  <c r="AS30" i="231"/>
  <c r="AQ30" i="231"/>
  <c r="AO30" i="231"/>
  <c r="AM30" i="231"/>
  <c r="AK30" i="231"/>
  <c r="AI30" i="231"/>
  <c r="AG30" i="231"/>
  <c r="AE30" i="231"/>
  <c r="AC30" i="231"/>
  <c r="AA30" i="231"/>
  <c r="Y30" i="231"/>
  <c r="W30" i="231"/>
  <c r="U30" i="231"/>
  <c r="S30" i="231"/>
  <c r="Q30" i="231"/>
  <c r="O30" i="231"/>
  <c r="M30" i="231"/>
  <c r="K30" i="231"/>
  <c r="E3" i="231"/>
  <c r="H25" i="231" s="1"/>
  <c r="W2" i="231"/>
  <c r="AZ2" i="231"/>
  <c r="BJ2" i="231"/>
  <c r="AA2" i="231"/>
  <c r="AN2" i="231"/>
  <c r="S2" i="231"/>
  <c r="AV2" i="231"/>
  <c r="O2" i="231"/>
  <c r="BI2" i="231"/>
  <c r="X2" i="231"/>
  <c r="AI2" i="231"/>
  <c r="J2" i="231"/>
  <c r="BG2" i="231"/>
  <c r="U2" i="231"/>
  <c r="P2" i="231"/>
  <c r="N2" i="231"/>
  <c r="M2" i="231"/>
  <c r="T2" i="231"/>
  <c r="H2" i="231"/>
  <c r="AH2" i="231"/>
  <c r="BN2" i="231"/>
  <c r="AR2" i="231"/>
  <c r="AP2" i="231"/>
  <c r="BD2" i="231"/>
  <c r="BL2" i="231"/>
  <c r="BM2" i="231"/>
  <c r="Q2" i="231"/>
  <c r="Y2" i="231"/>
  <c r="V2" i="231"/>
  <c r="AD2" i="231"/>
  <c r="R2" i="231"/>
  <c r="AW2" i="231"/>
  <c r="AY2" i="231"/>
  <c r="BF2" i="231"/>
  <c r="AE2" i="231"/>
  <c r="AU2" i="231"/>
  <c r="Z2" i="231"/>
  <c r="AC2" i="231"/>
  <c r="AO2" i="231"/>
  <c r="AG2" i="231"/>
  <c r="AQ2" i="231"/>
  <c r="AJ2" i="231"/>
  <c r="BA2" i="231"/>
  <c r="L2" i="231"/>
  <c r="BC2" i="231"/>
  <c r="BB2" i="231"/>
  <c r="BE2" i="231"/>
  <c r="AS2" i="231"/>
  <c r="AB2" i="231"/>
  <c r="AK2" i="231"/>
  <c r="AM2" i="231"/>
  <c r="I2" i="231"/>
  <c r="AX2" i="231"/>
  <c r="K2" i="231"/>
  <c r="AF2" i="231"/>
  <c r="BH2" i="231"/>
  <c r="AL2" i="231"/>
  <c r="BK2" i="231"/>
  <c r="AT2" i="231"/>
  <c r="G2" i="231"/>
  <c r="K40" i="231" l="1"/>
  <c r="K39" i="231"/>
  <c r="L40" i="231"/>
  <c r="L39" i="231"/>
  <c r="M40" i="231"/>
  <c r="M39" i="231"/>
  <c r="N40" i="231"/>
  <c r="N39" i="231"/>
  <c r="O40" i="231"/>
  <c r="O39" i="231"/>
  <c r="P40" i="231"/>
  <c r="P39" i="231"/>
  <c r="Q40" i="231"/>
  <c r="Q39" i="231"/>
  <c r="R40" i="231"/>
  <c r="R39" i="231"/>
  <c r="S40" i="231"/>
  <c r="S39" i="231"/>
  <c r="T40" i="231"/>
  <c r="T39" i="231"/>
  <c r="U40" i="231"/>
  <c r="U39" i="231"/>
  <c r="V40" i="231"/>
  <c r="V39" i="231"/>
  <c r="W40" i="231"/>
  <c r="W39" i="231"/>
  <c r="X40" i="231"/>
  <c r="X39" i="231"/>
  <c r="Y40" i="231"/>
  <c r="Y39" i="231"/>
  <c r="Z40" i="231"/>
  <c r="Z39" i="231"/>
  <c r="AA40" i="231"/>
  <c r="AA39" i="231"/>
  <c r="AB40" i="231"/>
  <c r="AB39" i="231"/>
  <c r="AC40" i="231"/>
  <c r="AC39" i="231"/>
  <c r="AD40" i="231"/>
  <c r="AD39" i="231"/>
  <c r="AE40" i="231"/>
  <c r="AE39" i="231"/>
  <c r="AF40" i="231"/>
  <c r="AF39" i="231"/>
  <c r="AG40" i="231"/>
  <c r="AG39" i="231"/>
  <c r="AH40" i="231"/>
  <c r="AH39" i="231"/>
  <c r="AI40" i="231"/>
  <c r="AI39" i="231"/>
  <c r="AJ40" i="231"/>
  <c r="AJ39" i="231"/>
  <c r="AK40" i="231"/>
  <c r="AK39" i="231"/>
  <c r="AL40" i="231"/>
  <c r="AL39" i="231"/>
  <c r="AM40" i="231"/>
  <c r="AM39" i="231"/>
  <c r="AN40" i="231"/>
  <c r="AN39" i="231"/>
  <c r="AO40" i="231"/>
  <c r="AO39" i="231"/>
  <c r="AP40" i="231"/>
  <c r="AP39" i="231"/>
  <c r="AQ40" i="231"/>
  <c r="AQ39" i="231"/>
  <c r="AR40" i="231"/>
  <c r="AR39" i="231"/>
  <c r="AS40" i="231"/>
  <c r="AS39" i="231"/>
  <c r="AT40" i="231"/>
  <c r="AT39" i="231"/>
  <c r="AU40" i="231"/>
  <c r="AU39" i="231"/>
  <c r="AV40" i="231"/>
  <c r="AV39" i="231"/>
  <c r="AW40" i="231"/>
  <c r="AW39" i="231"/>
  <c r="AX40" i="231"/>
  <c r="AX39" i="231"/>
  <c r="AY40" i="231"/>
  <c r="AY39" i="231"/>
  <c r="AZ40" i="231"/>
  <c r="AZ39" i="231"/>
  <c r="BA40" i="231"/>
  <c r="BA39" i="231"/>
  <c r="BB40" i="231"/>
  <c r="BB39" i="231"/>
  <c r="BC40" i="231"/>
  <c r="BC39" i="231"/>
  <c r="BD40" i="231"/>
  <c r="BD39" i="231"/>
  <c r="BE40" i="231"/>
  <c r="BE39" i="231"/>
  <c r="BF40" i="231"/>
  <c r="BF39" i="231"/>
  <c r="BG40" i="231"/>
  <c r="BG39" i="231"/>
  <c r="BH40" i="231"/>
  <c r="BH39" i="231"/>
  <c r="BI40" i="231"/>
  <c r="BI39" i="231"/>
  <c r="BJ40" i="231"/>
  <c r="BJ39" i="231"/>
  <c r="BK40" i="231"/>
  <c r="BK39" i="231"/>
  <c r="BL40" i="231"/>
  <c r="BL39" i="231"/>
  <c r="BM40" i="231"/>
  <c r="BM39" i="231"/>
  <c r="BN40" i="231"/>
  <c r="BN39" i="231"/>
  <c r="BN25" i="231"/>
  <c r="BN36" i="231" s="1"/>
  <c r="BL25" i="231"/>
  <c r="BL36" i="231" s="1"/>
  <c r="BJ25" i="231"/>
  <c r="BJ36" i="231" s="1"/>
  <c r="BH25" i="231"/>
  <c r="BH36" i="231" s="1"/>
  <c r="BF25" i="231"/>
  <c r="BF36" i="231" s="1"/>
  <c r="BD25" i="231"/>
  <c r="BD36" i="231" s="1"/>
  <c r="BB25" i="231"/>
  <c r="BB36" i="231" s="1"/>
  <c r="AZ25" i="231"/>
  <c r="AZ36" i="231" s="1"/>
  <c r="AX25" i="231"/>
  <c r="AX36" i="231" s="1"/>
  <c r="AV25" i="231"/>
  <c r="AV36" i="231" s="1"/>
  <c r="AT25" i="231"/>
  <c r="AT36" i="231" s="1"/>
  <c r="AR25" i="231"/>
  <c r="AR36" i="231" s="1"/>
  <c r="AP25" i="231"/>
  <c r="AP36" i="231" s="1"/>
  <c r="AN25" i="231"/>
  <c r="AN36" i="231" s="1"/>
  <c r="AL25" i="231"/>
  <c r="AL36" i="231" s="1"/>
  <c r="AJ25" i="231"/>
  <c r="AJ36" i="231" s="1"/>
  <c r="AH25" i="231"/>
  <c r="AH36" i="231" s="1"/>
  <c r="AF25" i="231"/>
  <c r="AF36" i="231" s="1"/>
  <c r="AD25" i="231"/>
  <c r="AD36" i="231" s="1"/>
  <c r="AB25" i="231"/>
  <c r="AB36" i="231" s="1"/>
  <c r="Z25" i="231"/>
  <c r="Z36" i="231" s="1"/>
  <c r="X25" i="231"/>
  <c r="X36" i="231" s="1"/>
  <c r="V25" i="231"/>
  <c r="V36" i="231" s="1"/>
  <c r="T25" i="231"/>
  <c r="T36" i="231" s="1"/>
  <c r="R25" i="231"/>
  <c r="R36" i="231" s="1"/>
  <c r="P25" i="231"/>
  <c r="P36" i="231" s="1"/>
  <c r="N25" i="231"/>
  <c r="N36" i="231" s="1"/>
  <c r="L25" i="231"/>
  <c r="L36" i="231" s="1"/>
  <c r="J25" i="231"/>
  <c r="G25" i="231"/>
  <c r="BM25" i="231"/>
  <c r="BM36" i="231" s="1"/>
  <c r="BK25" i="231"/>
  <c r="BK36" i="231" s="1"/>
  <c r="BI25" i="231"/>
  <c r="BI36" i="231" s="1"/>
  <c r="BG25" i="231"/>
  <c r="BG36" i="231" s="1"/>
  <c r="BE25" i="231"/>
  <c r="BE36" i="231" s="1"/>
  <c r="BC25" i="231"/>
  <c r="BC36" i="231" s="1"/>
  <c r="BA25" i="231"/>
  <c r="BA36" i="231" s="1"/>
  <c r="AY25" i="231"/>
  <c r="AY36" i="231" s="1"/>
  <c r="AW25" i="231"/>
  <c r="AW36" i="231" s="1"/>
  <c r="AU25" i="231"/>
  <c r="AU36" i="231" s="1"/>
  <c r="AS25" i="231"/>
  <c r="AS36" i="231" s="1"/>
  <c r="AQ25" i="231"/>
  <c r="AQ36" i="231" s="1"/>
  <c r="AO25" i="231"/>
  <c r="AO36" i="231" s="1"/>
  <c r="AM25" i="231"/>
  <c r="AM36" i="231" s="1"/>
  <c r="AK25" i="231"/>
  <c r="AK36" i="231" s="1"/>
  <c r="AI25" i="231"/>
  <c r="AI36" i="231" s="1"/>
  <c r="AG25" i="231"/>
  <c r="AG36" i="231" s="1"/>
  <c r="AE25" i="231"/>
  <c r="AE36" i="231" s="1"/>
  <c r="AC25" i="231"/>
  <c r="AC36" i="231" s="1"/>
  <c r="AA25" i="231"/>
  <c r="AA36" i="231" s="1"/>
  <c r="Y25" i="231"/>
  <c r="Y36" i="231" s="1"/>
  <c r="W25" i="231"/>
  <c r="W36" i="231" s="1"/>
  <c r="U25" i="231"/>
  <c r="U36" i="231" s="1"/>
  <c r="S25" i="231"/>
  <c r="S36" i="231" s="1"/>
  <c r="Q25" i="231"/>
  <c r="Q36" i="231" s="1"/>
  <c r="O25" i="231"/>
  <c r="O36" i="231" s="1"/>
  <c r="M25" i="231"/>
  <c r="M36" i="231" s="1"/>
  <c r="K25" i="231"/>
  <c r="J1" i="231"/>
  <c r="I1" i="231"/>
  <c r="BN35" i="230"/>
  <c r="BM35" i="230"/>
  <c r="BL35" i="230"/>
  <c r="BK35" i="230"/>
  <c r="BJ35" i="230"/>
  <c r="BI35" i="230"/>
  <c r="BH35" i="230"/>
  <c r="BG35" i="230"/>
  <c r="BF35" i="230"/>
  <c r="BE35" i="230"/>
  <c r="BD35" i="230"/>
  <c r="BC35" i="230"/>
  <c r="BB35" i="230"/>
  <c r="BA35" i="230"/>
  <c r="AZ35" i="230"/>
  <c r="AY35" i="230"/>
  <c r="AX35" i="230"/>
  <c r="AW35" i="230"/>
  <c r="AV35" i="230"/>
  <c r="AU35" i="230"/>
  <c r="AT35" i="230"/>
  <c r="AS35" i="230"/>
  <c r="AR35" i="230"/>
  <c r="AQ35" i="230"/>
  <c r="AP35" i="230"/>
  <c r="AO35" i="230"/>
  <c r="AN35" i="230"/>
  <c r="AM35" i="230"/>
  <c r="AL35" i="230"/>
  <c r="AK35" i="230"/>
  <c r="AJ35" i="230"/>
  <c r="AI35" i="230"/>
  <c r="AH35" i="230"/>
  <c r="AG35" i="230"/>
  <c r="AF35" i="230"/>
  <c r="AE35" i="230"/>
  <c r="AD35" i="230"/>
  <c r="AC35" i="230"/>
  <c r="AB35" i="230"/>
  <c r="AA35" i="230"/>
  <c r="Z35" i="230"/>
  <c r="Y35" i="230"/>
  <c r="X35" i="230"/>
  <c r="W35" i="230"/>
  <c r="V35" i="230"/>
  <c r="U35" i="230"/>
  <c r="T35" i="230"/>
  <c r="S35" i="230"/>
  <c r="R35" i="230"/>
  <c r="Q35" i="230"/>
  <c r="P35" i="230"/>
  <c r="O35" i="230"/>
  <c r="N35" i="230"/>
  <c r="M35" i="230"/>
  <c r="L35" i="230"/>
  <c r="K35" i="230"/>
  <c r="K36" i="231" l="1"/>
  <c r="BN29" i="230"/>
  <c r="BM29" i="230"/>
  <c r="BL29" i="230"/>
  <c r="BK29" i="230"/>
  <c r="BJ29" i="230"/>
  <c r="BI29" i="230"/>
  <c r="BH29" i="230"/>
  <c r="BG29" i="230"/>
  <c r="BF29" i="230"/>
  <c r="BE29" i="230"/>
  <c r="BD29" i="230"/>
  <c r="BC29" i="230"/>
  <c r="BB29" i="230"/>
  <c r="BA29" i="230"/>
  <c r="AZ29" i="230"/>
  <c r="AY29" i="230"/>
  <c r="AX29" i="230"/>
  <c r="AW29" i="230"/>
  <c r="AV29" i="230"/>
  <c r="AU29" i="230"/>
  <c r="AT29" i="230"/>
  <c r="AS29" i="230"/>
  <c r="AR29" i="230"/>
  <c r="AQ29" i="230"/>
  <c r="AP29" i="230"/>
  <c r="AO29" i="230"/>
  <c r="AN29" i="230"/>
  <c r="AM29" i="230"/>
  <c r="AL29" i="230"/>
  <c r="AK29" i="230"/>
  <c r="AJ29" i="230"/>
  <c r="AI29" i="230"/>
  <c r="AH29" i="230"/>
  <c r="AG29" i="230"/>
  <c r="AF29" i="230"/>
  <c r="AE29" i="230"/>
  <c r="AD29" i="230"/>
  <c r="AC29" i="230"/>
  <c r="AB29" i="230"/>
  <c r="AA29" i="230"/>
  <c r="Z29" i="230"/>
  <c r="Y29" i="230"/>
  <c r="X29" i="230"/>
  <c r="W29" i="230"/>
  <c r="V29" i="230"/>
  <c r="U29" i="230"/>
  <c r="T29" i="230"/>
  <c r="S29" i="230"/>
  <c r="R29" i="230"/>
  <c r="Q29" i="230"/>
  <c r="P29" i="230"/>
  <c r="O29" i="230"/>
  <c r="N29" i="230"/>
  <c r="M29" i="230"/>
  <c r="L29" i="230"/>
  <c r="K29" i="230"/>
  <c r="BN27" i="230"/>
  <c r="BM27" i="230"/>
  <c r="BL27" i="230"/>
  <c r="BK27" i="230"/>
  <c r="BJ27" i="230"/>
  <c r="BI27" i="230"/>
  <c r="BH27" i="230"/>
  <c r="BG27" i="230"/>
  <c r="BF27" i="230"/>
  <c r="BE27" i="230"/>
  <c r="BD27" i="230"/>
  <c r="BC27" i="230"/>
  <c r="BB27" i="230"/>
  <c r="BA27" i="230"/>
  <c r="AZ27" i="230"/>
  <c r="AY27" i="230"/>
  <c r="AX27" i="230"/>
  <c r="AW27" i="230"/>
  <c r="AV27" i="230"/>
  <c r="AU27" i="230"/>
  <c r="AT27" i="230"/>
  <c r="AS27" i="230"/>
  <c r="AR27" i="230"/>
  <c r="AQ27" i="230"/>
  <c r="AP27" i="230"/>
  <c r="AO27" i="230"/>
  <c r="AN27" i="230"/>
  <c r="AM27" i="230"/>
  <c r="AL27" i="230"/>
  <c r="AK27" i="230"/>
  <c r="AJ27" i="230"/>
  <c r="AI27" i="230"/>
  <c r="AH27" i="230"/>
  <c r="AG27" i="230"/>
  <c r="AF27" i="230"/>
  <c r="AE27" i="230"/>
  <c r="AD27" i="230"/>
  <c r="AC27" i="230"/>
  <c r="AB27" i="230"/>
  <c r="AA27" i="230"/>
  <c r="Z27" i="230"/>
  <c r="Y27" i="230"/>
  <c r="X27" i="230"/>
  <c r="W27" i="230"/>
  <c r="V27" i="230"/>
  <c r="U27" i="230"/>
  <c r="T27" i="230"/>
  <c r="S27" i="230"/>
  <c r="R27" i="230"/>
  <c r="Q27" i="230"/>
  <c r="P27" i="230"/>
  <c r="O27" i="230"/>
  <c r="N27" i="230"/>
  <c r="M27" i="230"/>
  <c r="L27" i="230"/>
  <c r="K27" i="230"/>
  <c r="BN26" i="230"/>
  <c r="BM26" i="230"/>
  <c r="BL26" i="230"/>
  <c r="BK26" i="230"/>
  <c r="BJ26" i="230"/>
  <c r="BI26" i="230"/>
  <c r="BH26" i="230"/>
  <c r="BG26" i="230"/>
  <c r="BF26" i="230"/>
  <c r="BE26" i="230"/>
  <c r="BD26" i="230"/>
  <c r="BC26" i="230"/>
  <c r="BB26" i="230"/>
  <c r="BA26" i="230"/>
  <c r="AZ26" i="230"/>
  <c r="AY26" i="230"/>
  <c r="AX26" i="230"/>
  <c r="AW26" i="230"/>
  <c r="AV26" i="230"/>
  <c r="AU26" i="230"/>
  <c r="AT26" i="230"/>
  <c r="AS26" i="230"/>
  <c r="AR26" i="230"/>
  <c r="AQ26" i="230"/>
  <c r="AP26" i="230"/>
  <c r="AO26" i="230"/>
  <c r="AN26" i="230"/>
  <c r="AM26" i="230"/>
  <c r="AL26" i="230"/>
  <c r="AK26" i="230"/>
  <c r="AJ26" i="230"/>
  <c r="AI26" i="230"/>
  <c r="AH26" i="230"/>
  <c r="AG26" i="230"/>
  <c r="AF26" i="230"/>
  <c r="AE26" i="230"/>
  <c r="AD26" i="230"/>
  <c r="AC26" i="230"/>
  <c r="AB26" i="230"/>
  <c r="AA26" i="230"/>
  <c r="Z26" i="230"/>
  <c r="Y26" i="230"/>
  <c r="X26" i="230"/>
  <c r="W26" i="230"/>
  <c r="V26" i="230"/>
  <c r="U26" i="230"/>
  <c r="T26" i="230"/>
  <c r="S26" i="230"/>
  <c r="R26" i="230"/>
  <c r="Q26" i="230"/>
  <c r="P26" i="230"/>
  <c r="O26" i="230"/>
  <c r="N26" i="230"/>
  <c r="M26" i="230"/>
  <c r="L26" i="230"/>
  <c r="K26" i="230"/>
  <c r="B24" i="230"/>
  <c r="B23" i="230"/>
  <c r="H22" i="230"/>
  <c r="E22" i="230"/>
  <c r="H21" i="230"/>
  <c r="E21" i="230"/>
  <c r="H20" i="230"/>
  <c r="E20" i="230"/>
  <c r="H19" i="230"/>
  <c r="E19" i="230"/>
  <c r="H18" i="230"/>
  <c r="E18" i="230"/>
  <c r="H17" i="230"/>
  <c r="E17" i="230"/>
  <c r="H16" i="230"/>
  <c r="E16" i="230"/>
  <c r="H15" i="230"/>
  <c r="E15" i="230"/>
  <c r="H14" i="230"/>
  <c r="E14" i="230"/>
  <c r="H13" i="230"/>
  <c r="E13" i="230"/>
  <c r="H12" i="230"/>
  <c r="E12" i="230"/>
  <c r="H11" i="230"/>
  <c r="E11" i="230"/>
  <c r="H10" i="230"/>
  <c r="E10" i="230"/>
  <c r="H9" i="230"/>
  <c r="E9" i="230"/>
  <c r="H8" i="230"/>
  <c r="E8" i="230"/>
  <c r="H7" i="230"/>
  <c r="E7" i="230"/>
  <c r="H6" i="230"/>
  <c r="E6" i="230"/>
  <c r="H5" i="230"/>
  <c r="E5" i="230"/>
  <c r="H4" i="230"/>
  <c r="E4" i="230"/>
  <c r="H3" i="230" l="1"/>
  <c r="BM30" i="230" l="1"/>
  <c r="BK30" i="230"/>
  <c r="BI30" i="230"/>
  <c r="BG30" i="230"/>
  <c r="BE30" i="230"/>
  <c r="BC30" i="230"/>
  <c r="BA30" i="230"/>
  <c r="AY30" i="230"/>
  <c r="AW30" i="230"/>
  <c r="AU30" i="230"/>
  <c r="AS30" i="230"/>
  <c r="AQ30" i="230"/>
  <c r="AO30" i="230"/>
  <c r="AM30" i="230"/>
  <c r="AK30" i="230"/>
  <c r="AI30" i="230"/>
  <c r="AG30" i="230"/>
  <c r="AE30" i="230"/>
  <c r="AC30" i="230"/>
  <c r="AA30" i="230"/>
  <c r="Y30" i="230"/>
  <c r="W30" i="230"/>
  <c r="U30" i="230"/>
  <c r="S30" i="230"/>
  <c r="O30" i="230"/>
  <c r="K30" i="230"/>
  <c r="BN30" i="230"/>
  <c r="BL30" i="230"/>
  <c r="BJ30" i="230"/>
  <c r="BH30" i="230"/>
  <c r="BF30" i="230"/>
  <c r="BD30" i="230"/>
  <c r="BB30" i="230"/>
  <c r="AZ30" i="230"/>
  <c r="AX30" i="230"/>
  <c r="AV30" i="230"/>
  <c r="AT30" i="230"/>
  <c r="AR30" i="230"/>
  <c r="AP30" i="230"/>
  <c r="AN30" i="230"/>
  <c r="AL30" i="230"/>
  <c r="AJ30" i="230"/>
  <c r="AH30" i="230"/>
  <c r="AF30" i="230"/>
  <c r="AD30" i="230"/>
  <c r="AB30" i="230"/>
  <c r="Z30" i="230"/>
  <c r="X30" i="230"/>
  <c r="V30" i="230"/>
  <c r="T30" i="230"/>
  <c r="R30" i="230"/>
  <c r="P30" i="230"/>
  <c r="N30" i="230"/>
  <c r="L30" i="230"/>
  <c r="Q30" i="230"/>
  <c r="M30" i="230"/>
  <c r="E3" i="230"/>
  <c r="AU2" i="230"/>
  <c r="H2" i="230"/>
  <c r="AZ2" i="230"/>
  <c r="AL2" i="230"/>
  <c r="AS2" i="230"/>
  <c r="AO2" i="230"/>
  <c r="I2" i="230"/>
  <c r="AP2" i="230"/>
  <c r="AN2" i="230"/>
  <c r="BK2" i="230"/>
  <c r="AQ2" i="230"/>
  <c r="BB2" i="230"/>
  <c r="G2" i="230"/>
  <c r="BE2" i="230"/>
  <c r="P2" i="230"/>
  <c r="BN2" i="230"/>
  <c r="BL2" i="230"/>
  <c r="AI2" i="230"/>
  <c r="AX2" i="230"/>
  <c r="X2" i="230"/>
  <c r="BA2" i="230"/>
  <c r="Y2" i="230"/>
  <c r="K2" i="230"/>
  <c r="T2" i="230"/>
  <c r="L2" i="230"/>
  <c r="AC2" i="230"/>
  <c r="W2" i="230"/>
  <c r="J2" i="230"/>
  <c r="BJ2" i="230"/>
  <c r="AD2" i="230"/>
  <c r="AJ2" i="230"/>
  <c r="BF2" i="230"/>
  <c r="U2" i="230"/>
  <c r="R2" i="230"/>
  <c r="AB2" i="230"/>
  <c r="AR2" i="230"/>
  <c r="BG2" i="230"/>
  <c r="AV2" i="230"/>
  <c r="O2" i="230"/>
  <c r="AA2" i="230"/>
  <c r="AY2" i="230"/>
  <c r="AF2" i="230"/>
  <c r="AK2" i="230"/>
  <c r="V2" i="230"/>
  <c r="BD2" i="230"/>
  <c r="AW2" i="230"/>
  <c r="BM2" i="230"/>
  <c r="Z2" i="230"/>
  <c r="AE2" i="230"/>
  <c r="S2" i="230"/>
  <c r="AH2" i="230"/>
  <c r="BC2" i="230"/>
  <c r="N2" i="230"/>
  <c r="AM2" i="230"/>
  <c r="M2" i="230"/>
  <c r="AT2" i="230"/>
  <c r="Q2" i="230"/>
  <c r="BH2" i="230"/>
  <c r="AG2" i="230"/>
  <c r="BI2" i="230"/>
  <c r="K40" i="230" l="1"/>
  <c r="K39" i="230"/>
  <c r="L40" i="230"/>
  <c r="L39" i="230"/>
  <c r="M40" i="230"/>
  <c r="M39" i="230"/>
  <c r="N40" i="230"/>
  <c r="N39" i="230"/>
  <c r="O40" i="230"/>
  <c r="O39" i="230"/>
  <c r="P40" i="230"/>
  <c r="P39" i="230"/>
  <c r="Q40" i="230"/>
  <c r="Q39" i="230"/>
  <c r="R40" i="230"/>
  <c r="R39" i="230"/>
  <c r="S40" i="230"/>
  <c r="S39" i="230"/>
  <c r="T40" i="230"/>
  <c r="T39" i="230"/>
  <c r="U40" i="230"/>
  <c r="U39" i="230"/>
  <c r="V40" i="230"/>
  <c r="V39" i="230"/>
  <c r="W40" i="230"/>
  <c r="W39" i="230"/>
  <c r="X40" i="230"/>
  <c r="X39" i="230"/>
  <c r="Y40" i="230"/>
  <c r="Y39" i="230"/>
  <c r="Z40" i="230"/>
  <c r="Z39" i="230"/>
  <c r="AA40" i="230"/>
  <c r="AA39" i="230"/>
  <c r="AB40" i="230"/>
  <c r="AB39" i="230"/>
  <c r="AC40" i="230"/>
  <c r="AC39" i="230"/>
  <c r="AD40" i="230"/>
  <c r="AD39" i="230"/>
  <c r="AE40" i="230"/>
  <c r="AE39" i="230"/>
  <c r="AF40" i="230"/>
  <c r="AF39" i="230"/>
  <c r="AG40" i="230"/>
  <c r="AG39" i="230"/>
  <c r="AH40" i="230"/>
  <c r="AH39" i="230"/>
  <c r="AI40" i="230"/>
  <c r="AI39" i="230"/>
  <c r="AJ40" i="230"/>
  <c r="AJ39" i="230"/>
  <c r="AK40" i="230"/>
  <c r="AK39" i="230"/>
  <c r="AL40" i="230"/>
  <c r="AL39" i="230"/>
  <c r="AM40" i="230"/>
  <c r="AM39" i="230"/>
  <c r="AN40" i="230"/>
  <c r="AN39" i="230"/>
  <c r="AO40" i="230"/>
  <c r="AO39" i="230"/>
  <c r="AP40" i="230"/>
  <c r="AP39" i="230"/>
  <c r="AQ40" i="230"/>
  <c r="AQ39" i="230"/>
  <c r="AR40" i="230"/>
  <c r="AR39" i="230"/>
  <c r="AS40" i="230"/>
  <c r="AS39" i="230"/>
  <c r="AT40" i="230"/>
  <c r="AT39" i="230"/>
  <c r="AU40" i="230"/>
  <c r="AU39" i="230"/>
  <c r="AV40" i="230"/>
  <c r="AV39" i="230"/>
  <c r="AW40" i="230"/>
  <c r="AW39" i="230"/>
  <c r="AX40" i="230"/>
  <c r="AX39" i="230"/>
  <c r="AY40" i="230"/>
  <c r="AY39" i="230"/>
  <c r="AZ40" i="230"/>
  <c r="AZ39" i="230"/>
  <c r="BA40" i="230"/>
  <c r="BA39" i="230"/>
  <c r="BB40" i="230"/>
  <c r="BB39" i="230"/>
  <c r="BC40" i="230"/>
  <c r="BC39" i="230"/>
  <c r="BD40" i="230"/>
  <c r="BD39" i="230"/>
  <c r="BE40" i="230"/>
  <c r="BE39" i="230"/>
  <c r="BF40" i="230"/>
  <c r="BF39" i="230"/>
  <c r="BG40" i="230"/>
  <c r="BG39" i="230"/>
  <c r="BH40" i="230"/>
  <c r="BH39" i="230"/>
  <c r="BI40" i="230"/>
  <c r="BI39" i="230"/>
  <c r="BJ40" i="230"/>
  <c r="BJ39" i="230"/>
  <c r="BK40" i="230"/>
  <c r="BK39" i="230"/>
  <c r="BL40" i="230"/>
  <c r="BL39" i="230"/>
  <c r="BM40" i="230"/>
  <c r="BM39" i="230"/>
  <c r="BN40" i="230"/>
  <c r="BN39" i="230"/>
  <c r="BN25" i="230"/>
  <c r="BN36" i="230" s="1"/>
  <c r="BL25" i="230"/>
  <c r="BL36" i="230" s="1"/>
  <c r="BJ25" i="230"/>
  <c r="BJ36" i="230" s="1"/>
  <c r="BH25" i="230"/>
  <c r="BH36" i="230" s="1"/>
  <c r="BF25" i="230"/>
  <c r="BF36" i="230" s="1"/>
  <c r="BD25" i="230"/>
  <c r="BD36" i="230" s="1"/>
  <c r="BB25" i="230"/>
  <c r="BB36" i="230" s="1"/>
  <c r="AZ25" i="230"/>
  <c r="AZ36" i="230" s="1"/>
  <c r="AX25" i="230"/>
  <c r="AX36" i="230" s="1"/>
  <c r="AV25" i="230"/>
  <c r="AV36" i="230" s="1"/>
  <c r="AT25" i="230"/>
  <c r="AT36" i="230" s="1"/>
  <c r="AR25" i="230"/>
  <c r="AR36" i="230" s="1"/>
  <c r="AP25" i="230"/>
  <c r="AP36" i="230" s="1"/>
  <c r="AN25" i="230"/>
  <c r="AN36" i="230" s="1"/>
  <c r="AL25" i="230"/>
  <c r="AL36" i="230" s="1"/>
  <c r="AJ25" i="230"/>
  <c r="AJ36" i="230" s="1"/>
  <c r="AH25" i="230"/>
  <c r="AH36" i="230" s="1"/>
  <c r="AF25" i="230"/>
  <c r="AF36" i="230" s="1"/>
  <c r="AD25" i="230"/>
  <c r="AD36" i="230" s="1"/>
  <c r="AB25" i="230"/>
  <c r="AB36" i="230" s="1"/>
  <c r="Z25" i="230"/>
  <c r="Z36" i="230" s="1"/>
  <c r="X25" i="230"/>
  <c r="X36" i="230" s="1"/>
  <c r="V25" i="230"/>
  <c r="V36" i="230" s="1"/>
  <c r="T25" i="230"/>
  <c r="T36" i="230" s="1"/>
  <c r="R25" i="230"/>
  <c r="R36" i="230" s="1"/>
  <c r="P25" i="230"/>
  <c r="P36" i="230" s="1"/>
  <c r="L25" i="230"/>
  <c r="L36" i="230" s="1"/>
  <c r="BM25" i="230"/>
  <c r="BM36" i="230" s="1"/>
  <c r="BK25" i="230"/>
  <c r="BK36" i="230" s="1"/>
  <c r="BI25" i="230"/>
  <c r="BI36" i="230" s="1"/>
  <c r="BG25" i="230"/>
  <c r="BG36" i="230" s="1"/>
  <c r="BE25" i="230"/>
  <c r="BE36" i="230" s="1"/>
  <c r="BC25" i="230"/>
  <c r="BC36" i="230" s="1"/>
  <c r="BA25" i="230"/>
  <c r="BA36" i="230" s="1"/>
  <c r="AY25" i="230"/>
  <c r="AY36" i="230" s="1"/>
  <c r="AW25" i="230"/>
  <c r="AW36" i="230" s="1"/>
  <c r="AU25" i="230"/>
  <c r="AU36" i="230" s="1"/>
  <c r="AS25" i="230"/>
  <c r="AS36" i="230" s="1"/>
  <c r="AQ25" i="230"/>
  <c r="AQ36" i="230" s="1"/>
  <c r="AO25" i="230"/>
  <c r="AO36" i="230" s="1"/>
  <c r="AM25" i="230"/>
  <c r="AM36" i="230" s="1"/>
  <c r="AK25" i="230"/>
  <c r="AK36" i="230" s="1"/>
  <c r="AI25" i="230"/>
  <c r="AI36" i="230" s="1"/>
  <c r="AG25" i="230"/>
  <c r="AG36" i="230" s="1"/>
  <c r="AE25" i="230"/>
  <c r="AE36" i="230" s="1"/>
  <c r="AC25" i="230"/>
  <c r="AC36" i="230" s="1"/>
  <c r="AA25" i="230"/>
  <c r="AA36" i="230" s="1"/>
  <c r="Y25" i="230"/>
  <c r="Y36" i="230" s="1"/>
  <c r="W25" i="230"/>
  <c r="W36" i="230" s="1"/>
  <c r="U25" i="230"/>
  <c r="U36" i="230" s="1"/>
  <c r="S25" i="230"/>
  <c r="S36" i="230" s="1"/>
  <c r="Q25" i="230"/>
  <c r="Q36" i="230" s="1"/>
  <c r="O25" i="230"/>
  <c r="O36" i="230" s="1"/>
  <c r="M25" i="230"/>
  <c r="M36" i="230" s="1"/>
  <c r="K25" i="230"/>
  <c r="G25" i="230"/>
  <c r="N25" i="230"/>
  <c r="N36" i="230" s="1"/>
  <c r="J25" i="230"/>
  <c r="H25" i="230"/>
  <c r="J1" i="230"/>
  <c r="I1" i="230"/>
  <c r="K36" i="230" l="1"/>
  <c r="BN35" i="229"/>
  <c r="BM35" i="229"/>
  <c r="BL35" i="229"/>
  <c r="BK35" i="229"/>
  <c r="BJ35" i="229"/>
  <c r="BI35" i="229"/>
  <c r="BH35" i="229"/>
  <c r="BG35" i="229"/>
  <c r="BF35" i="229"/>
  <c r="BE35" i="229"/>
  <c r="BD35" i="229"/>
  <c r="BC35" i="229"/>
  <c r="BB35" i="229"/>
  <c r="BA35" i="229"/>
  <c r="AZ35" i="229"/>
  <c r="AY35" i="229"/>
  <c r="AX35" i="229"/>
  <c r="AW35" i="229"/>
  <c r="AV35" i="229"/>
  <c r="AU35" i="229"/>
  <c r="AT35" i="229"/>
  <c r="AS35" i="229"/>
  <c r="AR35" i="229"/>
  <c r="AQ35" i="229"/>
  <c r="AP35" i="229"/>
  <c r="AO35" i="229"/>
  <c r="AN35" i="229"/>
  <c r="AM35" i="229"/>
  <c r="AL35" i="229"/>
  <c r="AK35" i="229"/>
  <c r="AJ35" i="229"/>
  <c r="AI35" i="229"/>
  <c r="AH35" i="229"/>
  <c r="AG35" i="229"/>
  <c r="AF35" i="229"/>
  <c r="AE35" i="229"/>
  <c r="AD35" i="229"/>
  <c r="AC35" i="229"/>
  <c r="AB35" i="229"/>
  <c r="AA35" i="229"/>
  <c r="Z35" i="229"/>
  <c r="Y35" i="229"/>
  <c r="X35" i="229"/>
  <c r="W35" i="229"/>
  <c r="V35" i="229"/>
  <c r="U35" i="229"/>
  <c r="T35" i="229"/>
  <c r="S35" i="229"/>
  <c r="R35" i="229"/>
  <c r="Q35" i="229"/>
  <c r="P35" i="229"/>
  <c r="O35" i="229"/>
  <c r="N35" i="229"/>
  <c r="M35" i="229"/>
  <c r="L35" i="229"/>
  <c r="K35" i="229"/>
  <c r="BN29" i="229" l="1"/>
  <c r="BM29" i="229"/>
  <c r="BL29" i="229"/>
  <c r="BK29" i="229"/>
  <c r="BJ29" i="229"/>
  <c r="BI29" i="229"/>
  <c r="BH29" i="229"/>
  <c r="BG29" i="229"/>
  <c r="BF29" i="229"/>
  <c r="BE29" i="229"/>
  <c r="BD29" i="229"/>
  <c r="BC29" i="229"/>
  <c r="BB29" i="229"/>
  <c r="BA29" i="229"/>
  <c r="AZ29" i="229"/>
  <c r="AY29" i="229"/>
  <c r="AX29" i="229"/>
  <c r="AW29" i="229"/>
  <c r="AV29" i="229"/>
  <c r="AU29" i="229"/>
  <c r="AT29" i="229"/>
  <c r="AS29" i="229"/>
  <c r="AR29" i="229"/>
  <c r="AQ29" i="229"/>
  <c r="AP29" i="229"/>
  <c r="AO29" i="229"/>
  <c r="AN29" i="229"/>
  <c r="AM29" i="229"/>
  <c r="AL29" i="229"/>
  <c r="AK29" i="229"/>
  <c r="AJ29" i="229"/>
  <c r="AI29" i="229"/>
  <c r="AH29" i="229"/>
  <c r="AG29" i="229"/>
  <c r="AF29" i="229"/>
  <c r="AE29" i="229"/>
  <c r="AD29" i="229"/>
  <c r="AC29" i="229"/>
  <c r="AB29" i="229"/>
  <c r="AA29" i="229"/>
  <c r="Z29" i="229"/>
  <c r="Y29" i="229"/>
  <c r="X29" i="229"/>
  <c r="W29" i="229"/>
  <c r="V29" i="229"/>
  <c r="U29" i="229"/>
  <c r="T29" i="229"/>
  <c r="S29" i="229"/>
  <c r="R29" i="229"/>
  <c r="Q29" i="229"/>
  <c r="P29" i="229"/>
  <c r="O29" i="229"/>
  <c r="N29" i="229"/>
  <c r="M29" i="229"/>
  <c r="L29" i="229"/>
  <c r="K29" i="229"/>
  <c r="BN27" i="229"/>
  <c r="BM27" i="229"/>
  <c r="BL27" i="229"/>
  <c r="BK27" i="229"/>
  <c r="BJ27" i="229"/>
  <c r="BI27" i="229"/>
  <c r="BH27" i="229"/>
  <c r="BG27" i="229"/>
  <c r="BF27" i="229"/>
  <c r="BE27" i="229"/>
  <c r="BD27" i="229"/>
  <c r="BC27" i="229"/>
  <c r="BB27" i="229"/>
  <c r="BA27" i="229"/>
  <c r="AZ27" i="229"/>
  <c r="AY27" i="229"/>
  <c r="AX27" i="229"/>
  <c r="AW27" i="229"/>
  <c r="AV27" i="229"/>
  <c r="AU27" i="229"/>
  <c r="AT27" i="229"/>
  <c r="AS27" i="229"/>
  <c r="AR27" i="229"/>
  <c r="AQ27" i="229"/>
  <c r="AP27" i="229"/>
  <c r="AO27" i="229"/>
  <c r="AN27" i="229"/>
  <c r="AM27" i="229"/>
  <c r="AL27" i="229"/>
  <c r="AK27" i="229"/>
  <c r="AJ27" i="229"/>
  <c r="AI27" i="229"/>
  <c r="AH27" i="229"/>
  <c r="AG27" i="229"/>
  <c r="AF27" i="229"/>
  <c r="AE27" i="229"/>
  <c r="AD27" i="229"/>
  <c r="AC27" i="229"/>
  <c r="AB27" i="229"/>
  <c r="AA27" i="229"/>
  <c r="Z27" i="229"/>
  <c r="Y27" i="229"/>
  <c r="X27" i="229"/>
  <c r="W27" i="229"/>
  <c r="V27" i="229"/>
  <c r="U27" i="229"/>
  <c r="T27" i="229"/>
  <c r="S27" i="229"/>
  <c r="R27" i="229"/>
  <c r="Q27" i="229"/>
  <c r="P27" i="229"/>
  <c r="O27" i="229"/>
  <c r="N27" i="229"/>
  <c r="M27" i="229"/>
  <c r="L27" i="229"/>
  <c r="K27" i="229"/>
  <c r="BN26" i="229"/>
  <c r="BM26" i="229"/>
  <c r="BL26" i="229"/>
  <c r="BK26" i="229"/>
  <c r="BJ26" i="229"/>
  <c r="BI26" i="229"/>
  <c r="BH26" i="229"/>
  <c r="BG26" i="229"/>
  <c r="BF26" i="229"/>
  <c r="BE26" i="229"/>
  <c r="BD26" i="229"/>
  <c r="BC26" i="229"/>
  <c r="BB26" i="229"/>
  <c r="BA26" i="229"/>
  <c r="AZ26" i="229"/>
  <c r="AY26" i="229"/>
  <c r="AX26" i="229"/>
  <c r="AW26" i="229"/>
  <c r="AV26" i="229"/>
  <c r="AU26" i="229"/>
  <c r="AT26" i="229"/>
  <c r="AS26" i="229"/>
  <c r="AR26" i="229"/>
  <c r="AQ26" i="229"/>
  <c r="AP26" i="229"/>
  <c r="AO26" i="229"/>
  <c r="AN26" i="229"/>
  <c r="AM26" i="229"/>
  <c r="AL26" i="229"/>
  <c r="AK26" i="229"/>
  <c r="AJ26" i="229"/>
  <c r="AI26" i="229"/>
  <c r="AH26" i="229"/>
  <c r="AG26" i="229"/>
  <c r="AF26" i="229"/>
  <c r="AE26" i="229"/>
  <c r="AD26" i="229"/>
  <c r="AC26" i="229"/>
  <c r="AB26" i="229"/>
  <c r="AA26" i="229"/>
  <c r="Z26" i="229"/>
  <c r="Y26" i="229"/>
  <c r="X26" i="229"/>
  <c r="W26" i="229"/>
  <c r="V26" i="229"/>
  <c r="U26" i="229"/>
  <c r="T26" i="229"/>
  <c r="S26" i="229"/>
  <c r="R26" i="229"/>
  <c r="Q26" i="229"/>
  <c r="P26" i="229"/>
  <c r="O26" i="229"/>
  <c r="N26" i="229"/>
  <c r="M26" i="229"/>
  <c r="L26" i="229"/>
  <c r="K26" i="229"/>
  <c r="B24" i="229"/>
  <c r="B23" i="229"/>
  <c r="H22" i="229"/>
  <c r="E22" i="229"/>
  <c r="H21" i="229"/>
  <c r="E21" i="229"/>
  <c r="H20" i="229"/>
  <c r="E20" i="229"/>
  <c r="H19" i="229"/>
  <c r="E19" i="229"/>
  <c r="H18" i="229"/>
  <c r="E18" i="229"/>
  <c r="H17" i="229"/>
  <c r="E17" i="229"/>
  <c r="H16" i="229"/>
  <c r="E16" i="229"/>
  <c r="H15" i="229"/>
  <c r="E15" i="229"/>
  <c r="H14" i="229"/>
  <c r="E14" i="229"/>
  <c r="H13" i="229"/>
  <c r="E13" i="229"/>
  <c r="H12" i="229"/>
  <c r="E12" i="229"/>
  <c r="H11" i="229"/>
  <c r="E11" i="229"/>
  <c r="H10" i="229"/>
  <c r="E10" i="229"/>
  <c r="H9" i="229"/>
  <c r="E9" i="229"/>
  <c r="H8" i="229"/>
  <c r="E8" i="229"/>
  <c r="H7" i="229"/>
  <c r="E7" i="229"/>
  <c r="H6" i="229"/>
  <c r="E6" i="229"/>
  <c r="H5" i="229"/>
  <c r="E5" i="229"/>
  <c r="H4" i="229"/>
  <c r="E4" i="229"/>
  <c r="H3" i="229" l="1"/>
  <c r="BN30" i="229" l="1"/>
  <c r="BL30" i="229"/>
  <c r="BJ30" i="229"/>
  <c r="BH30" i="229"/>
  <c r="BF30" i="229"/>
  <c r="BD30" i="229"/>
  <c r="BB30" i="229"/>
  <c r="AZ30" i="229"/>
  <c r="AX30" i="229"/>
  <c r="AV30" i="229"/>
  <c r="AT30" i="229"/>
  <c r="AR30" i="229"/>
  <c r="AP30" i="229"/>
  <c r="AN30" i="229"/>
  <c r="AL30" i="229"/>
  <c r="AJ30" i="229"/>
  <c r="AH30" i="229"/>
  <c r="AF30" i="229"/>
  <c r="AD30" i="229"/>
  <c r="AB30" i="229"/>
  <c r="Z30" i="229"/>
  <c r="X30" i="229"/>
  <c r="V30" i="229"/>
  <c r="T30" i="229"/>
  <c r="R30" i="229"/>
  <c r="P30" i="229"/>
  <c r="N30" i="229"/>
  <c r="BM30" i="229"/>
  <c r="BK30" i="229"/>
  <c r="BI30" i="229"/>
  <c r="BG30" i="229"/>
  <c r="BE30" i="229"/>
  <c r="BC30" i="229"/>
  <c r="BA30" i="229"/>
  <c r="AY30" i="229"/>
  <c r="AW30" i="229"/>
  <c r="AU30" i="229"/>
  <c r="AS30" i="229"/>
  <c r="AQ30" i="229"/>
  <c r="AO30" i="229"/>
  <c r="AM30" i="229"/>
  <c r="AK30" i="229"/>
  <c r="AI30" i="229"/>
  <c r="AG30" i="229"/>
  <c r="AE30" i="229"/>
  <c r="AC30" i="229"/>
  <c r="AA30" i="229"/>
  <c r="Y30" i="229"/>
  <c r="W30" i="229"/>
  <c r="U30" i="229"/>
  <c r="S30" i="229"/>
  <c r="Q30" i="229"/>
  <c r="O30" i="229"/>
  <c r="M30" i="229"/>
  <c r="K30" i="229"/>
  <c r="L30" i="229"/>
  <c r="E3" i="229"/>
  <c r="H25" i="229" s="1"/>
  <c r="AP2" i="229"/>
  <c r="BF2" i="229"/>
  <c r="S2" i="229"/>
  <c r="R2" i="229"/>
  <c r="W2" i="229"/>
  <c r="AS2" i="229"/>
  <c r="AL2" i="229"/>
  <c r="H2" i="229"/>
  <c r="AG2" i="229"/>
  <c r="BJ2" i="229"/>
  <c r="BD2" i="229"/>
  <c r="BI2" i="229"/>
  <c r="AE2" i="229"/>
  <c r="I2" i="229"/>
  <c r="U2" i="229"/>
  <c r="AK2" i="229"/>
  <c r="G2" i="229"/>
  <c r="AQ2" i="229"/>
  <c r="BH2" i="229"/>
  <c r="K2" i="229"/>
  <c r="P2" i="229"/>
  <c r="AR2" i="229"/>
  <c r="T2" i="229"/>
  <c r="AI2" i="229"/>
  <c r="J2" i="229"/>
  <c r="BA2" i="229"/>
  <c r="AJ2" i="229"/>
  <c r="BE2" i="229"/>
  <c r="AX2" i="229"/>
  <c r="BC2" i="229"/>
  <c r="O2" i="229"/>
  <c r="BG2" i="229"/>
  <c r="N2" i="229"/>
  <c r="BM2" i="229"/>
  <c r="BL2" i="229"/>
  <c r="AB2" i="229"/>
  <c r="AY2" i="229"/>
  <c r="AW2" i="229"/>
  <c r="BN2" i="229"/>
  <c r="AM2" i="229"/>
  <c r="M2" i="229"/>
  <c r="AH2" i="229"/>
  <c r="L2" i="229"/>
  <c r="AU2" i="229"/>
  <c r="AF2" i="229"/>
  <c r="Q2" i="229"/>
  <c r="AN2" i="229"/>
  <c r="BK2" i="229"/>
  <c r="AA2" i="229"/>
  <c r="AZ2" i="229"/>
  <c r="Y2" i="229"/>
  <c r="AV2" i="229"/>
  <c r="Z2" i="229"/>
  <c r="AD2" i="229"/>
  <c r="AC2" i="229"/>
  <c r="V2" i="229"/>
  <c r="X2" i="229"/>
  <c r="AT2" i="229"/>
  <c r="BB2" i="229"/>
  <c r="AO2" i="229"/>
  <c r="K40" i="229" l="1"/>
  <c r="K39" i="229"/>
  <c r="L40" i="229"/>
  <c r="L39" i="229"/>
  <c r="M40" i="229"/>
  <c r="M39" i="229"/>
  <c r="N40" i="229"/>
  <c r="N39" i="229"/>
  <c r="O40" i="229"/>
  <c r="O39" i="229"/>
  <c r="P40" i="229"/>
  <c r="P39" i="229"/>
  <c r="Q40" i="229"/>
  <c r="Q39" i="229"/>
  <c r="R40" i="229"/>
  <c r="R39" i="229"/>
  <c r="S40" i="229"/>
  <c r="S39" i="229"/>
  <c r="T40" i="229"/>
  <c r="T39" i="229"/>
  <c r="U40" i="229"/>
  <c r="U39" i="229"/>
  <c r="V40" i="229"/>
  <c r="V39" i="229"/>
  <c r="W40" i="229"/>
  <c r="W39" i="229"/>
  <c r="X40" i="229"/>
  <c r="X39" i="229"/>
  <c r="Y40" i="229"/>
  <c r="Y39" i="229"/>
  <c r="Z40" i="229"/>
  <c r="Z39" i="229"/>
  <c r="AA40" i="229"/>
  <c r="AA39" i="229"/>
  <c r="AB40" i="229"/>
  <c r="AB39" i="229"/>
  <c r="AC40" i="229"/>
  <c r="AC39" i="229"/>
  <c r="AD40" i="229"/>
  <c r="AD39" i="229"/>
  <c r="AE40" i="229"/>
  <c r="AE39" i="229"/>
  <c r="AF40" i="229"/>
  <c r="AF39" i="229"/>
  <c r="AG40" i="229"/>
  <c r="AG39" i="229"/>
  <c r="AH40" i="229"/>
  <c r="AH39" i="229"/>
  <c r="AI40" i="229"/>
  <c r="AI39" i="229"/>
  <c r="AJ40" i="229"/>
  <c r="AJ39" i="229"/>
  <c r="AK40" i="229"/>
  <c r="AK39" i="229"/>
  <c r="AL40" i="229"/>
  <c r="AL39" i="229"/>
  <c r="AM40" i="229"/>
  <c r="AM39" i="229"/>
  <c r="AN40" i="229"/>
  <c r="AN39" i="229"/>
  <c r="AO40" i="229"/>
  <c r="AO39" i="229"/>
  <c r="AP40" i="229"/>
  <c r="AP39" i="229"/>
  <c r="AQ40" i="229"/>
  <c r="AQ39" i="229"/>
  <c r="AR40" i="229"/>
  <c r="AR39" i="229"/>
  <c r="AS40" i="229"/>
  <c r="AS39" i="229"/>
  <c r="AT40" i="229"/>
  <c r="AT39" i="229"/>
  <c r="AU40" i="229"/>
  <c r="AU39" i="229"/>
  <c r="AV40" i="229"/>
  <c r="AV39" i="229"/>
  <c r="AW40" i="229"/>
  <c r="AW39" i="229"/>
  <c r="AX40" i="229"/>
  <c r="AX39" i="229"/>
  <c r="AY40" i="229"/>
  <c r="AY39" i="229"/>
  <c r="AZ40" i="229"/>
  <c r="AZ39" i="229"/>
  <c r="BA40" i="229"/>
  <c r="BA39" i="229"/>
  <c r="BB40" i="229"/>
  <c r="BB39" i="229"/>
  <c r="BC40" i="229"/>
  <c r="BC39" i="229"/>
  <c r="BD40" i="229"/>
  <c r="BD39" i="229"/>
  <c r="BE40" i="229"/>
  <c r="BE39" i="229"/>
  <c r="BF40" i="229"/>
  <c r="BF39" i="229"/>
  <c r="BG40" i="229"/>
  <c r="BG39" i="229"/>
  <c r="BH40" i="229"/>
  <c r="BH39" i="229"/>
  <c r="BI40" i="229"/>
  <c r="BI39" i="229"/>
  <c r="BJ40" i="229"/>
  <c r="BJ39" i="229"/>
  <c r="BK40" i="229"/>
  <c r="BK39" i="229"/>
  <c r="BL40" i="229"/>
  <c r="BL39" i="229"/>
  <c r="BM40" i="229"/>
  <c r="BM39" i="229"/>
  <c r="BN40" i="229"/>
  <c r="BN39" i="229"/>
  <c r="BN25" i="229"/>
  <c r="BN36" i="229" s="1"/>
  <c r="BL25" i="229"/>
  <c r="BL36" i="229" s="1"/>
  <c r="BJ25" i="229"/>
  <c r="BJ36" i="229" s="1"/>
  <c r="BH25" i="229"/>
  <c r="BH36" i="229" s="1"/>
  <c r="BF25" i="229"/>
  <c r="BF36" i="229" s="1"/>
  <c r="BD25" i="229"/>
  <c r="BD36" i="229" s="1"/>
  <c r="BB25" i="229"/>
  <c r="BB36" i="229" s="1"/>
  <c r="AZ25" i="229"/>
  <c r="AZ36" i="229" s="1"/>
  <c r="AX25" i="229"/>
  <c r="AX36" i="229" s="1"/>
  <c r="AV25" i="229"/>
  <c r="AV36" i="229" s="1"/>
  <c r="AT25" i="229"/>
  <c r="AT36" i="229" s="1"/>
  <c r="AR25" i="229"/>
  <c r="AR36" i="229" s="1"/>
  <c r="AP25" i="229"/>
  <c r="AP36" i="229" s="1"/>
  <c r="AN25" i="229"/>
  <c r="AN36" i="229" s="1"/>
  <c r="AL25" i="229"/>
  <c r="AL36" i="229" s="1"/>
  <c r="AJ25" i="229"/>
  <c r="AJ36" i="229" s="1"/>
  <c r="AH25" i="229"/>
  <c r="AH36" i="229" s="1"/>
  <c r="AF25" i="229"/>
  <c r="AF36" i="229" s="1"/>
  <c r="AD25" i="229"/>
  <c r="AD36" i="229" s="1"/>
  <c r="AB25" i="229"/>
  <c r="AB36" i="229" s="1"/>
  <c r="Z25" i="229"/>
  <c r="Z36" i="229" s="1"/>
  <c r="X25" i="229"/>
  <c r="X36" i="229" s="1"/>
  <c r="V25" i="229"/>
  <c r="V36" i="229" s="1"/>
  <c r="T25" i="229"/>
  <c r="T36" i="229" s="1"/>
  <c r="P25" i="229"/>
  <c r="P36" i="229" s="1"/>
  <c r="L25" i="229"/>
  <c r="L36" i="229" s="1"/>
  <c r="BM25" i="229"/>
  <c r="BM36" i="229" s="1"/>
  <c r="BK25" i="229"/>
  <c r="BK36" i="229" s="1"/>
  <c r="BI25" i="229"/>
  <c r="BI36" i="229" s="1"/>
  <c r="BG25" i="229"/>
  <c r="BG36" i="229" s="1"/>
  <c r="BE25" i="229"/>
  <c r="BE36" i="229" s="1"/>
  <c r="BC25" i="229"/>
  <c r="BC36" i="229" s="1"/>
  <c r="BA25" i="229"/>
  <c r="BA36" i="229" s="1"/>
  <c r="AY25" i="229"/>
  <c r="AY36" i="229" s="1"/>
  <c r="AW25" i="229"/>
  <c r="AW36" i="229" s="1"/>
  <c r="AU25" i="229"/>
  <c r="AU36" i="229" s="1"/>
  <c r="AS25" i="229"/>
  <c r="AS36" i="229" s="1"/>
  <c r="AQ25" i="229"/>
  <c r="AQ36" i="229" s="1"/>
  <c r="AO25" i="229"/>
  <c r="AO36" i="229" s="1"/>
  <c r="AM25" i="229"/>
  <c r="AM36" i="229" s="1"/>
  <c r="AK25" i="229"/>
  <c r="AK36" i="229" s="1"/>
  <c r="AI25" i="229"/>
  <c r="AI36" i="229" s="1"/>
  <c r="AG25" i="229"/>
  <c r="AG36" i="229" s="1"/>
  <c r="AE25" i="229"/>
  <c r="AE36" i="229" s="1"/>
  <c r="AC25" i="229"/>
  <c r="AC36" i="229" s="1"/>
  <c r="AA25" i="229"/>
  <c r="AA36" i="229" s="1"/>
  <c r="Y25" i="229"/>
  <c r="Y36" i="229" s="1"/>
  <c r="W25" i="229"/>
  <c r="W36" i="229" s="1"/>
  <c r="U25" i="229"/>
  <c r="U36" i="229" s="1"/>
  <c r="S25" i="229"/>
  <c r="S36" i="229" s="1"/>
  <c r="Q25" i="229"/>
  <c r="Q36" i="229" s="1"/>
  <c r="O25" i="229"/>
  <c r="O36" i="229" s="1"/>
  <c r="M25" i="229"/>
  <c r="M36" i="229" s="1"/>
  <c r="K25" i="229"/>
  <c r="G25" i="229"/>
  <c r="R25" i="229"/>
  <c r="R36" i="229" s="1"/>
  <c r="N25" i="229"/>
  <c r="N36" i="229" s="1"/>
  <c r="J25" i="229"/>
  <c r="J1" i="229"/>
  <c r="I1" i="229"/>
  <c r="K36" i="229" l="1"/>
  <c r="BN35" i="228"/>
  <c r="BM35" i="228"/>
  <c r="BL35" i="228"/>
  <c r="BK35" i="228"/>
  <c r="BJ35" i="228"/>
  <c r="BI35" i="228"/>
  <c r="BH35" i="228"/>
  <c r="BG35" i="228"/>
  <c r="BF35" i="228"/>
  <c r="BE35" i="228"/>
  <c r="BD35" i="228"/>
  <c r="BC35" i="228"/>
  <c r="BB35" i="228"/>
  <c r="BA35" i="228"/>
  <c r="AZ35" i="228"/>
  <c r="AY35" i="228"/>
  <c r="AX35" i="228"/>
  <c r="AW35" i="228"/>
  <c r="AV35" i="228"/>
  <c r="AU35" i="228"/>
  <c r="AT35" i="228"/>
  <c r="AS35" i="228"/>
  <c r="AR35" i="228"/>
  <c r="AQ35" i="228"/>
  <c r="AP35" i="228"/>
  <c r="AO35" i="228"/>
  <c r="AN35" i="228"/>
  <c r="AM35" i="228"/>
  <c r="AL35" i="228"/>
  <c r="AK35" i="228"/>
  <c r="AJ35" i="228"/>
  <c r="AI35" i="228"/>
  <c r="AH35" i="228"/>
  <c r="AG35" i="228"/>
  <c r="AF35" i="228"/>
  <c r="AE35" i="228"/>
  <c r="AD35" i="228"/>
  <c r="AC35" i="228"/>
  <c r="AB35" i="228"/>
  <c r="AA35" i="228"/>
  <c r="Z35" i="228"/>
  <c r="Y35" i="228"/>
  <c r="X35" i="228"/>
  <c r="W35" i="228"/>
  <c r="V35" i="228"/>
  <c r="U35" i="228"/>
  <c r="T35" i="228"/>
  <c r="S35" i="228"/>
  <c r="R35" i="228"/>
  <c r="Q35" i="228"/>
  <c r="P35" i="228"/>
  <c r="O35" i="228"/>
  <c r="N35" i="228"/>
  <c r="M35" i="228"/>
  <c r="L35" i="228"/>
  <c r="K35" i="228"/>
  <c r="BN29" i="228" l="1"/>
  <c r="BM29" i="228"/>
  <c r="BL29" i="228"/>
  <c r="BK29" i="228"/>
  <c r="BJ29" i="228"/>
  <c r="BI29" i="228"/>
  <c r="BH29" i="228"/>
  <c r="BG29" i="228"/>
  <c r="BF29" i="228"/>
  <c r="BE29" i="228"/>
  <c r="BD29" i="228"/>
  <c r="BC29" i="228"/>
  <c r="BB29" i="228"/>
  <c r="BA29" i="228"/>
  <c r="AZ29" i="228"/>
  <c r="AY29" i="228"/>
  <c r="AX29" i="228"/>
  <c r="AW29" i="228"/>
  <c r="AV29" i="228"/>
  <c r="AU29" i="228"/>
  <c r="AT29" i="228"/>
  <c r="AS29" i="228"/>
  <c r="AR29" i="228"/>
  <c r="AQ29" i="228"/>
  <c r="AP29" i="228"/>
  <c r="AO29" i="228"/>
  <c r="AN29" i="228"/>
  <c r="AM29" i="228"/>
  <c r="AL29" i="228"/>
  <c r="AK29" i="228"/>
  <c r="AJ29" i="228"/>
  <c r="AI29" i="228"/>
  <c r="AH29" i="228"/>
  <c r="AG29" i="228"/>
  <c r="AF29" i="228"/>
  <c r="AE29" i="228"/>
  <c r="AD29" i="228"/>
  <c r="AC29" i="228"/>
  <c r="AB29" i="228"/>
  <c r="AA29" i="228"/>
  <c r="Z29" i="228"/>
  <c r="Y29" i="228"/>
  <c r="X29" i="228"/>
  <c r="W29" i="228"/>
  <c r="V29" i="228"/>
  <c r="U29" i="228"/>
  <c r="T29" i="228"/>
  <c r="S29" i="228"/>
  <c r="R29" i="228"/>
  <c r="Q29" i="228"/>
  <c r="P29" i="228"/>
  <c r="O29" i="228"/>
  <c r="N29" i="228"/>
  <c r="M29" i="228"/>
  <c r="L29" i="228"/>
  <c r="K29" i="228"/>
  <c r="BN27" i="228"/>
  <c r="BM27" i="228"/>
  <c r="BL27" i="228"/>
  <c r="BK27" i="228"/>
  <c r="BJ27" i="228"/>
  <c r="BI27" i="228"/>
  <c r="BH27" i="228"/>
  <c r="BG27" i="228"/>
  <c r="BF27" i="228"/>
  <c r="BE27" i="228"/>
  <c r="BD27" i="228"/>
  <c r="BC27" i="228"/>
  <c r="BB27" i="228"/>
  <c r="BA27" i="228"/>
  <c r="AZ27" i="228"/>
  <c r="AY27" i="228"/>
  <c r="AX27" i="228"/>
  <c r="AW27" i="228"/>
  <c r="AV27" i="228"/>
  <c r="AU27" i="228"/>
  <c r="AT27" i="228"/>
  <c r="AS27" i="228"/>
  <c r="AR27" i="228"/>
  <c r="AQ27" i="228"/>
  <c r="AP27" i="228"/>
  <c r="AO27" i="228"/>
  <c r="AN27" i="228"/>
  <c r="AM27" i="228"/>
  <c r="AL27" i="228"/>
  <c r="AK27" i="228"/>
  <c r="AJ27" i="228"/>
  <c r="AI27" i="228"/>
  <c r="AH27" i="228"/>
  <c r="AG27" i="228"/>
  <c r="AF27" i="228"/>
  <c r="AE27" i="228"/>
  <c r="AD27" i="228"/>
  <c r="AC27" i="228"/>
  <c r="AB27" i="228"/>
  <c r="AA27" i="228"/>
  <c r="Z27" i="228"/>
  <c r="Y27" i="228"/>
  <c r="X27" i="228"/>
  <c r="W27" i="228"/>
  <c r="V27" i="228"/>
  <c r="U27" i="228"/>
  <c r="T27" i="228"/>
  <c r="S27" i="228"/>
  <c r="R27" i="228"/>
  <c r="Q27" i="228"/>
  <c r="P27" i="228"/>
  <c r="O27" i="228"/>
  <c r="N27" i="228"/>
  <c r="M27" i="228"/>
  <c r="L27" i="228"/>
  <c r="K27" i="228"/>
  <c r="BN26" i="228"/>
  <c r="BM26" i="228"/>
  <c r="BL26" i="228"/>
  <c r="BK26" i="228"/>
  <c r="BJ26" i="228"/>
  <c r="BI26" i="228"/>
  <c r="BH26" i="228"/>
  <c r="BG26" i="228"/>
  <c r="BF26" i="228"/>
  <c r="BE26" i="228"/>
  <c r="BD26" i="228"/>
  <c r="BC26" i="228"/>
  <c r="BB26" i="228"/>
  <c r="BA26" i="228"/>
  <c r="AZ26" i="228"/>
  <c r="AY26" i="228"/>
  <c r="AX26" i="228"/>
  <c r="AW26" i="228"/>
  <c r="AV26" i="228"/>
  <c r="AU26" i="228"/>
  <c r="AT26" i="228"/>
  <c r="AS26" i="228"/>
  <c r="AR26" i="228"/>
  <c r="AQ26" i="228"/>
  <c r="AP26" i="228"/>
  <c r="AO26" i="228"/>
  <c r="AN26" i="228"/>
  <c r="AM26" i="228"/>
  <c r="AL26" i="228"/>
  <c r="AK26" i="228"/>
  <c r="AJ26" i="228"/>
  <c r="AI26" i="228"/>
  <c r="AH26" i="228"/>
  <c r="AG26" i="228"/>
  <c r="AF26" i="228"/>
  <c r="AE26" i="228"/>
  <c r="AD26" i="228"/>
  <c r="AC26" i="228"/>
  <c r="AB26" i="228"/>
  <c r="AA26" i="228"/>
  <c r="Z26" i="228"/>
  <c r="Y26" i="228"/>
  <c r="X26" i="228"/>
  <c r="W26" i="228"/>
  <c r="V26" i="228"/>
  <c r="U26" i="228"/>
  <c r="T26" i="228"/>
  <c r="S26" i="228"/>
  <c r="R26" i="228"/>
  <c r="Q26" i="228"/>
  <c r="P26" i="228"/>
  <c r="O26" i="228"/>
  <c r="N26" i="228"/>
  <c r="M26" i="228"/>
  <c r="L26" i="228"/>
  <c r="K26" i="228"/>
  <c r="B24" i="228"/>
  <c r="B23" i="228"/>
  <c r="H22" i="228"/>
  <c r="E22" i="228"/>
  <c r="H21" i="228"/>
  <c r="E21" i="228"/>
  <c r="H20" i="228"/>
  <c r="E20" i="228"/>
  <c r="H19" i="228"/>
  <c r="E19" i="228"/>
  <c r="H18" i="228"/>
  <c r="E18" i="228"/>
  <c r="H17" i="228"/>
  <c r="E17" i="228"/>
  <c r="H16" i="228"/>
  <c r="E16" i="228"/>
  <c r="H15" i="228"/>
  <c r="E15" i="228"/>
  <c r="H14" i="228"/>
  <c r="E14" i="228"/>
  <c r="H13" i="228"/>
  <c r="E13" i="228"/>
  <c r="H12" i="228"/>
  <c r="E12" i="228"/>
  <c r="H11" i="228"/>
  <c r="E11" i="228"/>
  <c r="H10" i="228"/>
  <c r="E10" i="228"/>
  <c r="H9" i="228"/>
  <c r="E9" i="228"/>
  <c r="H8" i="228"/>
  <c r="E8" i="228"/>
  <c r="H7" i="228"/>
  <c r="E7" i="228"/>
  <c r="H6" i="228"/>
  <c r="E6" i="228"/>
  <c r="H5" i="228"/>
  <c r="E5" i="228"/>
  <c r="H4" i="228"/>
  <c r="E4" i="228"/>
  <c r="H3" i="228" l="1"/>
  <c r="BN30" i="228" l="1"/>
  <c r="BJ30" i="228"/>
  <c r="BF30" i="228"/>
  <c r="BB30" i="228"/>
  <c r="AX30" i="228"/>
  <c r="AT30" i="228"/>
  <c r="AP30" i="228"/>
  <c r="AL30" i="228"/>
  <c r="AH30" i="228"/>
  <c r="AD30" i="228"/>
  <c r="Z30" i="228"/>
  <c r="V30" i="228"/>
  <c r="R30" i="228"/>
  <c r="N30" i="228"/>
  <c r="BM30" i="228"/>
  <c r="BK30" i="228"/>
  <c r="BI30" i="228"/>
  <c r="BG30" i="228"/>
  <c r="BE30" i="228"/>
  <c r="BC30" i="228"/>
  <c r="BA30" i="228"/>
  <c r="AY30" i="228"/>
  <c r="AW30" i="228"/>
  <c r="AU30" i="228"/>
  <c r="AS30" i="228"/>
  <c r="AQ30" i="228"/>
  <c r="AO30" i="228"/>
  <c r="AM30" i="228"/>
  <c r="AK30" i="228"/>
  <c r="AI30" i="228"/>
  <c r="AG30" i="228"/>
  <c r="AE30" i="228"/>
  <c r="AC30" i="228"/>
  <c r="AA30" i="228"/>
  <c r="Y30" i="228"/>
  <c r="W30" i="228"/>
  <c r="U30" i="228"/>
  <c r="S30" i="228"/>
  <c r="Q30" i="228"/>
  <c r="O30" i="228"/>
  <c r="M30" i="228"/>
  <c r="K30" i="228"/>
  <c r="BL30" i="228"/>
  <c r="BH30" i="228"/>
  <c r="BD30" i="228"/>
  <c r="AZ30" i="228"/>
  <c r="AV30" i="228"/>
  <c r="AR30" i="228"/>
  <c r="AN30" i="228"/>
  <c r="AJ30" i="228"/>
  <c r="AF30" i="228"/>
  <c r="AB30" i="228"/>
  <c r="X30" i="228"/>
  <c r="T30" i="228"/>
  <c r="P30" i="228"/>
  <c r="L30" i="228"/>
  <c r="E3" i="228"/>
  <c r="M2" i="228"/>
  <c r="AX2" i="228"/>
  <c r="G2" i="228"/>
  <c r="BG2" i="228"/>
  <c r="Y2" i="228"/>
  <c r="BJ2" i="228"/>
  <c r="AP2" i="228"/>
  <c r="AS2" i="228"/>
  <c r="W2" i="228"/>
  <c r="AR2" i="228"/>
  <c r="O2" i="228"/>
  <c r="AF2" i="228"/>
  <c r="AV2" i="228"/>
  <c r="X2" i="228"/>
  <c r="BC2" i="228"/>
  <c r="AM2" i="228"/>
  <c r="R2" i="228"/>
  <c r="AZ2" i="228"/>
  <c r="BH2" i="228"/>
  <c r="AT2" i="228"/>
  <c r="J2" i="228"/>
  <c r="L2" i="228"/>
  <c r="P2" i="228"/>
  <c r="AW2" i="228"/>
  <c r="AC2" i="228"/>
  <c r="I2" i="228"/>
  <c r="AQ2" i="228"/>
  <c r="V2" i="228"/>
  <c r="U2" i="228"/>
  <c r="Q2" i="228"/>
  <c r="BK2" i="228"/>
  <c r="BB2" i="228"/>
  <c r="BE2" i="228"/>
  <c r="K2" i="228"/>
  <c r="BM2" i="228"/>
  <c r="BL2" i="228"/>
  <c r="AJ2" i="228"/>
  <c r="AE2" i="228"/>
  <c r="AA2" i="228"/>
  <c r="AN2" i="228"/>
  <c r="AL2" i="228"/>
  <c r="AY2" i="228"/>
  <c r="AB2" i="228"/>
  <c r="AI2" i="228"/>
  <c r="N2" i="228"/>
  <c r="AU2" i="228"/>
  <c r="H2" i="228"/>
  <c r="T2" i="228"/>
  <c r="BA2" i="228"/>
  <c r="BI2" i="228"/>
  <c r="AH2" i="228"/>
  <c r="AK2" i="228"/>
  <c r="AG2" i="228"/>
  <c r="BN2" i="228"/>
  <c r="AO2" i="228"/>
  <c r="Z2" i="228"/>
  <c r="BF2" i="228"/>
  <c r="S2" i="228"/>
  <c r="BD2" i="228"/>
  <c r="AD2" i="228"/>
  <c r="K40" i="228" l="1"/>
  <c r="K39" i="228"/>
  <c r="L40" i="228"/>
  <c r="L39" i="228"/>
  <c r="M40" i="228"/>
  <c r="M39" i="228"/>
  <c r="N40" i="228"/>
  <c r="N39" i="228"/>
  <c r="O40" i="228"/>
  <c r="O39" i="228"/>
  <c r="P40" i="228"/>
  <c r="P39" i="228"/>
  <c r="Q40" i="228"/>
  <c r="Q39" i="228"/>
  <c r="R40" i="228"/>
  <c r="R39" i="228"/>
  <c r="S40" i="228"/>
  <c r="S39" i="228"/>
  <c r="T40" i="228"/>
  <c r="T39" i="228"/>
  <c r="U40" i="228"/>
  <c r="U39" i="228"/>
  <c r="V40" i="228"/>
  <c r="V39" i="228"/>
  <c r="W40" i="228"/>
  <c r="W39" i="228"/>
  <c r="X40" i="228"/>
  <c r="X39" i="228"/>
  <c r="Y40" i="228"/>
  <c r="Y39" i="228"/>
  <c r="Z40" i="228"/>
  <c r="Z39" i="228"/>
  <c r="AA40" i="228"/>
  <c r="AA39" i="228"/>
  <c r="AB40" i="228"/>
  <c r="AB39" i="228"/>
  <c r="AC40" i="228"/>
  <c r="AC39" i="228"/>
  <c r="AD40" i="228"/>
  <c r="AD39" i="228"/>
  <c r="AE40" i="228"/>
  <c r="AE39" i="228"/>
  <c r="AF40" i="228"/>
  <c r="AF39" i="228"/>
  <c r="AG40" i="228"/>
  <c r="AG39" i="228"/>
  <c r="AH40" i="228"/>
  <c r="AH39" i="228"/>
  <c r="AI40" i="228"/>
  <c r="AI39" i="228"/>
  <c r="AJ40" i="228"/>
  <c r="AJ39" i="228"/>
  <c r="AK40" i="228"/>
  <c r="AK39" i="228"/>
  <c r="AL40" i="228"/>
  <c r="AL39" i="228"/>
  <c r="AM40" i="228"/>
  <c r="AM39" i="228"/>
  <c r="AN40" i="228"/>
  <c r="AN39" i="228"/>
  <c r="AO40" i="228"/>
  <c r="AO39" i="228"/>
  <c r="AP40" i="228"/>
  <c r="AP39" i="228"/>
  <c r="AQ40" i="228"/>
  <c r="AQ39" i="228"/>
  <c r="AR40" i="228"/>
  <c r="AR39" i="228"/>
  <c r="AS40" i="228"/>
  <c r="AS39" i="228"/>
  <c r="AT40" i="228"/>
  <c r="AT39" i="228"/>
  <c r="AU40" i="228"/>
  <c r="AU39" i="228"/>
  <c r="AV40" i="228"/>
  <c r="AV39" i="228"/>
  <c r="AW40" i="228"/>
  <c r="AW39" i="228"/>
  <c r="AX40" i="228"/>
  <c r="AX39" i="228"/>
  <c r="AY40" i="228"/>
  <c r="AY39" i="228"/>
  <c r="AZ40" i="228"/>
  <c r="AZ39" i="228"/>
  <c r="BA40" i="228"/>
  <c r="BA39" i="228"/>
  <c r="BB40" i="228"/>
  <c r="BB39" i="228"/>
  <c r="BC40" i="228"/>
  <c r="BC39" i="228"/>
  <c r="BD40" i="228"/>
  <c r="BD39" i="228"/>
  <c r="BE40" i="228"/>
  <c r="BE39" i="228"/>
  <c r="BF40" i="228"/>
  <c r="BF39" i="228"/>
  <c r="BG40" i="228"/>
  <c r="BG39" i="228"/>
  <c r="BH40" i="228"/>
  <c r="BH39" i="228"/>
  <c r="BI40" i="228"/>
  <c r="BI39" i="228"/>
  <c r="BJ40" i="228"/>
  <c r="BJ39" i="228"/>
  <c r="BK40" i="228"/>
  <c r="BK39" i="228"/>
  <c r="BL40" i="228"/>
  <c r="BL39" i="228"/>
  <c r="BM40" i="228"/>
  <c r="BM39" i="228"/>
  <c r="BN40" i="228"/>
  <c r="BN39" i="228"/>
  <c r="BN25" i="228"/>
  <c r="BN36" i="228" s="1"/>
  <c r="BL25" i="228"/>
  <c r="BL36" i="228" s="1"/>
  <c r="BJ25" i="228"/>
  <c r="BJ36" i="228" s="1"/>
  <c r="BH25" i="228"/>
  <c r="BH36" i="228" s="1"/>
  <c r="BF25" i="228"/>
  <c r="BF36" i="228" s="1"/>
  <c r="BD25" i="228"/>
  <c r="BD36" i="228" s="1"/>
  <c r="BB25" i="228"/>
  <c r="BB36" i="228" s="1"/>
  <c r="AZ25" i="228"/>
  <c r="AZ36" i="228" s="1"/>
  <c r="AX25" i="228"/>
  <c r="AX36" i="228" s="1"/>
  <c r="AV25" i="228"/>
  <c r="AV36" i="228" s="1"/>
  <c r="AT25" i="228"/>
  <c r="AT36" i="228" s="1"/>
  <c r="AR25" i="228"/>
  <c r="AR36" i="228" s="1"/>
  <c r="AP25" i="228"/>
  <c r="AP36" i="228" s="1"/>
  <c r="AN25" i="228"/>
  <c r="AN36" i="228" s="1"/>
  <c r="AL25" i="228"/>
  <c r="AL36" i="228" s="1"/>
  <c r="AJ25" i="228"/>
  <c r="AJ36" i="228" s="1"/>
  <c r="AH25" i="228"/>
  <c r="AH36" i="228" s="1"/>
  <c r="AF25" i="228"/>
  <c r="AF36" i="228" s="1"/>
  <c r="AD25" i="228"/>
  <c r="AD36" i="228" s="1"/>
  <c r="AB25" i="228"/>
  <c r="AB36" i="228" s="1"/>
  <c r="Z25" i="228"/>
  <c r="Z36" i="228" s="1"/>
  <c r="X25" i="228"/>
  <c r="X36" i="228" s="1"/>
  <c r="V25" i="228"/>
  <c r="V36" i="228" s="1"/>
  <c r="T25" i="228"/>
  <c r="T36" i="228" s="1"/>
  <c r="R25" i="228"/>
  <c r="R36" i="228" s="1"/>
  <c r="P25" i="228"/>
  <c r="P36" i="228" s="1"/>
  <c r="N25" i="228"/>
  <c r="N36" i="228" s="1"/>
  <c r="L25" i="228"/>
  <c r="L36" i="228" s="1"/>
  <c r="J25" i="228"/>
  <c r="BM25" i="228"/>
  <c r="BM36" i="228" s="1"/>
  <c r="BK25" i="228"/>
  <c r="BK36" i="228" s="1"/>
  <c r="BI25" i="228"/>
  <c r="BI36" i="228" s="1"/>
  <c r="BG25" i="228"/>
  <c r="BG36" i="228" s="1"/>
  <c r="BE25" i="228"/>
  <c r="BE36" i="228" s="1"/>
  <c r="BC25" i="228"/>
  <c r="BC36" i="228" s="1"/>
  <c r="BA25" i="228"/>
  <c r="BA36" i="228" s="1"/>
  <c r="AY25" i="228"/>
  <c r="AY36" i="228" s="1"/>
  <c r="AW25" i="228"/>
  <c r="AW36" i="228" s="1"/>
  <c r="AU25" i="228"/>
  <c r="AU36" i="228" s="1"/>
  <c r="AS25" i="228"/>
  <c r="AS36" i="228" s="1"/>
  <c r="AQ25" i="228"/>
  <c r="AQ36" i="228" s="1"/>
  <c r="AO25" i="228"/>
  <c r="AO36" i="228" s="1"/>
  <c r="AM25" i="228"/>
  <c r="AM36" i="228" s="1"/>
  <c r="AK25" i="228"/>
  <c r="AK36" i="228" s="1"/>
  <c r="AI25" i="228"/>
  <c r="AI36" i="228" s="1"/>
  <c r="AG25" i="228"/>
  <c r="AG36" i="228" s="1"/>
  <c r="AE25" i="228"/>
  <c r="AE36" i="228" s="1"/>
  <c r="AC25" i="228"/>
  <c r="AC36" i="228" s="1"/>
  <c r="AA25" i="228"/>
  <c r="AA36" i="228" s="1"/>
  <c r="Y25" i="228"/>
  <c r="Y36" i="228" s="1"/>
  <c r="W25" i="228"/>
  <c r="W36" i="228" s="1"/>
  <c r="U25" i="228"/>
  <c r="U36" i="228" s="1"/>
  <c r="S25" i="228"/>
  <c r="S36" i="228" s="1"/>
  <c r="Q25" i="228"/>
  <c r="Q36" i="228" s="1"/>
  <c r="O25" i="228"/>
  <c r="O36" i="228" s="1"/>
  <c r="M25" i="228"/>
  <c r="M36" i="228" s="1"/>
  <c r="K25" i="228"/>
  <c r="G25" i="228"/>
  <c r="H25" i="228"/>
  <c r="J1" i="228"/>
  <c r="I1" i="228"/>
  <c r="K36" i="228" l="1"/>
  <c r="BN35" i="227"/>
  <c r="BM35" i="227"/>
  <c r="BL35" i="227"/>
  <c r="BK35" i="227"/>
  <c r="BJ35" i="227"/>
  <c r="BI35" i="227"/>
  <c r="BH35" i="227"/>
  <c r="BG35" i="227"/>
  <c r="BF35" i="227"/>
  <c r="BE35" i="227"/>
  <c r="BD35" i="227"/>
  <c r="BC35" i="227"/>
  <c r="BB35" i="227"/>
  <c r="BA35" i="227"/>
  <c r="AZ35" i="227"/>
  <c r="AY35" i="227"/>
  <c r="AX35" i="227"/>
  <c r="AW35" i="227"/>
  <c r="AV35" i="227"/>
  <c r="AU35" i="227"/>
  <c r="AT35" i="227"/>
  <c r="AS35" i="227"/>
  <c r="AR35" i="227"/>
  <c r="AQ35" i="227"/>
  <c r="AP35" i="227"/>
  <c r="AO35" i="227"/>
  <c r="AN35" i="227"/>
  <c r="AM35" i="227"/>
  <c r="AL35" i="227"/>
  <c r="AK35" i="227"/>
  <c r="AJ35" i="227"/>
  <c r="AI35" i="227"/>
  <c r="AH35" i="227"/>
  <c r="AG35" i="227"/>
  <c r="AF35" i="227"/>
  <c r="AE35" i="227"/>
  <c r="AD35" i="227"/>
  <c r="AC35" i="227"/>
  <c r="AB35" i="227"/>
  <c r="AA35" i="227"/>
  <c r="Z35" i="227"/>
  <c r="Y35" i="227"/>
  <c r="X35" i="227"/>
  <c r="W35" i="227"/>
  <c r="V35" i="227"/>
  <c r="U35" i="227"/>
  <c r="T35" i="227"/>
  <c r="S35" i="227"/>
  <c r="R35" i="227"/>
  <c r="Q35" i="227"/>
  <c r="P35" i="227"/>
  <c r="O35" i="227"/>
  <c r="N35" i="227"/>
  <c r="M35" i="227"/>
  <c r="L35" i="227"/>
  <c r="K35" i="227"/>
  <c r="BN29" i="227" l="1"/>
  <c r="BM29" i="227"/>
  <c r="BL29" i="227"/>
  <c r="BK29" i="227"/>
  <c r="BJ29" i="227"/>
  <c r="BI29" i="227"/>
  <c r="BH29" i="227"/>
  <c r="BG29" i="227"/>
  <c r="BF29" i="227"/>
  <c r="BE29" i="227"/>
  <c r="BD29" i="227"/>
  <c r="BC29" i="227"/>
  <c r="BB29" i="227"/>
  <c r="BA29" i="227"/>
  <c r="AZ29" i="227"/>
  <c r="AY29" i="227"/>
  <c r="AX29" i="227"/>
  <c r="AW29" i="227"/>
  <c r="AV29" i="227"/>
  <c r="AU29" i="227"/>
  <c r="AT29" i="227"/>
  <c r="AS29" i="227"/>
  <c r="AR29" i="227"/>
  <c r="AQ29" i="227"/>
  <c r="AP29" i="227"/>
  <c r="AO29" i="227"/>
  <c r="AN29" i="227"/>
  <c r="AM29" i="227"/>
  <c r="AL29" i="227"/>
  <c r="AK29" i="227"/>
  <c r="AJ29" i="227"/>
  <c r="AI29" i="227"/>
  <c r="AH29" i="227"/>
  <c r="AG29" i="227"/>
  <c r="AF29" i="227"/>
  <c r="AE29" i="227"/>
  <c r="AD29" i="227"/>
  <c r="AC29" i="227"/>
  <c r="AB29" i="227"/>
  <c r="AA29" i="227"/>
  <c r="Z29" i="227"/>
  <c r="Y29" i="227"/>
  <c r="X29" i="227"/>
  <c r="W29" i="227"/>
  <c r="V29" i="227"/>
  <c r="U29" i="227"/>
  <c r="T29" i="227"/>
  <c r="S29" i="227"/>
  <c r="R29" i="227"/>
  <c r="Q29" i="227"/>
  <c r="P29" i="227"/>
  <c r="O29" i="227"/>
  <c r="N29" i="227"/>
  <c r="M29" i="227"/>
  <c r="L29" i="227"/>
  <c r="K29" i="227"/>
  <c r="BN27" i="227"/>
  <c r="BM27" i="227"/>
  <c r="BL27" i="227"/>
  <c r="BK27" i="227"/>
  <c r="BJ27" i="227"/>
  <c r="BI27" i="227"/>
  <c r="BH27" i="227"/>
  <c r="BG27" i="227"/>
  <c r="BF27" i="227"/>
  <c r="BE27" i="227"/>
  <c r="BD27" i="227"/>
  <c r="BC27" i="227"/>
  <c r="BB27" i="227"/>
  <c r="BA27" i="227"/>
  <c r="AZ27" i="227"/>
  <c r="AY27" i="227"/>
  <c r="AX27" i="227"/>
  <c r="AW27" i="227"/>
  <c r="AV27" i="227"/>
  <c r="AU27" i="227"/>
  <c r="AT27" i="227"/>
  <c r="AS27" i="227"/>
  <c r="AR27" i="227"/>
  <c r="AQ27" i="227"/>
  <c r="AP27" i="227"/>
  <c r="AO27" i="227"/>
  <c r="AN27" i="227"/>
  <c r="AM27" i="227"/>
  <c r="AL27" i="227"/>
  <c r="AK27" i="227"/>
  <c r="AJ27" i="227"/>
  <c r="AI27" i="227"/>
  <c r="AH27" i="227"/>
  <c r="AG27" i="227"/>
  <c r="AF27" i="227"/>
  <c r="AE27" i="227"/>
  <c r="AD27" i="227"/>
  <c r="AC27" i="227"/>
  <c r="AB27" i="227"/>
  <c r="AA27" i="227"/>
  <c r="Z27" i="227"/>
  <c r="Y27" i="227"/>
  <c r="X27" i="227"/>
  <c r="W27" i="227"/>
  <c r="V27" i="227"/>
  <c r="U27" i="227"/>
  <c r="T27" i="227"/>
  <c r="S27" i="227"/>
  <c r="R27" i="227"/>
  <c r="Q27" i="227"/>
  <c r="P27" i="227"/>
  <c r="O27" i="227"/>
  <c r="N27" i="227"/>
  <c r="M27" i="227"/>
  <c r="L27" i="227"/>
  <c r="K27" i="227"/>
  <c r="BN26" i="227"/>
  <c r="BM26" i="227"/>
  <c r="BL26" i="227"/>
  <c r="BK26" i="227"/>
  <c r="BJ26" i="227"/>
  <c r="BI26" i="227"/>
  <c r="BH26" i="227"/>
  <c r="BG26" i="227"/>
  <c r="BF26" i="227"/>
  <c r="BE26" i="227"/>
  <c r="BD26" i="227"/>
  <c r="BC26" i="227"/>
  <c r="BB26" i="227"/>
  <c r="BA26" i="227"/>
  <c r="AZ26" i="227"/>
  <c r="AY26" i="227"/>
  <c r="AX26" i="227"/>
  <c r="AW26" i="227"/>
  <c r="AV26" i="227"/>
  <c r="AU26" i="227"/>
  <c r="AT26" i="227"/>
  <c r="AS26" i="227"/>
  <c r="AR26" i="227"/>
  <c r="AQ26" i="227"/>
  <c r="AP26" i="227"/>
  <c r="AO26" i="227"/>
  <c r="AN26" i="227"/>
  <c r="AM26" i="227"/>
  <c r="AL26" i="227"/>
  <c r="AK26" i="227"/>
  <c r="AJ26" i="227"/>
  <c r="AI26" i="227"/>
  <c r="AH26" i="227"/>
  <c r="AG26" i="227"/>
  <c r="AF26" i="227"/>
  <c r="AE26" i="227"/>
  <c r="AD26" i="227"/>
  <c r="AC26" i="227"/>
  <c r="AB26" i="227"/>
  <c r="AA26" i="227"/>
  <c r="Z26" i="227"/>
  <c r="Y26" i="227"/>
  <c r="X26" i="227"/>
  <c r="W26" i="227"/>
  <c r="V26" i="227"/>
  <c r="U26" i="227"/>
  <c r="T26" i="227"/>
  <c r="S26" i="227"/>
  <c r="R26" i="227"/>
  <c r="Q26" i="227"/>
  <c r="P26" i="227"/>
  <c r="O26" i="227"/>
  <c r="N26" i="227"/>
  <c r="M26" i="227"/>
  <c r="L26" i="227"/>
  <c r="K26" i="227"/>
  <c r="B24" i="227"/>
  <c r="B23" i="227"/>
  <c r="H22" i="227"/>
  <c r="E22" i="227"/>
  <c r="H21" i="227"/>
  <c r="E21" i="227"/>
  <c r="H20" i="227"/>
  <c r="E20" i="227"/>
  <c r="H19" i="227"/>
  <c r="E19" i="227"/>
  <c r="H18" i="227"/>
  <c r="E18" i="227"/>
  <c r="H17" i="227"/>
  <c r="E17" i="227"/>
  <c r="H16" i="227"/>
  <c r="E16" i="227"/>
  <c r="H15" i="227"/>
  <c r="E15" i="227"/>
  <c r="H14" i="227"/>
  <c r="E14" i="227"/>
  <c r="H13" i="227"/>
  <c r="E13" i="227"/>
  <c r="H12" i="227"/>
  <c r="E12" i="227"/>
  <c r="H11" i="227"/>
  <c r="E11" i="227"/>
  <c r="H10" i="227"/>
  <c r="E10" i="227"/>
  <c r="H9" i="227"/>
  <c r="E9" i="227"/>
  <c r="H8" i="227"/>
  <c r="E8" i="227"/>
  <c r="H7" i="227"/>
  <c r="E7" i="227"/>
  <c r="H6" i="227"/>
  <c r="E6" i="227"/>
  <c r="H5" i="227"/>
  <c r="E5" i="227"/>
  <c r="H4" i="227"/>
  <c r="E4" i="227"/>
  <c r="H3" i="227" l="1"/>
  <c r="BN30" i="227" l="1"/>
  <c r="BL30" i="227"/>
  <c r="BJ30" i="227"/>
  <c r="BH30" i="227"/>
  <c r="BF30" i="227"/>
  <c r="BD30" i="227"/>
  <c r="BB30" i="227"/>
  <c r="AZ30" i="227"/>
  <c r="AX30" i="227"/>
  <c r="AV30" i="227"/>
  <c r="AT30" i="227"/>
  <c r="AR30" i="227"/>
  <c r="AP30" i="227"/>
  <c r="AN30" i="227"/>
  <c r="AL30" i="227"/>
  <c r="AJ30" i="227"/>
  <c r="AH30" i="227"/>
  <c r="AF30" i="227"/>
  <c r="AD30" i="227"/>
  <c r="AB30" i="227"/>
  <c r="Z30" i="227"/>
  <c r="X30" i="227"/>
  <c r="V30" i="227"/>
  <c r="T30" i="227"/>
  <c r="R30" i="227"/>
  <c r="P30" i="227"/>
  <c r="N30" i="227"/>
  <c r="L30" i="227"/>
  <c r="BM30" i="227"/>
  <c r="BK30" i="227"/>
  <c r="BI30" i="227"/>
  <c r="BG30" i="227"/>
  <c r="BE30" i="227"/>
  <c r="BC30" i="227"/>
  <c r="BA30" i="227"/>
  <c r="AY30" i="227"/>
  <c r="AW30" i="227"/>
  <c r="AU30" i="227"/>
  <c r="AS30" i="227"/>
  <c r="AQ30" i="227"/>
  <c r="AO30" i="227"/>
  <c r="AM30" i="227"/>
  <c r="AK30" i="227"/>
  <c r="AI30" i="227"/>
  <c r="AG30" i="227"/>
  <c r="AE30" i="227"/>
  <c r="AC30" i="227"/>
  <c r="AA30" i="227"/>
  <c r="Y30" i="227"/>
  <c r="W30" i="227"/>
  <c r="U30" i="227"/>
  <c r="S30" i="227"/>
  <c r="Q30" i="227"/>
  <c r="O30" i="227"/>
  <c r="M30" i="227"/>
  <c r="K30" i="227"/>
  <c r="E3" i="227"/>
  <c r="H25" i="227" s="1"/>
  <c r="AW2" i="227"/>
  <c r="BI2" i="227"/>
  <c r="BA2" i="227"/>
  <c r="BF2" i="227"/>
  <c r="BB2" i="227"/>
  <c r="AH2" i="227"/>
  <c r="BC2" i="227"/>
  <c r="S2" i="227"/>
  <c r="BM2" i="227"/>
  <c r="AQ2" i="227"/>
  <c r="M2" i="227"/>
  <c r="H2" i="227"/>
  <c r="AB2" i="227"/>
  <c r="BD2" i="227"/>
  <c r="AN2" i="227"/>
  <c r="BE2" i="227"/>
  <c r="U2" i="227"/>
  <c r="T2" i="227"/>
  <c r="AE2" i="227"/>
  <c r="BN2" i="227"/>
  <c r="BK2" i="227"/>
  <c r="R2" i="227"/>
  <c r="W2" i="227"/>
  <c r="AO2" i="227"/>
  <c r="V2" i="227"/>
  <c r="AG2" i="227"/>
  <c r="AR2" i="227"/>
  <c r="I2" i="227"/>
  <c r="J2" i="227"/>
  <c r="L2" i="227"/>
  <c r="Z2" i="227"/>
  <c r="AS2" i="227"/>
  <c r="AM2" i="227"/>
  <c r="AK2" i="227"/>
  <c r="AP2" i="227"/>
  <c r="AT2" i="227"/>
  <c r="AC2" i="227"/>
  <c r="N2" i="227"/>
  <c r="AL2" i="227"/>
  <c r="AJ2" i="227"/>
  <c r="BJ2" i="227"/>
  <c r="G2" i="227"/>
  <c r="Y2" i="227"/>
  <c r="AI2" i="227"/>
  <c r="AY2" i="227"/>
  <c r="AU2" i="227"/>
  <c r="BL2" i="227"/>
  <c r="AX2" i="227"/>
  <c r="AZ2" i="227"/>
  <c r="X2" i="227"/>
  <c r="BH2" i="227"/>
  <c r="K2" i="227"/>
  <c r="AA2" i="227"/>
  <c r="AV2" i="227"/>
  <c r="O2" i="227"/>
  <c r="AD2" i="227"/>
  <c r="Q2" i="227"/>
  <c r="BG2" i="227"/>
  <c r="P2" i="227"/>
  <c r="AF2" i="227"/>
  <c r="K40" i="227" l="1"/>
  <c r="K39" i="227"/>
  <c r="L40" i="227"/>
  <c r="L39" i="227"/>
  <c r="M40" i="227"/>
  <c r="M39" i="227"/>
  <c r="N40" i="227"/>
  <c r="N39" i="227"/>
  <c r="O40" i="227"/>
  <c r="O39" i="227"/>
  <c r="P40" i="227"/>
  <c r="P39" i="227"/>
  <c r="Q40" i="227"/>
  <c r="Q39" i="227"/>
  <c r="R40" i="227"/>
  <c r="R39" i="227"/>
  <c r="S40" i="227"/>
  <c r="S39" i="227"/>
  <c r="T40" i="227"/>
  <c r="T39" i="227"/>
  <c r="U40" i="227"/>
  <c r="U39" i="227"/>
  <c r="V40" i="227"/>
  <c r="V39" i="227"/>
  <c r="W40" i="227"/>
  <c r="W39" i="227"/>
  <c r="X40" i="227"/>
  <c r="X39" i="227"/>
  <c r="Y40" i="227"/>
  <c r="Y39" i="227"/>
  <c r="Z40" i="227"/>
  <c r="Z39" i="227"/>
  <c r="AA40" i="227"/>
  <c r="AA39" i="227"/>
  <c r="AB40" i="227"/>
  <c r="AB39" i="227"/>
  <c r="AC40" i="227"/>
  <c r="AC39" i="227"/>
  <c r="AD40" i="227"/>
  <c r="AD39" i="227"/>
  <c r="AE40" i="227"/>
  <c r="AE39" i="227"/>
  <c r="AF40" i="227"/>
  <c r="AF39" i="227"/>
  <c r="AG40" i="227"/>
  <c r="AG39" i="227"/>
  <c r="AH40" i="227"/>
  <c r="AH39" i="227"/>
  <c r="AI40" i="227"/>
  <c r="AI39" i="227"/>
  <c r="AJ40" i="227"/>
  <c r="AJ39" i="227"/>
  <c r="AK40" i="227"/>
  <c r="AK39" i="227"/>
  <c r="AL40" i="227"/>
  <c r="AL39" i="227"/>
  <c r="AM40" i="227"/>
  <c r="AM39" i="227"/>
  <c r="AN40" i="227"/>
  <c r="AN39" i="227"/>
  <c r="AO40" i="227"/>
  <c r="AO39" i="227"/>
  <c r="AP40" i="227"/>
  <c r="AP39" i="227"/>
  <c r="AQ40" i="227"/>
  <c r="AQ39" i="227"/>
  <c r="AR40" i="227"/>
  <c r="AR39" i="227"/>
  <c r="AS40" i="227"/>
  <c r="AS39" i="227"/>
  <c r="AT40" i="227"/>
  <c r="AT39" i="227"/>
  <c r="AU40" i="227"/>
  <c r="AU39" i="227"/>
  <c r="AV40" i="227"/>
  <c r="AV39" i="227"/>
  <c r="AW40" i="227"/>
  <c r="AW39" i="227"/>
  <c r="AX40" i="227"/>
  <c r="AX39" i="227"/>
  <c r="AY40" i="227"/>
  <c r="AY39" i="227"/>
  <c r="AZ40" i="227"/>
  <c r="AZ39" i="227"/>
  <c r="BA40" i="227"/>
  <c r="BA39" i="227"/>
  <c r="BB40" i="227"/>
  <c r="BB39" i="227"/>
  <c r="BC40" i="227"/>
  <c r="BC39" i="227"/>
  <c r="BD40" i="227"/>
  <c r="BD39" i="227"/>
  <c r="BE40" i="227"/>
  <c r="BE39" i="227"/>
  <c r="BF40" i="227"/>
  <c r="BF39" i="227"/>
  <c r="BG40" i="227"/>
  <c r="BG39" i="227"/>
  <c r="BH40" i="227"/>
  <c r="BH39" i="227"/>
  <c r="BI40" i="227"/>
  <c r="BI39" i="227"/>
  <c r="BJ40" i="227"/>
  <c r="BJ39" i="227"/>
  <c r="BK40" i="227"/>
  <c r="BK39" i="227"/>
  <c r="BL40" i="227"/>
  <c r="BL39" i="227"/>
  <c r="BM40" i="227"/>
  <c r="BM39" i="227"/>
  <c r="BN40" i="227"/>
  <c r="BN39" i="227"/>
  <c r="BN25" i="227"/>
  <c r="BN36" i="227" s="1"/>
  <c r="BL25" i="227"/>
  <c r="BL36" i="227" s="1"/>
  <c r="BJ25" i="227"/>
  <c r="BJ36" i="227" s="1"/>
  <c r="BH25" i="227"/>
  <c r="BH36" i="227" s="1"/>
  <c r="BF25" i="227"/>
  <c r="BF36" i="227" s="1"/>
  <c r="BD25" i="227"/>
  <c r="BD36" i="227" s="1"/>
  <c r="BB25" i="227"/>
  <c r="BB36" i="227" s="1"/>
  <c r="AZ25" i="227"/>
  <c r="AZ36" i="227" s="1"/>
  <c r="AX25" i="227"/>
  <c r="AX36" i="227" s="1"/>
  <c r="AV25" i="227"/>
  <c r="AV36" i="227" s="1"/>
  <c r="AT25" i="227"/>
  <c r="AT36" i="227" s="1"/>
  <c r="AR25" i="227"/>
  <c r="AR36" i="227" s="1"/>
  <c r="AP25" i="227"/>
  <c r="AP36" i="227" s="1"/>
  <c r="AN25" i="227"/>
  <c r="AN36" i="227" s="1"/>
  <c r="AL25" i="227"/>
  <c r="AL36" i="227" s="1"/>
  <c r="AJ25" i="227"/>
  <c r="AJ36" i="227" s="1"/>
  <c r="AH25" i="227"/>
  <c r="AH36" i="227" s="1"/>
  <c r="AF25" i="227"/>
  <c r="AF36" i="227" s="1"/>
  <c r="AD25" i="227"/>
  <c r="AD36" i="227" s="1"/>
  <c r="AB25" i="227"/>
  <c r="AB36" i="227" s="1"/>
  <c r="Z25" i="227"/>
  <c r="Z36" i="227" s="1"/>
  <c r="X25" i="227"/>
  <c r="X36" i="227" s="1"/>
  <c r="V25" i="227"/>
  <c r="V36" i="227" s="1"/>
  <c r="T25" i="227"/>
  <c r="T36" i="227" s="1"/>
  <c r="P25" i="227"/>
  <c r="P36" i="227" s="1"/>
  <c r="L25" i="227"/>
  <c r="L36" i="227" s="1"/>
  <c r="BM25" i="227"/>
  <c r="BM36" i="227" s="1"/>
  <c r="BK25" i="227"/>
  <c r="BK36" i="227" s="1"/>
  <c r="BI25" i="227"/>
  <c r="BI36" i="227" s="1"/>
  <c r="BG25" i="227"/>
  <c r="BG36" i="227" s="1"/>
  <c r="BE25" i="227"/>
  <c r="BE36" i="227" s="1"/>
  <c r="BC25" i="227"/>
  <c r="BC36" i="227" s="1"/>
  <c r="BA25" i="227"/>
  <c r="BA36" i="227" s="1"/>
  <c r="AY25" i="227"/>
  <c r="AY36" i="227" s="1"/>
  <c r="AW25" i="227"/>
  <c r="AW36" i="227" s="1"/>
  <c r="AU25" i="227"/>
  <c r="AU36" i="227" s="1"/>
  <c r="AS25" i="227"/>
  <c r="AS36" i="227" s="1"/>
  <c r="AQ25" i="227"/>
  <c r="AQ36" i="227" s="1"/>
  <c r="AO25" i="227"/>
  <c r="AO36" i="227" s="1"/>
  <c r="AM25" i="227"/>
  <c r="AM36" i="227" s="1"/>
  <c r="AK25" i="227"/>
  <c r="AK36" i="227" s="1"/>
  <c r="AI25" i="227"/>
  <c r="AI36" i="227" s="1"/>
  <c r="AG25" i="227"/>
  <c r="AG36" i="227" s="1"/>
  <c r="AE25" i="227"/>
  <c r="AE36" i="227" s="1"/>
  <c r="AC25" i="227"/>
  <c r="AC36" i="227" s="1"/>
  <c r="AA25" i="227"/>
  <c r="AA36" i="227" s="1"/>
  <c r="Y25" i="227"/>
  <c r="Y36" i="227" s="1"/>
  <c r="W25" i="227"/>
  <c r="W36" i="227" s="1"/>
  <c r="U25" i="227"/>
  <c r="U36" i="227" s="1"/>
  <c r="S25" i="227"/>
  <c r="S36" i="227" s="1"/>
  <c r="Q25" i="227"/>
  <c r="Q36" i="227" s="1"/>
  <c r="O25" i="227"/>
  <c r="O36" i="227" s="1"/>
  <c r="M25" i="227"/>
  <c r="M36" i="227" s="1"/>
  <c r="K25" i="227"/>
  <c r="G25" i="227"/>
  <c r="R25" i="227"/>
  <c r="R36" i="227" s="1"/>
  <c r="N25" i="227"/>
  <c r="N36" i="227" s="1"/>
  <c r="J25" i="227"/>
  <c r="J1" i="227"/>
  <c r="I1" i="227"/>
  <c r="BN35" i="226"/>
  <c r="BM35" i="226"/>
  <c r="BL35" i="226"/>
  <c r="BK35" i="226"/>
  <c r="BJ35" i="226"/>
  <c r="BI35" i="226"/>
  <c r="BH35" i="226"/>
  <c r="BG35" i="226"/>
  <c r="BF35" i="226"/>
  <c r="BE35" i="226"/>
  <c r="BD35" i="226"/>
  <c r="BC35" i="226"/>
  <c r="BB35" i="226"/>
  <c r="BA35" i="226"/>
  <c r="AZ35" i="226"/>
  <c r="AY35" i="226"/>
  <c r="AX35" i="226"/>
  <c r="AW35" i="226"/>
  <c r="AV35" i="226"/>
  <c r="AU35" i="226"/>
  <c r="AT35" i="226"/>
  <c r="AS35" i="226"/>
  <c r="AR35" i="226"/>
  <c r="AQ35" i="226"/>
  <c r="AP35" i="226"/>
  <c r="AO35" i="226"/>
  <c r="AN35" i="226"/>
  <c r="AM35" i="226"/>
  <c r="AL35" i="226"/>
  <c r="AK35" i="226"/>
  <c r="AJ35" i="226"/>
  <c r="AI35" i="226"/>
  <c r="AH35" i="226"/>
  <c r="AG35" i="226"/>
  <c r="AF35" i="226"/>
  <c r="AE35" i="226"/>
  <c r="AD35" i="226"/>
  <c r="AC35" i="226"/>
  <c r="AB35" i="226"/>
  <c r="AA35" i="226"/>
  <c r="Z35" i="226"/>
  <c r="Y35" i="226"/>
  <c r="X35" i="226"/>
  <c r="W35" i="226"/>
  <c r="V35" i="226"/>
  <c r="U35" i="226"/>
  <c r="T35" i="226"/>
  <c r="S35" i="226"/>
  <c r="R35" i="226"/>
  <c r="Q35" i="226"/>
  <c r="P35" i="226"/>
  <c r="O35" i="226"/>
  <c r="N35" i="226"/>
  <c r="M35" i="226"/>
  <c r="L35" i="226"/>
  <c r="K35" i="226"/>
  <c r="K36" i="227" l="1"/>
  <c r="BN29" i="226"/>
  <c r="BM29" i="226"/>
  <c r="BL29" i="226"/>
  <c r="BK29" i="226"/>
  <c r="BJ29" i="226"/>
  <c r="BI29" i="226"/>
  <c r="BH29" i="226"/>
  <c r="BG29" i="226"/>
  <c r="BF29" i="226"/>
  <c r="BE29" i="226"/>
  <c r="BD29" i="226"/>
  <c r="BC29" i="226"/>
  <c r="BB29" i="226"/>
  <c r="BA29" i="226"/>
  <c r="AZ29" i="226"/>
  <c r="AY29" i="226"/>
  <c r="AX29" i="226"/>
  <c r="AW29" i="226"/>
  <c r="AV29" i="226"/>
  <c r="AU29" i="226"/>
  <c r="AT29" i="226"/>
  <c r="AS29" i="226"/>
  <c r="AR29" i="226"/>
  <c r="AQ29" i="226"/>
  <c r="AP29" i="226"/>
  <c r="AO29" i="226"/>
  <c r="AN29" i="226"/>
  <c r="AM29" i="226"/>
  <c r="AL29" i="226"/>
  <c r="AK29" i="226"/>
  <c r="AJ29" i="226"/>
  <c r="AI29" i="226"/>
  <c r="AH29" i="226"/>
  <c r="AG29" i="226"/>
  <c r="AF29" i="226"/>
  <c r="AE29" i="226"/>
  <c r="AD29" i="226"/>
  <c r="AC29" i="226"/>
  <c r="AB29" i="226"/>
  <c r="AA29" i="226"/>
  <c r="Z29" i="226"/>
  <c r="Y29" i="226"/>
  <c r="X29" i="226"/>
  <c r="W29" i="226"/>
  <c r="V29" i="226"/>
  <c r="U29" i="226"/>
  <c r="T29" i="226"/>
  <c r="S29" i="226"/>
  <c r="R29" i="226"/>
  <c r="Q29" i="226"/>
  <c r="P29" i="226"/>
  <c r="O29" i="226"/>
  <c r="N29" i="226"/>
  <c r="M29" i="226"/>
  <c r="L29" i="226"/>
  <c r="K29" i="226"/>
  <c r="BN27" i="226"/>
  <c r="BM27" i="226"/>
  <c r="BL27" i="226"/>
  <c r="BK27" i="226"/>
  <c r="BJ27" i="226"/>
  <c r="BI27" i="226"/>
  <c r="BH27" i="226"/>
  <c r="BG27" i="226"/>
  <c r="BF27" i="226"/>
  <c r="BE27" i="226"/>
  <c r="BD27" i="226"/>
  <c r="BC27" i="226"/>
  <c r="BB27" i="226"/>
  <c r="BA27" i="226"/>
  <c r="AZ27" i="226"/>
  <c r="AY27" i="226"/>
  <c r="AX27" i="226"/>
  <c r="AW27" i="226"/>
  <c r="AV27" i="226"/>
  <c r="AU27" i="226"/>
  <c r="AT27" i="226"/>
  <c r="AS27" i="226"/>
  <c r="AR27" i="226"/>
  <c r="AQ27" i="226"/>
  <c r="AP27" i="226"/>
  <c r="AO27" i="226"/>
  <c r="AN27" i="226"/>
  <c r="AM27" i="226"/>
  <c r="AL27" i="226"/>
  <c r="AK27" i="226"/>
  <c r="AJ27" i="226"/>
  <c r="AI27" i="226"/>
  <c r="AH27" i="226"/>
  <c r="AG27" i="226"/>
  <c r="AF27" i="226"/>
  <c r="AE27" i="226"/>
  <c r="AD27" i="226"/>
  <c r="AC27" i="226"/>
  <c r="AB27" i="226"/>
  <c r="AA27" i="226"/>
  <c r="Z27" i="226"/>
  <c r="Y27" i="226"/>
  <c r="X27" i="226"/>
  <c r="W27" i="226"/>
  <c r="V27" i="226"/>
  <c r="U27" i="226"/>
  <c r="T27" i="226"/>
  <c r="S27" i="226"/>
  <c r="R27" i="226"/>
  <c r="Q27" i="226"/>
  <c r="P27" i="226"/>
  <c r="O27" i="226"/>
  <c r="N27" i="226"/>
  <c r="M27" i="226"/>
  <c r="L27" i="226"/>
  <c r="K27" i="226"/>
  <c r="BN26" i="226"/>
  <c r="BM26" i="226"/>
  <c r="BL26" i="226"/>
  <c r="BK26" i="226"/>
  <c r="BJ26" i="226"/>
  <c r="BI26" i="226"/>
  <c r="BH26" i="226"/>
  <c r="BG26" i="226"/>
  <c r="BF26" i="226"/>
  <c r="BE26" i="226"/>
  <c r="BD26" i="226"/>
  <c r="BC26" i="226"/>
  <c r="BB26" i="226"/>
  <c r="BA26" i="226"/>
  <c r="AZ26" i="226"/>
  <c r="AY26" i="226"/>
  <c r="AX26" i="226"/>
  <c r="AW26" i="226"/>
  <c r="AV26" i="226"/>
  <c r="AU26" i="226"/>
  <c r="AT26" i="226"/>
  <c r="AS26" i="226"/>
  <c r="AR26" i="226"/>
  <c r="AQ26" i="226"/>
  <c r="AP26" i="226"/>
  <c r="AO26" i="226"/>
  <c r="AN26" i="226"/>
  <c r="AM26" i="226"/>
  <c r="AL26" i="226"/>
  <c r="AK26" i="226"/>
  <c r="AJ26" i="226"/>
  <c r="AI26" i="226"/>
  <c r="AH26" i="226"/>
  <c r="AG26" i="226"/>
  <c r="AF26" i="226"/>
  <c r="AE26" i="226"/>
  <c r="AD26" i="226"/>
  <c r="AC26" i="226"/>
  <c r="AB26" i="226"/>
  <c r="AA26" i="226"/>
  <c r="Z26" i="226"/>
  <c r="Y26" i="226"/>
  <c r="X26" i="226"/>
  <c r="W26" i="226"/>
  <c r="V26" i="226"/>
  <c r="U26" i="226"/>
  <c r="T26" i="226"/>
  <c r="S26" i="226"/>
  <c r="R26" i="226"/>
  <c r="Q26" i="226"/>
  <c r="P26" i="226"/>
  <c r="O26" i="226"/>
  <c r="N26" i="226"/>
  <c r="M26" i="226"/>
  <c r="L26" i="226"/>
  <c r="K26" i="226"/>
  <c r="B24" i="226"/>
  <c r="B23" i="226"/>
  <c r="H22" i="226"/>
  <c r="E22" i="226"/>
  <c r="H21" i="226"/>
  <c r="E21" i="226"/>
  <c r="H20" i="226"/>
  <c r="E20" i="226"/>
  <c r="H19" i="226"/>
  <c r="E19" i="226"/>
  <c r="H18" i="226"/>
  <c r="E18" i="226"/>
  <c r="H17" i="226"/>
  <c r="E17" i="226"/>
  <c r="H16" i="226"/>
  <c r="E16" i="226"/>
  <c r="H15" i="226"/>
  <c r="E15" i="226"/>
  <c r="H14" i="226"/>
  <c r="E14" i="226"/>
  <c r="H13" i="226"/>
  <c r="E13" i="226"/>
  <c r="H12" i="226"/>
  <c r="E12" i="226"/>
  <c r="H11" i="226"/>
  <c r="E11" i="226"/>
  <c r="H10" i="226"/>
  <c r="E10" i="226"/>
  <c r="H9" i="226"/>
  <c r="E9" i="226"/>
  <c r="H8" i="226"/>
  <c r="E8" i="226"/>
  <c r="H7" i="226"/>
  <c r="E7" i="226"/>
  <c r="H6" i="226"/>
  <c r="E6" i="226"/>
  <c r="H5" i="226"/>
  <c r="E5" i="226"/>
  <c r="H4" i="226"/>
  <c r="E4" i="226"/>
  <c r="H3" i="226" l="1"/>
  <c r="BM30" i="226" l="1"/>
  <c r="BK30" i="226"/>
  <c r="BI30" i="226"/>
  <c r="BG30" i="226"/>
  <c r="BE30" i="226"/>
  <c r="BC30" i="226"/>
  <c r="BA30" i="226"/>
  <c r="AY30" i="226"/>
  <c r="AW30" i="226"/>
  <c r="AU30" i="226"/>
  <c r="AS30" i="226"/>
  <c r="AQ30" i="226"/>
  <c r="AO30" i="226"/>
  <c r="AM30" i="226"/>
  <c r="AK30" i="226"/>
  <c r="AI30" i="226"/>
  <c r="AG30" i="226"/>
  <c r="AE30" i="226"/>
  <c r="AC30" i="226"/>
  <c r="AA30" i="226"/>
  <c r="Y30" i="226"/>
  <c r="W30" i="226"/>
  <c r="U30" i="226"/>
  <c r="S30" i="226"/>
  <c r="Q30" i="226"/>
  <c r="O30" i="226"/>
  <c r="M30" i="226"/>
  <c r="BN30" i="226"/>
  <c r="BL30" i="226"/>
  <c r="BJ30" i="226"/>
  <c r="BH30" i="226"/>
  <c r="BF30" i="226"/>
  <c r="BD30" i="226"/>
  <c r="BB30" i="226"/>
  <c r="AZ30" i="226"/>
  <c r="AX30" i="226"/>
  <c r="AV30" i="226"/>
  <c r="AT30" i="226"/>
  <c r="AR30" i="226"/>
  <c r="AP30" i="226"/>
  <c r="AN30" i="226"/>
  <c r="AL30" i="226"/>
  <c r="AJ30" i="226"/>
  <c r="AH30" i="226"/>
  <c r="AF30" i="226"/>
  <c r="AD30" i="226"/>
  <c r="AB30" i="226"/>
  <c r="Z30" i="226"/>
  <c r="X30" i="226"/>
  <c r="V30" i="226"/>
  <c r="T30" i="226"/>
  <c r="R30" i="226"/>
  <c r="P30" i="226"/>
  <c r="N30" i="226"/>
  <c r="L30" i="226"/>
  <c r="K30" i="226"/>
  <c r="E3" i="226"/>
  <c r="AY2" i="226"/>
  <c r="BE2" i="226"/>
  <c r="AU2" i="226"/>
  <c r="BB2" i="226"/>
  <c r="I2" i="226"/>
  <c r="AM2" i="226"/>
  <c r="AP2" i="226"/>
  <c r="AE2" i="226"/>
  <c r="BD2" i="226"/>
  <c r="AF2" i="226"/>
  <c r="X2" i="226"/>
  <c r="AV2" i="226"/>
  <c r="BC2" i="226"/>
  <c r="AB2" i="226"/>
  <c r="AL2" i="226"/>
  <c r="BI2" i="226"/>
  <c r="AN2" i="226"/>
  <c r="AT2" i="226"/>
  <c r="H2" i="226"/>
  <c r="AA2" i="226"/>
  <c r="Y2" i="226"/>
  <c r="AH2" i="226"/>
  <c r="BK2" i="226"/>
  <c r="M2" i="226"/>
  <c r="AO2" i="226"/>
  <c r="S2" i="226"/>
  <c r="O2" i="226"/>
  <c r="AD2" i="226"/>
  <c r="AK2" i="226"/>
  <c r="J2" i="226"/>
  <c r="AJ2" i="226"/>
  <c r="AS2" i="226"/>
  <c r="AR2" i="226"/>
  <c r="V2" i="226"/>
  <c r="BF2" i="226"/>
  <c r="BG2" i="226"/>
  <c r="AG2" i="226"/>
  <c r="AI2" i="226"/>
  <c r="W2" i="226"/>
  <c r="AC2" i="226"/>
  <c r="N2" i="226"/>
  <c r="AW2" i="226"/>
  <c r="R2" i="226"/>
  <c r="BH2" i="226"/>
  <c r="T2" i="226"/>
  <c r="K2" i="226"/>
  <c r="AZ2" i="226"/>
  <c r="L2" i="226"/>
  <c r="BM2" i="226"/>
  <c r="BL2" i="226"/>
  <c r="G2" i="226"/>
  <c r="U2" i="226"/>
  <c r="BA2" i="226"/>
  <c r="Q2" i="226"/>
  <c r="Z2" i="226"/>
  <c r="AQ2" i="226"/>
  <c r="BN2" i="226"/>
  <c r="AX2" i="226"/>
  <c r="P2" i="226"/>
  <c r="BJ2" i="226"/>
  <c r="K40" i="226" l="1"/>
  <c r="K39" i="226"/>
  <c r="L40" i="226"/>
  <c r="L39" i="226"/>
  <c r="M40" i="226"/>
  <c r="M39" i="226"/>
  <c r="N40" i="226"/>
  <c r="N39" i="226"/>
  <c r="O40" i="226"/>
  <c r="O39" i="226"/>
  <c r="P40" i="226"/>
  <c r="P39" i="226"/>
  <c r="Q40" i="226"/>
  <c r="Q39" i="226"/>
  <c r="R40" i="226"/>
  <c r="R39" i="226"/>
  <c r="S40" i="226"/>
  <c r="S39" i="226"/>
  <c r="T40" i="226"/>
  <c r="T39" i="226"/>
  <c r="U40" i="226"/>
  <c r="U39" i="226"/>
  <c r="V40" i="226"/>
  <c r="V39" i="226"/>
  <c r="W40" i="226"/>
  <c r="W39" i="226"/>
  <c r="X40" i="226"/>
  <c r="X39" i="226"/>
  <c r="Y40" i="226"/>
  <c r="Y39" i="226"/>
  <c r="Z40" i="226"/>
  <c r="Z39" i="226"/>
  <c r="AA40" i="226"/>
  <c r="AA39" i="226"/>
  <c r="AB40" i="226"/>
  <c r="AB39" i="226"/>
  <c r="AC40" i="226"/>
  <c r="AC39" i="226"/>
  <c r="AD40" i="226"/>
  <c r="AD39" i="226"/>
  <c r="AE40" i="226"/>
  <c r="AE39" i="226"/>
  <c r="AF40" i="226"/>
  <c r="AF39" i="226"/>
  <c r="AG40" i="226"/>
  <c r="AG39" i="226"/>
  <c r="AH40" i="226"/>
  <c r="AH39" i="226"/>
  <c r="AI40" i="226"/>
  <c r="AI39" i="226"/>
  <c r="AJ40" i="226"/>
  <c r="AJ39" i="226"/>
  <c r="AK40" i="226"/>
  <c r="AK39" i="226"/>
  <c r="AL40" i="226"/>
  <c r="AL39" i="226"/>
  <c r="AM40" i="226"/>
  <c r="AM39" i="226"/>
  <c r="AN40" i="226"/>
  <c r="AN39" i="226"/>
  <c r="AO40" i="226"/>
  <c r="AO39" i="226"/>
  <c r="AP40" i="226"/>
  <c r="AP39" i="226"/>
  <c r="AQ40" i="226"/>
  <c r="AQ39" i="226"/>
  <c r="AR40" i="226"/>
  <c r="AR39" i="226"/>
  <c r="AS40" i="226"/>
  <c r="AS39" i="226"/>
  <c r="AT40" i="226"/>
  <c r="AT39" i="226"/>
  <c r="AU40" i="226"/>
  <c r="AU39" i="226"/>
  <c r="AV40" i="226"/>
  <c r="AV39" i="226"/>
  <c r="AW40" i="226"/>
  <c r="AW39" i="226"/>
  <c r="AX40" i="226"/>
  <c r="AX39" i="226"/>
  <c r="AY40" i="226"/>
  <c r="AY39" i="226"/>
  <c r="AZ40" i="226"/>
  <c r="AZ39" i="226"/>
  <c r="BA40" i="226"/>
  <c r="BA39" i="226"/>
  <c r="BB40" i="226"/>
  <c r="BB39" i="226"/>
  <c r="BC40" i="226"/>
  <c r="BC39" i="226"/>
  <c r="BD40" i="226"/>
  <c r="BD39" i="226"/>
  <c r="BE40" i="226"/>
  <c r="BE39" i="226"/>
  <c r="BF40" i="226"/>
  <c r="BF39" i="226"/>
  <c r="BG40" i="226"/>
  <c r="BG39" i="226"/>
  <c r="BH40" i="226"/>
  <c r="BH39" i="226"/>
  <c r="BI40" i="226"/>
  <c r="BI39" i="226"/>
  <c r="BJ40" i="226"/>
  <c r="BJ39" i="226"/>
  <c r="BK40" i="226"/>
  <c r="BK39" i="226"/>
  <c r="BL40" i="226"/>
  <c r="BL39" i="226"/>
  <c r="BM40" i="226"/>
  <c r="BM39" i="226"/>
  <c r="BN40" i="226"/>
  <c r="BN39" i="226"/>
  <c r="BN25" i="226"/>
  <c r="BN36" i="226" s="1"/>
  <c r="BL25" i="226"/>
  <c r="BL36" i="226" s="1"/>
  <c r="BJ25" i="226"/>
  <c r="BJ36" i="226" s="1"/>
  <c r="BH25" i="226"/>
  <c r="BH36" i="226" s="1"/>
  <c r="BF25" i="226"/>
  <c r="BF36" i="226" s="1"/>
  <c r="BD25" i="226"/>
  <c r="BD36" i="226" s="1"/>
  <c r="BB25" i="226"/>
  <c r="BB36" i="226" s="1"/>
  <c r="AZ25" i="226"/>
  <c r="AZ36" i="226" s="1"/>
  <c r="AX25" i="226"/>
  <c r="AX36" i="226" s="1"/>
  <c r="AV25" i="226"/>
  <c r="AV36" i="226" s="1"/>
  <c r="AT25" i="226"/>
  <c r="AT36" i="226" s="1"/>
  <c r="AR25" i="226"/>
  <c r="AR36" i="226" s="1"/>
  <c r="AP25" i="226"/>
  <c r="AP36" i="226" s="1"/>
  <c r="AN25" i="226"/>
  <c r="AN36" i="226" s="1"/>
  <c r="AL25" i="226"/>
  <c r="AL36" i="226" s="1"/>
  <c r="AJ25" i="226"/>
  <c r="AJ36" i="226" s="1"/>
  <c r="AH25" i="226"/>
  <c r="AH36" i="226" s="1"/>
  <c r="AF25" i="226"/>
  <c r="AF36" i="226" s="1"/>
  <c r="AD25" i="226"/>
  <c r="AD36" i="226" s="1"/>
  <c r="AB25" i="226"/>
  <c r="AB36" i="226" s="1"/>
  <c r="Z25" i="226"/>
  <c r="Z36" i="226" s="1"/>
  <c r="X25" i="226"/>
  <c r="X36" i="226" s="1"/>
  <c r="V25" i="226"/>
  <c r="V36" i="226" s="1"/>
  <c r="T25" i="226"/>
  <c r="T36" i="226" s="1"/>
  <c r="R25" i="226"/>
  <c r="R36" i="226" s="1"/>
  <c r="N25" i="226"/>
  <c r="N36" i="226" s="1"/>
  <c r="L25" i="226"/>
  <c r="L36" i="226" s="1"/>
  <c r="BM25" i="226"/>
  <c r="BM36" i="226" s="1"/>
  <c r="BK25" i="226"/>
  <c r="BK36" i="226" s="1"/>
  <c r="BI25" i="226"/>
  <c r="BI36" i="226" s="1"/>
  <c r="BG25" i="226"/>
  <c r="BG36" i="226" s="1"/>
  <c r="BE25" i="226"/>
  <c r="BE36" i="226" s="1"/>
  <c r="BC25" i="226"/>
  <c r="BC36" i="226" s="1"/>
  <c r="BA25" i="226"/>
  <c r="BA36" i="226" s="1"/>
  <c r="AY25" i="226"/>
  <c r="AY36" i="226" s="1"/>
  <c r="AW25" i="226"/>
  <c r="AW36" i="226" s="1"/>
  <c r="AU25" i="226"/>
  <c r="AU36" i="226" s="1"/>
  <c r="AS25" i="226"/>
  <c r="AS36" i="226" s="1"/>
  <c r="AQ25" i="226"/>
  <c r="AQ36" i="226" s="1"/>
  <c r="AO25" i="226"/>
  <c r="AO36" i="226" s="1"/>
  <c r="AM25" i="226"/>
  <c r="AM36" i="226" s="1"/>
  <c r="AK25" i="226"/>
  <c r="AK36" i="226" s="1"/>
  <c r="AI25" i="226"/>
  <c r="AI36" i="226" s="1"/>
  <c r="AG25" i="226"/>
  <c r="AG36" i="226" s="1"/>
  <c r="AE25" i="226"/>
  <c r="AE36" i="226" s="1"/>
  <c r="AC25" i="226"/>
  <c r="AC36" i="226" s="1"/>
  <c r="AA25" i="226"/>
  <c r="AA36" i="226" s="1"/>
  <c r="Y25" i="226"/>
  <c r="Y36" i="226" s="1"/>
  <c r="W25" i="226"/>
  <c r="W36" i="226" s="1"/>
  <c r="U25" i="226"/>
  <c r="U36" i="226" s="1"/>
  <c r="S25" i="226"/>
  <c r="S36" i="226" s="1"/>
  <c r="Q25" i="226"/>
  <c r="Q36" i="226" s="1"/>
  <c r="O25" i="226"/>
  <c r="O36" i="226" s="1"/>
  <c r="M25" i="226"/>
  <c r="M36" i="226" s="1"/>
  <c r="K25" i="226"/>
  <c r="G25" i="226"/>
  <c r="P25" i="226"/>
  <c r="P36" i="226" s="1"/>
  <c r="J25" i="226"/>
  <c r="H25" i="226"/>
  <c r="J1" i="226"/>
  <c r="I1" i="226"/>
  <c r="K36" i="226" l="1"/>
  <c r="BN35" i="225"/>
  <c r="BM35" i="225"/>
  <c r="BL35" i="225"/>
  <c r="BK35" i="225"/>
  <c r="BJ35" i="225"/>
  <c r="BI35" i="225"/>
  <c r="BH35" i="225"/>
  <c r="BG35" i="225"/>
  <c r="BF35" i="225"/>
  <c r="BE35" i="225"/>
  <c r="BD35" i="225"/>
  <c r="BC35" i="225"/>
  <c r="BB35" i="225"/>
  <c r="BA35" i="225"/>
  <c r="AZ35" i="225"/>
  <c r="AY35" i="225"/>
  <c r="AX35" i="225"/>
  <c r="AW35" i="225"/>
  <c r="AV35" i="225"/>
  <c r="AU35" i="225"/>
  <c r="AT35" i="225"/>
  <c r="AS35" i="225"/>
  <c r="AR35" i="225"/>
  <c r="AQ35" i="225"/>
  <c r="AP35" i="225"/>
  <c r="AO35" i="225"/>
  <c r="AN35" i="225"/>
  <c r="AM35" i="225"/>
  <c r="AL35" i="225"/>
  <c r="AK35" i="225"/>
  <c r="AJ35" i="225"/>
  <c r="AI35" i="225"/>
  <c r="AH35" i="225"/>
  <c r="AG35" i="225"/>
  <c r="AF35" i="225"/>
  <c r="AE35" i="225"/>
  <c r="AD35" i="225"/>
  <c r="AC35" i="225"/>
  <c r="AB35" i="225"/>
  <c r="AA35" i="225"/>
  <c r="Z35" i="225"/>
  <c r="Y35" i="225"/>
  <c r="X35" i="225"/>
  <c r="W35" i="225"/>
  <c r="V35" i="225"/>
  <c r="U35" i="225"/>
  <c r="T35" i="225"/>
  <c r="S35" i="225"/>
  <c r="R35" i="225"/>
  <c r="Q35" i="225"/>
  <c r="P35" i="225"/>
  <c r="O35" i="225"/>
  <c r="N35" i="225"/>
  <c r="M35" i="225"/>
  <c r="L35" i="225"/>
  <c r="K35" i="225"/>
  <c r="BN29" i="225" l="1"/>
  <c r="BM29" i="225"/>
  <c r="BL29" i="225"/>
  <c r="BK29" i="225"/>
  <c r="BJ29" i="225"/>
  <c r="BI29" i="225"/>
  <c r="BH29" i="225"/>
  <c r="BG29" i="225"/>
  <c r="BF29" i="225"/>
  <c r="BE29" i="225"/>
  <c r="BD29" i="225"/>
  <c r="BC29" i="225"/>
  <c r="BB29" i="225"/>
  <c r="BA29" i="225"/>
  <c r="AZ29" i="225"/>
  <c r="AY29" i="225"/>
  <c r="AX29" i="225"/>
  <c r="AW29" i="225"/>
  <c r="AV29" i="225"/>
  <c r="AU29" i="225"/>
  <c r="AT29" i="225"/>
  <c r="AS29" i="225"/>
  <c r="AR29" i="225"/>
  <c r="AQ29" i="225"/>
  <c r="AP29" i="225"/>
  <c r="AO29" i="225"/>
  <c r="AN29" i="225"/>
  <c r="AM29" i="225"/>
  <c r="AL29" i="225"/>
  <c r="AK29" i="225"/>
  <c r="AJ29" i="225"/>
  <c r="AI29" i="225"/>
  <c r="AH29" i="225"/>
  <c r="AG29" i="225"/>
  <c r="AF29" i="225"/>
  <c r="AE29" i="225"/>
  <c r="AD29" i="225"/>
  <c r="AC29" i="225"/>
  <c r="AB29" i="225"/>
  <c r="AA29" i="225"/>
  <c r="Z29" i="225"/>
  <c r="Y29" i="225"/>
  <c r="X29" i="225"/>
  <c r="W29" i="225"/>
  <c r="V29" i="225"/>
  <c r="U29" i="225"/>
  <c r="T29" i="225"/>
  <c r="S29" i="225"/>
  <c r="R29" i="225"/>
  <c r="Q29" i="225"/>
  <c r="P29" i="225"/>
  <c r="O29" i="225"/>
  <c r="N29" i="225"/>
  <c r="M29" i="225"/>
  <c r="L29" i="225"/>
  <c r="K29" i="225"/>
  <c r="BN27" i="225"/>
  <c r="BM27" i="225"/>
  <c r="BL27" i="225"/>
  <c r="BK27" i="225"/>
  <c r="BJ27" i="225"/>
  <c r="BI27" i="225"/>
  <c r="BH27" i="225"/>
  <c r="BG27" i="225"/>
  <c r="BF27" i="225"/>
  <c r="BE27" i="225"/>
  <c r="BD27" i="225"/>
  <c r="BC27" i="225"/>
  <c r="BB27" i="225"/>
  <c r="BA27" i="225"/>
  <c r="AZ27" i="225"/>
  <c r="AY27" i="225"/>
  <c r="AX27" i="225"/>
  <c r="AW27" i="225"/>
  <c r="AV27" i="225"/>
  <c r="AU27" i="225"/>
  <c r="AT27" i="225"/>
  <c r="AS27" i="225"/>
  <c r="AR27" i="225"/>
  <c r="AQ27" i="225"/>
  <c r="AP27" i="225"/>
  <c r="AO27" i="225"/>
  <c r="AN27" i="225"/>
  <c r="AM27" i="225"/>
  <c r="AL27" i="225"/>
  <c r="AK27" i="225"/>
  <c r="AJ27" i="225"/>
  <c r="AI27" i="225"/>
  <c r="AH27" i="225"/>
  <c r="AG27" i="225"/>
  <c r="AF27" i="225"/>
  <c r="AE27" i="225"/>
  <c r="AD27" i="225"/>
  <c r="AC27" i="225"/>
  <c r="AB27" i="225"/>
  <c r="AA27" i="225"/>
  <c r="Z27" i="225"/>
  <c r="Y27" i="225"/>
  <c r="X27" i="225"/>
  <c r="W27" i="225"/>
  <c r="V27" i="225"/>
  <c r="U27" i="225"/>
  <c r="T27" i="225"/>
  <c r="S27" i="225"/>
  <c r="R27" i="225"/>
  <c r="Q27" i="225"/>
  <c r="P27" i="225"/>
  <c r="O27" i="225"/>
  <c r="N27" i="225"/>
  <c r="M27" i="225"/>
  <c r="L27" i="225"/>
  <c r="K27" i="225"/>
  <c r="BN26" i="225"/>
  <c r="BM26" i="225"/>
  <c r="BL26" i="225"/>
  <c r="BK26" i="225"/>
  <c r="BJ26" i="225"/>
  <c r="BI26" i="225"/>
  <c r="BH26" i="225"/>
  <c r="BG26" i="225"/>
  <c r="BF26" i="225"/>
  <c r="BE26" i="225"/>
  <c r="BD26" i="225"/>
  <c r="BC26" i="225"/>
  <c r="BB26" i="225"/>
  <c r="BA26" i="225"/>
  <c r="AZ26" i="225"/>
  <c r="AY26" i="225"/>
  <c r="AX26" i="225"/>
  <c r="AW26" i="225"/>
  <c r="AV26" i="225"/>
  <c r="AU26" i="225"/>
  <c r="AT26" i="225"/>
  <c r="AS26" i="225"/>
  <c r="AR26" i="225"/>
  <c r="AQ26" i="225"/>
  <c r="AP26" i="225"/>
  <c r="AO26" i="225"/>
  <c r="AN26" i="225"/>
  <c r="AM26" i="225"/>
  <c r="AL26" i="225"/>
  <c r="AK26" i="225"/>
  <c r="AJ26" i="225"/>
  <c r="AI26" i="225"/>
  <c r="AH26" i="225"/>
  <c r="AG26" i="225"/>
  <c r="AF26" i="225"/>
  <c r="AE26" i="225"/>
  <c r="AD26" i="225"/>
  <c r="AC26" i="225"/>
  <c r="AB26" i="225"/>
  <c r="AA26" i="225"/>
  <c r="Z26" i="225"/>
  <c r="Y26" i="225"/>
  <c r="X26" i="225"/>
  <c r="W26" i="225"/>
  <c r="V26" i="225"/>
  <c r="U26" i="225"/>
  <c r="T26" i="225"/>
  <c r="S26" i="225"/>
  <c r="R26" i="225"/>
  <c r="Q26" i="225"/>
  <c r="P26" i="225"/>
  <c r="O26" i="225"/>
  <c r="N26" i="225"/>
  <c r="M26" i="225"/>
  <c r="L26" i="225"/>
  <c r="K26" i="225"/>
  <c r="B24" i="225"/>
  <c r="B23" i="225"/>
  <c r="H22" i="225"/>
  <c r="E22" i="225"/>
  <c r="H21" i="225"/>
  <c r="E21" i="225"/>
  <c r="H20" i="225"/>
  <c r="E20" i="225"/>
  <c r="H19" i="225"/>
  <c r="E19" i="225"/>
  <c r="H18" i="225"/>
  <c r="E18" i="225"/>
  <c r="H17" i="225"/>
  <c r="E17" i="225"/>
  <c r="H16" i="225"/>
  <c r="E16" i="225"/>
  <c r="H15" i="225"/>
  <c r="E15" i="225"/>
  <c r="H14" i="225"/>
  <c r="E14" i="225"/>
  <c r="H13" i="225"/>
  <c r="E13" i="225"/>
  <c r="H12" i="225"/>
  <c r="E12" i="225"/>
  <c r="H11" i="225"/>
  <c r="E11" i="225"/>
  <c r="H10" i="225"/>
  <c r="E10" i="225"/>
  <c r="H9" i="225"/>
  <c r="E9" i="225"/>
  <c r="H8" i="225"/>
  <c r="E8" i="225"/>
  <c r="H7" i="225"/>
  <c r="E7" i="225"/>
  <c r="H6" i="225"/>
  <c r="E6" i="225"/>
  <c r="H5" i="225"/>
  <c r="E5" i="225"/>
  <c r="H4" i="225"/>
  <c r="E4" i="225"/>
  <c r="H3" i="225" l="1"/>
  <c r="BN30" i="225" l="1"/>
  <c r="BL30" i="225"/>
  <c r="BJ30" i="225"/>
  <c r="BH30" i="225"/>
  <c r="BF30" i="225"/>
  <c r="BD30" i="225"/>
  <c r="BB30" i="225"/>
  <c r="AZ30" i="225"/>
  <c r="AX30" i="225"/>
  <c r="AV30" i="225"/>
  <c r="AT30" i="225"/>
  <c r="AR30" i="225"/>
  <c r="AP30" i="225"/>
  <c r="AN30" i="225"/>
  <c r="AL30" i="225"/>
  <c r="AJ30" i="225"/>
  <c r="AH30" i="225"/>
  <c r="AF30" i="225"/>
  <c r="AD30" i="225"/>
  <c r="AB30" i="225"/>
  <c r="Z30" i="225"/>
  <c r="X30" i="225"/>
  <c r="V30" i="225"/>
  <c r="T30" i="225"/>
  <c r="R30" i="225"/>
  <c r="P30" i="225"/>
  <c r="N30" i="225"/>
  <c r="L30" i="225"/>
  <c r="BM30" i="225"/>
  <c r="BK30" i="225"/>
  <c r="BI30" i="225"/>
  <c r="BG30" i="225"/>
  <c r="BA30" i="225"/>
  <c r="AK30" i="225"/>
  <c r="AC30" i="225"/>
  <c r="U30" i="225"/>
  <c r="M30" i="225"/>
  <c r="BC30" i="225"/>
  <c r="AY30" i="225"/>
  <c r="AU30" i="225"/>
  <c r="AQ30" i="225"/>
  <c r="AM30" i="225"/>
  <c r="AI30" i="225"/>
  <c r="AE30" i="225"/>
  <c r="AA30" i="225"/>
  <c r="W30" i="225"/>
  <c r="S30" i="225"/>
  <c r="O30" i="225"/>
  <c r="K30" i="225"/>
  <c r="BE30" i="225"/>
  <c r="AW30" i="225"/>
  <c r="AS30" i="225"/>
  <c r="AO30" i="225"/>
  <c r="AG30" i="225"/>
  <c r="Y30" i="225"/>
  <c r="Q30" i="225"/>
  <c r="E3" i="225"/>
  <c r="H25" i="225" s="1"/>
  <c r="U2" i="225"/>
  <c r="N2" i="225"/>
  <c r="BI2" i="225"/>
  <c r="BJ2" i="225"/>
  <c r="L2" i="225"/>
  <c r="O2" i="225"/>
  <c r="AU2" i="225"/>
  <c r="X2" i="225"/>
  <c r="AF2" i="225"/>
  <c r="AC2" i="225"/>
  <c r="AX2" i="225"/>
  <c r="BC2" i="225"/>
  <c r="AW2" i="225"/>
  <c r="T2" i="225"/>
  <c r="Q2" i="225"/>
  <c r="AR2" i="225"/>
  <c r="I2" i="225"/>
  <c r="AP2" i="225"/>
  <c r="BD2" i="225"/>
  <c r="AL2" i="225"/>
  <c r="AH2" i="225"/>
  <c r="AB2" i="225"/>
  <c r="BE2" i="225"/>
  <c r="AO2" i="225"/>
  <c r="AZ2" i="225"/>
  <c r="W2" i="225"/>
  <c r="M2" i="225"/>
  <c r="H2" i="225"/>
  <c r="J2" i="225"/>
  <c r="AM2" i="225"/>
  <c r="G2" i="225"/>
  <c r="BB2" i="225"/>
  <c r="AQ2" i="225"/>
  <c r="BH2" i="225"/>
  <c r="BF2" i="225"/>
  <c r="K2" i="225"/>
  <c r="AK2" i="225"/>
  <c r="V2" i="225"/>
  <c r="BM2" i="225"/>
  <c r="P2" i="225"/>
  <c r="AS2" i="225"/>
  <c r="Y2" i="225"/>
  <c r="AJ2" i="225"/>
  <c r="AI2" i="225"/>
  <c r="BG2" i="225"/>
  <c r="Z2" i="225"/>
  <c r="AA2" i="225"/>
  <c r="BL2" i="225"/>
  <c r="AY2" i="225"/>
  <c r="S2" i="225"/>
  <c r="AD2" i="225"/>
  <c r="AV2" i="225"/>
  <c r="R2" i="225"/>
  <c r="AE2" i="225"/>
  <c r="AN2" i="225"/>
  <c r="BK2" i="225"/>
  <c r="BN2" i="225"/>
  <c r="AG2" i="225"/>
  <c r="AT2" i="225"/>
  <c r="BA2" i="225"/>
  <c r="K40" i="225" l="1"/>
  <c r="K39" i="225"/>
  <c r="L40" i="225"/>
  <c r="L39" i="225"/>
  <c r="M40" i="225"/>
  <c r="M39" i="225"/>
  <c r="N40" i="225"/>
  <c r="N39" i="225"/>
  <c r="O40" i="225"/>
  <c r="O39" i="225"/>
  <c r="P40" i="225"/>
  <c r="P39" i="225"/>
  <c r="Q40" i="225"/>
  <c r="Q39" i="225"/>
  <c r="R40" i="225"/>
  <c r="R39" i="225"/>
  <c r="S40" i="225"/>
  <c r="S39" i="225"/>
  <c r="T40" i="225"/>
  <c r="T39" i="225"/>
  <c r="U40" i="225"/>
  <c r="U39" i="225"/>
  <c r="V40" i="225"/>
  <c r="V39" i="225"/>
  <c r="W40" i="225"/>
  <c r="W39" i="225"/>
  <c r="X40" i="225"/>
  <c r="X39" i="225"/>
  <c r="Y40" i="225"/>
  <c r="Y39" i="225"/>
  <c r="Z40" i="225"/>
  <c r="Z39" i="225"/>
  <c r="AA40" i="225"/>
  <c r="AA39" i="225"/>
  <c r="AB40" i="225"/>
  <c r="AB39" i="225"/>
  <c r="AC40" i="225"/>
  <c r="AC39" i="225"/>
  <c r="AD40" i="225"/>
  <c r="AD39" i="225"/>
  <c r="AE40" i="225"/>
  <c r="AE39" i="225"/>
  <c r="AF40" i="225"/>
  <c r="AF39" i="225"/>
  <c r="AG40" i="225"/>
  <c r="AG39" i="225"/>
  <c r="AH40" i="225"/>
  <c r="AH39" i="225"/>
  <c r="AI40" i="225"/>
  <c r="AI39" i="225"/>
  <c r="AJ40" i="225"/>
  <c r="AJ39" i="225"/>
  <c r="AK40" i="225"/>
  <c r="AK39" i="225"/>
  <c r="AL40" i="225"/>
  <c r="AL39" i="225"/>
  <c r="AM40" i="225"/>
  <c r="AM39" i="225"/>
  <c r="AN40" i="225"/>
  <c r="AN39" i="225"/>
  <c r="AO40" i="225"/>
  <c r="AO39" i="225"/>
  <c r="AP40" i="225"/>
  <c r="AP39" i="225"/>
  <c r="AQ40" i="225"/>
  <c r="AQ39" i="225"/>
  <c r="AR40" i="225"/>
  <c r="AR39" i="225"/>
  <c r="AS40" i="225"/>
  <c r="AS39" i="225"/>
  <c r="AT40" i="225"/>
  <c r="AT39" i="225"/>
  <c r="AU40" i="225"/>
  <c r="AU39" i="225"/>
  <c r="AV40" i="225"/>
  <c r="AV39" i="225"/>
  <c r="AW40" i="225"/>
  <c r="AW39" i="225"/>
  <c r="AX40" i="225"/>
  <c r="AX39" i="225"/>
  <c r="AY40" i="225"/>
  <c r="AY39" i="225"/>
  <c r="AZ40" i="225"/>
  <c r="AZ39" i="225"/>
  <c r="BA40" i="225"/>
  <c r="BA39" i="225"/>
  <c r="BB40" i="225"/>
  <c r="BB39" i="225"/>
  <c r="BC40" i="225"/>
  <c r="BC39" i="225"/>
  <c r="BD40" i="225"/>
  <c r="BD39" i="225"/>
  <c r="BE40" i="225"/>
  <c r="BE39" i="225"/>
  <c r="BF40" i="225"/>
  <c r="BF39" i="225"/>
  <c r="BG40" i="225"/>
  <c r="BG39" i="225"/>
  <c r="BH40" i="225"/>
  <c r="BH39" i="225"/>
  <c r="BI40" i="225"/>
  <c r="BI39" i="225"/>
  <c r="BJ40" i="225"/>
  <c r="BJ39" i="225"/>
  <c r="BK40" i="225"/>
  <c r="BK39" i="225"/>
  <c r="BL40" i="225"/>
  <c r="BL39" i="225"/>
  <c r="BM40" i="225"/>
  <c r="BM39" i="225"/>
  <c r="BN40" i="225"/>
  <c r="BN39" i="225"/>
  <c r="BM25" i="225"/>
  <c r="BM36" i="225" s="1"/>
  <c r="BK25" i="225"/>
  <c r="BK36" i="225" s="1"/>
  <c r="BI25" i="225"/>
  <c r="BI36" i="225" s="1"/>
  <c r="BG25" i="225"/>
  <c r="BG36" i="225" s="1"/>
  <c r="BE25" i="225"/>
  <c r="BE36" i="225" s="1"/>
  <c r="BC25" i="225"/>
  <c r="BC36" i="225" s="1"/>
  <c r="BA25" i="225"/>
  <c r="BA36" i="225" s="1"/>
  <c r="AY25" i="225"/>
  <c r="AY36" i="225" s="1"/>
  <c r="AW25" i="225"/>
  <c r="AW36" i="225" s="1"/>
  <c r="AU25" i="225"/>
  <c r="AU36" i="225" s="1"/>
  <c r="AS25" i="225"/>
  <c r="AS36" i="225" s="1"/>
  <c r="AQ25" i="225"/>
  <c r="AQ36" i="225" s="1"/>
  <c r="AO25" i="225"/>
  <c r="AO36" i="225" s="1"/>
  <c r="AM25" i="225"/>
  <c r="AM36" i="225" s="1"/>
  <c r="AK25" i="225"/>
  <c r="AK36" i="225" s="1"/>
  <c r="AI25" i="225"/>
  <c r="AI36" i="225" s="1"/>
  <c r="AG25" i="225"/>
  <c r="AG36" i="225" s="1"/>
  <c r="AE25" i="225"/>
  <c r="AE36" i="225" s="1"/>
  <c r="AC25" i="225"/>
  <c r="AC36" i="225" s="1"/>
  <c r="AA25" i="225"/>
  <c r="AA36" i="225" s="1"/>
  <c r="Y25" i="225"/>
  <c r="Y36" i="225" s="1"/>
  <c r="W25" i="225"/>
  <c r="W36" i="225" s="1"/>
  <c r="U25" i="225"/>
  <c r="U36" i="225" s="1"/>
  <c r="S25" i="225"/>
  <c r="S36" i="225" s="1"/>
  <c r="Q25" i="225"/>
  <c r="Q36" i="225" s="1"/>
  <c r="O25" i="225"/>
  <c r="O36" i="225" s="1"/>
  <c r="M25" i="225"/>
  <c r="M36" i="225" s="1"/>
  <c r="K25" i="225"/>
  <c r="G25" i="225"/>
  <c r="BN25" i="225"/>
  <c r="BN36" i="225" s="1"/>
  <c r="BL25" i="225"/>
  <c r="BL36" i="225" s="1"/>
  <c r="BJ25" i="225"/>
  <c r="BJ36" i="225" s="1"/>
  <c r="BH25" i="225"/>
  <c r="BH36" i="225" s="1"/>
  <c r="BF25" i="225"/>
  <c r="BF36" i="225" s="1"/>
  <c r="BD25" i="225"/>
  <c r="BD36" i="225" s="1"/>
  <c r="BB25" i="225"/>
  <c r="BB36" i="225" s="1"/>
  <c r="AZ25" i="225"/>
  <c r="AZ36" i="225" s="1"/>
  <c r="AX25" i="225"/>
  <c r="AX36" i="225" s="1"/>
  <c r="AV25" i="225"/>
  <c r="AV36" i="225" s="1"/>
  <c r="AT25" i="225"/>
  <c r="AT36" i="225" s="1"/>
  <c r="AR25" i="225"/>
  <c r="AR36" i="225" s="1"/>
  <c r="AP25" i="225"/>
  <c r="AP36" i="225" s="1"/>
  <c r="AN25" i="225"/>
  <c r="AN36" i="225" s="1"/>
  <c r="AL25" i="225"/>
  <c r="AL36" i="225" s="1"/>
  <c r="AJ25" i="225"/>
  <c r="AJ36" i="225" s="1"/>
  <c r="AH25" i="225"/>
  <c r="AH36" i="225" s="1"/>
  <c r="AF25" i="225"/>
  <c r="AF36" i="225" s="1"/>
  <c r="AD25" i="225"/>
  <c r="AD36" i="225" s="1"/>
  <c r="AB25" i="225"/>
  <c r="AB36" i="225" s="1"/>
  <c r="Z25" i="225"/>
  <c r="Z36" i="225" s="1"/>
  <c r="X25" i="225"/>
  <c r="X36" i="225" s="1"/>
  <c r="V25" i="225"/>
  <c r="V36" i="225" s="1"/>
  <c r="T25" i="225"/>
  <c r="T36" i="225" s="1"/>
  <c r="R25" i="225"/>
  <c r="R36" i="225" s="1"/>
  <c r="P25" i="225"/>
  <c r="P36" i="225" s="1"/>
  <c r="N25" i="225"/>
  <c r="N36" i="225" s="1"/>
  <c r="L25" i="225"/>
  <c r="L36" i="225" s="1"/>
  <c r="J25" i="225"/>
  <c r="J1" i="225"/>
  <c r="I1" i="225"/>
  <c r="BN35" i="224"/>
  <c r="BM35" i="224"/>
  <c r="BL35" i="224"/>
  <c r="BK35" i="224"/>
  <c r="BJ35" i="224"/>
  <c r="BI35" i="224"/>
  <c r="BH35" i="224"/>
  <c r="BG35" i="224"/>
  <c r="BF35" i="224"/>
  <c r="BE35" i="224"/>
  <c r="BD35" i="224"/>
  <c r="BC35" i="224"/>
  <c r="BB35" i="224"/>
  <c r="BA35" i="224"/>
  <c r="AZ35" i="224"/>
  <c r="AY35" i="224"/>
  <c r="AX35" i="224"/>
  <c r="AW35" i="224"/>
  <c r="AV35" i="224"/>
  <c r="AU35" i="224"/>
  <c r="AT35" i="224"/>
  <c r="AS35" i="224"/>
  <c r="AR35" i="224"/>
  <c r="AQ35" i="224"/>
  <c r="AP35" i="224"/>
  <c r="AO35" i="224"/>
  <c r="AN35" i="224"/>
  <c r="AM35" i="224"/>
  <c r="AL35" i="224"/>
  <c r="AK35" i="224"/>
  <c r="AJ35" i="224"/>
  <c r="AI35" i="224"/>
  <c r="AH35" i="224"/>
  <c r="AG35" i="224"/>
  <c r="AF35" i="224"/>
  <c r="AE35" i="224"/>
  <c r="AD35" i="224"/>
  <c r="AC35" i="224"/>
  <c r="AB35" i="224"/>
  <c r="AA35" i="224"/>
  <c r="Z35" i="224"/>
  <c r="Y35" i="224"/>
  <c r="X35" i="224"/>
  <c r="W35" i="224"/>
  <c r="V35" i="224"/>
  <c r="U35" i="224"/>
  <c r="T35" i="224"/>
  <c r="S35" i="224"/>
  <c r="R35" i="224"/>
  <c r="Q35" i="224"/>
  <c r="P35" i="224"/>
  <c r="O35" i="224"/>
  <c r="N35" i="224"/>
  <c r="M35" i="224"/>
  <c r="L35" i="224"/>
  <c r="K35" i="224"/>
  <c r="K36" i="225" l="1"/>
  <c r="BN29" i="224"/>
  <c r="BM29" i="224"/>
  <c r="BL29" i="224"/>
  <c r="BK29" i="224"/>
  <c r="BJ29" i="224"/>
  <c r="BI29" i="224"/>
  <c r="BH29" i="224"/>
  <c r="BG29" i="224"/>
  <c r="BF29" i="224"/>
  <c r="BE29" i="224"/>
  <c r="BD29" i="224"/>
  <c r="BC29" i="224"/>
  <c r="BB29" i="224"/>
  <c r="BA29" i="224"/>
  <c r="AZ29" i="224"/>
  <c r="AY29" i="224"/>
  <c r="AX29" i="224"/>
  <c r="AW29" i="224"/>
  <c r="AV29" i="224"/>
  <c r="AU29" i="224"/>
  <c r="AT29" i="224"/>
  <c r="AS29" i="224"/>
  <c r="AR29" i="224"/>
  <c r="AQ29" i="224"/>
  <c r="AP29" i="224"/>
  <c r="AO29" i="224"/>
  <c r="AN29" i="224"/>
  <c r="AM29" i="224"/>
  <c r="AL29" i="224"/>
  <c r="AK29" i="224"/>
  <c r="AJ29" i="224"/>
  <c r="AI29" i="224"/>
  <c r="AH29" i="224"/>
  <c r="AG29" i="224"/>
  <c r="AF29" i="224"/>
  <c r="AE29" i="224"/>
  <c r="AD29" i="224"/>
  <c r="AC29" i="224"/>
  <c r="AB29" i="224"/>
  <c r="AA29" i="224"/>
  <c r="Z29" i="224"/>
  <c r="Y29" i="224"/>
  <c r="X29" i="224"/>
  <c r="W29" i="224"/>
  <c r="V29" i="224"/>
  <c r="U29" i="224"/>
  <c r="T29" i="224"/>
  <c r="S29" i="224"/>
  <c r="R29" i="224"/>
  <c r="Q29" i="224"/>
  <c r="P29" i="224"/>
  <c r="O29" i="224"/>
  <c r="N29" i="224"/>
  <c r="M29" i="224"/>
  <c r="L29" i="224"/>
  <c r="K29" i="224"/>
  <c r="BN27" i="224"/>
  <c r="BM27" i="224"/>
  <c r="BL27" i="224"/>
  <c r="BK27" i="224"/>
  <c r="BJ27" i="224"/>
  <c r="BI27" i="224"/>
  <c r="BH27" i="224"/>
  <c r="BG27" i="224"/>
  <c r="BF27" i="224"/>
  <c r="BE27" i="224"/>
  <c r="BD27" i="224"/>
  <c r="BC27" i="224"/>
  <c r="BB27" i="224"/>
  <c r="BA27" i="224"/>
  <c r="AZ27" i="224"/>
  <c r="AY27" i="224"/>
  <c r="AX27" i="224"/>
  <c r="AW27" i="224"/>
  <c r="AV27" i="224"/>
  <c r="AU27" i="224"/>
  <c r="AT27" i="224"/>
  <c r="AS27" i="224"/>
  <c r="AR27" i="224"/>
  <c r="AQ27" i="224"/>
  <c r="AP27" i="224"/>
  <c r="AO27" i="224"/>
  <c r="AN27" i="224"/>
  <c r="AM27" i="224"/>
  <c r="AL27" i="224"/>
  <c r="AK27" i="224"/>
  <c r="AJ27" i="224"/>
  <c r="AI27" i="224"/>
  <c r="AH27" i="224"/>
  <c r="AG27" i="224"/>
  <c r="AF27" i="224"/>
  <c r="AE27" i="224"/>
  <c r="AD27" i="224"/>
  <c r="AC27" i="224"/>
  <c r="AB27" i="224"/>
  <c r="AA27" i="224"/>
  <c r="Z27" i="224"/>
  <c r="Y27" i="224"/>
  <c r="X27" i="224"/>
  <c r="W27" i="224"/>
  <c r="V27" i="224"/>
  <c r="U27" i="224"/>
  <c r="T27" i="224"/>
  <c r="S27" i="224"/>
  <c r="R27" i="224"/>
  <c r="Q27" i="224"/>
  <c r="P27" i="224"/>
  <c r="O27" i="224"/>
  <c r="N27" i="224"/>
  <c r="M27" i="224"/>
  <c r="L27" i="224"/>
  <c r="K27" i="224"/>
  <c r="BN26" i="224"/>
  <c r="BM26" i="224"/>
  <c r="BL26" i="224"/>
  <c r="BK26" i="224"/>
  <c r="BJ26" i="224"/>
  <c r="BI26" i="224"/>
  <c r="BH26" i="224"/>
  <c r="BG26" i="224"/>
  <c r="BF26" i="224"/>
  <c r="BE26" i="224"/>
  <c r="BD26" i="224"/>
  <c r="BC26" i="224"/>
  <c r="BB26" i="224"/>
  <c r="BA26" i="224"/>
  <c r="AZ26" i="224"/>
  <c r="AY26" i="224"/>
  <c r="AX26" i="224"/>
  <c r="AW26" i="224"/>
  <c r="AV26" i="224"/>
  <c r="AU26" i="224"/>
  <c r="AT26" i="224"/>
  <c r="AS26" i="224"/>
  <c r="AR26" i="224"/>
  <c r="AQ26" i="224"/>
  <c r="AP26" i="224"/>
  <c r="AO26" i="224"/>
  <c r="AN26" i="224"/>
  <c r="AM26" i="224"/>
  <c r="AL26" i="224"/>
  <c r="AK26" i="224"/>
  <c r="AJ26" i="224"/>
  <c r="AI26" i="224"/>
  <c r="AH26" i="224"/>
  <c r="AG26" i="224"/>
  <c r="AF26" i="224"/>
  <c r="AE26" i="224"/>
  <c r="AD26" i="224"/>
  <c r="AC26" i="224"/>
  <c r="AB26" i="224"/>
  <c r="AA26" i="224"/>
  <c r="Z26" i="224"/>
  <c r="Y26" i="224"/>
  <c r="X26" i="224"/>
  <c r="W26" i="224"/>
  <c r="V26" i="224"/>
  <c r="U26" i="224"/>
  <c r="T26" i="224"/>
  <c r="S26" i="224"/>
  <c r="R26" i="224"/>
  <c r="Q26" i="224"/>
  <c r="P26" i="224"/>
  <c r="O26" i="224"/>
  <c r="N26" i="224"/>
  <c r="M26" i="224"/>
  <c r="L26" i="224"/>
  <c r="K26" i="224"/>
  <c r="B24" i="224"/>
  <c r="B23" i="224"/>
  <c r="H22" i="224"/>
  <c r="E22" i="224"/>
  <c r="H21" i="224"/>
  <c r="E21" i="224"/>
  <c r="H20" i="224"/>
  <c r="E20" i="224"/>
  <c r="H19" i="224"/>
  <c r="E19" i="224"/>
  <c r="H18" i="224"/>
  <c r="E18" i="224"/>
  <c r="H17" i="224"/>
  <c r="E17" i="224"/>
  <c r="H16" i="224"/>
  <c r="E16" i="224"/>
  <c r="H15" i="224"/>
  <c r="E15" i="224"/>
  <c r="H14" i="224"/>
  <c r="E14" i="224"/>
  <c r="H13" i="224"/>
  <c r="E13" i="224"/>
  <c r="H12" i="224"/>
  <c r="E12" i="224"/>
  <c r="H11" i="224"/>
  <c r="E11" i="224"/>
  <c r="H10" i="224"/>
  <c r="E10" i="224"/>
  <c r="H9" i="224"/>
  <c r="E9" i="224"/>
  <c r="H8" i="224"/>
  <c r="E8" i="224"/>
  <c r="H7" i="224"/>
  <c r="E7" i="224"/>
  <c r="H6" i="224"/>
  <c r="E6" i="224"/>
  <c r="H5" i="224"/>
  <c r="E5" i="224"/>
  <c r="H4" i="224"/>
  <c r="E4" i="224"/>
  <c r="H3" i="224" l="1"/>
  <c r="BM30" i="224" l="1"/>
  <c r="BK30" i="224"/>
  <c r="BI30" i="224"/>
  <c r="BG30" i="224"/>
  <c r="BE30" i="224"/>
  <c r="BC30" i="224"/>
  <c r="BA30" i="224"/>
  <c r="AY30" i="224"/>
  <c r="AW30" i="224"/>
  <c r="AU30" i="224"/>
  <c r="AS30" i="224"/>
  <c r="AQ30" i="224"/>
  <c r="AO30" i="224"/>
  <c r="AM30" i="224"/>
  <c r="AK30" i="224"/>
  <c r="AI30" i="224"/>
  <c r="AG30" i="224"/>
  <c r="AE30" i="224"/>
  <c r="AC30" i="224"/>
  <c r="AA30" i="224"/>
  <c r="Y30" i="224"/>
  <c r="W30" i="224"/>
  <c r="U30" i="224"/>
  <c r="S30" i="224"/>
  <c r="Q30" i="224"/>
  <c r="O30" i="224"/>
  <c r="M30" i="224"/>
  <c r="K30" i="224"/>
  <c r="BN30" i="224"/>
  <c r="BL30" i="224"/>
  <c r="BJ30" i="224"/>
  <c r="BH30" i="224"/>
  <c r="BF30" i="224"/>
  <c r="BD30" i="224"/>
  <c r="BB30" i="224"/>
  <c r="AZ30" i="224"/>
  <c r="AX30" i="224"/>
  <c r="AV30" i="224"/>
  <c r="AT30" i="224"/>
  <c r="AR30" i="224"/>
  <c r="AP30" i="224"/>
  <c r="AN30" i="224"/>
  <c r="AL30" i="224"/>
  <c r="AJ30" i="224"/>
  <c r="AH30" i="224"/>
  <c r="AF30" i="224"/>
  <c r="AD30" i="224"/>
  <c r="AB30" i="224"/>
  <c r="Z30" i="224"/>
  <c r="X30" i="224"/>
  <c r="V30" i="224"/>
  <c r="T30" i="224"/>
  <c r="R30" i="224"/>
  <c r="P30" i="224"/>
  <c r="N30" i="224"/>
  <c r="L30" i="224"/>
  <c r="E3" i="224"/>
  <c r="H25" i="224" s="1"/>
  <c r="K2" i="224"/>
  <c r="S2" i="224"/>
  <c r="AT2" i="224"/>
  <c r="AR2" i="224"/>
  <c r="G2" i="224"/>
  <c r="M2" i="224"/>
  <c r="AL2" i="224"/>
  <c r="J2" i="224"/>
  <c r="V2" i="224"/>
  <c r="N2" i="224"/>
  <c r="BM2" i="224"/>
  <c r="AE2" i="224"/>
  <c r="AQ2" i="224"/>
  <c r="BA2" i="224"/>
  <c r="AY2" i="224"/>
  <c r="AO2" i="224"/>
  <c r="AM2" i="224"/>
  <c r="P2" i="224"/>
  <c r="AC2" i="224"/>
  <c r="BL2" i="224"/>
  <c r="BC2" i="224"/>
  <c r="BD2" i="224"/>
  <c r="R2" i="224"/>
  <c r="Q2" i="224"/>
  <c r="BJ2" i="224"/>
  <c r="Y2" i="224"/>
  <c r="AJ2" i="224"/>
  <c r="Z2" i="224"/>
  <c r="O2" i="224"/>
  <c r="U2" i="224"/>
  <c r="BF2" i="224"/>
  <c r="BK2" i="224"/>
  <c r="AV2" i="224"/>
  <c r="AD2" i="224"/>
  <c r="AU2" i="224"/>
  <c r="W2" i="224"/>
  <c r="BG2" i="224"/>
  <c r="I2" i="224"/>
  <c r="AG2" i="224"/>
  <c r="AK2" i="224"/>
  <c r="AS2" i="224"/>
  <c r="BH2" i="224"/>
  <c r="BE2" i="224"/>
  <c r="H2" i="224"/>
  <c r="AP2" i="224"/>
  <c r="AF2" i="224"/>
  <c r="AW2" i="224"/>
  <c r="AH2" i="224"/>
  <c r="X2" i="224"/>
  <c r="AN2" i="224"/>
  <c r="BI2" i="224"/>
  <c r="BB2" i="224"/>
  <c r="AB2" i="224"/>
  <c r="AZ2" i="224"/>
  <c r="T2" i="224"/>
  <c r="L2" i="224"/>
  <c r="AA2" i="224"/>
  <c r="AI2" i="224"/>
  <c r="AX2" i="224"/>
  <c r="BN2" i="224"/>
  <c r="K40" i="224" l="1"/>
  <c r="K39" i="224"/>
  <c r="L40" i="224"/>
  <c r="L39" i="224"/>
  <c r="M40" i="224"/>
  <c r="M39" i="224"/>
  <c r="N40" i="224"/>
  <c r="N39" i="224"/>
  <c r="O40" i="224"/>
  <c r="O39" i="224"/>
  <c r="P40" i="224"/>
  <c r="P39" i="224"/>
  <c r="Q40" i="224"/>
  <c r="Q39" i="224"/>
  <c r="R40" i="224"/>
  <c r="R39" i="224"/>
  <c r="S40" i="224"/>
  <c r="S39" i="224"/>
  <c r="T40" i="224"/>
  <c r="T39" i="224"/>
  <c r="U40" i="224"/>
  <c r="U39" i="224"/>
  <c r="V40" i="224"/>
  <c r="V39" i="224"/>
  <c r="W40" i="224"/>
  <c r="W39" i="224"/>
  <c r="X40" i="224"/>
  <c r="X39" i="224"/>
  <c r="Y40" i="224"/>
  <c r="Y39" i="224"/>
  <c r="Z40" i="224"/>
  <c r="Z39" i="224"/>
  <c r="AA40" i="224"/>
  <c r="AA39" i="224"/>
  <c r="AB40" i="224"/>
  <c r="AB39" i="224"/>
  <c r="AC40" i="224"/>
  <c r="AC39" i="224"/>
  <c r="AD40" i="224"/>
  <c r="AD39" i="224"/>
  <c r="AE40" i="224"/>
  <c r="AE39" i="224"/>
  <c r="AF40" i="224"/>
  <c r="AF39" i="224"/>
  <c r="AG40" i="224"/>
  <c r="AG39" i="224"/>
  <c r="AH40" i="224"/>
  <c r="AH39" i="224"/>
  <c r="AI40" i="224"/>
  <c r="AI39" i="224"/>
  <c r="AJ40" i="224"/>
  <c r="AJ39" i="224"/>
  <c r="AK40" i="224"/>
  <c r="AK39" i="224"/>
  <c r="AL40" i="224"/>
  <c r="AL39" i="224"/>
  <c r="AM40" i="224"/>
  <c r="AM39" i="224"/>
  <c r="AN40" i="224"/>
  <c r="AN39" i="224"/>
  <c r="AO40" i="224"/>
  <c r="AO39" i="224"/>
  <c r="AP40" i="224"/>
  <c r="AP39" i="224"/>
  <c r="AQ40" i="224"/>
  <c r="AQ39" i="224"/>
  <c r="AR40" i="224"/>
  <c r="AR39" i="224"/>
  <c r="AS40" i="224"/>
  <c r="AS39" i="224"/>
  <c r="AT40" i="224"/>
  <c r="AT39" i="224"/>
  <c r="AU40" i="224"/>
  <c r="AU39" i="224"/>
  <c r="AV40" i="224"/>
  <c r="AV39" i="224"/>
  <c r="AW40" i="224"/>
  <c r="AW39" i="224"/>
  <c r="AX40" i="224"/>
  <c r="AX39" i="224"/>
  <c r="AY40" i="224"/>
  <c r="AY39" i="224"/>
  <c r="AZ40" i="224"/>
  <c r="AZ39" i="224"/>
  <c r="BA40" i="224"/>
  <c r="BA39" i="224"/>
  <c r="BB40" i="224"/>
  <c r="BB39" i="224"/>
  <c r="BC40" i="224"/>
  <c r="BC39" i="224"/>
  <c r="BD40" i="224"/>
  <c r="BD39" i="224"/>
  <c r="BE40" i="224"/>
  <c r="BE39" i="224"/>
  <c r="BF40" i="224"/>
  <c r="BF39" i="224"/>
  <c r="BG40" i="224"/>
  <c r="BG39" i="224"/>
  <c r="BH40" i="224"/>
  <c r="BH39" i="224"/>
  <c r="BI40" i="224"/>
  <c r="BI39" i="224"/>
  <c r="BJ40" i="224"/>
  <c r="BJ39" i="224"/>
  <c r="BK40" i="224"/>
  <c r="BK39" i="224"/>
  <c r="BL40" i="224"/>
  <c r="BL39" i="224"/>
  <c r="BM40" i="224"/>
  <c r="BM39" i="224"/>
  <c r="BN40" i="224"/>
  <c r="BN39" i="224"/>
  <c r="BN25" i="224"/>
  <c r="BN36" i="224" s="1"/>
  <c r="BL25" i="224"/>
  <c r="BL36" i="224" s="1"/>
  <c r="BJ25" i="224"/>
  <c r="BJ36" i="224" s="1"/>
  <c r="BH25" i="224"/>
  <c r="BH36" i="224" s="1"/>
  <c r="BF25" i="224"/>
  <c r="BF36" i="224" s="1"/>
  <c r="BD25" i="224"/>
  <c r="BD36" i="224" s="1"/>
  <c r="BB25" i="224"/>
  <c r="BB36" i="224" s="1"/>
  <c r="AZ25" i="224"/>
  <c r="AZ36" i="224" s="1"/>
  <c r="AX25" i="224"/>
  <c r="AX36" i="224" s="1"/>
  <c r="AV25" i="224"/>
  <c r="AV36" i="224" s="1"/>
  <c r="AT25" i="224"/>
  <c r="AT36" i="224" s="1"/>
  <c r="AR25" i="224"/>
  <c r="AR36" i="224" s="1"/>
  <c r="AP25" i="224"/>
  <c r="AP36" i="224" s="1"/>
  <c r="AN25" i="224"/>
  <c r="AN36" i="224" s="1"/>
  <c r="AL25" i="224"/>
  <c r="AL36" i="224" s="1"/>
  <c r="AJ25" i="224"/>
  <c r="AJ36" i="224" s="1"/>
  <c r="AH25" i="224"/>
  <c r="AH36" i="224" s="1"/>
  <c r="AF25" i="224"/>
  <c r="AF36" i="224" s="1"/>
  <c r="AD25" i="224"/>
  <c r="AD36" i="224" s="1"/>
  <c r="AB25" i="224"/>
  <c r="AB36" i="224" s="1"/>
  <c r="Z25" i="224"/>
  <c r="Z36" i="224" s="1"/>
  <c r="X25" i="224"/>
  <c r="X36" i="224" s="1"/>
  <c r="V25" i="224"/>
  <c r="V36" i="224" s="1"/>
  <c r="T25" i="224"/>
  <c r="T36" i="224" s="1"/>
  <c r="R25" i="224"/>
  <c r="R36" i="224" s="1"/>
  <c r="P25" i="224"/>
  <c r="P36" i="224" s="1"/>
  <c r="N25" i="224"/>
  <c r="N36" i="224" s="1"/>
  <c r="L25" i="224"/>
  <c r="L36" i="224" s="1"/>
  <c r="J25" i="224"/>
  <c r="BM25" i="224"/>
  <c r="BM36" i="224" s="1"/>
  <c r="BK25" i="224"/>
  <c r="BK36" i="224" s="1"/>
  <c r="BI25" i="224"/>
  <c r="BI36" i="224" s="1"/>
  <c r="BG25" i="224"/>
  <c r="BG36" i="224" s="1"/>
  <c r="BE25" i="224"/>
  <c r="BE36" i="224" s="1"/>
  <c r="BC25" i="224"/>
  <c r="BC36" i="224" s="1"/>
  <c r="BA25" i="224"/>
  <c r="BA36" i="224" s="1"/>
  <c r="AY25" i="224"/>
  <c r="AY36" i="224" s="1"/>
  <c r="AW25" i="224"/>
  <c r="AW36" i="224" s="1"/>
  <c r="AU25" i="224"/>
  <c r="AU36" i="224" s="1"/>
  <c r="AS25" i="224"/>
  <c r="AS36" i="224" s="1"/>
  <c r="AQ25" i="224"/>
  <c r="AQ36" i="224" s="1"/>
  <c r="AO25" i="224"/>
  <c r="AO36" i="224" s="1"/>
  <c r="AM25" i="224"/>
  <c r="AM36" i="224" s="1"/>
  <c r="AK25" i="224"/>
  <c r="AK36" i="224" s="1"/>
  <c r="AI25" i="224"/>
  <c r="AI36" i="224" s="1"/>
  <c r="AG25" i="224"/>
  <c r="AG36" i="224" s="1"/>
  <c r="AE25" i="224"/>
  <c r="AE36" i="224" s="1"/>
  <c r="AC25" i="224"/>
  <c r="AC36" i="224" s="1"/>
  <c r="AA25" i="224"/>
  <c r="AA36" i="224" s="1"/>
  <c r="Y25" i="224"/>
  <c r="Y36" i="224" s="1"/>
  <c r="W25" i="224"/>
  <c r="W36" i="224" s="1"/>
  <c r="U25" i="224"/>
  <c r="U36" i="224" s="1"/>
  <c r="S25" i="224"/>
  <c r="S36" i="224" s="1"/>
  <c r="Q25" i="224"/>
  <c r="Q36" i="224" s="1"/>
  <c r="O25" i="224"/>
  <c r="O36" i="224" s="1"/>
  <c r="M25" i="224"/>
  <c r="M36" i="224" s="1"/>
  <c r="K25" i="224"/>
  <c r="G25" i="224"/>
  <c r="J1" i="224"/>
  <c r="I1" i="224"/>
  <c r="BN2" i="1"/>
  <c r="K36" i="224" l="1"/>
  <c r="BN26" i="1"/>
  <c r="BN27" i="1"/>
  <c r="BN29" i="1"/>
  <c r="BN35" i="1"/>
  <c r="BN39" i="1" s="1"/>
  <c r="BN40" i="1"/>
  <c r="D44" i="14"/>
  <c r="B44" i="14"/>
  <c r="B2" i="15" l="1"/>
  <c r="BM26" i="1"/>
  <c r="BM27" i="1"/>
  <c r="BM29" i="1"/>
  <c r="BM35" i="1"/>
  <c r="J1" i="1"/>
  <c r="I1" i="1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F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3" i="223"/>
  <c r="A5" i="223"/>
  <c r="A6" i="223"/>
  <c r="A4" i="223"/>
  <c r="A7" i="223"/>
  <c r="A8" i="223"/>
  <c r="A10" i="223"/>
  <c r="A9" i="223"/>
  <c r="A13" i="223"/>
  <c r="A11" i="223"/>
  <c r="A12" i="223"/>
  <c r="A14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Y63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BO34" i="18"/>
  <c r="Y98" i="18"/>
  <c r="AH98" i="18"/>
  <c r="AK98" i="18"/>
  <c r="BM98" i="18"/>
  <c r="J98" i="18"/>
  <c r="BO84" i="18"/>
  <c r="BO47" i="18"/>
  <c r="BO86" i="18"/>
  <c r="V98" i="18"/>
  <c r="BJ98" i="18"/>
  <c r="Q98" i="18"/>
  <c r="BD98" i="18"/>
  <c r="AO98" i="18"/>
  <c r="BO55" i="18"/>
  <c r="G98" i="18"/>
  <c r="BO72" i="18"/>
  <c r="AS98" i="18"/>
  <c r="BN98" i="18"/>
  <c r="AB98" i="18"/>
  <c r="BO54" i="18"/>
  <c r="BO80" i="18"/>
  <c r="BO87" i="18"/>
  <c r="BO91" i="18"/>
  <c r="BO77" i="18"/>
  <c r="BO52" i="18"/>
  <c r="BO56" i="18"/>
  <c r="BF98" i="18"/>
  <c r="BO42" i="18"/>
  <c r="AW98" i="18"/>
  <c r="U98" i="18"/>
  <c r="AM98" i="18"/>
  <c r="K98" i="18"/>
  <c r="BO97" i="18"/>
  <c r="BO92" i="18"/>
  <c r="X98" i="18"/>
  <c r="BO64" i="18"/>
  <c r="BO66" i="18"/>
  <c r="P98" i="18"/>
  <c r="BO58" i="18"/>
  <c r="BO38" i="18"/>
  <c r="BO90" i="18"/>
  <c r="BO46" i="18"/>
  <c r="BO49" i="18"/>
  <c r="BO59" i="18"/>
  <c r="BO78" i="18"/>
  <c r="BO69" i="18"/>
  <c r="AD98" i="18"/>
  <c r="W98" i="18"/>
  <c r="AJ98" i="18"/>
  <c r="BO81" i="18"/>
  <c r="BO85" i="18"/>
  <c r="AV98" i="18"/>
  <c r="BG98" i="18"/>
  <c r="AE98" i="18"/>
  <c r="AF98" i="18"/>
  <c r="AT98" i="18"/>
  <c r="BO60" i="18"/>
  <c r="BO51" i="18"/>
  <c r="AQ98" i="18"/>
  <c r="BO44" i="18"/>
  <c r="AB30" i="1"/>
  <c r="F24" i="15"/>
  <c r="F23" i="15"/>
  <c r="F31" i="15"/>
  <c r="F26" i="15"/>
  <c r="F25" i="15"/>
  <c r="F28" i="15"/>
  <c r="K28" i="224"/>
  <c r="AE30" i="1" l="1"/>
  <c r="X30" i="1"/>
  <c r="S25" i="1"/>
  <c r="S36" i="1" s="1"/>
  <c r="A4" i="46"/>
  <c r="E44" i="14" s="1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BJ36" i="1" s="1"/>
  <c r="V25" i="1"/>
  <c r="V36" i="1" s="1"/>
  <c r="AK25" i="1"/>
  <c r="AK36" i="1" s="1"/>
  <c r="BK25" i="1"/>
  <c r="BK36" i="1" s="1"/>
  <c r="AA25" i="1"/>
  <c r="AA36" i="1" s="1"/>
  <c r="BM25" i="1"/>
  <c r="AB25" i="1"/>
  <c r="AB36" i="1" s="1"/>
  <c r="AM25" i="1"/>
  <c r="AM36" i="1" s="1"/>
  <c r="AI25" i="1"/>
  <c r="AI36" i="1" s="1"/>
  <c r="BL25" i="1"/>
  <c r="BL36" i="1" s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BO41" i="18"/>
  <c r="P30" i="1"/>
  <c r="AG25" i="1"/>
  <c r="AG36" i="1" s="1"/>
  <c r="AH30" i="1"/>
  <c r="A33" i="18"/>
  <c r="AN30" i="1"/>
  <c r="V30" i="1"/>
  <c r="AD30" i="1"/>
  <c r="A2" i="15"/>
  <c r="N30" i="1"/>
  <c r="BM36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BM30" i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N30" i="1"/>
  <c r="BN25" i="1"/>
  <c r="BN36" i="1" s="1"/>
  <c r="M98" i="18"/>
  <c r="BO74" i="18"/>
  <c r="T98" i="18"/>
  <c r="AC98" i="18"/>
  <c r="L98" i="18"/>
  <c r="BO63" i="18"/>
  <c r="BO62" i="18"/>
  <c r="AZ98" i="18"/>
  <c r="BO57" i="18"/>
  <c r="BO79" i="18"/>
  <c r="BB98" i="18"/>
  <c r="BO43" i="18"/>
  <c r="BO50" i="18"/>
  <c r="BO61" i="18"/>
  <c r="BO75" i="18"/>
  <c r="BO89" i="18"/>
  <c r="AU98" i="18"/>
  <c r="AN98" i="18"/>
  <c r="BO88" i="18"/>
  <c r="O98" i="18"/>
  <c r="BO70" i="18"/>
  <c r="AA98" i="18"/>
  <c r="BO73" i="18"/>
  <c r="BO67" i="18"/>
  <c r="BO39" i="18"/>
  <c r="BO76" i="18"/>
  <c r="BI98" i="18"/>
  <c r="I98" i="18"/>
  <c r="AL98" i="18"/>
  <c r="R98" i="18"/>
  <c r="BL98" i="18"/>
  <c r="AR98" i="18"/>
  <c r="N98" i="18"/>
  <c r="AI98" i="18"/>
  <c r="BK98" i="18"/>
  <c r="BO71" i="18"/>
  <c r="Z98" i="18"/>
  <c r="BO40" i="18"/>
  <c r="BO95" i="18"/>
  <c r="BO94" i="18"/>
  <c r="BO68" i="18"/>
  <c r="S98" i="18"/>
  <c r="BO83" i="18"/>
  <c r="BE98" i="18"/>
  <c r="BO45" i="18"/>
  <c r="BA98" i="18"/>
  <c r="AX98" i="18"/>
  <c r="BO82" i="18"/>
  <c r="BO48" i="18"/>
  <c r="BO98" i="18"/>
  <c r="BO65" i="18"/>
  <c r="BO93" i="18"/>
  <c r="BO96" i="18"/>
  <c r="AP98" i="18"/>
  <c r="AG98" i="18"/>
  <c r="H98" i="18"/>
  <c r="AY98" i="18"/>
  <c r="BH98" i="18"/>
  <c r="BC98" i="18"/>
  <c r="BO53" i="18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BJ28" i="235"/>
  <c r="BL28" i="235"/>
  <c r="U28" i="235"/>
  <c r="AL28" i="235"/>
  <c r="BN28" i="235"/>
  <c r="P28" i="235"/>
  <c r="AR28" i="235"/>
  <c r="Q28" i="235"/>
  <c r="AI28" i="235"/>
  <c r="AS28" i="235"/>
  <c r="S28" i="235"/>
  <c r="AC28" i="235"/>
  <c r="AO28" i="235"/>
  <c r="L28" i="235"/>
  <c r="X28" i="234"/>
  <c r="AC28" i="234"/>
  <c r="BL28" i="234"/>
  <c r="AD28" i="234"/>
  <c r="AI28" i="234"/>
  <c r="O28" i="234"/>
  <c r="AB28" i="234"/>
  <c r="M28" i="234"/>
  <c r="AG28" i="234"/>
  <c r="AS28" i="234"/>
  <c r="AT28" i="234"/>
  <c r="AE28" i="234"/>
  <c r="T28" i="234"/>
  <c r="AX28" i="234"/>
  <c r="AN28" i="233"/>
  <c r="BK28" i="233"/>
  <c r="AF28" i="233"/>
  <c r="AE28" i="233"/>
  <c r="O28" i="233"/>
  <c r="AQ28" i="233"/>
  <c r="BL28" i="233"/>
  <c r="M28" i="233"/>
  <c r="BG28" i="233"/>
  <c r="AI28" i="233"/>
  <c r="AK28" i="233"/>
  <c r="BD28" i="233"/>
  <c r="AU28" i="233"/>
  <c r="AO28" i="233"/>
  <c r="C29" i="232"/>
  <c r="AC28" i="232"/>
  <c r="L28" i="232"/>
  <c r="X28" i="232"/>
  <c r="AZ28" i="232"/>
  <c r="AH28" i="232"/>
  <c r="AD28" i="232"/>
  <c r="BC28" i="232"/>
  <c r="BI28" i="232"/>
  <c r="AT28" i="232"/>
  <c r="AA28" i="232"/>
  <c r="AN28" i="232"/>
  <c r="AI28" i="232"/>
  <c r="AO28" i="232"/>
  <c r="K28" i="232"/>
  <c r="D12" i="14"/>
  <c r="D24" i="14"/>
  <c r="D52" i="14"/>
  <c r="D29" i="14"/>
  <c r="D30" i="14"/>
  <c r="D50" i="14"/>
  <c r="D18" i="14"/>
  <c r="D59" i="14"/>
  <c r="D62" i="14"/>
  <c r="D26" i="14"/>
  <c r="D15" i="14"/>
  <c r="D14" i="14"/>
  <c r="W7" i="14"/>
  <c r="V7" i="14"/>
  <c r="BJ28" i="229"/>
  <c r="BH28" i="227"/>
  <c r="N44" i="14"/>
  <c r="BE28" i="229"/>
  <c r="Q28" i="225"/>
  <c r="BG28" i="231"/>
  <c r="AS28" i="227"/>
  <c r="BB28" i="228"/>
  <c r="C29" i="224"/>
  <c r="P28" i="225"/>
  <c r="K28" i="231"/>
  <c r="AF28" i="226"/>
  <c r="P28" i="228"/>
  <c r="AI28" i="227"/>
  <c r="AS28" i="225"/>
  <c r="U5" i="14"/>
  <c r="T28" i="231"/>
  <c r="BG28" i="229"/>
  <c r="AF28" i="228"/>
  <c r="AC28" i="227"/>
  <c r="AK28" i="225"/>
  <c r="AC28" i="224"/>
  <c r="AC28" i="230"/>
  <c r="AC28" i="225"/>
  <c r="R28" i="224"/>
  <c r="T28" i="226"/>
  <c r="N7" i="14"/>
  <c r="AM28" i="227"/>
  <c r="BE28" i="224"/>
  <c r="O7" i="14"/>
  <c r="Y28" i="227"/>
  <c r="AG28" i="226"/>
  <c r="W28" i="224"/>
  <c r="AC28" i="231"/>
  <c r="AK28" i="228"/>
  <c r="BF28" i="227"/>
  <c r="W28" i="225"/>
  <c r="AD28" i="231"/>
  <c r="AH28" i="228"/>
  <c r="BL28" i="226"/>
  <c r="AB28" i="231"/>
  <c r="AA28" i="228"/>
  <c r="AV28" i="224"/>
  <c r="C29" i="235"/>
  <c r="Y28" i="235"/>
  <c r="AU28" i="235"/>
  <c r="BA28" i="235"/>
  <c r="AG28" i="235"/>
  <c r="BI28" i="235"/>
  <c r="W28" i="235"/>
  <c r="AM28" i="235"/>
  <c r="AW28" i="235"/>
  <c r="R28" i="235"/>
  <c r="T28" i="235"/>
  <c r="BM28" i="235"/>
  <c r="AJ28" i="235"/>
  <c r="AV28" i="235"/>
  <c r="K28" i="235"/>
  <c r="AO28" i="234"/>
  <c r="BA28" i="234"/>
  <c r="AH28" i="234"/>
  <c r="AM28" i="234"/>
  <c r="AZ28" i="234"/>
  <c r="AF28" i="234"/>
  <c r="AK28" i="234"/>
  <c r="V28" i="234"/>
  <c r="N28" i="234"/>
  <c r="BB28" i="234"/>
  <c r="Q28" i="234"/>
  <c r="R28" i="234"/>
  <c r="AJ28" i="234"/>
  <c r="U28" i="234"/>
  <c r="N28" i="233"/>
  <c r="BA28" i="233"/>
  <c r="Q28" i="233"/>
  <c r="S28" i="233"/>
  <c r="AC28" i="233"/>
  <c r="AS28" i="233"/>
  <c r="AP28" i="233"/>
  <c r="Z28" i="233"/>
  <c r="BE28" i="233"/>
  <c r="R28" i="233"/>
  <c r="AG28" i="233"/>
  <c r="AD28" i="233"/>
  <c r="AT28" i="233"/>
  <c r="AB28" i="233"/>
  <c r="N28" i="232"/>
  <c r="AX28" i="232"/>
  <c r="AS28" i="232"/>
  <c r="AV28" i="232"/>
  <c r="BN28" i="232"/>
  <c r="BG28" i="232"/>
  <c r="W28" i="232"/>
  <c r="BF28" i="232"/>
  <c r="Z28" i="232"/>
  <c r="BL28" i="232"/>
  <c r="O28" i="232"/>
  <c r="V28" i="232"/>
  <c r="U28" i="232"/>
  <c r="BA28" i="232"/>
  <c r="D63" i="14"/>
  <c r="D16" i="14"/>
  <c r="D45" i="14"/>
  <c r="D53" i="14"/>
  <c r="D51" i="14"/>
  <c r="D35" i="14"/>
  <c r="D39" i="14"/>
  <c r="D54" i="14"/>
  <c r="D25" i="14"/>
  <c r="D20" i="14"/>
  <c r="D47" i="14"/>
  <c r="D56" i="14"/>
  <c r="W44" i="14"/>
  <c r="U4" i="14"/>
  <c r="U28" i="224"/>
  <c r="BM28" i="230"/>
  <c r="BH28" i="229"/>
  <c r="AM28" i="230"/>
  <c r="AO28" i="226"/>
  <c r="AN28" i="225"/>
  <c r="P4" i="14"/>
  <c r="AH28" i="226"/>
  <c r="U28" i="225"/>
  <c r="R7" i="14"/>
  <c r="BA28" i="226"/>
  <c r="N28" i="229"/>
  <c r="AA28" i="227"/>
  <c r="AA28" i="224"/>
  <c r="AR28" i="227"/>
  <c r="R5" i="14"/>
  <c r="AP28" i="226"/>
  <c r="P28" i="231"/>
  <c r="W28" i="229"/>
  <c r="Q5" i="14"/>
  <c r="X28" i="230"/>
  <c r="BE28" i="227"/>
  <c r="M28" i="229"/>
  <c r="Y28" i="230"/>
  <c r="AX28" i="229"/>
  <c r="AW28" i="227"/>
  <c r="Y28" i="225"/>
  <c r="Q28" i="231"/>
  <c r="BB28" i="224"/>
  <c r="V44" i="14"/>
  <c r="AH28" i="225"/>
  <c r="AA28" i="231"/>
  <c r="Z28" i="227"/>
  <c r="AX28" i="225"/>
  <c r="AA28" i="229"/>
  <c r="AU28" i="227"/>
  <c r="Z28" i="230"/>
  <c r="U7" i="14"/>
  <c r="C29" i="231"/>
  <c r="AQ28" i="230"/>
  <c r="AL28" i="228"/>
  <c r="BL28" i="229"/>
  <c r="BF28" i="226"/>
  <c r="X28" i="224"/>
  <c r="AR28" i="231"/>
  <c r="AR28" i="230"/>
  <c r="AQ28" i="229"/>
  <c r="AV28" i="227"/>
  <c r="AD28" i="225"/>
  <c r="AT28" i="229"/>
  <c r="N28" i="231"/>
  <c r="Q28" i="230"/>
  <c r="Q28" i="228"/>
  <c r="AS28" i="228"/>
  <c r="O4" i="14"/>
  <c r="AD28" i="235"/>
  <c r="AF28" i="235"/>
  <c r="BF28" i="235"/>
  <c r="O28" i="235"/>
  <c r="BC28" i="235"/>
  <c r="AQ28" i="235"/>
  <c r="AK28" i="235"/>
  <c r="BB28" i="235"/>
  <c r="BD28" i="235"/>
  <c r="M28" i="235"/>
  <c r="BG28" i="235"/>
  <c r="AH28" i="235"/>
  <c r="AT28" i="235"/>
  <c r="AA28" i="235"/>
  <c r="BJ28" i="234"/>
  <c r="P28" i="234"/>
  <c r="AU28" i="234"/>
  <c r="BH28" i="234"/>
  <c r="Z28" i="234"/>
  <c r="L28" i="234"/>
  <c r="BN28" i="234"/>
  <c r="AP28" i="234"/>
  <c r="AA28" i="234"/>
  <c r="S28" i="234"/>
  <c r="BG28" i="234"/>
  <c r="AW28" i="234"/>
  <c r="W28" i="234"/>
  <c r="BK28" i="234"/>
  <c r="C29" i="233"/>
  <c r="AX28" i="233"/>
  <c r="BN28" i="233"/>
  <c r="AV28" i="233"/>
  <c r="Y28" i="233"/>
  <c r="BH28" i="233"/>
  <c r="X28" i="233"/>
  <c r="BB28" i="233"/>
  <c r="AJ28" i="233"/>
  <c r="AZ28" i="233"/>
  <c r="U28" i="233"/>
  <c r="L28" i="233"/>
  <c r="BF28" i="233"/>
  <c r="AM28" i="233"/>
  <c r="K28" i="233"/>
  <c r="AG28" i="232"/>
  <c r="BB28" i="232"/>
  <c r="BK28" i="232"/>
  <c r="AW28" i="232"/>
  <c r="AE28" i="232"/>
  <c r="AQ28" i="232"/>
  <c r="AM28" i="232"/>
  <c r="M28" i="232"/>
  <c r="Q28" i="232"/>
  <c r="T28" i="232"/>
  <c r="AJ28" i="232"/>
  <c r="BD28" i="232"/>
  <c r="AP28" i="232"/>
  <c r="BE28" i="232"/>
  <c r="D36" i="14"/>
  <c r="D58" i="14"/>
  <c r="D9" i="14"/>
  <c r="D49" i="14"/>
  <c r="D38" i="14"/>
  <c r="D13" i="14"/>
  <c r="D10" i="14"/>
  <c r="D31" i="14"/>
  <c r="D22" i="14"/>
  <c r="D8" i="14"/>
  <c r="D48" i="14"/>
  <c r="D34" i="14"/>
  <c r="W4" i="14"/>
  <c r="BK28" i="229"/>
  <c r="BN28" i="228"/>
  <c r="BH28" i="226"/>
  <c r="AP28" i="225"/>
  <c r="BI28" i="230"/>
  <c r="AN28" i="229"/>
  <c r="BD28" i="227"/>
  <c r="L28" i="227"/>
  <c r="BJ28" i="231"/>
  <c r="Y28" i="229"/>
  <c r="S28" i="226"/>
  <c r="AE28" i="224"/>
  <c r="Q44" i="14"/>
  <c r="AX28" i="226"/>
  <c r="AH28" i="231"/>
  <c r="AF28" i="230"/>
  <c r="AP28" i="227"/>
  <c r="K28" i="225"/>
  <c r="AY28" i="229"/>
  <c r="O28" i="227"/>
  <c r="M5" i="14"/>
  <c r="AG28" i="229"/>
  <c r="BF28" i="231"/>
  <c r="BJ28" i="227"/>
  <c r="N5" i="14"/>
  <c r="AJ28" i="231"/>
  <c r="AF28" i="229"/>
  <c r="AE28" i="230"/>
  <c r="AB28" i="227"/>
  <c r="BF28" i="228"/>
  <c r="AY28" i="227"/>
  <c r="AM28" i="224"/>
  <c r="BB28" i="229"/>
  <c r="AD28" i="226"/>
  <c r="T28" i="230"/>
  <c r="K28" i="228"/>
  <c r="AT28" i="226"/>
  <c r="AL28" i="227"/>
  <c r="U28" i="229"/>
  <c r="AJ28" i="227"/>
  <c r="AL28" i="226"/>
  <c r="T28" i="224"/>
  <c r="BE28" i="230"/>
  <c r="BK28" i="228"/>
  <c r="X28" i="227"/>
  <c r="AE28" i="226"/>
  <c r="N28" i="226"/>
  <c r="AB28" i="225"/>
  <c r="BD28" i="231"/>
  <c r="P28" i="230"/>
  <c r="S28" i="227"/>
  <c r="AQ28" i="226"/>
  <c r="AQ28" i="224"/>
  <c r="BD28" i="229"/>
  <c r="BL28" i="230"/>
  <c r="Y28" i="228"/>
  <c r="AB28" i="235"/>
  <c r="V28" i="235"/>
  <c r="AZ28" i="235"/>
  <c r="BF28" i="234"/>
  <c r="BI28" i="234"/>
  <c r="AN28" i="234"/>
  <c r="BM28" i="234"/>
  <c r="BI28" i="233"/>
  <c r="AA28" i="233"/>
  <c r="T28" i="233"/>
  <c r="BJ28" i="232"/>
  <c r="AR28" i="232"/>
  <c r="AF28" i="232"/>
  <c r="R28" i="232"/>
  <c r="D37" i="14"/>
  <c r="D60" i="14"/>
  <c r="D33" i="14"/>
  <c r="W5" i="14"/>
  <c r="AW28" i="231"/>
  <c r="M4" i="14"/>
  <c r="C29" i="226"/>
  <c r="AQ28" i="231"/>
  <c r="BC28" i="224"/>
  <c r="AQ28" i="225"/>
  <c r="AI28" i="230"/>
  <c r="BG28" i="230"/>
  <c r="L28" i="224"/>
  <c r="T28" i="227"/>
  <c r="BN28" i="231"/>
  <c r="S28" i="231"/>
  <c r="BH28" i="231"/>
  <c r="BA28" i="230"/>
  <c r="BL28" i="224"/>
  <c r="R28" i="225"/>
  <c r="AG28" i="230"/>
  <c r="AD28" i="230"/>
  <c r="BD28" i="230"/>
  <c r="V4" i="14"/>
  <c r="AR28" i="229"/>
  <c r="AU28" i="226"/>
  <c r="BI28" i="226"/>
  <c r="P28" i="224"/>
  <c r="AU28" i="231"/>
  <c r="AI28" i="229"/>
  <c r="BJ28" i="228"/>
  <c r="V28" i="231"/>
  <c r="R28" i="229"/>
  <c r="C29" i="227"/>
  <c r="BD28" i="226"/>
  <c r="AS28" i="224"/>
  <c r="O44" i="14"/>
  <c r="AL28" i="231"/>
  <c r="Z28" i="229"/>
  <c r="BD28" i="228"/>
  <c r="M28" i="226"/>
  <c r="BF28" i="225"/>
  <c r="S7" i="14"/>
  <c r="AN28" i="228"/>
  <c r="AV28" i="229"/>
  <c r="AX28" i="227"/>
  <c r="AN28" i="224"/>
  <c r="BM28" i="224"/>
  <c r="Q28" i="229"/>
  <c r="BK28" i="231"/>
  <c r="BK28" i="230"/>
  <c r="BH28" i="224"/>
  <c r="AH28" i="230"/>
  <c r="AM28" i="231"/>
  <c r="AF28" i="231"/>
  <c r="AO28" i="230"/>
  <c r="BH28" i="228"/>
  <c r="AV28" i="225"/>
  <c r="AI28" i="224"/>
  <c r="U28" i="227"/>
  <c r="Q4" i="14"/>
  <c r="M7" i="14"/>
  <c r="AT28" i="228"/>
  <c r="AH28" i="224"/>
  <c r="AD28" i="224"/>
  <c r="Y28" i="231"/>
  <c r="S28" i="230"/>
  <c r="BC28" i="229"/>
  <c r="R28" i="227"/>
  <c r="BN28" i="224"/>
  <c r="BN28" i="225"/>
  <c r="BM28" i="231"/>
  <c r="AA28" i="230"/>
  <c r="Z28" i="231"/>
  <c r="BG28" i="227"/>
  <c r="AZ28" i="226"/>
  <c r="AJ28" i="224"/>
  <c r="BK28" i="227"/>
  <c r="BK28" i="226"/>
  <c r="M28" i="224"/>
  <c r="M28" i="228"/>
  <c r="BC28" i="231"/>
  <c r="AP28" i="229"/>
  <c r="AC28" i="226"/>
  <c r="BE28" i="225"/>
  <c r="AO28" i="228"/>
  <c r="Q28" i="224"/>
  <c r="S28" i="229"/>
  <c r="AW28" i="226"/>
  <c r="AO28" i="227"/>
  <c r="BB28" i="230"/>
  <c r="O5" i="14"/>
  <c r="AH28" i="227"/>
  <c r="AJ28" i="230"/>
  <c r="W28" i="230"/>
  <c r="BN28" i="227"/>
  <c r="BC28" i="228"/>
  <c r="BC28" i="230"/>
  <c r="L28" i="231"/>
  <c r="P44" i="14"/>
  <c r="M28" i="227"/>
  <c r="BI28" i="231"/>
  <c r="BD28" i="224"/>
  <c r="BL28" i="231"/>
  <c r="AZ28" i="225"/>
  <c r="BM28" i="229"/>
  <c r="AJ28" i="225"/>
  <c r="BL28" i="228"/>
  <c r="BA28" i="224"/>
  <c r="V28" i="228"/>
  <c r="U28" i="230"/>
  <c r="V28" i="230"/>
  <c r="AW28" i="224"/>
  <c r="C29" i="230"/>
  <c r="BG28" i="226"/>
  <c r="W28" i="228"/>
  <c r="BH28" i="230"/>
  <c r="AG28" i="224"/>
  <c r="AT28" i="230"/>
  <c r="P5" i="14"/>
  <c r="BN28" i="229"/>
  <c r="AD28" i="229"/>
  <c r="AY28" i="235"/>
  <c r="AN28" i="235"/>
  <c r="X28" i="235"/>
  <c r="AE28" i="235"/>
  <c r="AL28" i="234"/>
  <c r="BE28" i="234"/>
  <c r="Y28" i="234"/>
  <c r="K28" i="234"/>
  <c r="AH28" i="233"/>
  <c r="AW28" i="233"/>
  <c r="W28" i="233"/>
  <c r="BM28" i="232"/>
  <c r="AK28" i="232"/>
  <c r="AB28" i="232"/>
  <c r="AU28" i="232"/>
  <c r="D55" i="14"/>
  <c r="D42" i="14"/>
  <c r="D19" i="14"/>
  <c r="BH28" i="225"/>
  <c r="AY28" i="226"/>
  <c r="AO28" i="231"/>
  <c r="N4" i="14"/>
  <c r="L28" i="228"/>
  <c r="P28" i="229"/>
  <c r="C29" i="229"/>
  <c r="AQ28" i="227"/>
  <c r="BA28" i="228"/>
  <c r="BE28" i="231"/>
  <c r="BK28" i="224"/>
  <c r="BF28" i="230"/>
  <c r="N28" i="228"/>
  <c r="C29" i="228"/>
  <c r="O28" i="224"/>
  <c r="U28" i="231"/>
  <c r="U44" i="14"/>
  <c r="P28" i="227"/>
  <c r="V28" i="229"/>
  <c r="BG28" i="228"/>
  <c r="AO28" i="229"/>
  <c r="AY28" i="228"/>
  <c r="AI28" i="226"/>
  <c r="AB28" i="224"/>
  <c r="Y28" i="224"/>
  <c r="BJ28" i="230"/>
  <c r="BI28" i="229"/>
  <c r="BE28" i="226"/>
  <c r="R28" i="226"/>
  <c r="R44" i="14"/>
  <c r="AQ28" i="228"/>
  <c r="BB28" i="231"/>
  <c r="K28" i="229"/>
  <c r="BN28" i="226"/>
  <c r="AT28" i="224"/>
  <c r="BJ28" i="226"/>
  <c r="X28" i="229"/>
  <c r="AK28" i="231"/>
  <c r="K28" i="230"/>
  <c r="T28" i="228"/>
  <c r="AS28" i="226"/>
  <c r="BC28" i="225"/>
  <c r="O28" i="231"/>
  <c r="R4" i="14"/>
  <c r="AG28" i="225"/>
  <c r="AP28" i="224"/>
  <c r="AE28" i="231"/>
  <c r="AW28" i="229"/>
  <c r="K28" i="227"/>
  <c r="K28" i="226"/>
  <c r="V5" i="14"/>
  <c r="L7" i="14"/>
  <c r="AX28" i="224"/>
  <c r="AS28" i="231"/>
  <c r="AF28" i="224"/>
  <c r="AC28" i="229"/>
  <c r="AN28" i="227"/>
  <c r="AM28" i="225"/>
  <c r="Z28" i="228"/>
  <c r="BI28" i="227"/>
  <c r="BA28" i="225"/>
  <c r="AL28" i="224"/>
  <c r="O28" i="230"/>
  <c r="N28" i="230"/>
  <c r="AB28" i="228"/>
  <c r="Z28" i="225"/>
  <c r="AM28" i="226"/>
  <c r="BI28" i="224"/>
  <c r="BL28" i="227"/>
  <c r="AO28" i="224"/>
  <c r="AJ28" i="228"/>
  <c r="C29" i="225"/>
  <c r="X28" i="231"/>
  <c r="BB28" i="226"/>
  <c r="AZ28" i="228"/>
  <c r="BA28" i="231"/>
  <c r="L28" i="229"/>
  <c r="AM28" i="228"/>
  <c r="BF28" i="224"/>
  <c r="T4" i="14"/>
  <c r="AV28" i="230"/>
  <c r="BM28" i="226"/>
  <c r="Z28" i="226"/>
  <c r="BD28" i="225"/>
  <c r="D57" i="14"/>
  <c r="D11" i="14"/>
  <c r="D32" i="14"/>
  <c r="Q7" i="14"/>
  <c r="AN28" i="231"/>
  <c r="AG28" i="228"/>
  <c r="AL28" i="229"/>
  <c r="BB28" i="225"/>
  <c r="AY28" i="225"/>
  <c r="AC28" i="228"/>
  <c r="AP28" i="228"/>
  <c r="AX28" i="230"/>
  <c r="AK28" i="227"/>
  <c r="S44" i="14"/>
  <c r="U28" i="226"/>
  <c r="N28" i="224"/>
  <c r="BC28" i="227"/>
  <c r="O28" i="226"/>
  <c r="V28" i="227"/>
  <c r="AY28" i="231"/>
  <c r="AL28" i="225"/>
  <c r="AZ28" i="230"/>
  <c r="AJ28" i="229"/>
  <c r="BF28" i="229"/>
  <c r="R28" i="231"/>
  <c r="AE28" i="229"/>
  <c r="T7" i="14"/>
  <c r="AN28" i="230"/>
  <c r="R28" i="228"/>
  <c r="BM28" i="228"/>
  <c r="AV28" i="226"/>
  <c r="AE28" i="225"/>
  <c r="L28" i="226"/>
  <c r="L4" i="14"/>
  <c r="BE28" i="235"/>
  <c r="N28" i="235"/>
  <c r="AX28" i="235"/>
  <c r="BK28" i="235"/>
  <c r="AQ28" i="234"/>
  <c r="BC28" i="234"/>
  <c r="AY28" i="234"/>
  <c r="BC28" i="233"/>
  <c r="P28" i="233"/>
  <c r="BM28" i="233"/>
  <c r="AL28" i="233"/>
  <c r="P28" i="232"/>
  <c r="AY28" i="232"/>
  <c r="AL28" i="232"/>
  <c r="BN28" i="230"/>
  <c r="AR28" i="228"/>
  <c r="AD28" i="227"/>
  <c r="AD28" i="228"/>
  <c r="P28" i="226"/>
  <c r="X28" i="225"/>
  <c r="AI28" i="231"/>
  <c r="T28" i="229"/>
  <c r="T5" i="14"/>
  <c r="BI28" i="225"/>
  <c r="O28" i="228"/>
  <c r="AU28" i="230"/>
  <c r="AU28" i="229"/>
  <c r="S5" i="14"/>
  <c r="L28" i="230"/>
  <c r="BJ28" i="225"/>
  <c r="AE28" i="227"/>
  <c r="BM28" i="227"/>
  <c r="BM28" i="225"/>
  <c r="Q28" i="227"/>
  <c r="AX28" i="228"/>
  <c r="BK28" i="225"/>
  <c r="AZ28" i="227"/>
  <c r="AB28" i="230"/>
  <c r="L44" i="14"/>
  <c r="AB28" i="226"/>
  <c r="AO28" i="225"/>
  <c r="AT28" i="227"/>
  <c r="S28" i="228"/>
  <c r="BC28" i="226"/>
  <c r="Z28" i="235"/>
  <c r="AP28" i="235"/>
  <c r="BH28" i="235"/>
  <c r="C29" i="234"/>
  <c r="BD28" i="234"/>
  <c r="AV28" i="234"/>
  <c r="AR28" i="234"/>
  <c r="V28" i="233"/>
  <c r="AY28" i="233"/>
  <c r="BJ28" i="233"/>
  <c r="AR28" i="233"/>
  <c r="Y28" i="232"/>
  <c r="BH28" i="232"/>
  <c r="S28" i="232"/>
  <c r="D41" i="14"/>
  <c r="D43" i="14"/>
  <c r="D17" i="14"/>
  <c r="AF28" i="225"/>
  <c r="AB28" i="229"/>
  <c r="AW28" i="228"/>
  <c r="AH28" i="229"/>
  <c r="BL28" i="225"/>
  <c r="Q28" i="226"/>
  <c r="AU28" i="224"/>
  <c r="AV28" i="231"/>
  <c r="AR28" i="225"/>
  <c r="AR28" i="224"/>
  <c r="S28" i="225"/>
  <c r="AZ28" i="231"/>
  <c r="AT28" i="231"/>
  <c r="S28" i="224"/>
  <c r="N28" i="227"/>
  <c r="AK28" i="229"/>
  <c r="AU28" i="225"/>
  <c r="W28" i="231"/>
  <c r="M28" i="225"/>
  <c r="W28" i="227"/>
  <c r="N28" i="225"/>
  <c r="AK28" i="224"/>
  <c r="AP28" i="230"/>
  <c r="AM28" i="229"/>
  <c r="AJ28" i="226"/>
  <c r="BJ28" i="224"/>
  <c r="AV28" i="228"/>
  <c r="T28" i="225"/>
  <c r="V28" i="224"/>
  <c r="R28" i="230"/>
  <c r="AR28" i="226"/>
  <c r="M44" i="14"/>
  <c r="BE28" i="228"/>
  <c r="AP28" i="231"/>
  <c r="AZ28" i="229"/>
  <c r="AS28" i="229"/>
  <c r="AF28" i="227"/>
  <c r="L28" i="225"/>
  <c r="AW28" i="225"/>
  <c r="AE28" i="228"/>
  <c r="AK28" i="230"/>
  <c r="AU28" i="228"/>
  <c r="X28" i="226"/>
  <c r="AS28" i="230"/>
  <c r="AI28" i="228"/>
  <c r="AN28" i="226"/>
  <c r="V28" i="225"/>
  <c r="W28" i="226"/>
  <c r="AG28" i="231"/>
  <c r="AZ28" i="224"/>
  <c r="AK28" i="226"/>
  <c r="AW28" i="230"/>
  <c r="U28" i="228"/>
  <c r="AG28" i="227"/>
  <c r="S4" i="14"/>
  <c r="M28" i="231"/>
  <c r="O28" i="229"/>
  <c r="BB28" i="227"/>
  <c r="Z28" i="224"/>
  <c r="P7" i="14"/>
  <c r="AL28" i="230"/>
  <c r="BI28" i="228"/>
  <c r="BG28" i="225"/>
  <c r="BG28" i="224"/>
  <c r="BA28" i="227"/>
  <c r="V28" i="226"/>
  <c r="M28" i="230"/>
  <c r="BA28" i="229"/>
  <c r="AA28" i="225"/>
  <c r="AX28" i="231"/>
  <c r="X28" i="228"/>
  <c r="O28" i="225"/>
  <c r="AY28" i="230"/>
  <c r="AY28" i="224"/>
  <c r="AT28" i="225"/>
  <c r="Y28" i="226"/>
  <c r="T44" i="14"/>
  <c r="AI28" i="225"/>
  <c r="AA28" i="226"/>
  <c r="L5" i="14"/>
  <c r="E7" i="14" l="1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F44" i="14"/>
  <c r="P39" i="1"/>
  <c r="N39" i="1"/>
  <c r="AM39" i="1"/>
  <c r="V39" i="1"/>
  <c r="AP39" i="1"/>
  <c r="M39" i="1"/>
  <c r="AQ39" i="1"/>
  <c r="BB39" i="1"/>
  <c r="AI39" i="1"/>
  <c r="AH39" i="1"/>
  <c r="L39" i="1"/>
  <c r="AX39" i="1"/>
  <c r="AA39" i="1"/>
  <c r="AO39" i="1"/>
  <c r="AU39" i="1"/>
  <c r="AC39" i="1"/>
  <c r="AY39" i="1"/>
  <c r="X39" i="1"/>
  <c r="BH39" i="1"/>
  <c r="BE39" i="1"/>
  <c r="AR39" i="1"/>
  <c r="AD39" i="1"/>
  <c r="AE39" i="1"/>
  <c r="T39" i="1"/>
  <c r="BM39" i="1"/>
  <c r="AF39" i="1"/>
  <c r="AS39" i="1"/>
  <c r="BA39" i="1"/>
  <c r="AG39" i="1"/>
  <c r="BJ39" i="1"/>
  <c r="Z39" i="1"/>
  <c r="R39" i="1"/>
  <c r="AK39" i="1"/>
  <c r="S39" i="1"/>
  <c r="AB39" i="1"/>
  <c r="BL39" i="1"/>
  <c r="Y39" i="1"/>
  <c r="BF39" i="1"/>
  <c r="O39" i="1"/>
  <c r="AV39" i="1"/>
  <c r="AN39" i="1"/>
  <c r="Q39" i="1"/>
  <c r="BC39" i="1"/>
  <c r="AL39" i="1"/>
  <c r="AZ39" i="1"/>
  <c r="BG39" i="1"/>
  <c r="BD39" i="1"/>
  <c r="K39" i="1"/>
  <c r="W39" i="1"/>
  <c r="AW39" i="1"/>
  <c r="U39" i="1"/>
  <c r="E35" i="14"/>
  <c r="E25" i="14"/>
  <c r="E34" i="14"/>
  <c r="E39" i="14"/>
  <c r="E37" i="14"/>
  <c r="E33" i="14"/>
  <c r="E57" i="14"/>
  <c r="E58" i="14"/>
  <c r="E11" i="14"/>
  <c r="E30" i="14"/>
  <c r="E53" i="14"/>
  <c r="E20" i="14"/>
  <c r="E31" i="14"/>
  <c r="E42" i="14"/>
  <c r="E60" i="14"/>
  <c r="E8" i="14"/>
  <c r="E52" i="14"/>
  <c r="E29" i="14"/>
  <c r="E56" i="14"/>
  <c r="E16" i="14"/>
  <c r="E24" i="14"/>
  <c r="E47" i="14"/>
  <c r="E36" i="14"/>
  <c r="E10" i="14"/>
  <c r="AJ39" i="1"/>
  <c r="BI39" i="1"/>
  <c r="AT39" i="1"/>
  <c r="BK39" i="1"/>
  <c r="E54" i="14"/>
  <c r="E13" i="14"/>
  <c r="E32" i="14"/>
  <c r="E22" i="14"/>
  <c r="E15" i="14"/>
  <c r="E63" i="14"/>
  <c r="E14" i="14"/>
  <c r="E51" i="14"/>
  <c r="E12" i="14"/>
  <c r="E48" i="14"/>
  <c r="E59" i="14"/>
  <c r="E49" i="14"/>
  <c r="E9" i="14"/>
  <c r="E50" i="14"/>
  <c r="E26" i="14"/>
  <c r="E18" i="14"/>
  <c r="E62" i="14"/>
  <c r="E41" i="14"/>
  <c r="E55" i="14"/>
  <c r="E38" i="14"/>
  <c r="E19" i="14"/>
  <c r="E17" i="14"/>
  <c r="E43" i="14"/>
  <c r="F9" i="14"/>
  <c r="F13" i="14"/>
  <c r="F34" i="14"/>
  <c r="F39" i="14"/>
  <c r="F62" i="14"/>
  <c r="F29" i="14"/>
  <c r="F57" i="14"/>
  <c r="F38" i="14"/>
  <c r="F19" i="14"/>
  <c r="F17" i="14"/>
  <c r="F36" i="14"/>
  <c r="F20" i="14"/>
  <c r="F53" i="14"/>
  <c r="F31" i="14"/>
  <c r="F60" i="14"/>
  <c r="F26" i="14"/>
  <c r="F52" i="14"/>
  <c r="F56" i="14"/>
  <c r="F58" i="14"/>
  <c r="F51" i="14"/>
  <c r="F12" i="14"/>
  <c r="F48" i="14"/>
  <c r="F10" i="14"/>
  <c r="E45" i="14"/>
  <c r="F49" i="14"/>
  <c r="F54" i="14"/>
  <c r="F42" i="14"/>
  <c r="F50" i="14"/>
  <c r="F8" i="14"/>
  <c r="F18" i="14"/>
  <c r="F22" i="14"/>
  <c r="F37" i="14"/>
  <c r="F33" i="14"/>
  <c r="F63" i="14"/>
  <c r="F14" i="14"/>
  <c r="F11" i="14"/>
  <c r="F47" i="14"/>
  <c r="F43" i="14"/>
  <c r="F59" i="14"/>
  <c r="F45" i="14"/>
  <c r="F35" i="14"/>
  <c r="F25" i="14"/>
  <c r="F32" i="14"/>
  <c r="F15" i="14"/>
  <c r="F41" i="14"/>
  <c r="F55" i="14"/>
  <c r="F16" i="14"/>
  <c r="F24" i="14"/>
  <c r="F30" i="14"/>
  <c r="AS30" i="1"/>
  <c r="D5" i="14"/>
  <c r="E5" i="14" s="1"/>
  <c r="D61" i="14"/>
  <c r="D23" i="14"/>
  <c r="D21" i="14"/>
  <c r="D46" i="14"/>
  <c r="D28" i="14"/>
  <c r="D40" i="14"/>
  <c r="D27" i="14"/>
  <c r="E40" i="14" l="1"/>
  <c r="F40" i="14"/>
  <c r="F61" i="14"/>
  <c r="E61" i="14"/>
  <c r="F28" i="14"/>
  <c r="E28" i="14"/>
  <c r="E23" i="14"/>
  <c r="F23" i="14"/>
  <c r="E27" i="14"/>
  <c r="F27" i="14"/>
  <c r="E21" i="14"/>
  <c r="F21" i="14"/>
  <c r="E46" i="14"/>
  <c r="F46" i="14"/>
  <c r="A30" i="14" l="1"/>
  <c r="A55" i="14" l="1"/>
  <c r="H55" i="14" s="1"/>
  <c r="H30" i="14"/>
  <c r="A50" i="14" l="1"/>
  <c r="B19" i="236" l="1"/>
  <c r="B6" i="236" s="1"/>
  <c r="O20" i="236"/>
  <c r="H50" i="14"/>
  <c r="A56" i="14"/>
  <c r="H56" i="14" s="1"/>
  <c r="O6" i="236" l="1"/>
  <c r="B15" i="236"/>
  <c r="O15" i="236" s="1"/>
  <c r="A57" i="14" l="1"/>
  <c r="A13" i="14" l="1"/>
  <c r="H57" i="14"/>
  <c r="H13" i="14" l="1"/>
  <c r="A8" i="14" l="1"/>
  <c r="A11" i="14" l="1"/>
  <c r="H11" i="14" s="1"/>
  <c r="H8" i="14"/>
  <c r="A12" i="14" l="1"/>
  <c r="H12" i="14" s="1"/>
  <c r="A9" i="14"/>
  <c r="H9" i="14" l="1"/>
  <c r="A10" i="14"/>
  <c r="H10" i="14" s="1"/>
  <c r="A31" i="14"/>
  <c r="A45" i="14"/>
  <c r="A46" i="14" s="1"/>
  <c r="BB9" i="18"/>
  <c r="P9" i="18"/>
  <c r="AC22" i="18"/>
  <c r="H187" i="223"/>
  <c r="BO13" i="18"/>
  <c r="F17" i="234"/>
  <c r="C40" i="223"/>
  <c r="AS19" i="18"/>
  <c r="U14" i="18"/>
  <c r="C75" i="223"/>
  <c r="AQ21" i="15"/>
  <c r="H186" i="223"/>
  <c r="AF31" i="15"/>
  <c r="B127" i="223"/>
  <c r="M126" i="223"/>
  <c r="F165" i="223"/>
  <c r="AE28" i="1"/>
  <c r="R5" i="18"/>
  <c r="M145" i="223"/>
  <c r="G85" i="223"/>
  <c r="AS28" i="1"/>
  <c r="M150" i="223"/>
  <c r="AV2" i="18"/>
  <c r="AX18" i="18"/>
  <c r="Z22" i="15"/>
  <c r="I18" i="230"/>
  <c r="B15" i="14"/>
  <c r="I6" i="233"/>
  <c r="F133" i="223"/>
  <c r="M20" i="223"/>
  <c r="BC10" i="18"/>
  <c r="E174" i="223"/>
  <c r="N113" i="223"/>
  <c r="R26" i="15"/>
  <c r="J53" i="223"/>
  <c r="BN25" i="15"/>
  <c r="N145" i="223"/>
  <c r="H37" i="223"/>
  <c r="BL3" i="18"/>
  <c r="F24" i="230"/>
  <c r="I11" i="228"/>
  <c r="F13" i="227"/>
  <c r="AJ27" i="15"/>
  <c r="F3" i="231"/>
  <c r="B164" i="223"/>
  <c r="I12" i="228"/>
  <c r="L177" i="223"/>
  <c r="AZ28" i="1"/>
  <c r="N34" i="18"/>
  <c r="AI2" i="1"/>
  <c r="N120" i="223"/>
  <c r="J131" i="223"/>
  <c r="AM12" i="18"/>
  <c r="AY6" i="18"/>
  <c r="F20" i="227"/>
  <c r="B13" i="185"/>
  <c r="N66" i="223"/>
  <c r="G81" i="223"/>
  <c r="AQ8" i="18"/>
  <c r="AL25" i="15"/>
  <c r="M69" i="223"/>
  <c r="B37" i="18"/>
  <c r="BL2" i="18"/>
  <c r="C74" i="223"/>
  <c r="H167" i="223"/>
  <c r="D114" i="223"/>
  <c r="C131" i="223"/>
  <c r="B32" i="14"/>
  <c r="L24" i="223"/>
  <c r="AU19" i="18"/>
  <c r="BC12" i="18"/>
  <c r="I149" i="223"/>
  <c r="D121" i="223"/>
  <c r="B76" i="223"/>
  <c r="BK2" i="1"/>
  <c r="AZ9" i="18"/>
  <c r="I159" i="223"/>
  <c r="BD11" i="18"/>
  <c r="X20" i="18"/>
  <c r="S18" i="18"/>
  <c r="AI15" i="18"/>
  <c r="AZ28" i="15"/>
  <c r="J40" i="223"/>
  <c r="AT3" i="18"/>
  <c r="BB12" i="18"/>
  <c r="Z7" i="18"/>
  <c r="AE6" i="18"/>
  <c r="G72" i="223"/>
  <c r="L150" i="223"/>
  <c r="O30" i="15"/>
  <c r="BN34" i="18"/>
  <c r="BJ5" i="18"/>
  <c r="G8" i="18"/>
  <c r="J26" i="223"/>
  <c r="L190" i="223"/>
  <c r="C161" i="223"/>
  <c r="I20" i="235"/>
  <c r="AF28" i="1"/>
  <c r="I4" i="225"/>
  <c r="M162" i="223"/>
  <c r="F15" i="232"/>
  <c r="M22" i="15"/>
  <c r="L20" i="18"/>
  <c r="J87" i="223"/>
  <c r="K3" i="18"/>
  <c r="D26" i="223"/>
  <c r="I18" i="228"/>
  <c r="U19" i="18"/>
  <c r="I18" i="229"/>
  <c r="J172" i="223"/>
  <c r="F7" i="233"/>
  <c r="I56" i="223"/>
  <c r="B15" i="185"/>
  <c r="B31" i="223"/>
  <c r="P22" i="18"/>
  <c r="AG20" i="18"/>
  <c r="AO21" i="15"/>
  <c r="C164" i="223"/>
  <c r="G166" i="223"/>
  <c r="C128" i="223"/>
  <c r="BG5" i="18"/>
  <c r="AY20" i="18"/>
  <c r="AQ28" i="15"/>
  <c r="AF19" i="18"/>
  <c r="Z19" i="15"/>
  <c r="B42" i="223"/>
  <c r="BF9" i="18"/>
  <c r="AG23" i="15"/>
  <c r="X14" i="18"/>
  <c r="K34" i="18"/>
  <c r="I36" i="223"/>
  <c r="AA28" i="15"/>
  <c r="BH20" i="15"/>
  <c r="T2" i="18"/>
  <c r="K41" i="235"/>
  <c r="J157" i="223"/>
  <c r="I7" i="225"/>
  <c r="AM9" i="18"/>
  <c r="F23" i="229"/>
  <c r="N13" i="18"/>
  <c r="I10" i="233"/>
  <c r="BG4" i="18"/>
  <c r="I130" i="223"/>
  <c r="B41" i="14"/>
  <c r="F13" i="231"/>
  <c r="M72" i="223"/>
  <c r="K41" i="234"/>
  <c r="E178" i="223"/>
  <c r="F16" i="232"/>
  <c r="F23" i="1"/>
  <c r="F3" i="235"/>
  <c r="H121" i="223"/>
  <c r="F5" i="233"/>
  <c r="D188" i="223"/>
  <c r="F20" i="229"/>
  <c r="L181" i="223"/>
  <c r="I8" i="229"/>
  <c r="H75" i="223"/>
  <c r="F13" i="224"/>
  <c r="F15" i="224"/>
  <c r="C30" i="235"/>
  <c r="I20" i="230"/>
  <c r="F8" i="234"/>
  <c r="I5" i="226"/>
  <c r="F13" i="228"/>
  <c r="K42" i="231"/>
  <c r="AI10" i="18"/>
  <c r="AC24" i="15"/>
  <c r="I17" i="230"/>
  <c r="U22" i="18"/>
  <c r="I17" i="232"/>
  <c r="N89" i="223"/>
  <c r="F7" i="224"/>
  <c r="E51" i="223"/>
  <c r="F22" i="228"/>
  <c r="I22" i="233"/>
  <c r="BE7" i="18"/>
  <c r="BC6" i="18"/>
  <c r="G29" i="15"/>
  <c r="J8" i="18"/>
  <c r="S21" i="18"/>
  <c r="BH10" i="18"/>
  <c r="I9" i="224"/>
  <c r="G12" i="18"/>
  <c r="D130" i="223"/>
  <c r="F3" i="234"/>
  <c r="BE21" i="18"/>
  <c r="I175" i="223"/>
  <c r="G190" i="223"/>
  <c r="C37" i="223"/>
  <c r="F4" i="231"/>
  <c r="L54" i="223"/>
  <c r="BL13" i="18"/>
  <c r="J173" i="223"/>
  <c r="J180" i="223"/>
  <c r="G128" i="223"/>
  <c r="I15" i="231"/>
  <c r="M24" i="15"/>
  <c r="C58" i="223"/>
  <c r="C24" i="223"/>
  <c r="B130" i="223"/>
  <c r="M141" i="223"/>
  <c r="AM11" i="18"/>
  <c r="H29" i="15"/>
  <c r="AR29" i="15"/>
  <c r="F148" i="223"/>
  <c r="AG21" i="18"/>
  <c r="C30" i="1"/>
  <c r="K42" i="234"/>
  <c r="AG17" i="18"/>
  <c r="I8" i="235"/>
  <c r="L158" i="223"/>
  <c r="F8" i="225"/>
  <c r="K120" i="223"/>
  <c r="AK9" i="18"/>
  <c r="Z12" i="18"/>
  <c r="F16" i="226"/>
  <c r="BC28" i="1"/>
  <c r="I20" i="231"/>
  <c r="B143" i="223"/>
  <c r="F14" i="232"/>
  <c r="E177" i="223"/>
  <c r="I20" i="233"/>
  <c r="I3" i="226"/>
  <c r="BK7" i="18"/>
  <c r="G182" i="223"/>
  <c r="M19" i="18"/>
  <c r="AV28" i="15"/>
  <c r="I164" i="223"/>
  <c r="S9" i="18"/>
  <c r="F177" i="223"/>
  <c r="F74" i="223"/>
  <c r="B48" i="14"/>
  <c r="K20" i="18"/>
  <c r="P18" i="18"/>
  <c r="AQ23" i="15"/>
  <c r="AN22" i="18"/>
  <c r="Z14" i="18"/>
  <c r="K77" i="223"/>
  <c r="K28" i="15"/>
  <c r="D187" i="223"/>
  <c r="F11" i="1"/>
  <c r="BI26" i="15"/>
  <c r="F22" i="225"/>
  <c r="AZ23" i="15"/>
  <c r="I13" i="227"/>
  <c r="AI20" i="15"/>
  <c r="K24" i="223"/>
  <c r="J70" i="223"/>
  <c r="F24" i="228"/>
  <c r="I6" i="229"/>
  <c r="I14" i="226"/>
  <c r="J141" i="223"/>
  <c r="I7" i="227"/>
  <c r="T22" i="15"/>
  <c r="I26" i="223"/>
  <c r="AI3" i="18"/>
  <c r="BH20" i="18"/>
  <c r="J181" i="223"/>
  <c r="Z2" i="18"/>
  <c r="L132" i="223"/>
  <c r="AE4" i="18"/>
  <c r="BL26" i="15"/>
  <c r="F58" i="223"/>
  <c r="BM13" i="18"/>
  <c r="U13" i="18"/>
  <c r="B84" i="223"/>
  <c r="AV20" i="18"/>
  <c r="BF27" i="15"/>
  <c r="AF9" i="18"/>
  <c r="BH7" i="18"/>
  <c r="K4" i="14"/>
  <c r="AT2" i="1"/>
  <c r="F7" i="228"/>
  <c r="E123" i="223"/>
  <c r="I13" i="234"/>
  <c r="F84" i="223"/>
  <c r="I13" i="226"/>
  <c r="E83" i="223"/>
  <c r="F22" i="234"/>
  <c r="C43" i="223"/>
  <c r="I13" i="228"/>
  <c r="G113" i="223"/>
  <c r="I10" i="229"/>
  <c r="M128" i="223"/>
  <c r="I12" i="235"/>
  <c r="J85" i="223"/>
  <c r="L147" i="223"/>
  <c r="AM21" i="18"/>
  <c r="C166" i="223"/>
  <c r="F54" i="223"/>
  <c r="K128" i="223"/>
  <c r="N51" i="223"/>
  <c r="AD28" i="1"/>
  <c r="F10" i="232"/>
  <c r="AU10" i="18"/>
  <c r="I5" i="227"/>
  <c r="BB7" i="18"/>
  <c r="F10" i="226"/>
  <c r="L179" i="223"/>
  <c r="I17" i="224"/>
  <c r="N165" i="223"/>
  <c r="AC12" i="18"/>
  <c r="AS16" i="18"/>
  <c r="I97" i="223"/>
  <c r="H132" i="223"/>
  <c r="BN20" i="18"/>
  <c r="H181" i="223"/>
  <c r="BA2" i="1"/>
  <c r="N18" i="18"/>
  <c r="BN30" i="15"/>
  <c r="BL11" i="18"/>
  <c r="I121" i="223"/>
  <c r="J116" i="223"/>
  <c r="N6" i="18"/>
  <c r="K150" i="223"/>
  <c r="AQ27" i="15"/>
  <c r="AE21" i="15"/>
  <c r="F23" i="230"/>
  <c r="X27" i="15"/>
  <c r="J178" i="223"/>
  <c r="BH8" i="18"/>
  <c r="AG15" i="18"/>
  <c r="BC19" i="15"/>
  <c r="B17" i="14"/>
  <c r="AO19" i="18"/>
  <c r="I16" i="230"/>
  <c r="AO9" i="18"/>
  <c r="M132" i="223"/>
  <c r="AE31" i="15"/>
  <c r="M85" i="223"/>
  <c r="D99" i="223"/>
  <c r="V24" i="15"/>
  <c r="BC7" i="18"/>
  <c r="J25" i="15"/>
  <c r="I14" i="228"/>
  <c r="F22" i="232"/>
  <c r="W24" i="15"/>
  <c r="F20" i="230"/>
  <c r="I20" i="224"/>
  <c r="H76" i="223"/>
  <c r="F9" i="232"/>
  <c r="BJ22" i="18"/>
  <c r="I3" i="235"/>
  <c r="AM28" i="15"/>
  <c r="F18" i="225"/>
  <c r="AR23" i="15"/>
  <c r="F21" i="225"/>
  <c r="J160" i="223"/>
  <c r="H99" i="223"/>
  <c r="F4" i="234"/>
  <c r="AR10" i="18"/>
  <c r="I17" i="229"/>
  <c r="AW30" i="15"/>
  <c r="I14" i="230"/>
  <c r="N112" i="223"/>
  <c r="I4" i="227"/>
  <c r="F187" i="223"/>
  <c r="F21" i="231"/>
  <c r="F132" i="223"/>
  <c r="F20" i="232"/>
  <c r="M8" i="18"/>
  <c r="I21" i="234"/>
  <c r="C29" i="1"/>
  <c r="I8" i="227"/>
  <c r="E89" i="223"/>
  <c r="F156" i="223"/>
  <c r="X8" i="18"/>
  <c r="AB2" i="1"/>
  <c r="M75" i="223"/>
  <c r="E41" i="223"/>
  <c r="M2" i="1"/>
  <c r="K81" i="223"/>
  <c r="M115" i="223"/>
  <c r="AO31" i="15"/>
  <c r="K129" i="223"/>
  <c r="BJ2" i="1"/>
  <c r="I9" i="1"/>
  <c r="N133" i="223"/>
  <c r="D84" i="223"/>
  <c r="G165" i="223"/>
  <c r="D127" i="223"/>
  <c r="BI22" i="15"/>
  <c r="E67" i="223"/>
  <c r="AH17" i="18"/>
  <c r="BK27" i="15"/>
  <c r="AH19" i="18"/>
  <c r="B55" i="223"/>
  <c r="F43" i="223"/>
  <c r="I68" i="223"/>
  <c r="N22" i="18"/>
  <c r="G161" i="223"/>
  <c r="AF12" i="18"/>
  <c r="V14" i="18"/>
  <c r="G111" i="223"/>
  <c r="K175" i="223"/>
  <c r="F24" i="1"/>
  <c r="P6" i="18"/>
  <c r="BC20" i="15"/>
  <c r="I9" i="230"/>
  <c r="AB20" i="15"/>
  <c r="F6" i="233"/>
  <c r="I16" i="1"/>
  <c r="F7" i="225"/>
  <c r="C147" i="223"/>
  <c r="I11" i="227"/>
  <c r="AP10" i="18"/>
  <c r="B156" i="223"/>
  <c r="AO19" i="15"/>
  <c r="G171" i="223"/>
  <c r="G53" i="223"/>
  <c r="E158" i="223"/>
  <c r="AV9" i="18"/>
  <c r="F19" i="230"/>
  <c r="F17" i="228"/>
  <c r="BD15" i="18"/>
  <c r="F24" i="229"/>
  <c r="AX14" i="18"/>
  <c r="F21" i="229"/>
  <c r="G187" i="223"/>
  <c r="F18" i="235"/>
  <c r="N191" i="223"/>
  <c r="I11" i="225"/>
  <c r="AD24" i="15"/>
  <c r="I18" i="226"/>
  <c r="G141" i="223"/>
  <c r="I13" i="224"/>
  <c r="I87" i="223"/>
  <c r="F22" i="229"/>
  <c r="J146" i="223"/>
  <c r="F20" i="224"/>
  <c r="AZ25" i="15"/>
  <c r="P19" i="18"/>
  <c r="AH27" i="15"/>
  <c r="AF25" i="15"/>
  <c r="I18" i="224"/>
  <c r="J1" i="15"/>
  <c r="BF6" i="18"/>
  <c r="AO11" i="18"/>
  <c r="AJ2" i="18"/>
  <c r="C113" i="223"/>
  <c r="N54" i="223"/>
  <c r="AX2" i="18"/>
  <c r="H127" i="223"/>
  <c r="Q6" i="18"/>
  <c r="G83" i="223"/>
  <c r="AU28" i="15"/>
  <c r="D157" i="223"/>
  <c r="F17" i="227"/>
  <c r="AH30" i="15"/>
  <c r="C30" i="227"/>
  <c r="BM30" i="15"/>
  <c r="B131" i="223"/>
  <c r="L19" i="15"/>
  <c r="N187" i="223"/>
  <c r="N39" i="223"/>
  <c r="I13" i="229"/>
  <c r="K166" i="223"/>
  <c r="M113" i="223"/>
  <c r="I16" i="228"/>
  <c r="AR26" i="15"/>
  <c r="N176" i="223"/>
  <c r="F14" i="230"/>
  <c r="F19" i="227"/>
  <c r="B132" i="223"/>
  <c r="F12" i="234"/>
  <c r="M66" i="223"/>
  <c r="F14" i="224"/>
  <c r="AA10" i="18"/>
  <c r="E72" i="223"/>
  <c r="F10" i="228"/>
  <c r="I13" i="233"/>
  <c r="BD18" i="18"/>
  <c r="F3" i="224"/>
  <c r="AQ18" i="18"/>
  <c r="F5" i="224"/>
  <c r="F36" i="223"/>
  <c r="K41" i="225"/>
  <c r="F20" i="228"/>
  <c r="I4" i="228"/>
  <c r="I9" i="225"/>
  <c r="I11" i="226"/>
  <c r="F11" i="224"/>
  <c r="I7" i="224"/>
  <c r="F3" i="232"/>
  <c r="F7" i="232"/>
  <c r="B51" i="223"/>
  <c r="BB19" i="15"/>
  <c r="Y17" i="18"/>
  <c r="I34" i="18"/>
  <c r="J174" i="223"/>
  <c r="M37" i="223"/>
  <c r="H30" i="223"/>
  <c r="AQ34" i="18"/>
  <c r="L90" i="223"/>
  <c r="F117" i="223"/>
  <c r="L129" i="223"/>
  <c r="M5" i="18"/>
  <c r="K6" i="18"/>
  <c r="AO17" i="18"/>
  <c r="I13" i="225"/>
  <c r="BJ15" i="18"/>
  <c r="M40" i="223"/>
  <c r="V21" i="18"/>
  <c r="AI21" i="18"/>
  <c r="AQ2" i="18"/>
  <c r="AC9" i="18"/>
  <c r="BI34" i="18"/>
  <c r="BD28" i="15"/>
  <c r="AC6" i="18"/>
  <c r="K90" i="223"/>
  <c r="AC34" i="18"/>
  <c r="I142" i="223"/>
  <c r="C142" i="223"/>
  <c r="K174" i="223"/>
  <c r="L116" i="223"/>
  <c r="BA14" i="18"/>
  <c r="E71" i="223"/>
  <c r="H113" i="223"/>
  <c r="X25" i="15"/>
  <c r="M22" i="223"/>
  <c r="F15" i="227"/>
  <c r="F15" i="1"/>
  <c r="J69" i="223"/>
  <c r="AK26" i="15"/>
  <c r="K41" i="223"/>
  <c r="AA14" i="18"/>
  <c r="S4" i="18"/>
  <c r="C92" i="223"/>
  <c r="G178" i="223"/>
  <c r="E121" i="223"/>
  <c r="L76" i="223"/>
  <c r="BL31" i="15"/>
  <c r="AH22" i="18"/>
  <c r="D181" i="223"/>
  <c r="E150" i="223"/>
  <c r="AO27" i="15"/>
  <c r="BB11" i="18"/>
  <c r="J10" i="18"/>
  <c r="J55" i="223"/>
  <c r="D162" i="223"/>
  <c r="J182" i="223"/>
  <c r="F5" i="232"/>
  <c r="B26" i="14"/>
  <c r="C179" i="223"/>
  <c r="BA20" i="15"/>
  <c r="AB25" i="15"/>
  <c r="BN11" i="18"/>
  <c r="I21" i="224"/>
  <c r="I3" i="234"/>
  <c r="AY28" i="15"/>
  <c r="K42" i="229"/>
  <c r="AW9" i="18"/>
  <c r="F19" i="231"/>
  <c r="T31" i="15"/>
  <c r="AY7" i="18"/>
  <c r="S21" i="15"/>
  <c r="B121" i="223"/>
  <c r="T17" i="18"/>
  <c r="J75" i="223"/>
  <c r="BO3" i="18"/>
  <c r="L20" i="15"/>
  <c r="K73" i="223"/>
  <c r="AD6" i="18"/>
  <c r="BF28" i="1"/>
  <c r="AV23" i="15"/>
  <c r="BB28" i="1"/>
  <c r="AK11" i="18"/>
  <c r="BD6" i="18"/>
  <c r="I145" i="223"/>
  <c r="AK30" i="15"/>
  <c r="I58" i="223"/>
  <c r="X22" i="15"/>
  <c r="L17" i="18"/>
  <c r="F10" i="229"/>
  <c r="B99" i="223"/>
  <c r="I10" i="232"/>
  <c r="AM18" i="18"/>
  <c r="F5" i="228"/>
  <c r="D173" i="223"/>
  <c r="E35" i="223"/>
  <c r="AT25" i="15"/>
  <c r="F17" i="233"/>
  <c r="J190" i="223"/>
  <c r="F20" i="235"/>
  <c r="AK2" i="1"/>
  <c r="F6" i="226"/>
  <c r="D151" i="223"/>
  <c r="I13" i="235"/>
  <c r="BC13" i="18"/>
  <c r="F12" i="1"/>
  <c r="AJ22" i="15"/>
  <c r="G121" i="223"/>
  <c r="B54" i="14"/>
  <c r="O6" i="18"/>
  <c r="B57" i="223"/>
  <c r="I22" i="228"/>
  <c r="AN19" i="18"/>
  <c r="B123" i="223"/>
  <c r="B12" i="14"/>
  <c r="AS18" i="18"/>
  <c r="AR8" i="18"/>
  <c r="N182" i="223"/>
  <c r="N77" i="223"/>
  <c r="AR22" i="18"/>
  <c r="B179" i="223"/>
  <c r="D189" i="223"/>
  <c r="J144" i="223"/>
  <c r="N161" i="223"/>
  <c r="L148" i="223"/>
  <c r="BB3" i="18"/>
  <c r="I12" i="1"/>
  <c r="AK21" i="15"/>
  <c r="E92" i="223"/>
  <c r="BJ21" i="18"/>
  <c r="V2" i="1"/>
  <c r="AU21" i="15"/>
  <c r="AD13" i="18"/>
  <c r="B182" i="223"/>
  <c r="L121" i="223"/>
  <c r="Q30" i="15"/>
  <c r="F179" i="223"/>
  <c r="B49" i="14"/>
  <c r="C121" i="223"/>
  <c r="G13" i="18"/>
  <c r="I90" i="223"/>
  <c r="G70" i="223"/>
  <c r="Q28" i="1"/>
  <c r="Z10" i="18"/>
  <c r="BI23" i="15"/>
  <c r="AE7" i="18"/>
  <c r="G160" i="223"/>
  <c r="Y8" i="18"/>
  <c r="M181" i="223"/>
  <c r="AX19" i="18"/>
  <c r="F172" i="223"/>
  <c r="D87" i="223"/>
  <c r="N175" i="223"/>
  <c r="C44" i="223"/>
  <c r="BH27" i="15"/>
  <c r="F5" i="226"/>
  <c r="E38" i="223"/>
  <c r="I8" i="234"/>
  <c r="G7" i="18"/>
  <c r="F3" i="1"/>
  <c r="I12" i="226"/>
  <c r="F13" i="233"/>
  <c r="F14" i="235"/>
  <c r="I15" i="235"/>
  <c r="F15" i="225"/>
  <c r="F10" i="227"/>
  <c r="I3" i="227"/>
  <c r="F24" i="225"/>
  <c r="I20" i="229"/>
  <c r="B90" i="223"/>
  <c r="F10" i="231"/>
  <c r="S22" i="18"/>
  <c r="F18" i="230"/>
  <c r="D41" i="223"/>
  <c r="I14" i="233"/>
  <c r="F24" i="227"/>
  <c r="I13" i="230"/>
  <c r="L55" i="223"/>
  <c r="I11" i="233"/>
  <c r="W8" i="18"/>
  <c r="K42" i="226"/>
  <c r="BE26" i="15"/>
  <c r="F5" i="229"/>
  <c r="AC27" i="15"/>
  <c r="I7" i="230"/>
  <c r="AX6" i="18"/>
  <c r="F12" i="228"/>
  <c r="U11" i="18"/>
  <c r="I5" i="230"/>
  <c r="K22" i="223"/>
  <c r="I20" i="234"/>
  <c r="B35" i="18"/>
  <c r="L180" i="223"/>
  <c r="J57" i="223"/>
  <c r="B181" i="223"/>
  <c r="AR19" i="18"/>
  <c r="H192" i="223"/>
  <c r="T19" i="15"/>
  <c r="F3" i="226"/>
  <c r="BK3" i="18"/>
  <c r="Q29" i="15"/>
  <c r="D164" i="223"/>
  <c r="G175" i="223"/>
  <c r="BG10" i="18"/>
  <c r="C111" i="223"/>
  <c r="G57" i="223"/>
  <c r="K67" i="223"/>
  <c r="B177" i="223"/>
  <c r="BN3" i="18"/>
  <c r="BE11" i="18"/>
  <c r="V4" i="18"/>
  <c r="G21" i="18"/>
  <c r="L186" i="223"/>
  <c r="I12" i="232"/>
  <c r="I10" i="225"/>
  <c r="BG19" i="18"/>
  <c r="J90" i="223"/>
  <c r="I19" i="230"/>
  <c r="AB12" i="18"/>
  <c r="I3" i="230"/>
  <c r="J39" i="223"/>
  <c r="F11" i="234"/>
  <c r="AP17" i="18"/>
  <c r="BC22" i="18"/>
  <c r="F71" i="223"/>
  <c r="I7" i="232"/>
  <c r="M98" i="223"/>
  <c r="K41" i="229"/>
  <c r="AL30" i="15"/>
  <c r="F23" i="235"/>
  <c r="N149" i="223"/>
  <c r="F4" i="233"/>
  <c r="I19" i="233"/>
  <c r="AG25" i="15"/>
  <c r="F23" i="232"/>
  <c r="N4" i="18"/>
  <c r="F4" i="225"/>
  <c r="N173" i="223"/>
  <c r="I15" i="228"/>
  <c r="I10" i="224"/>
  <c r="F21" i="226"/>
  <c r="L21" i="223"/>
  <c r="F19" i="226"/>
  <c r="AN14" i="18"/>
  <c r="I20" i="232"/>
  <c r="AT31" i="15"/>
  <c r="F24" i="224"/>
  <c r="AN24" i="15"/>
  <c r="F16" i="225"/>
  <c r="I11" i="231"/>
  <c r="F5" i="227"/>
  <c r="I10" i="230"/>
  <c r="I5" i="228"/>
  <c r="I14" i="235"/>
  <c r="F4" i="224"/>
  <c r="I16" i="235"/>
  <c r="BM16" i="18"/>
  <c r="I5" i="1"/>
  <c r="AM19" i="18"/>
  <c r="R22" i="18"/>
  <c r="N43" i="223"/>
  <c r="BI10" i="18"/>
  <c r="BL21" i="18"/>
  <c r="X10" i="18"/>
  <c r="BJ13" i="18"/>
  <c r="E181" i="223"/>
  <c r="BK22" i="15"/>
  <c r="J2" i="18"/>
  <c r="E120" i="223"/>
  <c r="G75" i="223"/>
  <c r="BH15" i="18"/>
  <c r="B91" i="223"/>
  <c r="BO20" i="18"/>
  <c r="B88" i="223"/>
  <c r="BJ10" i="18"/>
  <c r="G21" i="15"/>
  <c r="K192" i="223"/>
  <c r="AN20" i="15"/>
  <c r="AU8" i="18"/>
  <c r="BL10" i="18"/>
  <c r="J188" i="223"/>
  <c r="H146" i="223"/>
  <c r="AR30" i="15"/>
  <c r="J115" i="223"/>
  <c r="AN31" i="15"/>
  <c r="B29" i="14"/>
  <c r="AF23" i="15"/>
  <c r="I69" i="223"/>
  <c r="H114" i="223"/>
  <c r="D149" i="223"/>
  <c r="BA8" i="18"/>
  <c r="AE24" i="15"/>
  <c r="S6" i="18"/>
  <c r="I10" i="228"/>
  <c r="C82" i="223"/>
  <c r="D117" i="223"/>
  <c r="K5" i="14"/>
  <c r="BL25" i="15"/>
  <c r="I7" i="231"/>
  <c r="N15" i="18"/>
  <c r="F18" i="224"/>
  <c r="AR13" i="18"/>
  <c r="I6" i="234"/>
  <c r="BC15" i="18"/>
  <c r="I8" i="225"/>
  <c r="AA19" i="15"/>
  <c r="F6" i="235"/>
  <c r="B12" i="185"/>
  <c r="F16" i="231"/>
  <c r="J176" i="223"/>
  <c r="F7" i="229"/>
  <c r="E27" i="223"/>
  <c r="F17" i="226"/>
  <c r="BI21" i="18"/>
  <c r="I4" i="232"/>
  <c r="B13" i="14"/>
  <c r="I6" i="226"/>
  <c r="F23" i="231"/>
  <c r="I14" i="229"/>
  <c r="AK24" i="15"/>
  <c r="I22" i="226"/>
  <c r="S13" i="18"/>
  <c r="I8" i="228"/>
  <c r="F26" i="223"/>
  <c r="I12" i="224"/>
  <c r="D161" i="223"/>
  <c r="I11" i="232"/>
  <c r="BK31" i="15"/>
  <c r="I19" i="224"/>
  <c r="AG9" i="18"/>
  <c r="Z20" i="15"/>
  <c r="G54" i="223"/>
  <c r="T9" i="18"/>
  <c r="H143" i="223"/>
  <c r="H39" i="223"/>
  <c r="M21" i="18"/>
  <c r="AL26" i="15"/>
  <c r="AM34" i="18"/>
  <c r="J16" i="18"/>
  <c r="B73" i="223"/>
  <c r="BG21" i="18"/>
  <c r="AG20" i="15"/>
  <c r="AS2" i="1"/>
  <c r="N9" i="18"/>
  <c r="F9" i="226"/>
  <c r="AW17" i="18"/>
  <c r="BK13" i="18"/>
  <c r="D113" i="223"/>
  <c r="BE30" i="15"/>
  <c r="L152" i="223"/>
  <c r="O14" i="18"/>
  <c r="AC3" i="18"/>
  <c r="AT17" i="18"/>
  <c r="AK19" i="18"/>
  <c r="AX25" i="15"/>
  <c r="N180" i="223"/>
  <c r="Z25" i="15"/>
  <c r="BO2" i="18"/>
  <c r="B57" i="14"/>
  <c r="Y18" i="18"/>
  <c r="B117" i="223"/>
  <c r="BM20" i="18"/>
  <c r="AZ21" i="15"/>
  <c r="H5" i="18"/>
  <c r="F22" i="226"/>
  <c r="C149" i="223"/>
  <c r="C30" i="232"/>
  <c r="BA30" i="15"/>
  <c r="I14" i="231"/>
  <c r="I193" i="223"/>
  <c r="I13" i="232"/>
  <c r="L164" i="223"/>
  <c r="I9" i="227"/>
  <c r="BD27" i="15"/>
  <c r="L173" i="223"/>
  <c r="H122" i="223"/>
  <c r="F17" i="229"/>
  <c r="F15" i="226"/>
  <c r="I22" i="225"/>
  <c r="K141" i="223"/>
  <c r="I16" i="231"/>
  <c r="B53" i="223"/>
  <c r="F17" i="224"/>
  <c r="D52" i="223"/>
  <c r="I14" i="232"/>
  <c r="S25" i="15"/>
  <c r="I11" i="224"/>
  <c r="F12" i="229"/>
  <c r="I14" i="227"/>
  <c r="H36" i="223"/>
  <c r="F13" i="230"/>
  <c r="C30" i="230"/>
  <c r="G26" i="15"/>
  <c r="N96" i="223"/>
  <c r="G24" i="15"/>
  <c r="L82" i="223"/>
  <c r="L141" i="223"/>
  <c r="AZ31" i="15"/>
  <c r="P5" i="18"/>
  <c r="G130" i="223"/>
  <c r="AF5" i="18"/>
  <c r="C38" i="223"/>
  <c r="C41" i="223"/>
  <c r="BG17" i="18"/>
  <c r="AP7" i="18"/>
  <c r="AY16" i="18"/>
  <c r="K152" i="223"/>
  <c r="B43" i="223"/>
  <c r="BB2" i="1"/>
  <c r="E55" i="223"/>
  <c r="AP6" i="18"/>
  <c r="Q22" i="15"/>
  <c r="AK27" i="15"/>
  <c r="Z29" i="15"/>
  <c r="H4" i="18"/>
  <c r="BG13" i="18"/>
  <c r="G39" i="223"/>
  <c r="I5" i="234"/>
  <c r="C178" i="223"/>
  <c r="U3" i="18"/>
  <c r="AM13" i="18"/>
  <c r="BI13" i="18"/>
  <c r="AE14" i="18"/>
  <c r="AJ12" i="18"/>
  <c r="F11" i="225"/>
  <c r="J56" i="223"/>
  <c r="C30" i="226"/>
  <c r="H21" i="223"/>
  <c r="F14" i="233"/>
  <c r="J74" i="223"/>
  <c r="F16" i="233"/>
  <c r="AO14" i="18"/>
  <c r="BK24" i="15"/>
  <c r="R24" i="15"/>
  <c r="H53" i="223"/>
  <c r="AD26" i="15"/>
  <c r="P31" i="15"/>
  <c r="H149" i="223"/>
  <c r="B36" i="223"/>
  <c r="L12" i="18"/>
  <c r="I22" i="229"/>
  <c r="AE18" i="18"/>
  <c r="C30" i="231"/>
  <c r="BL28" i="1"/>
  <c r="I4" i="231"/>
  <c r="I22" i="232"/>
  <c r="E133" i="223"/>
  <c r="BI18" i="18"/>
  <c r="I5" i="224"/>
  <c r="AC28" i="1"/>
  <c r="F5" i="225"/>
  <c r="G148" i="223"/>
  <c r="F15" i="235"/>
  <c r="I171" i="223"/>
  <c r="I20" i="227"/>
  <c r="E73" i="223"/>
  <c r="E69" i="223"/>
  <c r="AQ19" i="15"/>
  <c r="O5" i="18"/>
  <c r="N147" i="223"/>
  <c r="O3" i="18"/>
  <c r="AO10" i="18"/>
  <c r="AA9" i="18"/>
  <c r="C30" i="224"/>
  <c r="N148" i="223"/>
  <c r="N55" i="223"/>
  <c r="AM2" i="18"/>
  <c r="H165" i="223"/>
  <c r="J130" i="223"/>
  <c r="J3" i="18"/>
  <c r="M149" i="223"/>
  <c r="S7" i="18"/>
  <c r="K151" i="223"/>
  <c r="BB8" i="18"/>
  <c r="W19" i="18"/>
  <c r="D116" i="223"/>
  <c r="G172" i="223"/>
  <c r="G15" i="18"/>
  <c r="AJ22" i="18"/>
  <c r="AS14" i="18"/>
  <c r="AE20" i="15"/>
  <c r="E149" i="223"/>
  <c r="BF10" i="18"/>
  <c r="C126" i="223"/>
  <c r="J123" i="223"/>
  <c r="G84" i="223"/>
  <c r="G89" i="223"/>
  <c r="AJ29" i="15"/>
  <c r="F13" i="235"/>
  <c r="G189" i="223"/>
  <c r="F22" i="230"/>
  <c r="E132" i="223"/>
  <c r="I12" i="233"/>
  <c r="G71" i="223"/>
  <c r="F24" i="234"/>
  <c r="M116" i="223"/>
  <c r="K42" i="227"/>
  <c r="N25" i="223"/>
  <c r="F7" i="227"/>
  <c r="R9" i="18"/>
  <c r="I12" i="234"/>
  <c r="AM28" i="1"/>
  <c r="I18" i="235"/>
  <c r="V9" i="18"/>
  <c r="E70" i="223"/>
  <c r="N130" i="223"/>
  <c r="B58" i="223"/>
  <c r="AE8" i="18"/>
  <c r="C160" i="223"/>
  <c r="H150" i="223"/>
  <c r="BN19" i="18"/>
  <c r="AX16" i="18"/>
  <c r="AV34" i="18"/>
  <c r="BA13" i="18"/>
  <c r="C52" i="223"/>
  <c r="B63" i="14"/>
  <c r="BE22" i="15"/>
  <c r="N162" i="223"/>
  <c r="U34" i="18"/>
  <c r="K29" i="15"/>
  <c r="B166" i="223"/>
  <c r="BK2" i="18"/>
  <c r="L5" i="18"/>
  <c r="AM14" i="18"/>
  <c r="Z13" i="18"/>
  <c r="BN9" i="18"/>
  <c r="D27" i="223"/>
  <c r="C67" i="223"/>
  <c r="M11" i="18"/>
  <c r="N174" i="223"/>
  <c r="AV21" i="15"/>
  <c r="B165" i="223"/>
  <c r="I14" i="1"/>
  <c r="C127" i="223"/>
  <c r="BF13" i="18"/>
  <c r="K19" i="18"/>
  <c r="J30" i="223"/>
  <c r="AX12" i="18"/>
  <c r="AF4" i="18"/>
  <c r="AZ20" i="18"/>
  <c r="B14" i="14"/>
  <c r="I16" i="225"/>
  <c r="AA21" i="15"/>
  <c r="J129" i="223"/>
  <c r="AD22" i="18"/>
  <c r="O2" i="18"/>
  <c r="BJ14" i="18"/>
  <c r="H74" i="223"/>
  <c r="AX2" i="1"/>
  <c r="AD25" i="15"/>
  <c r="I84" i="223"/>
  <c r="L10" i="18"/>
  <c r="BC20" i="18"/>
  <c r="D147" i="223"/>
  <c r="BI20" i="15"/>
  <c r="E129" i="223"/>
  <c r="W31" i="15"/>
  <c r="K68" i="223"/>
  <c r="BL9" i="18"/>
  <c r="P28" i="15"/>
  <c r="BO19" i="15"/>
  <c r="F11" i="232"/>
  <c r="J54" i="223"/>
  <c r="L28" i="15"/>
  <c r="AK4" i="18"/>
  <c r="AH7" i="18"/>
  <c r="M2" i="18"/>
  <c r="J37" i="223"/>
  <c r="L171" i="223"/>
  <c r="AD20" i="18"/>
  <c r="AK6" i="18"/>
  <c r="B149" i="223"/>
  <c r="M166" i="223"/>
  <c r="F118" i="223"/>
  <c r="I11" i="234"/>
  <c r="K44" i="223"/>
  <c r="H25" i="223"/>
  <c r="AH13" i="18"/>
  <c r="F4" i="227"/>
  <c r="M22" i="18"/>
  <c r="B158" i="223"/>
  <c r="N118" i="223"/>
  <c r="H88" i="223"/>
  <c r="I4" i="229"/>
  <c r="F16" i="227"/>
  <c r="E172" i="223"/>
  <c r="BD34" i="18"/>
  <c r="BA19" i="18"/>
  <c r="AK7" i="18"/>
  <c r="D96" i="223"/>
  <c r="O24" i="15"/>
  <c r="I10" i="235"/>
  <c r="I17" i="228"/>
  <c r="AD34" i="18"/>
  <c r="AO22" i="15"/>
  <c r="V34" i="18"/>
  <c r="B24" i="223"/>
  <c r="M191" i="223"/>
  <c r="F19" i="233"/>
  <c r="BJ12" i="18"/>
  <c r="F12" i="224"/>
  <c r="M160" i="223"/>
  <c r="BN13" i="18"/>
  <c r="C53" i="18"/>
  <c r="H42" i="223"/>
  <c r="F21" i="224"/>
  <c r="BK20" i="18"/>
  <c r="J163" i="223"/>
  <c r="AX27" i="15"/>
  <c r="AP27" i="15"/>
  <c r="E24" i="223"/>
  <c r="J43" i="223"/>
  <c r="AU15" i="18"/>
  <c r="AE12" i="18"/>
  <c r="C23" i="223"/>
  <c r="G180" i="223"/>
  <c r="X9" i="18"/>
  <c r="AI6" i="18"/>
  <c r="H176" i="223"/>
  <c r="AN10" i="18"/>
  <c r="BE4" i="18"/>
  <c r="BD3" i="18"/>
  <c r="BL5" i="18"/>
  <c r="P34" i="18"/>
  <c r="J67" i="223"/>
  <c r="B120" i="223"/>
  <c r="AZ20" i="15"/>
  <c r="M7" i="18"/>
  <c r="M151" i="223"/>
  <c r="F8" i="235"/>
  <c r="AF17" i="18"/>
  <c r="L123" i="223"/>
  <c r="G28" i="223"/>
  <c r="F17" i="231"/>
  <c r="T28" i="1"/>
  <c r="AL16" i="18"/>
  <c r="L28" i="223"/>
  <c r="BB22" i="18"/>
  <c r="E143" i="223"/>
  <c r="X19" i="15"/>
  <c r="B116" i="223"/>
  <c r="J21" i="223"/>
  <c r="I158" i="223"/>
  <c r="M133" i="223"/>
  <c r="L42" i="223"/>
  <c r="F37" i="223"/>
  <c r="F13" i="225"/>
  <c r="I17" i="233"/>
  <c r="N57" i="223"/>
  <c r="I3" i="229"/>
  <c r="F18" i="233"/>
  <c r="I3" i="225"/>
  <c r="AF18" i="18"/>
  <c r="D174" i="223"/>
  <c r="AC15" i="18"/>
  <c r="G58" i="223"/>
  <c r="F8" i="230"/>
  <c r="B61" i="14"/>
  <c r="R7" i="18"/>
  <c r="F121" i="223"/>
  <c r="BL17" i="18"/>
  <c r="BF18" i="18"/>
  <c r="W27" i="15"/>
  <c r="G114" i="223"/>
  <c r="AB9" i="18"/>
  <c r="AZ27" i="15"/>
  <c r="AL34" i="18"/>
  <c r="BM8" i="18"/>
  <c r="N35" i="223"/>
  <c r="BA28" i="1"/>
  <c r="AY29" i="15"/>
  <c r="G92" i="223"/>
  <c r="B180" i="223"/>
  <c r="G38" i="223"/>
  <c r="AB30" i="15"/>
  <c r="BB24" i="15"/>
  <c r="N12" i="18"/>
  <c r="K30" i="223"/>
  <c r="C54" i="223"/>
  <c r="AI8" i="18"/>
  <c r="B35" i="223"/>
  <c r="E171" i="223"/>
  <c r="BC2" i="18"/>
  <c r="M123" i="223"/>
  <c r="E166" i="223"/>
  <c r="G188" i="223"/>
  <c r="Q22" i="18"/>
  <c r="AU22" i="15"/>
  <c r="H29" i="223"/>
  <c r="D167" i="223"/>
  <c r="AP22" i="15"/>
  <c r="H22" i="223"/>
  <c r="AV6" i="18"/>
  <c r="F73" i="223"/>
  <c r="O19" i="15"/>
  <c r="K14" i="18"/>
  <c r="AP13" i="18"/>
  <c r="AZ21" i="18"/>
  <c r="AR22" i="15"/>
  <c r="BE19" i="18"/>
  <c r="Z19" i="18"/>
  <c r="AR31" i="15"/>
  <c r="Z28" i="1"/>
  <c r="E54" i="223"/>
  <c r="G117" i="223"/>
  <c r="AL18" i="18"/>
  <c r="R21" i="15"/>
  <c r="AK22" i="18"/>
  <c r="BG27" i="15"/>
  <c r="F13" i="234"/>
  <c r="I5" i="229"/>
  <c r="AF6" i="18"/>
  <c r="F14" i="226"/>
  <c r="N150" i="223"/>
  <c r="I21" i="228"/>
  <c r="C30" i="233"/>
  <c r="K171" i="223"/>
  <c r="E190" i="223"/>
  <c r="F13" i="229"/>
  <c r="T27" i="15"/>
  <c r="F4" i="228"/>
  <c r="M122" i="223"/>
  <c r="Y2" i="18"/>
  <c r="D119" i="223"/>
  <c r="F21" i="233"/>
  <c r="T25" i="15"/>
  <c r="U22" i="15"/>
  <c r="I21" i="231"/>
  <c r="X17" i="18"/>
  <c r="J133" i="223"/>
  <c r="I19" i="232"/>
  <c r="Q7" i="18"/>
  <c r="B172" i="223"/>
  <c r="G152" i="223"/>
  <c r="F8" i="227"/>
  <c r="F24" i="226"/>
  <c r="K75" i="223"/>
  <c r="BF11" i="18"/>
  <c r="K42" i="224"/>
  <c r="K41" i="1"/>
  <c r="R14" i="18"/>
  <c r="K187" i="223"/>
  <c r="C66" i="223"/>
  <c r="F9" i="229"/>
  <c r="AI11" i="18"/>
  <c r="AU20" i="18"/>
  <c r="B23" i="14"/>
  <c r="I5" i="235"/>
  <c r="G3" i="18"/>
  <c r="M120" i="223"/>
  <c r="N41" i="223"/>
  <c r="BK22" i="18"/>
  <c r="D141" i="223"/>
  <c r="AT4" i="18"/>
  <c r="AX9" i="18"/>
  <c r="H20" i="223"/>
  <c r="BB23" i="15"/>
  <c r="M96" i="223"/>
  <c r="BN19" i="15"/>
  <c r="AI12" i="18"/>
  <c r="J111" i="223"/>
  <c r="AW15" i="18"/>
  <c r="AV7" i="18"/>
  <c r="M118" i="223"/>
  <c r="F82" i="223"/>
  <c r="BI27" i="15"/>
  <c r="M21" i="223"/>
  <c r="BO27" i="15"/>
  <c r="L39" i="223"/>
  <c r="BF14" i="18"/>
  <c r="AJ9" i="18"/>
  <c r="I70" i="223"/>
  <c r="BK20" i="15"/>
  <c r="M14" i="18"/>
  <c r="AD2" i="18"/>
  <c r="Z26" i="15"/>
  <c r="H13" i="18"/>
  <c r="K146" i="223"/>
  <c r="G99" i="223"/>
  <c r="M90" i="223"/>
  <c r="F42" i="223"/>
  <c r="Y25" i="15"/>
  <c r="F16" i="229"/>
  <c r="L156" i="223"/>
  <c r="AW21" i="18"/>
  <c r="AY2" i="18"/>
  <c r="G19" i="18"/>
  <c r="F21" i="235"/>
  <c r="AF22" i="15"/>
  <c r="AC7" i="18"/>
  <c r="AV26" i="15"/>
  <c r="BB6" i="18"/>
  <c r="F22" i="1"/>
  <c r="BG16" i="18"/>
  <c r="AB10" i="18"/>
  <c r="BB29" i="15"/>
  <c r="U21" i="18"/>
  <c r="AU2" i="18"/>
  <c r="I19" i="234"/>
  <c r="BN27" i="15"/>
  <c r="M53" i="223"/>
  <c r="J76" i="223"/>
  <c r="D178" i="223"/>
  <c r="AY28" i="1"/>
  <c r="L126" i="223"/>
  <c r="AP34" i="18"/>
  <c r="BL27" i="15"/>
  <c r="H15" i="18"/>
  <c r="L120" i="223"/>
  <c r="AB22" i="15"/>
  <c r="K42" i="223"/>
  <c r="H17" i="18"/>
  <c r="F18" i="227"/>
  <c r="BI16" i="18"/>
  <c r="H86" i="223"/>
  <c r="BB22" i="15"/>
  <c r="AY19" i="18"/>
  <c r="N17" i="18"/>
  <c r="N22" i="15"/>
  <c r="AP4" i="18"/>
  <c r="AH21" i="15"/>
  <c r="J126" i="223"/>
  <c r="S19" i="18"/>
  <c r="Q3" i="18"/>
  <c r="K27" i="15"/>
  <c r="I20" i="225"/>
  <c r="R15" i="18"/>
  <c r="K85" i="223"/>
  <c r="K23" i="223"/>
  <c r="L22" i="15"/>
  <c r="F147" i="223"/>
  <c r="C26" i="223"/>
  <c r="N181" i="223"/>
  <c r="F3" i="233"/>
  <c r="AT19" i="15"/>
  <c r="F19" i="234"/>
  <c r="H73" i="223"/>
  <c r="U18" i="18"/>
  <c r="AS19" i="15"/>
  <c r="Y7" i="18"/>
  <c r="G115" i="223"/>
  <c r="K133" i="223"/>
  <c r="B37" i="223"/>
  <c r="AZ2" i="18"/>
  <c r="I85" i="223"/>
  <c r="AT5" i="18"/>
  <c r="R8" i="18"/>
  <c r="N167" i="223"/>
  <c r="AN23" i="15"/>
  <c r="I22" i="224"/>
  <c r="BA23" i="15"/>
  <c r="D22" i="223"/>
  <c r="J147" i="223"/>
  <c r="N2" i="18"/>
  <c r="AL28" i="15"/>
  <c r="AB31" i="15"/>
  <c r="BA18" i="18"/>
  <c r="I44" i="223"/>
  <c r="AW2" i="18"/>
  <c r="AJ21" i="18"/>
  <c r="BB25" i="15"/>
  <c r="AX34" i="18"/>
  <c r="B97" i="223"/>
  <c r="AO24" i="15"/>
  <c r="AD12" i="18"/>
  <c r="N5" i="18"/>
  <c r="O23" i="15"/>
  <c r="J27" i="15"/>
  <c r="AO34" i="18"/>
  <c r="BA31" i="15"/>
  <c r="BE21" i="15"/>
  <c r="BI24" i="15"/>
  <c r="BG18" i="18"/>
  <c r="AO2" i="18"/>
  <c r="AP19" i="18"/>
  <c r="K26" i="223"/>
  <c r="AN28" i="1"/>
  <c r="J21" i="18"/>
  <c r="M25" i="223"/>
  <c r="AL5" i="18"/>
  <c r="I161" i="223"/>
  <c r="J117" i="223"/>
  <c r="F57" i="223"/>
  <c r="H10" i="18"/>
  <c r="AE27" i="15"/>
  <c r="AV8" i="18"/>
  <c r="C190" i="223"/>
  <c r="L182" i="223"/>
  <c r="O28" i="1"/>
  <c r="M43" i="223"/>
  <c r="E128" i="223"/>
  <c r="AI18" i="18"/>
  <c r="J192" i="223"/>
  <c r="W25" i="15"/>
  <c r="AX30" i="15"/>
  <c r="AJ34" i="18"/>
  <c r="Q16" i="18"/>
  <c r="AJ14" i="18"/>
  <c r="F18" i="226"/>
  <c r="J22" i="15"/>
  <c r="M76" i="223"/>
  <c r="AE17" i="18"/>
  <c r="I24" i="223"/>
  <c r="AP31" i="15"/>
  <c r="L20" i="223"/>
  <c r="BM12" i="18"/>
  <c r="AC30" i="15"/>
  <c r="O9" i="18"/>
  <c r="AY20" i="15"/>
  <c r="C76" i="223"/>
  <c r="N158" i="223"/>
  <c r="F161" i="223"/>
  <c r="N76" i="223"/>
  <c r="H52" i="223"/>
  <c r="AC20" i="15"/>
  <c r="AI19" i="15"/>
  <c r="L113" i="223"/>
  <c r="C56" i="223"/>
  <c r="E42" i="223"/>
  <c r="V7" i="18"/>
  <c r="AP8" i="18"/>
  <c r="I13" i="1"/>
  <c r="O19" i="18"/>
  <c r="M180" i="223"/>
  <c r="K41" i="231"/>
  <c r="E147" i="223"/>
  <c r="D71" i="223"/>
  <c r="D163" i="223"/>
  <c r="I5" i="225"/>
  <c r="I8" i="232"/>
  <c r="F9" i="234"/>
  <c r="X26" i="15"/>
  <c r="I22" i="235"/>
  <c r="BL29" i="15"/>
  <c r="T21" i="15"/>
  <c r="K28" i="1"/>
  <c r="K66" i="223"/>
  <c r="X3" i="18"/>
  <c r="BD19" i="18"/>
  <c r="C42" i="18"/>
  <c r="BM15" i="18"/>
  <c r="J27" i="223"/>
  <c r="I11" i="1"/>
  <c r="K113" i="223"/>
  <c r="T3" i="18"/>
  <c r="AY2" i="1"/>
  <c r="AZ2" i="1"/>
  <c r="L87" i="223"/>
  <c r="F162" i="223"/>
  <c r="B89" i="223"/>
  <c r="Y4" i="18"/>
  <c r="H111" i="223"/>
  <c r="BD20" i="18"/>
  <c r="AH25" i="15"/>
  <c r="L145" i="223"/>
  <c r="H55" i="223"/>
  <c r="BJ31" i="15"/>
  <c r="AC31" i="15"/>
  <c r="AD21" i="15"/>
  <c r="AB29" i="15"/>
  <c r="Y22" i="15"/>
  <c r="P23" i="15"/>
  <c r="M111" i="223"/>
  <c r="N21" i="223"/>
  <c r="AZ19" i="18"/>
  <c r="J44" i="223"/>
  <c r="AG27" i="15"/>
  <c r="AK16" i="18"/>
  <c r="K25" i="223"/>
  <c r="AG22" i="15"/>
  <c r="N56" i="223"/>
  <c r="AJ11" i="18"/>
  <c r="AL11" i="18"/>
  <c r="M15" i="18"/>
  <c r="J22" i="18"/>
  <c r="L13" i="18"/>
  <c r="M26" i="15"/>
  <c r="L115" i="223"/>
  <c r="AT12" i="18"/>
  <c r="BM20" i="15"/>
  <c r="C96" i="223"/>
  <c r="F20" i="234"/>
  <c r="K82" i="223"/>
  <c r="BE3" i="18"/>
  <c r="C165" i="223"/>
  <c r="C91" i="223"/>
  <c r="K10" i="18"/>
  <c r="N143" i="223"/>
  <c r="E56" i="223"/>
  <c r="I126" i="223"/>
  <c r="BF16" i="18"/>
  <c r="E87" i="223"/>
  <c r="L189" i="223"/>
  <c r="BH17" i="18"/>
  <c r="X13" i="18"/>
  <c r="BG31" i="15"/>
  <c r="C73" i="223"/>
  <c r="T18" i="18"/>
  <c r="AK29" i="15"/>
  <c r="G123" i="223"/>
  <c r="I148" i="223"/>
  <c r="AF2" i="1"/>
  <c r="I8" i="226"/>
  <c r="G119" i="223"/>
  <c r="BK19" i="15"/>
  <c r="AV15" i="18"/>
  <c r="BM3" i="18"/>
  <c r="L146" i="223"/>
  <c r="BF3" i="18"/>
  <c r="G191" i="223"/>
  <c r="H7" i="18"/>
  <c r="AS15" i="18"/>
  <c r="AY17" i="18"/>
  <c r="I17" i="234"/>
  <c r="L6" i="18"/>
  <c r="F8" i="231"/>
  <c r="I156" i="223"/>
  <c r="F150" i="223"/>
  <c r="L85" i="223"/>
  <c r="N7" i="18"/>
  <c r="F83" i="223"/>
  <c r="E144" i="223"/>
  <c r="G150" i="223"/>
  <c r="N142" i="223"/>
  <c r="BD13" i="18"/>
  <c r="AD31" i="15"/>
  <c r="AQ14" i="18"/>
  <c r="F70" i="223"/>
  <c r="AA23" i="15"/>
  <c r="M58" i="223"/>
  <c r="I174" i="223"/>
  <c r="K4" i="18"/>
  <c r="B189" i="223"/>
  <c r="F11" i="228"/>
  <c r="D123" i="223"/>
  <c r="BF21" i="15"/>
  <c r="G146" i="223"/>
  <c r="BH4" i="18"/>
  <c r="AU18" i="18"/>
  <c r="J127" i="223"/>
  <c r="BG7" i="18"/>
  <c r="BO5" i="18"/>
  <c r="F16" i="1"/>
  <c r="H126" i="223"/>
  <c r="F127" i="223"/>
  <c r="BN23" i="15"/>
  <c r="K41" i="228"/>
  <c r="I8" i="231"/>
  <c r="BG11" i="18"/>
  <c r="B145" i="223"/>
  <c r="AU6" i="18"/>
  <c r="F14" i="225"/>
  <c r="E142" i="223"/>
  <c r="F66" i="223"/>
  <c r="AZ10" i="18"/>
  <c r="H177" i="223"/>
  <c r="BM31" i="15"/>
  <c r="P11" i="18"/>
  <c r="E113" i="223"/>
  <c r="F12" i="226"/>
  <c r="AL19" i="18"/>
  <c r="J26" i="15"/>
  <c r="AG28" i="1"/>
  <c r="M89" i="223"/>
  <c r="F189" i="223"/>
  <c r="BG14" i="18"/>
  <c r="F152" i="223"/>
  <c r="D150" i="223"/>
  <c r="BC14" i="18"/>
  <c r="AH20" i="15"/>
  <c r="AM7" i="18"/>
  <c r="I178" i="223"/>
  <c r="H8" i="18"/>
  <c r="AR11" i="18"/>
  <c r="K193" i="223"/>
  <c r="K2" i="1"/>
  <c r="N119" i="223"/>
  <c r="J30" i="15"/>
  <c r="AL9" i="18"/>
  <c r="O15" i="18"/>
  <c r="B98" i="223"/>
  <c r="AY18" i="18"/>
  <c r="D85" i="223"/>
  <c r="I20" i="226"/>
  <c r="S27" i="15"/>
  <c r="U31" i="15"/>
  <c r="D90" i="223"/>
  <c r="H24" i="223"/>
  <c r="C191" i="223"/>
  <c r="AI7" i="18"/>
  <c r="I8" i="230"/>
  <c r="U16" i="18"/>
  <c r="AA2" i="18"/>
  <c r="R22" i="15"/>
  <c r="AA8" i="18"/>
  <c r="AM10" i="18"/>
  <c r="H77" i="223"/>
  <c r="E164" i="223"/>
  <c r="K158" i="223"/>
  <c r="I9" i="232"/>
  <c r="G31" i="15"/>
  <c r="Y34" i="18"/>
  <c r="G21" i="223"/>
  <c r="AI22" i="18"/>
  <c r="R16" i="18"/>
  <c r="F12" i="232"/>
  <c r="I12" i="231"/>
  <c r="AH9" i="18"/>
  <c r="L114" i="223"/>
  <c r="F69" i="223"/>
  <c r="K117" i="223"/>
  <c r="F115" i="223"/>
  <c r="AS31" i="15"/>
  <c r="H175" i="223"/>
  <c r="BF4" i="18"/>
  <c r="N85" i="223"/>
  <c r="B62" i="14"/>
  <c r="I144" i="223"/>
  <c r="B53" i="14"/>
  <c r="AG31" i="15"/>
  <c r="C35" i="223"/>
  <c r="BE2" i="18"/>
  <c r="AX26" i="15"/>
  <c r="AP5" i="18"/>
  <c r="AY12" i="18"/>
  <c r="K130" i="223"/>
  <c r="BE8" i="18"/>
  <c r="BM21" i="18"/>
  <c r="C74" i="18"/>
  <c r="L77" i="223"/>
  <c r="K5" i="18"/>
  <c r="K38" i="223"/>
  <c r="K156" i="223"/>
  <c r="W21" i="15"/>
  <c r="AT11" i="18"/>
  <c r="B25" i="223"/>
  <c r="K13" i="18"/>
  <c r="E53" i="223"/>
  <c r="H27" i="223"/>
  <c r="BH2" i="1"/>
  <c r="B28" i="223"/>
  <c r="AU24" i="15"/>
  <c r="BK18" i="18"/>
  <c r="AW19" i="18"/>
  <c r="M129" i="223"/>
  <c r="AG28" i="15"/>
  <c r="F151" i="223"/>
  <c r="BE25" i="15"/>
  <c r="K160" i="223"/>
  <c r="AK14" i="18"/>
  <c r="D146" i="223"/>
  <c r="AT8" i="18"/>
  <c r="AL15" i="18"/>
  <c r="Z30" i="15"/>
  <c r="C186" i="223"/>
  <c r="AE15" i="18"/>
  <c r="F15" i="229"/>
  <c r="F14" i="227"/>
  <c r="I16" i="234"/>
  <c r="F22" i="227"/>
  <c r="F17" i="230"/>
  <c r="F24" i="233"/>
  <c r="K42" i="228"/>
  <c r="I91" i="223"/>
  <c r="M6" i="18"/>
  <c r="G82" i="223"/>
  <c r="X20" i="15"/>
  <c r="F18" i="234"/>
  <c r="I15" i="227"/>
  <c r="I9" i="233"/>
  <c r="F9" i="233"/>
  <c r="F19" i="235"/>
  <c r="E85" i="223"/>
  <c r="AO4" i="18"/>
  <c r="AS9" i="18"/>
  <c r="V28" i="15"/>
  <c r="E156" i="223"/>
  <c r="V31" i="15"/>
  <c r="AZ3" i="18"/>
  <c r="Q9" i="18"/>
  <c r="D129" i="223"/>
  <c r="B8" i="185"/>
  <c r="L163" i="223"/>
  <c r="F19" i="229"/>
  <c r="Y3" i="18"/>
  <c r="D76" i="223"/>
  <c r="D179" i="223"/>
  <c r="I4" i="233"/>
  <c r="J191" i="223"/>
  <c r="W28" i="1"/>
  <c r="M112" i="223"/>
  <c r="C181" i="223"/>
  <c r="J89" i="223"/>
  <c r="BO20" i="15"/>
  <c r="G90" i="223"/>
  <c r="F56" i="223"/>
  <c r="J88" i="223"/>
  <c r="K7" i="18"/>
  <c r="B85" i="223"/>
  <c r="E81" i="223"/>
  <c r="L149" i="223"/>
  <c r="F6" i="225"/>
  <c r="J25" i="223"/>
  <c r="E22" i="223"/>
  <c r="E141" i="223"/>
  <c r="I10" i="231"/>
  <c r="AP2" i="1"/>
  <c r="BE29" i="15"/>
  <c r="AZ13" i="18"/>
  <c r="B39" i="223"/>
  <c r="M23" i="223"/>
  <c r="G157" i="223"/>
  <c r="N21" i="18"/>
  <c r="L53" i="223"/>
  <c r="K115" i="223"/>
  <c r="BO11" i="18"/>
  <c r="M38" i="223"/>
  <c r="K161" i="223"/>
  <c r="F51" i="223"/>
  <c r="L143" i="223"/>
  <c r="AS5" i="18"/>
  <c r="AI30" i="15"/>
  <c r="P13" i="18"/>
  <c r="L122" i="223"/>
  <c r="F192" i="223"/>
  <c r="AV27" i="15"/>
  <c r="T22" i="18"/>
  <c r="D66" i="223"/>
  <c r="E176" i="223"/>
  <c r="B70" i="223"/>
  <c r="L19" i="18"/>
  <c r="S8" i="18"/>
  <c r="C99" i="223"/>
  <c r="L23" i="223"/>
  <c r="BO21" i="18"/>
  <c r="G35" i="223"/>
  <c r="M177" i="223"/>
  <c r="R20" i="18"/>
  <c r="AK15" i="18"/>
  <c r="G126" i="223"/>
  <c r="E127" i="223"/>
  <c r="N23" i="15"/>
  <c r="BH12" i="18"/>
  <c r="AA22" i="18"/>
  <c r="BJ26" i="15"/>
  <c r="AO15" i="18"/>
  <c r="AG7" i="18"/>
  <c r="D158" i="223"/>
  <c r="N123" i="223"/>
  <c r="G76" i="223"/>
  <c r="BF12" i="18"/>
  <c r="AZ16" i="18"/>
  <c r="J177" i="223"/>
  <c r="T4" i="18"/>
  <c r="S23" i="15"/>
  <c r="I10" i="227"/>
  <c r="BL30" i="15"/>
  <c r="C72" i="223"/>
  <c r="G98" i="223"/>
  <c r="W34" i="18"/>
  <c r="W11" i="18"/>
  <c r="B171" i="223"/>
  <c r="L27" i="15"/>
  <c r="BE5" i="18"/>
  <c r="H131" i="223"/>
  <c r="I16" i="227"/>
  <c r="G145" i="223"/>
  <c r="BA28" i="15"/>
  <c r="I12" i="227"/>
  <c r="I96" i="223"/>
  <c r="F18" i="231"/>
  <c r="F4" i="235"/>
  <c r="D186" i="223"/>
  <c r="B8" i="14"/>
  <c r="O8" i="18"/>
  <c r="V29" i="15"/>
  <c r="AU21" i="18"/>
  <c r="F22" i="224"/>
  <c r="AQ12" i="18"/>
  <c r="BB10" i="18"/>
  <c r="F17" i="1"/>
  <c r="F122" i="223"/>
  <c r="AI17" i="18"/>
  <c r="AA17" i="18"/>
  <c r="P17" i="18"/>
  <c r="BD28" i="1"/>
  <c r="J91" i="223"/>
  <c r="BE12" i="18"/>
  <c r="O21" i="15"/>
  <c r="K18" i="18"/>
  <c r="N178" i="223"/>
  <c r="H119" i="223"/>
  <c r="G30" i="15"/>
  <c r="BG28" i="15"/>
  <c r="K56" i="223"/>
  <c r="Q17" i="18"/>
  <c r="G164" i="223"/>
  <c r="I21" i="232"/>
  <c r="N28" i="15"/>
  <c r="D29" i="223"/>
  <c r="F21" i="228"/>
  <c r="I4" i="230"/>
  <c r="BJ20" i="15"/>
  <c r="F8" i="232"/>
  <c r="I22" i="227"/>
  <c r="AN11" i="18"/>
  <c r="F13" i="226"/>
  <c r="F4" i="230"/>
  <c r="F7" i="231"/>
  <c r="AQ22" i="18"/>
  <c r="J14" i="18"/>
  <c r="AO29" i="15"/>
  <c r="AB17" i="18"/>
  <c r="M9" i="18"/>
  <c r="K144" i="223"/>
  <c r="F6" i="228"/>
  <c r="AE26" i="15"/>
  <c r="AH5" i="18"/>
  <c r="AI28" i="15"/>
  <c r="O18" i="18"/>
  <c r="L119" i="223"/>
  <c r="O22" i="18"/>
  <c r="N99" i="223"/>
  <c r="K12" i="18"/>
  <c r="I75" i="223"/>
  <c r="Y6" i="18"/>
  <c r="BM19" i="15"/>
  <c r="V12" i="18"/>
  <c r="AA19" i="18"/>
  <c r="W16" i="18"/>
  <c r="BH22" i="15"/>
  <c r="J19" i="18"/>
  <c r="K51" i="223"/>
  <c r="F14" i="1"/>
  <c r="U29" i="15"/>
  <c r="AH29" i="15"/>
  <c r="E130" i="223"/>
  <c r="E36" i="223"/>
  <c r="BJ28" i="15"/>
  <c r="BL23" i="15"/>
  <c r="C57" i="223"/>
  <c r="I17" i="1"/>
  <c r="E88" i="223"/>
  <c r="F40" i="223"/>
  <c r="AD15" i="18"/>
  <c r="BB26" i="15"/>
  <c r="AS8" i="18"/>
  <c r="BD8" i="18"/>
  <c r="J38" i="223"/>
  <c r="L31" i="15"/>
  <c r="I42" i="223"/>
  <c r="I67" i="223"/>
  <c r="I6" i="1"/>
  <c r="F6" i="231"/>
  <c r="K41" i="232"/>
  <c r="AB2" i="18"/>
  <c r="I10" i="234"/>
  <c r="BA27" i="15"/>
  <c r="AW8" i="18"/>
  <c r="G133" i="223"/>
  <c r="I6" i="230"/>
  <c r="Z18" i="18"/>
  <c r="AC4" i="18"/>
  <c r="M147" i="223"/>
  <c r="R28" i="15"/>
  <c r="I22" i="234"/>
  <c r="I40" i="223"/>
  <c r="F190" i="223"/>
  <c r="I6" i="235"/>
  <c r="I43" i="223"/>
  <c r="F8" i="224"/>
  <c r="G36" i="223"/>
  <c r="BL12" i="18"/>
  <c r="AP16" i="18"/>
  <c r="AC28" i="15"/>
  <c r="AO25" i="15"/>
  <c r="AM5" i="18"/>
  <c r="C85" i="223"/>
  <c r="K188" i="223"/>
  <c r="S29" i="15"/>
  <c r="K21" i="18"/>
  <c r="B176" i="223"/>
  <c r="AI14" i="18"/>
  <c r="I9" i="229"/>
  <c r="AQ26" i="15"/>
  <c r="F14" i="234"/>
  <c r="I12" i="225"/>
  <c r="BM5" i="18"/>
  <c r="AY11" i="18"/>
  <c r="I71" i="223"/>
  <c r="BE19" i="15"/>
  <c r="G77" i="223"/>
  <c r="K163" i="223"/>
  <c r="AH8" i="18"/>
  <c r="AR12" i="18"/>
  <c r="AH14" i="18"/>
  <c r="W10" i="18"/>
  <c r="X2" i="18"/>
  <c r="AS30" i="15"/>
  <c r="BM26" i="15"/>
  <c r="F53" i="223"/>
  <c r="K36" i="223"/>
  <c r="N122" i="223"/>
  <c r="H158" i="223"/>
  <c r="D57" i="223"/>
  <c r="H28" i="15"/>
  <c r="M19" i="15"/>
  <c r="J167" i="223"/>
  <c r="AD23" i="15"/>
  <c r="K149" i="223"/>
  <c r="AZ6" i="18"/>
  <c r="P30" i="15"/>
  <c r="Y31" i="15"/>
  <c r="I27" i="223"/>
  <c r="BL20" i="15"/>
  <c r="AK3" i="18"/>
  <c r="I22" i="1"/>
  <c r="N86" i="223"/>
  <c r="I150" i="223"/>
  <c r="AE3" i="18"/>
  <c r="AH23" i="15"/>
  <c r="BG15" i="18"/>
  <c r="AN5" i="18"/>
  <c r="I7" i="234"/>
  <c r="Y20" i="15"/>
  <c r="B28" i="14"/>
  <c r="BI6" i="18"/>
  <c r="P21" i="15"/>
  <c r="AU20" i="15"/>
  <c r="K147" i="223"/>
  <c r="I7" i="233"/>
  <c r="H24" i="15"/>
  <c r="BG19" i="15"/>
  <c r="J29" i="15"/>
  <c r="N87" i="223"/>
  <c r="U8" i="18"/>
  <c r="E173" i="223"/>
  <c r="B193" i="223"/>
  <c r="AP11" i="18"/>
  <c r="P16" i="18"/>
  <c r="BF17" i="18"/>
  <c r="BH13" i="18"/>
  <c r="AV17" i="18"/>
  <c r="I30" i="223"/>
  <c r="I19" i="225"/>
  <c r="AR18" i="18"/>
  <c r="C30" i="229"/>
  <c r="G97" i="223"/>
  <c r="F27" i="223"/>
  <c r="X19" i="18"/>
  <c r="BA11" i="18"/>
  <c r="G143" i="223"/>
  <c r="J193" i="223"/>
  <c r="BB19" i="18"/>
  <c r="J5" i="18"/>
  <c r="BA22" i="15"/>
  <c r="W20" i="15"/>
  <c r="F23" i="228"/>
  <c r="I173" i="223"/>
  <c r="J18" i="18"/>
  <c r="AD11" i="18"/>
  <c r="BD29" i="15"/>
  <c r="AZ15" i="18"/>
  <c r="AC17" i="18"/>
  <c r="J72" i="223"/>
  <c r="E152" i="223"/>
  <c r="N83" i="223"/>
  <c r="B25" i="14"/>
  <c r="BO30" i="15"/>
  <c r="AK19" i="15"/>
  <c r="J150" i="223"/>
  <c r="AD3" i="18"/>
  <c r="BK8" i="18"/>
  <c r="M131" i="223"/>
  <c r="AI34" i="18"/>
  <c r="AC19" i="15"/>
  <c r="H31" i="15"/>
  <c r="D182" i="223"/>
  <c r="W28" i="15"/>
  <c r="H129" i="223"/>
  <c r="X4" i="18"/>
  <c r="J145" i="223"/>
  <c r="B50" i="14"/>
  <c r="G23" i="223"/>
  <c r="AX11" i="18"/>
  <c r="AR27" i="15"/>
  <c r="L162" i="223"/>
  <c r="L34" i="18"/>
  <c r="AD18" i="18"/>
  <c r="F75" i="223"/>
  <c r="G192" i="223"/>
  <c r="D81" i="223"/>
  <c r="J175" i="223"/>
  <c r="M74" i="223"/>
  <c r="N67" i="223"/>
  <c r="E99" i="223"/>
  <c r="L112" i="223"/>
  <c r="D72" i="223"/>
  <c r="AF22" i="18"/>
  <c r="I17" i="225"/>
  <c r="BB14" i="18"/>
  <c r="F5" i="1"/>
  <c r="I8" i="18"/>
  <c r="H14" i="18"/>
  <c r="BG12" i="18"/>
  <c r="BE17" i="18"/>
  <c r="C87" i="223"/>
  <c r="K31" i="223"/>
  <c r="AW10" i="18"/>
  <c r="R4" i="18"/>
  <c r="AV24" i="15"/>
  <c r="F10" i="1"/>
  <c r="AX15" i="18"/>
  <c r="BF20" i="15"/>
  <c r="C148" i="223"/>
  <c r="E23" i="223"/>
  <c r="AY23" i="15"/>
  <c r="P21" i="18"/>
  <c r="AV16" i="18"/>
  <c r="C83" i="223"/>
  <c r="Z11" i="18"/>
  <c r="H35" i="223"/>
  <c r="F9" i="228"/>
  <c r="V20" i="15"/>
  <c r="B59" i="14"/>
  <c r="AR24" i="15"/>
  <c r="M87" i="223"/>
  <c r="M91" i="223"/>
  <c r="F116" i="223"/>
  <c r="F19" i="232"/>
  <c r="C173" i="223"/>
  <c r="AB19" i="18"/>
  <c r="AI23" i="15"/>
  <c r="I190" i="223"/>
  <c r="E77" i="223"/>
  <c r="AM20" i="18"/>
  <c r="J52" i="223"/>
  <c r="W30" i="15"/>
  <c r="AR9" i="18"/>
  <c r="R6" i="18"/>
  <c r="H92" i="223"/>
  <c r="Z20" i="18"/>
  <c r="N172" i="223"/>
  <c r="M171" i="223"/>
  <c r="I82" i="223"/>
  <c r="AB19" i="15"/>
  <c r="AL21" i="15"/>
  <c r="K69" i="223"/>
  <c r="K29" i="223"/>
  <c r="H190" i="223"/>
  <c r="BO16" i="18"/>
  <c r="C30" i="223"/>
  <c r="AS13" i="18"/>
  <c r="AI16" i="18"/>
  <c r="B82" i="223"/>
  <c r="BN10" i="18"/>
  <c r="K182" i="223"/>
  <c r="F8" i="228"/>
  <c r="B174" i="223"/>
  <c r="BB5" i="18"/>
  <c r="AM21" i="15"/>
  <c r="AN6" i="18"/>
  <c r="AB15" i="18"/>
  <c r="Z23" i="15"/>
  <c r="F130" i="223"/>
  <c r="N157" i="223"/>
  <c r="M70" i="223"/>
  <c r="K162" i="223"/>
  <c r="AT20" i="15"/>
  <c r="N28" i="223"/>
  <c r="H91" i="223"/>
  <c r="C151" i="223"/>
  <c r="K21" i="15"/>
  <c r="B152" i="223"/>
  <c r="F16" i="234"/>
  <c r="E86" i="223"/>
  <c r="S30" i="15"/>
  <c r="M142" i="223"/>
  <c r="G129" i="223"/>
  <c r="AE19" i="18"/>
  <c r="T30" i="15"/>
  <c r="BO6" i="18"/>
  <c r="X21" i="15"/>
  <c r="R3" i="18"/>
  <c r="F76" i="223"/>
  <c r="AD7" i="18"/>
  <c r="AP19" i="15"/>
  <c r="W26" i="15"/>
  <c r="N20" i="15"/>
  <c r="N163" i="223"/>
  <c r="AM16" i="18"/>
  <c r="AB28" i="15"/>
  <c r="C129" i="223"/>
  <c r="G30" i="223"/>
  <c r="BD2" i="1"/>
  <c r="AG29" i="15"/>
  <c r="F14" i="231"/>
  <c r="I31" i="223"/>
  <c r="H58" i="223"/>
  <c r="H16" i="18"/>
  <c r="AI31" i="15"/>
  <c r="AT30" i="15"/>
  <c r="N30" i="223"/>
  <c r="L161" i="223"/>
  <c r="F12" i="230"/>
  <c r="M71" i="223"/>
  <c r="F15" i="228"/>
  <c r="AE29" i="15"/>
  <c r="AP15" i="18"/>
  <c r="C71" i="223"/>
  <c r="I19" i="226"/>
  <c r="I3" i="231"/>
  <c r="J82" i="223"/>
  <c r="BE31" i="15"/>
  <c r="AV29" i="15"/>
  <c r="N121" i="223"/>
  <c r="BC9" i="18"/>
  <c r="C70" i="223"/>
  <c r="J161" i="223"/>
  <c r="BM2" i="18"/>
  <c r="E126" i="223"/>
  <c r="Q34" i="18"/>
  <c r="BH22" i="18"/>
  <c r="D97" i="223"/>
  <c r="Q12" i="18"/>
  <c r="K53" i="223"/>
  <c r="U30" i="15"/>
  <c r="M175" i="223"/>
  <c r="I15" i="233"/>
  <c r="BC24" i="15"/>
  <c r="S34" i="18"/>
  <c r="V22" i="18"/>
  <c r="D43" i="223"/>
  <c r="F11" i="231"/>
  <c r="BA24" i="15"/>
  <c r="I18" i="231"/>
  <c r="AU17" i="18"/>
  <c r="C188" i="223"/>
  <c r="AF16" i="18"/>
  <c r="BF30" i="15"/>
  <c r="M34" i="18"/>
  <c r="BM14" i="18"/>
  <c r="AN16" i="18"/>
  <c r="O16" i="18"/>
  <c r="AU11" i="18"/>
  <c r="AW11" i="18"/>
  <c r="C156" i="223"/>
  <c r="BK19" i="18"/>
  <c r="AC14" i="18"/>
  <c r="K83" i="223"/>
  <c r="L96" i="223"/>
  <c r="B72" i="223"/>
  <c r="F6" i="232"/>
  <c r="C27" i="223"/>
  <c r="I35" i="223"/>
  <c r="AB13" i="18"/>
  <c r="B46" i="14"/>
  <c r="F8" i="1"/>
  <c r="I160" i="223"/>
  <c r="E57" i="223"/>
  <c r="I6" i="227"/>
  <c r="BA26" i="15"/>
  <c r="AD17" i="18"/>
  <c r="AE30" i="15"/>
  <c r="G69" i="223"/>
  <c r="BK29" i="15"/>
  <c r="BO8" i="18"/>
  <c r="M158" i="223"/>
  <c r="E122" i="223"/>
  <c r="BJ21" i="15"/>
  <c r="AI21" i="15"/>
  <c r="L28" i="1"/>
  <c r="P8" i="18"/>
  <c r="N71" i="223"/>
  <c r="BL24" i="15"/>
  <c r="BK11" i="18"/>
  <c r="AN2" i="1"/>
  <c r="E43" i="223"/>
  <c r="V2" i="18"/>
  <c r="AB4" i="18"/>
  <c r="AI9" i="18"/>
  <c r="AU26" i="15"/>
  <c r="F28" i="223"/>
  <c r="BM4" i="18"/>
  <c r="AH10" i="18"/>
  <c r="Z31" i="15"/>
  <c r="J9" i="18"/>
  <c r="AP14" i="18"/>
  <c r="N3" i="18"/>
  <c r="I128" i="223"/>
  <c r="AH12" i="18"/>
  <c r="AM22" i="15"/>
  <c r="X12" i="18"/>
  <c r="D23" i="223"/>
  <c r="AQ30" i="15"/>
  <c r="BE6" i="18"/>
  <c r="Z5" i="18"/>
  <c r="H2" i="18"/>
  <c r="AJ20" i="15"/>
  <c r="AM25" i="15"/>
  <c r="L111" i="223"/>
  <c r="BF26" i="15"/>
  <c r="AT29" i="15"/>
  <c r="K145" i="223"/>
  <c r="W23" i="15"/>
  <c r="O28" i="15"/>
  <c r="N179" i="223"/>
  <c r="E167" i="223"/>
  <c r="V25" i="15"/>
  <c r="B37" i="14"/>
  <c r="B52" i="14"/>
  <c r="AX24" i="15"/>
  <c r="J20" i="223"/>
  <c r="G6" i="18"/>
  <c r="D56" i="223"/>
  <c r="N27" i="15"/>
  <c r="N22" i="223"/>
  <c r="I146" i="223"/>
  <c r="F5" i="234"/>
  <c r="I143" i="223"/>
  <c r="F5" i="231"/>
  <c r="BL19" i="18"/>
  <c r="I8" i="233"/>
  <c r="C141" i="223"/>
  <c r="O31" i="15"/>
  <c r="AU19" i="15"/>
  <c r="BN29" i="15"/>
  <c r="BI19" i="18"/>
  <c r="H116" i="223"/>
  <c r="K179" i="223"/>
  <c r="AW26" i="15"/>
  <c r="I15" i="224"/>
  <c r="AA26" i="15"/>
  <c r="I191" i="223"/>
  <c r="E115" i="223"/>
  <c r="BD12" i="18"/>
  <c r="L67" i="223"/>
  <c r="BI20" i="18"/>
  <c r="X24" i="15"/>
  <c r="AZ7" i="18"/>
  <c r="N166" i="223"/>
  <c r="AN15" i="18"/>
  <c r="AE13" i="18"/>
  <c r="C28" i="223"/>
  <c r="F24" i="231"/>
  <c r="C130" i="223"/>
  <c r="I39" i="223"/>
  <c r="L58" i="223"/>
  <c r="AL29" i="15"/>
  <c r="D156" i="223"/>
  <c r="X16" i="18"/>
  <c r="BJ29" i="15"/>
  <c r="AZ22" i="15"/>
  <c r="BO19" i="18"/>
  <c r="AG26" i="15"/>
  <c r="D86" i="223"/>
  <c r="I162" i="223"/>
  <c r="AC10" i="18"/>
  <c r="AT21" i="18"/>
  <c r="AK25" i="15"/>
  <c r="C25" i="223"/>
  <c r="E163" i="223"/>
  <c r="D51" i="223"/>
  <c r="F129" i="223"/>
  <c r="AN21" i="15"/>
  <c r="N40" i="223"/>
  <c r="P27" i="15"/>
  <c r="F119" i="223"/>
  <c r="F2" i="14"/>
  <c r="M29" i="15"/>
  <c r="AB11" i="18"/>
  <c r="D28" i="223"/>
  <c r="AI19" i="18"/>
  <c r="M179" i="223"/>
  <c r="H173" i="223"/>
  <c r="W2" i="18"/>
  <c r="AT19" i="18"/>
  <c r="BM23" i="15"/>
  <c r="Y19" i="15"/>
  <c r="K15" i="18"/>
  <c r="M92" i="223"/>
  <c r="AY25" i="15"/>
  <c r="M77" i="223"/>
  <c r="D98" i="223"/>
  <c r="M36" i="223"/>
  <c r="B151" i="223"/>
  <c r="T28" i="15"/>
  <c r="BO4" i="18"/>
  <c r="H40" i="223"/>
  <c r="H72" i="223"/>
  <c r="BC26" i="15"/>
  <c r="F30" i="223"/>
  <c r="AF13" i="18"/>
  <c r="V26" i="15"/>
  <c r="AY4" i="18"/>
  <c r="BG28" i="1"/>
  <c r="AU29" i="15"/>
  <c r="L118" i="223"/>
  <c r="AA13" i="18"/>
  <c r="AW2" i="1"/>
  <c r="Y11" i="18"/>
  <c r="H56" i="223"/>
  <c r="L91" i="223"/>
  <c r="T24" i="15"/>
  <c r="F4" i="232"/>
  <c r="M189" i="223"/>
  <c r="S20" i="15"/>
  <c r="F173" i="223"/>
  <c r="AE20" i="18"/>
  <c r="BM24" i="15"/>
  <c r="Z15" i="18"/>
  <c r="M157" i="223"/>
  <c r="I127" i="223"/>
  <c r="I76" i="223"/>
  <c r="AX7" i="18"/>
  <c r="F6" i="229"/>
  <c r="F9" i="230"/>
  <c r="AO16" i="18"/>
  <c r="F12" i="225"/>
  <c r="M176" i="223"/>
  <c r="AJ10" i="18"/>
  <c r="BO22" i="18"/>
  <c r="V30" i="15"/>
  <c r="N117" i="223"/>
  <c r="N24" i="15"/>
  <c r="Y12" i="18"/>
  <c r="P7" i="18"/>
  <c r="D192" i="223"/>
  <c r="AY21" i="18"/>
  <c r="K37" i="223"/>
  <c r="AF15" i="18"/>
  <c r="AH19" i="15"/>
  <c r="B11" i="14"/>
  <c r="J23" i="15"/>
  <c r="H84" i="223"/>
  <c r="AZ19" i="15"/>
  <c r="G179" i="223"/>
  <c r="K40" i="223"/>
  <c r="V13" i="18"/>
  <c r="N53" i="223"/>
  <c r="AW20" i="18"/>
  <c r="AJ16" i="18"/>
  <c r="BD26" i="15"/>
  <c r="BF5" i="18"/>
  <c r="BJ27" i="15"/>
  <c r="F8" i="233"/>
  <c r="L22" i="223"/>
  <c r="AM17" i="18"/>
  <c r="T6" i="18"/>
  <c r="H128" i="223"/>
  <c r="AW3" i="18"/>
  <c r="G87" i="223"/>
  <c r="B86" i="223"/>
  <c r="BI3" i="18"/>
  <c r="Q23" i="15"/>
  <c r="B30" i="14"/>
  <c r="AN21" i="18"/>
  <c r="N37" i="223"/>
  <c r="I21" i="230"/>
  <c r="AC18" i="18"/>
  <c r="K87" i="223"/>
  <c r="Q19" i="15"/>
  <c r="C86" i="223"/>
  <c r="C81" i="223"/>
  <c r="AA22" i="15"/>
  <c r="F9" i="235"/>
  <c r="AY19" i="15"/>
  <c r="Q8" i="18"/>
  <c r="S19" i="15"/>
  <c r="BJ3" i="18"/>
  <c r="Q25" i="15"/>
  <c r="BG25" i="15"/>
  <c r="F55" i="223"/>
  <c r="S3" i="18"/>
  <c r="AX22" i="18"/>
  <c r="P15" i="18"/>
  <c r="AQ20" i="18"/>
  <c r="E21" i="223"/>
  <c r="L2" i="18"/>
  <c r="AU28" i="1"/>
  <c r="H31" i="223"/>
  <c r="AM23" i="15"/>
  <c r="M83" i="223"/>
  <c r="H20" i="18"/>
  <c r="AD30" i="15"/>
  <c r="AO23" i="15"/>
  <c r="K8" i="18"/>
  <c r="BJ24" i="15"/>
  <c r="AT10" i="18"/>
  <c r="AE2" i="1"/>
  <c r="AW28" i="15"/>
  <c r="J179" i="223"/>
  <c r="BJ30" i="15"/>
  <c r="L127" i="223"/>
  <c r="L43" i="223"/>
  <c r="AC19" i="18"/>
  <c r="G31" i="223"/>
  <c r="AM8" i="18"/>
  <c r="D83" i="223"/>
  <c r="BI15" i="18"/>
  <c r="E175" i="223"/>
  <c r="G91" i="223"/>
  <c r="R2" i="14"/>
  <c r="AK18" i="18"/>
  <c r="G181" i="223"/>
  <c r="AL4" i="18"/>
  <c r="I114" i="223"/>
  <c r="M174" i="223"/>
  <c r="S2" i="1"/>
  <c r="AT28" i="1"/>
  <c r="AU34" i="18"/>
  <c r="C36" i="223"/>
  <c r="M117" i="223"/>
  <c r="AT28" i="15"/>
  <c r="H188" i="223"/>
  <c r="AB6" i="18"/>
  <c r="AD21" i="18"/>
  <c r="AA16" i="18"/>
  <c r="F142" i="223"/>
  <c r="K55" i="223"/>
  <c r="AS7" i="18"/>
  <c r="L98" i="223"/>
  <c r="BH6" i="18"/>
  <c r="S15" i="18"/>
  <c r="D126" i="223"/>
  <c r="H141" i="223"/>
  <c r="M3" i="18"/>
  <c r="BH34" i="18"/>
  <c r="C91" i="18" s="1"/>
  <c r="AO5" i="18"/>
  <c r="X22" i="18"/>
  <c r="S10" i="18"/>
  <c r="BN15" i="18"/>
  <c r="N127" i="223"/>
  <c r="B87" i="223"/>
  <c r="AS22" i="18"/>
  <c r="AR5" i="18"/>
  <c r="F9" i="225"/>
  <c r="AN9" i="18"/>
  <c r="I16" i="226"/>
  <c r="F5" i="230"/>
  <c r="AO22" i="18"/>
  <c r="F6" i="224"/>
  <c r="J31" i="223"/>
  <c r="F128" i="223"/>
  <c r="BE2" i="1"/>
  <c r="AO30" i="15"/>
  <c r="Y30" i="15"/>
  <c r="AY31" i="15"/>
  <c r="I20" i="223"/>
  <c r="AV28" i="1"/>
  <c r="D144" i="223"/>
  <c r="F174" i="223"/>
  <c r="AB18" i="18"/>
  <c r="E75" i="223"/>
  <c r="H161" i="223"/>
  <c r="F17" i="235"/>
  <c r="M52" i="223"/>
  <c r="T16" i="18"/>
  <c r="BH25" i="15"/>
  <c r="F10" i="233"/>
  <c r="H38" i="223"/>
  <c r="AJ19" i="18"/>
  <c r="J114" i="223"/>
  <c r="F3" i="229"/>
  <c r="K42" i="232"/>
  <c r="Y24" i="15"/>
  <c r="K41" i="233"/>
  <c r="N132" i="223"/>
  <c r="BL21" i="15"/>
  <c r="AI26" i="15"/>
  <c r="I15" i="230"/>
  <c r="N19" i="15"/>
  <c r="E146" i="223"/>
  <c r="I22" i="230"/>
  <c r="H28" i="223"/>
  <c r="AB21" i="18"/>
  <c r="I21" i="233"/>
  <c r="AL21" i="18"/>
  <c r="I9" i="235"/>
  <c r="L160" i="223"/>
  <c r="BD4" i="18"/>
  <c r="D89" i="223"/>
  <c r="I89" i="223"/>
  <c r="Q21" i="18"/>
  <c r="W29" i="15"/>
  <c r="F10" i="225"/>
  <c r="I3" i="232"/>
  <c r="I9" i="228"/>
  <c r="BB2" i="18"/>
  <c r="N70" i="223"/>
  <c r="BJ19" i="15"/>
  <c r="AC2" i="1"/>
  <c r="BK21" i="18"/>
  <c r="R13" i="18"/>
  <c r="BD25" i="15"/>
  <c r="B21" i="14"/>
  <c r="AC29" i="15"/>
  <c r="Y21" i="18"/>
  <c r="BB4" i="18"/>
  <c r="E66" i="223"/>
  <c r="F25" i="223"/>
  <c r="B126" i="223"/>
  <c r="S11" i="18"/>
  <c r="AZ24" i="15"/>
  <c r="N24" i="223"/>
  <c r="AR2" i="18"/>
  <c r="BE16" i="18"/>
  <c r="E186" i="223"/>
  <c r="BJ19" i="18"/>
  <c r="E52" i="223"/>
  <c r="AQ6" i="18"/>
  <c r="AA18" i="18"/>
  <c r="M27" i="15"/>
  <c r="B112" i="223"/>
  <c r="L66" i="223"/>
  <c r="I15" i="232"/>
  <c r="I2" i="18"/>
  <c r="F131" i="223"/>
  <c r="J41" i="223"/>
  <c r="AK23" i="15"/>
  <c r="BE27" i="15"/>
  <c r="BF21" i="18"/>
  <c r="H87" i="223"/>
  <c r="AB20" i="18"/>
  <c r="AB21" i="15"/>
  <c r="N190" i="223"/>
  <c r="N28" i="1"/>
  <c r="BK26" i="15"/>
  <c r="D44" i="223"/>
  <c r="BD22" i="15"/>
  <c r="I21" i="225"/>
  <c r="S28" i="15"/>
  <c r="BG20" i="15"/>
  <c r="I3" i="224"/>
  <c r="AF34" i="18"/>
  <c r="AA29" i="15"/>
  <c r="T20" i="18"/>
  <c r="AU13" i="18"/>
  <c r="BH24" i="15"/>
  <c r="I73" i="223"/>
  <c r="F146" i="223"/>
  <c r="E116" i="223"/>
  <c r="W6" i="18"/>
  <c r="I7" i="228"/>
  <c r="K54" i="223"/>
  <c r="L174" i="223"/>
  <c r="L72" i="223"/>
  <c r="D55" i="223"/>
  <c r="G96" i="223"/>
  <c r="BA9" i="18"/>
  <c r="N131" i="223"/>
  <c r="G52" i="223"/>
  <c r="O34" i="18"/>
  <c r="BC17" i="18"/>
  <c r="D82" i="223"/>
  <c r="J11" i="18"/>
  <c r="G24" i="223"/>
  <c r="AE9" i="18"/>
  <c r="BA21" i="15"/>
  <c r="AR20" i="18"/>
  <c r="G20" i="15"/>
  <c r="BA19" i="15"/>
  <c r="C123" i="223"/>
  <c r="N11" i="18"/>
  <c r="M193" i="223"/>
  <c r="BK6" i="18"/>
  <c r="N159" i="223"/>
  <c r="I16" i="232"/>
  <c r="F160" i="223"/>
  <c r="I112" i="223"/>
  <c r="AN25" i="15"/>
  <c r="AT13" i="18"/>
  <c r="D88" i="223"/>
  <c r="L131" i="223"/>
  <c r="H178" i="223"/>
  <c r="L26" i="223"/>
  <c r="C69" i="18"/>
  <c r="AS25" i="15"/>
  <c r="AX20" i="15"/>
  <c r="F11" i="230"/>
  <c r="G41" i="223"/>
  <c r="AV2" i="1"/>
  <c r="AC22" i="15"/>
  <c r="N68" i="223"/>
  <c r="G158" i="223"/>
  <c r="AS27" i="15"/>
  <c r="H26" i="223"/>
  <c r="S26" i="15"/>
  <c r="BO14" i="18"/>
  <c r="I52" i="223"/>
  <c r="BE24" i="15"/>
  <c r="I11" i="229"/>
  <c r="M82" i="223"/>
  <c r="BM22" i="18"/>
  <c r="F23" i="223"/>
  <c r="F87" i="223"/>
  <c r="BF23" i="15"/>
  <c r="BH9" i="18"/>
  <c r="T7" i="18"/>
  <c r="AM31" i="15"/>
  <c r="J121" i="223"/>
  <c r="E74" i="223"/>
  <c r="F10" i="224"/>
  <c r="X7" i="18"/>
  <c r="U5" i="18"/>
  <c r="AU23" i="15"/>
  <c r="AU25" i="15"/>
  <c r="G163" i="223"/>
  <c r="AA2" i="1"/>
  <c r="D112" i="223"/>
  <c r="AA5" i="18"/>
  <c r="B146" i="223"/>
  <c r="BE20" i="18"/>
  <c r="D160" i="223"/>
  <c r="AS11" i="18"/>
  <c r="Q2" i="1"/>
  <c r="AK20" i="15"/>
  <c r="E160" i="223"/>
  <c r="G86" i="223"/>
  <c r="H189" i="223"/>
  <c r="E84" i="223"/>
  <c r="AO2" i="1"/>
  <c r="I19" i="1"/>
  <c r="BN14" i="18"/>
  <c r="Q24" i="15"/>
  <c r="W13" i="18"/>
  <c r="G40" i="223"/>
  <c r="BF22" i="15"/>
  <c r="N82" i="223"/>
  <c r="AJ24" i="15"/>
  <c r="I187" i="223"/>
  <c r="F120" i="223"/>
  <c r="BL7" i="18"/>
  <c r="BF34" i="18"/>
  <c r="F97" i="223"/>
  <c r="D176" i="223"/>
  <c r="D70" i="223"/>
  <c r="BK16" i="18"/>
  <c r="I113" i="223"/>
  <c r="N116" i="223"/>
  <c r="AA27" i="15"/>
  <c r="AF11" i="18"/>
  <c r="L16" i="18"/>
  <c r="AV12" i="18"/>
  <c r="BC31" i="15"/>
  <c r="AJ7" i="18"/>
  <c r="M187" i="223"/>
  <c r="L130" i="223"/>
  <c r="R18" i="18"/>
  <c r="B7" i="185"/>
  <c r="AR2" i="1"/>
  <c r="BN16" i="18"/>
  <c r="F31" i="223"/>
  <c r="AY10" i="18"/>
  <c r="F126" i="223"/>
  <c r="I19" i="227"/>
  <c r="BA10" i="18"/>
  <c r="AR28" i="1"/>
  <c r="P3" i="18"/>
  <c r="F24" i="223"/>
  <c r="AX23" i="15"/>
  <c r="C114" i="223"/>
  <c r="BK5" i="18"/>
  <c r="I5" i="231"/>
  <c r="J20" i="18"/>
  <c r="AL27" i="15"/>
  <c r="H144" i="223"/>
  <c r="BI29" i="15"/>
  <c r="AL2" i="1"/>
  <c r="BG22" i="18"/>
  <c r="S31" i="15"/>
  <c r="Q19" i="18"/>
  <c r="G19" i="15"/>
  <c r="F20" i="223"/>
  <c r="B142" i="223"/>
  <c r="N98" i="223"/>
  <c r="K97" i="223"/>
  <c r="BC28" i="15"/>
  <c r="Q13" i="18"/>
  <c r="AB14" i="18"/>
  <c r="V16" i="18"/>
  <c r="J92" i="223"/>
  <c r="F96" i="223"/>
  <c r="L7" i="18"/>
  <c r="X31" i="15"/>
  <c r="AL28" i="1"/>
  <c r="D69" i="223"/>
  <c r="BK17" i="18"/>
  <c r="I21" i="226"/>
  <c r="G56" i="223"/>
  <c r="BB21" i="18"/>
  <c r="Y15" i="18"/>
  <c r="E145" i="223"/>
  <c r="AK22" i="15"/>
  <c r="BD31" i="15"/>
  <c r="N193" i="223"/>
  <c r="M42" i="223"/>
  <c r="P2" i="1"/>
  <c r="N2" i="1"/>
  <c r="B21" i="223"/>
  <c r="BO15" i="18"/>
  <c r="L172" i="223"/>
  <c r="C69" i="223"/>
  <c r="I18" i="232"/>
  <c r="W21" i="18"/>
  <c r="F3" i="228"/>
  <c r="BD10" i="18"/>
  <c r="F6" i="227"/>
  <c r="M146" i="223"/>
  <c r="C30" i="234"/>
  <c r="BK28" i="15"/>
  <c r="Y14" i="18"/>
  <c r="I186" i="223"/>
  <c r="I19" i="229"/>
  <c r="AV22" i="15"/>
  <c r="M55" i="223"/>
  <c r="I133" i="223"/>
  <c r="BG24" i="15"/>
  <c r="AF27" i="15"/>
  <c r="M165" i="223"/>
  <c r="BN18" i="18"/>
  <c r="BM17" i="18"/>
  <c r="I5" i="233"/>
  <c r="Z2" i="1"/>
  <c r="B10" i="185"/>
  <c r="I18" i="225"/>
  <c r="BO21" i="15"/>
  <c r="AP30" i="15"/>
  <c r="AM30" i="15"/>
  <c r="F12" i="233"/>
  <c r="F17" i="232"/>
  <c r="BK4" i="18"/>
  <c r="AV31" i="15"/>
  <c r="I17" i="235"/>
  <c r="BJ22" i="15"/>
  <c r="AW16" i="18"/>
  <c r="D37" i="223"/>
  <c r="BK10" i="18"/>
  <c r="B9" i="14"/>
  <c r="AS28" i="15"/>
  <c r="BG3" i="18"/>
  <c r="Z9" i="18"/>
  <c r="AQ7" i="18"/>
  <c r="AX21" i="18"/>
  <c r="B11" i="185"/>
  <c r="AW18" i="18"/>
  <c r="H51" i="223"/>
  <c r="L26" i="15"/>
  <c r="Y28" i="15"/>
  <c r="U15" i="18"/>
  <c r="AG3" i="18"/>
  <c r="AB3" i="18"/>
  <c r="W17" i="18"/>
  <c r="AN2" i="18"/>
  <c r="AD5" i="18"/>
  <c r="BC23" i="15"/>
  <c r="K178" i="223"/>
  <c r="AZ26" i="15"/>
  <c r="B58" i="14"/>
  <c r="AQ29" i="15"/>
  <c r="AL13" i="18"/>
  <c r="BH21" i="18"/>
  <c r="AY34" i="18"/>
  <c r="J12" i="18"/>
  <c r="I19" i="235"/>
  <c r="N16" i="18"/>
  <c r="E90" i="223"/>
  <c r="AC21" i="18"/>
  <c r="AH2" i="1"/>
  <c r="M99" i="223"/>
  <c r="C98" i="18"/>
  <c r="AC21" i="15"/>
  <c r="BB28" i="15"/>
  <c r="I15" i="234"/>
  <c r="F18" i="228"/>
  <c r="B191" i="223"/>
  <c r="I14" i="18"/>
  <c r="H22" i="15"/>
  <c r="AD10" i="18"/>
  <c r="K19" i="15"/>
  <c r="BJ28" i="1"/>
  <c r="J83" i="223"/>
  <c r="K84" i="223"/>
  <c r="K27" i="223"/>
  <c r="AR4" i="18"/>
  <c r="J4" i="18"/>
  <c r="BD23" i="15"/>
  <c r="B160" i="223"/>
  <c r="AG19" i="18"/>
  <c r="C180" i="223"/>
  <c r="BG6" i="18"/>
  <c r="D177" i="223"/>
  <c r="Z21" i="18"/>
  <c r="L24" i="15"/>
  <c r="AV19" i="15"/>
  <c r="M24" i="223"/>
  <c r="AW20" i="15"/>
  <c r="H118" i="223"/>
  <c r="AY5" i="18"/>
  <c r="BJ20" i="18"/>
  <c r="AJ26" i="15"/>
  <c r="AT7" i="18"/>
  <c r="K76" i="223"/>
  <c r="T8" i="18"/>
  <c r="M44" i="223"/>
  <c r="F18" i="232"/>
  <c r="BC3" i="18"/>
  <c r="AP25" i="15"/>
  <c r="I21" i="229"/>
  <c r="N8" i="18"/>
  <c r="AJ28" i="1"/>
  <c r="X23" i="15"/>
  <c r="G26" i="223"/>
  <c r="K148" i="223"/>
  <c r="AV22" i="18"/>
  <c r="K30" i="15"/>
  <c r="BA22" i="18"/>
  <c r="AJ3" i="18"/>
  <c r="R19" i="18"/>
  <c r="BE10" i="18"/>
  <c r="I11" i="235"/>
  <c r="O11" i="18"/>
  <c r="F12" i="235"/>
  <c r="M56" i="223"/>
  <c r="F35" i="223"/>
  <c r="BO12" i="18"/>
  <c r="F20" i="231"/>
  <c r="I17" i="227"/>
  <c r="BD9" i="18"/>
  <c r="F18" i="229"/>
  <c r="I54" i="223"/>
  <c r="B41" i="223"/>
  <c r="AE2" i="18"/>
  <c r="E91" i="223"/>
  <c r="K22" i="15"/>
  <c r="I28" i="223"/>
  <c r="B30" i="223"/>
  <c r="BF29" i="15"/>
  <c r="BO31" i="15"/>
  <c r="H25" i="15"/>
  <c r="AJ19" i="15"/>
  <c r="B36" i="18"/>
  <c r="AX19" i="15"/>
  <c r="L41" i="223"/>
  <c r="AW6" i="18"/>
  <c r="G73" i="223"/>
  <c r="B133" i="223"/>
  <c r="G5" i="18"/>
  <c r="BH23" i="15"/>
  <c r="AG12" i="18"/>
  <c r="Q14" i="18"/>
  <c r="I10" i="1"/>
  <c r="BO9" i="18"/>
  <c r="AM27" i="15"/>
  <c r="BH21" i="15"/>
  <c r="F15" i="230"/>
  <c r="BB31" i="15"/>
  <c r="AD2" i="1"/>
  <c r="Y26" i="15"/>
  <c r="E188" i="223"/>
  <c r="F10" i="234"/>
  <c r="AY30" i="15"/>
  <c r="AH18" i="18"/>
  <c r="BF2" i="18"/>
  <c r="J112" i="223"/>
  <c r="BD2" i="18"/>
  <c r="Y13" i="18"/>
  <c r="AU7" i="18"/>
  <c r="K181" i="223"/>
  <c r="G131" i="223"/>
  <c r="AQ10" i="18"/>
  <c r="D30" i="223"/>
  <c r="B29" i="185"/>
  <c r="H112" i="223"/>
  <c r="O13" i="18"/>
  <c r="BA2" i="18"/>
  <c r="AX21" i="15"/>
  <c r="F171" i="223"/>
  <c r="S22" i="15"/>
  <c r="L92" i="223"/>
  <c r="U28" i="15"/>
  <c r="I13" i="231"/>
  <c r="H164" i="223"/>
  <c r="AR14" i="18"/>
  <c r="AO26" i="15"/>
  <c r="BL14" i="18"/>
  <c r="G167" i="223"/>
  <c r="Q11" i="18"/>
  <c r="S28" i="1"/>
  <c r="L14" i="18"/>
  <c r="AU9" i="18"/>
  <c r="AM24" i="15"/>
  <c r="O22" i="15"/>
  <c r="AP21" i="15"/>
  <c r="B150" i="223"/>
  <c r="D132" i="223"/>
  <c r="K41" i="227"/>
  <c r="B157" i="223"/>
  <c r="AS3" i="18"/>
  <c r="F20" i="225"/>
  <c r="F17" i="225"/>
  <c r="AW27" i="15"/>
  <c r="K131" i="223"/>
  <c r="F8" i="226"/>
  <c r="BO28" i="15"/>
  <c r="K132" i="223"/>
  <c r="J98" i="223"/>
  <c r="BA4" i="18"/>
  <c r="E162" i="223"/>
  <c r="J158" i="223"/>
  <c r="E98" i="223"/>
  <c r="E82" i="223"/>
  <c r="M121" i="223"/>
  <c r="D128" i="223"/>
  <c r="AC11" i="18"/>
  <c r="L165" i="223"/>
  <c r="G20" i="18"/>
  <c r="N44" i="223"/>
  <c r="I20" i="1"/>
  <c r="N27" i="223"/>
  <c r="AG2" i="18"/>
  <c r="M148" i="223"/>
  <c r="C89" i="223"/>
  <c r="AR16" i="18"/>
  <c r="K17" i="18"/>
  <c r="F7" i="226"/>
  <c r="BI17" i="18"/>
  <c r="AO20" i="15"/>
  <c r="BF8" i="18"/>
  <c r="AH4" i="18"/>
  <c r="I111" i="223"/>
  <c r="N20" i="223"/>
  <c r="F98" i="223"/>
  <c r="F18" i="1"/>
  <c r="AA3" i="18"/>
  <c r="W2" i="14"/>
  <c r="N111" i="223"/>
  <c r="AJ17" i="18"/>
  <c r="P22" i="15"/>
  <c r="K186" i="223"/>
  <c r="AV20" i="15"/>
  <c r="AO21" i="18"/>
  <c r="B190" i="223"/>
  <c r="BN20" i="15"/>
  <c r="AR28" i="15"/>
  <c r="AW5" i="18"/>
  <c r="I55" i="223"/>
  <c r="BA5" i="18"/>
  <c r="C60" i="18"/>
  <c r="I3" i="228"/>
  <c r="AB23" i="15"/>
  <c r="D39" i="223"/>
  <c r="AX13" i="18"/>
  <c r="P2" i="18"/>
  <c r="G37" i="223"/>
  <c r="N58" i="223"/>
  <c r="AE25" i="15"/>
  <c r="V15" i="18"/>
  <c r="H12" i="18"/>
  <c r="I166" i="223"/>
  <c r="I21" i="235"/>
  <c r="C146" i="223"/>
  <c r="F3" i="227"/>
  <c r="AS21" i="18"/>
  <c r="L81" i="223"/>
  <c r="B119" i="223"/>
  <c r="AR6" i="18"/>
  <c r="AX8" i="18"/>
  <c r="B42" i="14"/>
  <c r="J97" i="223"/>
  <c r="AO7" i="18"/>
  <c r="F99" i="223"/>
  <c r="O17" i="18"/>
  <c r="AP9" i="18"/>
  <c r="F182" i="223"/>
  <c r="AZ18" i="18"/>
  <c r="I7" i="1"/>
  <c r="AY13" i="18"/>
  <c r="AB26" i="15"/>
  <c r="AP12" i="18"/>
  <c r="BM28" i="1"/>
  <c r="AD22" i="15"/>
  <c r="J2" i="1"/>
  <c r="BL28" i="15"/>
  <c r="R23" i="15"/>
  <c r="F113" i="223"/>
  <c r="L144" i="223"/>
  <c r="Q31" i="15"/>
  <c r="AN28" i="15"/>
  <c r="B69" i="223"/>
  <c r="BN8" i="18"/>
  <c r="D20" i="223"/>
  <c r="N25" i="15"/>
  <c r="L15" i="18"/>
  <c r="L9" i="18"/>
  <c r="B129" i="223"/>
  <c r="E39" i="223"/>
  <c r="H26" i="15"/>
  <c r="K167" i="223"/>
  <c r="H67" i="223"/>
  <c r="AI22" i="15"/>
  <c r="K177" i="223"/>
  <c r="AH26" i="15"/>
  <c r="AC13" i="18"/>
  <c r="AL8" i="18"/>
  <c r="BI5" i="18"/>
  <c r="AT14" i="18"/>
  <c r="G22" i="223"/>
  <c r="N26" i="223"/>
  <c r="BJ11" i="18"/>
  <c r="E161" i="223"/>
  <c r="B47" i="14"/>
  <c r="B31" i="14"/>
  <c r="AW7" i="18"/>
  <c r="L84" i="223"/>
  <c r="C51" i="223"/>
  <c r="N128" i="223"/>
  <c r="L187" i="223"/>
  <c r="AV18" i="18"/>
  <c r="N186" i="223"/>
  <c r="G132" i="223"/>
  <c r="AF14" i="18"/>
  <c r="BN28" i="1"/>
  <c r="BN31" i="15"/>
  <c r="AG24" i="15"/>
  <c r="BF25" i="15"/>
  <c r="U20" i="15"/>
  <c r="K157" i="223"/>
  <c r="AN29" i="15"/>
  <c r="AE5" i="18"/>
  <c r="AN7" i="18"/>
  <c r="M23" i="15"/>
  <c r="T12" i="18"/>
  <c r="K88" i="223"/>
  <c r="E114" i="223"/>
  <c r="U25" i="15"/>
  <c r="AT16" i="18"/>
  <c r="F21" i="230"/>
  <c r="L117" i="223"/>
  <c r="B74" i="223"/>
  <c r="J99" i="223"/>
  <c r="X11" i="18"/>
  <c r="I20" i="228"/>
  <c r="C97" i="223"/>
  <c r="BM11" i="18"/>
  <c r="BG23" i="15"/>
  <c r="AX28" i="1"/>
  <c r="J186" i="223"/>
  <c r="C172" i="223"/>
  <c r="E157" i="223"/>
  <c r="C120" i="223"/>
  <c r="M28" i="15"/>
  <c r="F159" i="223"/>
  <c r="Y20" i="18"/>
  <c r="AV25" i="15"/>
  <c r="BH28" i="15"/>
  <c r="J149" i="223"/>
  <c r="AZ30" i="15"/>
  <c r="AD19" i="18"/>
  <c r="H23" i="15"/>
  <c r="C119" i="223"/>
  <c r="J73" i="223"/>
  <c r="AH2" i="18"/>
  <c r="T19" i="18"/>
  <c r="P19" i="15"/>
  <c r="L99" i="223"/>
  <c r="H90" i="223"/>
  <c r="BK34" i="18"/>
  <c r="AM3" i="18"/>
  <c r="AH21" i="18"/>
  <c r="H41" i="223"/>
  <c r="BH3" i="18"/>
  <c r="AL20" i="18"/>
  <c r="G55" i="223"/>
  <c r="BE15" i="18"/>
  <c r="J128" i="223"/>
  <c r="F144" i="223"/>
  <c r="B67" i="223"/>
  <c r="D74" i="223"/>
  <c r="AN30" i="15"/>
  <c r="AF2" i="18"/>
  <c r="AI24" i="15"/>
  <c r="AM22" i="18"/>
  <c r="K121" i="223"/>
  <c r="BO22" i="15"/>
  <c r="B178" i="223"/>
  <c r="S24" i="15"/>
  <c r="M173" i="223"/>
  <c r="B24" i="14"/>
  <c r="N114" i="223"/>
  <c r="BE14" i="18"/>
  <c r="AT24" i="15"/>
  <c r="AL31" i="15"/>
  <c r="C115" i="223"/>
  <c r="B35" i="14"/>
  <c r="AZ34" i="18"/>
  <c r="F41" i="223"/>
  <c r="AV13" i="18"/>
  <c r="J17" i="18"/>
  <c r="L193" i="223"/>
  <c r="N30" i="15"/>
  <c r="H19" i="18"/>
  <c r="R28" i="1"/>
  <c r="AY27" i="15"/>
  <c r="AL2" i="18"/>
  <c r="AH31" i="15"/>
  <c r="F7" i="235"/>
  <c r="I66" i="223"/>
  <c r="U2" i="18"/>
  <c r="AP20" i="18"/>
  <c r="L44" i="223"/>
  <c r="AN4" i="18"/>
  <c r="K123" i="223"/>
  <c r="E31" i="223"/>
  <c r="G174" i="223"/>
  <c r="K2" i="18"/>
  <c r="N88" i="223"/>
  <c r="M35" i="223"/>
  <c r="AL14" i="18"/>
  <c r="BK15" i="18"/>
  <c r="G22" i="15"/>
  <c r="X6" i="18"/>
  <c r="N160" i="223"/>
  <c r="BF2" i="1"/>
  <c r="E148" i="223"/>
  <c r="AE22" i="18"/>
  <c r="Q5" i="18"/>
  <c r="L73" i="223"/>
  <c r="D190" i="223"/>
  <c r="BJ18" i="18"/>
  <c r="F72" i="223"/>
  <c r="Y28" i="1"/>
  <c r="F157" i="223"/>
  <c r="C144" i="223"/>
  <c r="D131" i="223"/>
  <c r="Z21" i="15"/>
  <c r="BG29" i="15"/>
  <c r="V21" i="15"/>
  <c r="K72" i="223"/>
  <c r="BN4" i="18"/>
  <c r="AY15" i="18"/>
  <c r="U26" i="15"/>
  <c r="BE28" i="15"/>
  <c r="AX29" i="15"/>
  <c r="I13" i="18"/>
  <c r="AN8" i="18"/>
  <c r="Q26" i="15"/>
  <c r="E180" i="223"/>
  <c r="AC16" i="18"/>
  <c r="AN13" i="18"/>
  <c r="AA4" i="18"/>
  <c r="AK21" i="18"/>
  <c r="G22" i="18"/>
  <c r="H171" i="223"/>
  <c r="U27" i="15"/>
  <c r="X28" i="1"/>
  <c r="AK31" i="15"/>
  <c r="H133" i="223"/>
  <c r="AL6" i="18"/>
  <c r="BA3" i="18"/>
  <c r="BN24" i="15"/>
  <c r="L159" i="223"/>
  <c r="G186" i="223"/>
  <c r="I131" i="223"/>
  <c r="F167" i="223"/>
  <c r="J22" i="223"/>
  <c r="M97" i="223"/>
  <c r="BF22" i="18"/>
  <c r="J166" i="223"/>
  <c r="K41" i="230"/>
  <c r="I132" i="223"/>
  <c r="I6" i="225"/>
  <c r="H147" i="223"/>
  <c r="AH15" i="18"/>
  <c r="T5" i="18"/>
  <c r="F9" i="231"/>
  <c r="I18" i="234"/>
  <c r="H152" i="223"/>
  <c r="AQ5" i="18"/>
  <c r="Y22" i="18"/>
  <c r="AQ31" i="15"/>
  <c r="I152" i="223"/>
  <c r="N126" i="223"/>
  <c r="F39" i="223"/>
  <c r="F24" i="235"/>
  <c r="F20" i="226"/>
  <c r="F20" i="233"/>
  <c r="X28" i="15"/>
  <c r="AA11" i="18"/>
  <c r="BC11" i="18"/>
  <c r="K41" i="226"/>
  <c r="H19" i="15"/>
  <c r="V18" i="18"/>
  <c r="F11" i="233"/>
  <c r="V11" i="18"/>
  <c r="AB24" i="15"/>
  <c r="AN27" i="15"/>
  <c r="AH22" i="15"/>
  <c r="AR15" i="18"/>
  <c r="BE18" i="18"/>
  <c r="BK12" i="18"/>
  <c r="M20" i="18"/>
  <c r="AN18" i="18"/>
  <c r="BC16" i="18"/>
  <c r="H193" i="223"/>
  <c r="K114" i="223"/>
  <c r="L97" i="223"/>
  <c r="F52" i="223"/>
  <c r="AW4" i="18"/>
  <c r="BD17" i="18"/>
  <c r="B71" i="223"/>
  <c r="B81" i="223"/>
  <c r="AA7" i="18"/>
  <c r="AY14" i="18"/>
  <c r="BM6" i="18"/>
  <c r="I19" i="231"/>
  <c r="N23" i="223"/>
  <c r="AJ30" i="15"/>
  <c r="AJ4" i="18"/>
  <c r="BH30" i="15"/>
  <c r="I129" i="223"/>
  <c r="M68" i="223"/>
  <c r="BJ6" i="18"/>
  <c r="K176" i="223"/>
  <c r="I16" i="224"/>
  <c r="K112" i="223"/>
  <c r="T21" i="18"/>
  <c r="J21" i="15"/>
  <c r="D91" i="223"/>
  <c r="G28" i="15"/>
  <c r="BJ7" i="18"/>
  <c r="S14" i="18"/>
  <c r="AW22" i="18"/>
  <c r="B148" i="223"/>
  <c r="BC21" i="15"/>
  <c r="AV11" i="18"/>
  <c r="M167" i="223"/>
  <c r="B23" i="223"/>
  <c r="E20" i="223"/>
  <c r="K71" i="223"/>
  <c r="J15" i="18"/>
  <c r="F92" i="223"/>
  <c r="BI9" i="18"/>
  <c r="BE34" i="18"/>
  <c r="AN12" i="18"/>
  <c r="N115" i="223"/>
  <c r="AL7" i="18"/>
  <c r="B6" i="185"/>
  <c r="M130" i="223"/>
  <c r="T10" i="18"/>
  <c r="AZ29" i="15"/>
  <c r="I7" i="226"/>
  <c r="AC25" i="15"/>
  <c r="AW23" i="15"/>
  <c r="X15" i="18"/>
  <c r="C193" i="223"/>
  <c r="G44" i="223"/>
  <c r="L142" i="223"/>
  <c r="K42" i="225"/>
  <c r="O20" i="18"/>
  <c r="C88" i="223"/>
  <c r="K42" i="230"/>
  <c r="H68" i="223"/>
  <c r="K116" i="223"/>
  <c r="H85" i="223"/>
  <c r="G149" i="223"/>
  <c r="I176" i="223"/>
  <c r="F23" i="227"/>
  <c r="I5" i="18"/>
  <c r="I11" i="18"/>
  <c r="D159" i="223"/>
  <c r="AT23" i="15"/>
  <c r="G151" i="223"/>
  <c r="AK8" i="18"/>
  <c r="W18" i="18"/>
  <c r="F8" i="229"/>
  <c r="AF20" i="15"/>
  <c r="AM15" i="18"/>
  <c r="Y19" i="18"/>
  <c r="C79" i="18"/>
  <c r="I15" i="226"/>
  <c r="J156" i="223"/>
  <c r="AD20" i="15"/>
  <c r="B51" i="14"/>
  <c r="BB21" i="15"/>
  <c r="G142" i="223"/>
  <c r="H166" i="223"/>
  <c r="N31" i="15"/>
  <c r="F123" i="223"/>
  <c r="AU12" i="18"/>
  <c r="I18" i="233"/>
  <c r="AQ17" i="18"/>
  <c r="G27" i="15"/>
  <c r="H43" i="223"/>
  <c r="K127" i="223"/>
  <c r="C158" i="223"/>
  <c r="AA15" i="18"/>
  <c r="M119" i="223"/>
  <c r="AG4" i="18"/>
  <c r="AT34" i="18"/>
  <c r="BA29" i="15"/>
  <c r="AB7" i="18"/>
  <c r="H160" i="223"/>
  <c r="AZ14" i="18"/>
  <c r="D152" i="223"/>
  <c r="K21" i="223"/>
  <c r="AQ2" i="1"/>
  <c r="K191" i="223"/>
  <c r="BJ34" i="18"/>
  <c r="AI5" i="18"/>
  <c r="AQ16" i="18"/>
  <c r="M190" i="223"/>
  <c r="H30" i="15"/>
  <c r="E118" i="223"/>
  <c r="J96" i="223"/>
  <c r="E187" i="223"/>
  <c r="AC8" i="18"/>
  <c r="D21" i="223"/>
  <c r="H156" i="223"/>
  <c r="X2" i="1"/>
  <c r="BK25" i="15"/>
  <c r="V19" i="15"/>
  <c r="K180" i="223"/>
  <c r="I17" i="231"/>
  <c r="C52" i="18"/>
  <c r="N164" i="223"/>
  <c r="B83" i="223"/>
  <c r="AV30" i="15"/>
  <c r="BL2" i="1"/>
  <c r="AS6" i="18"/>
  <c r="AI25" i="15"/>
  <c r="F4" i="1"/>
  <c r="K143" i="223"/>
  <c r="AG34" i="18"/>
  <c r="AT15" i="18"/>
  <c r="T2" i="1"/>
  <c r="F6" i="230"/>
  <c r="F12" i="227"/>
  <c r="W5" i="18"/>
  <c r="F21" i="232"/>
  <c r="M81" i="223"/>
  <c r="G4" i="18"/>
  <c r="BC8" i="18"/>
  <c r="F11" i="227"/>
  <c r="AJ6" i="18"/>
  <c r="AL17" i="18"/>
  <c r="M16" i="18"/>
  <c r="AC23" i="15"/>
  <c r="AP28" i="15"/>
  <c r="M164" i="223"/>
  <c r="AE28" i="15"/>
  <c r="F81" i="223"/>
  <c r="B141" i="223"/>
  <c r="N73" i="223"/>
  <c r="AT21" i="15"/>
  <c r="H130" i="223"/>
  <c r="BB27" i="15"/>
  <c r="BO29" i="15"/>
  <c r="M26" i="223"/>
  <c r="B77" i="223"/>
  <c r="L175" i="223"/>
  <c r="BL18" i="18"/>
  <c r="G116" i="223"/>
  <c r="F4" i="229"/>
  <c r="I4" i="234"/>
  <c r="BC34" i="18"/>
  <c r="BH29" i="15"/>
  <c r="H6" i="18"/>
  <c r="AA24" i="15"/>
  <c r="F23" i="225"/>
  <c r="L71" i="223"/>
  <c r="C55" i="223"/>
  <c r="B33" i="14"/>
  <c r="N42" i="223"/>
  <c r="AU16" i="18"/>
  <c r="V17" i="18"/>
  <c r="H69" i="223"/>
  <c r="AU31" i="15"/>
  <c r="Q21" i="15"/>
  <c r="AV10" i="18"/>
  <c r="AG5" i="18"/>
  <c r="E179" i="223"/>
  <c r="BJ9" i="18"/>
  <c r="E119" i="223"/>
  <c r="BK30" i="15"/>
  <c r="I122" i="223"/>
  <c r="I29" i="223"/>
  <c r="N151" i="223"/>
  <c r="T34" i="18"/>
  <c r="C51" i="18" s="1"/>
  <c r="AP26" i="15"/>
  <c r="G177" i="223"/>
  <c r="B26" i="223"/>
  <c r="C145" i="223"/>
  <c r="BG26" i="15"/>
  <c r="J71" i="223"/>
  <c r="E111" i="223"/>
  <c r="V8" i="18"/>
  <c r="M178" i="223"/>
  <c r="L188" i="223"/>
  <c r="AX3" i="18"/>
  <c r="J120" i="223"/>
  <c r="BJ17" i="18"/>
  <c r="M54" i="223"/>
  <c r="K31" i="15"/>
  <c r="Q4" i="18"/>
  <c r="J148" i="223"/>
  <c r="BD22" i="18"/>
  <c r="M4" i="18"/>
  <c r="AT22" i="15"/>
  <c r="V27" i="15"/>
  <c r="BI12" i="18"/>
  <c r="C42" i="223"/>
  <c r="AH24" i="15"/>
  <c r="G88" i="223"/>
  <c r="BC25" i="15"/>
  <c r="AF7" i="18"/>
  <c r="AL22" i="18"/>
  <c r="W22" i="15"/>
  <c r="F188" i="223"/>
  <c r="I7" i="229"/>
  <c r="U17" i="18"/>
  <c r="AP21" i="18"/>
  <c r="P4" i="18"/>
  <c r="F15" i="233"/>
  <c r="G25" i="223"/>
  <c r="N19" i="18"/>
  <c r="BH19" i="18"/>
  <c r="F11" i="235"/>
  <c r="G43" i="223"/>
  <c r="BH16" i="18"/>
  <c r="L11" i="18"/>
  <c r="BH11" i="18"/>
  <c r="Z8" i="18"/>
  <c r="BI28" i="15"/>
  <c r="K35" i="223"/>
  <c r="E117" i="223"/>
  <c r="M21" i="15"/>
  <c r="T26" i="15"/>
  <c r="K164" i="223"/>
  <c r="I6" i="231"/>
  <c r="I182" i="223"/>
  <c r="AA20" i="18"/>
  <c r="BD19" i="15"/>
  <c r="F11" i="226"/>
  <c r="AS10" i="18"/>
  <c r="B122" i="223"/>
  <c r="M186" i="223"/>
  <c r="F22" i="231"/>
  <c r="C112" i="223"/>
  <c r="BC27" i="15"/>
  <c r="C150" i="223"/>
  <c r="J35" i="223"/>
  <c r="BF19" i="18"/>
  <c r="AZ4" i="18"/>
  <c r="AL22" i="15"/>
  <c r="AN26" i="15"/>
  <c r="F7" i="234"/>
  <c r="B36" i="14"/>
  <c r="AJ15" i="18"/>
  <c r="F9" i="227"/>
  <c r="AS20" i="15"/>
  <c r="G11" i="18"/>
  <c r="I6" i="228"/>
  <c r="AB27" i="15"/>
  <c r="K11" i="18"/>
  <c r="C171" i="223"/>
  <c r="G122" i="223"/>
  <c r="B186" i="223"/>
  <c r="I163" i="223"/>
  <c r="BM18" i="18"/>
  <c r="AQ4" i="18"/>
  <c r="C133" i="223"/>
  <c r="F23" i="226"/>
  <c r="N84" i="223"/>
  <c r="P24" i="15"/>
  <c r="AN19" i="15"/>
  <c r="AG6" i="18"/>
  <c r="BK9" i="18"/>
  <c r="AW19" i="15"/>
  <c r="B40" i="14"/>
  <c r="N52" i="223"/>
  <c r="B187" i="223"/>
  <c r="M31" i="15"/>
  <c r="AD28" i="15"/>
  <c r="I21" i="227"/>
  <c r="C29" i="223"/>
  <c r="I4" i="1"/>
  <c r="I7" i="235"/>
  <c r="BI2" i="18"/>
  <c r="AY3" i="18"/>
  <c r="U7" i="18"/>
  <c r="C192" i="223"/>
  <c r="AN34" i="18"/>
  <c r="BA17" i="18"/>
  <c r="H98" i="223"/>
  <c r="K70" i="223"/>
  <c r="BH19" i="15"/>
  <c r="BB15" i="18"/>
  <c r="M31" i="223"/>
  <c r="H142" i="223"/>
  <c r="M30" i="15"/>
  <c r="AC26" i="15"/>
  <c r="M30" i="223"/>
  <c r="K91" i="223"/>
  <c r="H89" i="223"/>
  <c r="I18" i="227"/>
  <c r="BG9" i="18"/>
  <c r="L40" i="223"/>
  <c r="AJ23" i="15"/>
  <c r="R27" i="15"/>
  <c r="F158" i="223"/>
  <c r="F16" i="235"/>
  <c r="Z16" i="18"/>
  <c r="B22" i="14"/>
  <c r="BB20" i="18"/>
  <c r="BJ8" i="18"/>
  <c r="L21" i="18"/>
  <c r="B188" i="223"/>
  <c r="R17" i="18"/>
  <c r="P14" i="18"/>
  <c r="H81" i="223"/>
  <c r="L51" i="223"/>
  <c r="L192" i="223"/>
  <c r="M27" i="223"/>
  <c r="BF31" i="15"/>
  <c r="AQ15" i="18"/>
  <c r="D40" i="223"/>
  <c r="BD5" i="18"/>
  <c r="G162" i="223"/>
  <c r="C143" i="223"/>
  <c r="F193" i="223"/>
  <c r="AO12" i="18"/>
  <c r="V28" i="1"/>
  <c r="I179" i="223"/>
  <c r="F68" i="223"/>
  <c r="W12" i="18"/>
  <c r="G159" i="223"/>
  <c r="U4" i="18"/>
  <c r="BI21" i="15"/>
  <c r="E159" i="223"/>
  <c r="H34" i="18"/>
  <c r="B18" i="14"/>
  <c r="AW29" i="15"/>
  <c r="G18" i="18"/>
  <c r="M29" i="223"/>
  <c r="AU3" i="18"/>
  <c r="K74" i="223"/>
  <c r="AJ18" i="18"/>
  <c r="D166" i="223"/>
  <c r="B34" i="14"/>
  <c r="BA25" i="15"/>
  <c r="BI19" i="15"/>
  <c r="I92" i="223"/>
  <c r="AD19" i="15"/>
  <c r="D42" i="223"/>
  <c r="C67" i="18"/>
  <c r="U6" i="18"/>
  <c r="H22" i="18"/>
  <c r="I9" i="234"/>
  <c r="BA15" i="18"/>
  <c r="N26" i="15"/>
  <c r="B68" i="223"/>
  <c r="BG8" i="18"/>
  <c r="J24" i="223"/>
  <c r="J171" i="223"/>
  <c r="G51" i="223"/>
  <c r="BF28" i="15"/>
  <c r="Z3" i="18"/>
  <c r="AG21" i="15"/>
  <c r="F11" i="229"/>
  <c r="M152" i="223"/>
  <c r="D180" i="223"/>
  <c r="F141" i="223"/>
  <c r="BC22" i="15"/>
  <c r="F15" i="231"/>
  <c r="BL20" i="18"/>
  <c r="M143" i="223"/>
  <c r="BE22" i="18"/>
  <c r="AH34" i="18"/>
  <c r="N144" i="223"/>
  <c r="AG18" i="18"/>
  <c r="AU27" i="15"/>
  <c r="F166" i="223"/>
  <c r="BB16" i="18"/>
  <c r="M84" i="223"/>
  <c r="G14" i="18"/>
  <c r="BL22" i="18"/>
  <c r="B29" i="223"/>
  <c r="F163" i="223"/>
  <c r="F44" i="223"/>
  <c r="B40" i="223"/>
  <c r="C118" i="223"/>
  <c r="I14" i="234"/>
  <c r="D53" i="223"/>
  <c r="BK14" i="18"/>
  <c r="BJ23" i="15"/>
  <c r="AB8" i="18"/>
  <c r="F175" i="223"/>
  <c r="E191" i="223"/>
  <c r="I147" i="223"/>
  <c r="L2" i="14"/>
  <c r="BN7" i="18"/>
  <c r="N31" i="223"/>
  <c r="P29" i="15"/>
  <c r="C20" i="223"/>
  <c r="S17" i="18"/>
  <c r="E26" i="223"/>
  <c r="M114" i="223"/>
  <c r="N29" i="15"/>
  <c r="T29" i="15"/>
  <c r="J187" i="223"/>
  <c r="I2" i="14"/>
  <c r="BD30" i="15"/>
  <c r="AT26" i="15"/>
  <c r="BN28" i="15"/>
  <c r="I116" i="223"/>
  <c r="H162" i="223"/>
  <c r="AI27" i="15"/>
  <c r="H180" i="223"/>
  <c r="I16" i="233"/>
  <c r="F5" i="235"/>
  <c r="H71" i="223"/>
  <c r="F14" i="229"/>
  <c r="AB34" i="18"/>
  <c r="AK13" i="18"/>
  <c r="G20" i="223"/>
  <c r="C30" i="225"/>
  <c r="BH5" i="18"/>
  <c r="K28" i="223"/>
  <c r="AT20" i="18"/>
  <c r="BH26" i="15"/>
  <c r="J24" i="15"/>
  <c r="C175" i="223"/>
  <c r="B38" i="14"/>
  <c r="AW21" i="15"/>
  <c r="G118" i="223"/>
  <c r="C116" i="223"/>
  <c r="AS23" i="15"/>
  <c r="AS22" i="15"/>
  <c r="M17" i="18"/>
  <c r="AG16" i="18"/>
  <c r="V23" i="15"/>
  <c r="B20" i="14"/>
  <c r="F13" i="1"/>
  <c r="BB17" i="18"/>
  <c r="BL8" i="18"/>
  <c r="C117" i="223"/>
  <c r="O2" i="1"/>
  <c r="AK17" i="18"/>
  <c r="B52" i="223"/>
  <c r="AP20" i="15"/>
  <c r="BI4" i="18"/>
  <c r="AB16" i="18"/>
  <c r="E37" i="223"/>
  <c r="AW14" i="18"/>
  <c r="I192" i="223"/>
  <c r="L38" i="223"/>
  <c r="N36" i="223"/>
  <c r="B163" i="223"/>
  <c r="I74" i="223"/>
  <c r="BI11" i="18"/>
  <c r="AT9" i="18"/>
  <c r="G27" i="223"/>
  <c r="H23" i="223"/>
  <c r="K39" i="223"/>
  <c r="L23" i="15"/>
  <c r="N91" i="223"/>
  <c r="K58" i="223"/>
  <c r="AM29" i="15"/>
  <c r="AD8" i="18"/>
  <c r="G29" i="223"/>
  <c r="Q15" i="18"/>
  <c r="F10" i="230"/>
  <c r="BN6" i="18"/>
  <c r="N72" i="223"/>
  <c r="I88" i="223"/>
  <c r="T15" i="18"/>
  <c r="AO28" i="1"/>
  <c r="K142" i="223"/>
  <c r="J51" i="223"/>
  <c r="BB18" i="18"/>
  <c r="AK34" i="18"/>
  <c r="C182" i="223"/>
  <c r="F21" i="234"/>
  <c r="N29" i="223"/>
  <c r="B14" i="185"/>
  <c r="F181" i="223"/>
  <c r="BO17" i="18"/>
  <c r="K24" i="15"/>
  <c r="AX17" i="18"/>
  <c r="K43" i="223"/>
  <c r="AX20" i="18"/>
  <c r="C90" i="223"/>
  <c r="R31" i="15"/>
  <c r="J165" i="223"/>
  <c r="F21" i="227"/>
  <c r="J77" i="223"/>
  <c r="BF20" i="18"/>
  <c r="B9" i="185"/>
  <c r="D175" i="223"/>
  <c r="BE9" i="18"/>
  <c r="F114" i="223"/>
  <c r="L178" i="223"/>
  <c r="C159" i="223"/>
  <c r="I189" i="223"/>
  <c r="I19" i="228"/>
  <c r="M163" i="223"/>
  <c r="U19" i="15"/>
  <c r="BO18" i="18"/>
  <c r="E58" i="223"/>
  <c r="AW25" i="15"/>
  <c r="L191" i="223"/>
  <c r="AT18" i="18"/>
  <c r="F14" i="228"/>
  <c r="T14" i="18"/>
  <c r="B56" i="223"/>
  <c r="D58" i="223"/>
  <c r="B118" i="223"/>
  <c r="AO18" i="18"/>
  <c r="AS17" i="18"/>
  <c r="N21" i="15"/>
  <c r="I83" i="223"/>
  <c r="I15" i="1"/>
  <c r="AJ31" i="15"/>
  <c r="U10" i="18"/>
  <c r="G25" i="15"/>
  <c r="E112" i="223"/>
  <c r="AK10" i="18"/>
  <c r="F112" i="223"/>
  <c r="J162" i="223"/>
  <c r="AJ13" i="18"/>
  <c r="AG14" i="18"/>
  <c r="BC4" i="18"/>
  <c r="I41" i="223"/>
  <c r="M73" i="223"/>
  <c r="I14" i="224"/>
  <c r="I98" i="223"/>
  <c r="AV3" i="18"/>
  <c r="AP23" i="15"/>
  <c r="AX5" i="18"/>
  <c r="AH20" i="18"/>
  <c r="O7" i="18"/>
  <c r="O12" i="18"/>
  <c r="AC2" i="18"/>
  <c r="AU5" i="18"/>
  <c r="J152" i="223"/>
  <c r="E131" i="223"/>
  <c r="BG2" i="1"/>
  <c r="H18" i="18"/>
  <c r="AJ8" i="18"/>
  <c r="AJ21" i="15"/>
  <c r="AQ13" i="18"/>
  <c r="C176" i="223"/>
  <c r="F191" i="223"/>
  <c r="D92" i="223"/>
  <c r="B66" i="223"/>
  <c r="C56" i="18"/>
  <c r="AY21" i="15"/>
  <c r="J13" i="18"/>
  <c r="I15" i="225"/>
  <c r="L21" i="15"/>
  <c r="E189" i="223"/>
  <c r="M12" i="18"/>
  <c r="BB34" i="18"/>
  <c r="AZ12" i="18"/>
  <c r="L29" i="15"/>
  <c r="C45" i="18"/>
  <c r="B96" i="223"/>
  <c r="D191" i="223"/>
  <c r="F89" i="223"/>
  <c r="BH14" i="18"/>
  <c r="X21" i="18"/>
  <c r="O25" i="15"/>
  <c r="E25" i="223"/>
  <c r="Y27" i="15"/>
  <c r="AA30" i="15"/>
  <c r="M159" i="223"/>
  <c r="BC5" i="18"/>
  <c r="I4" i="226"/>
  <c r="K89" i="223"/>
  <c r="B147" i="223"/>
  <c r="I5" i="232"/>
  <c r="M51" i="223"/>
  <c r="F16" i="228"/>
  <c r="I8" i="1"/>
  <c r="F3" i="230"/>
  <c r="I12" i="18"/>
  <c r="I177" i="223"/>
  <c r="L166" i="223"/>
  <c r="B19" i="14"/>
  <c r="H97" i="223"/>
  <c r="B114" i="223"/>
  <c r="AQ19" i="18"/>
  <c r="AS34" i="18"/>
  <c r="I7" i="18"/>
  <c r="I12" i="230"/>
  <c r="I180" i="223"/>
  <c r="AH28" i="15"/>
  <c r="F180" i="223"/>
  <c r="H172" i="223"/>
  <c r="D145" i="223"/>
  <c r="AX28" i="15"/>
  <c r="AF20" i="18"/>
  <c r="G2" i="1"/>
  <c r="D118" i="223"/>
  <c r="P28" i="1"/>
  <c r="L31" i="223"/>
  <c r="F21" i="1"/>
  <c r="G147" i="223"/>
  <c r="BL16" i="18"/>
  <c r="N81" i="223"/>
  <c r="AZ22" i="18"/>
  <c r="C177" i="223"/>
  <c r="B27" i="223"/>
  <c r="E165" i="223"/>
  <c r="D172" i="223"/>
  <c r="BF15" i="18"/>
  <c r="AH11" i="18"/>
  <c r="W15" i="18"/>
  <c r="H82" i="223"/>
  <c r="AS4" i="18"/>
  <c r="C82" i="18"/>
  <c r="BL22" i="15"/>
  <c r="B55" i="14"/>
  <c r="F23" i="233"/>
  <c r="C152" i="223"/>
  <c r="AY22" i="15"/>
  <c r="D77" i="223"/>
  <c r="BD21" i="18"/>
  <c r="C30" i="228"/>
  <c r="BN5" i="18"/>
  <c r="H145" i="223"/>
  <c r="K41" i="224"/>
  <c r="D171" i="223"/>
  <c r="AZ5" i="18"/>
  <c r="BB20" i="15"/>
  <c r="AR21" i="15"/>
  <c r="F12" i="231"/>
  <c r="G156" i="223"/>
  <c r="B162" i="223"/>
  <c r="AW24" i="15"/>
  <c r="K23" i="15"/>
  <c r="AA20" i="15"/>
  <c r="AZ11" i="18"/>
  <c r="I117" i="223"/>
  <c r="AG11" i="18"/>
  <c r="F145" i="223"/>
  <c r="BA7" i="18"/>
  <c r="R2" i="1"/>
  <c r="Z4" i="18"/>
  <c r="J42" i="223"/>
  <c r="BO25" i="15"/>
  <c r="AM2" i="1"/>
  <c r="M188" i="223"/>
  <c r="B16" i="14"/>
  <c r="N171" i="223"/>
  <c r="W2" i="1"/>
  <c r="F9" i="1"/>
  <c r="I4" i="224"/>
  <c r="C122" i="223"/>
  <c r="AM26" i="15"/>
  <c r="L128" i="223"/>
  <c r="C84" i="223"/>
  <c r="AP2" i="18"/>
  <c r="K9" i="18"/>
  <c r="M88" i="223"/>
  <c r="J118" i="223"/>
  <c r="G17" i="18"/>
  <c r="K111" i="223"/>
  <c r="N92" i="223"/>
  <c r="AL10" i="18"/>
  <c r="C97" i="18"/>
  <c r="L68" i="223"/>
  <c r="AQ9" i="18"/>
  <c r="BH31" i="15"/>
  <c r="H2" i="1"/>
  <c r="AH3" i="18"/>
  <c r="F7" i="1"/>
  <c r="T23" i="15"/>
  <c r="J189" i="223"/>
  <c r="H27" i="15"/>
  <c r="O29" i="15"/>
  <c r="K25" i="15"/>
  <c r="P20" i="18"/>
  <c r="R19" i="15"/>
  <c r="AR21" i="18"/>
  <c r="N69" i="223"/>
  <c r="Q28" i="15"/>
  <c r="X5" i="18"/>
  <c r="AD14" i="18"/>
  <c r="W22" i="18"/>
  <c r="AG19" i="15"/>
  <c r="AL19" i="15"/>
  <c r="AY22" i="18"/>
  <c r="AW34" i="18"/>
  <c r="AJ25" i="15"/>
  <c r="AG22" i="18"/>
  <c r="D67" i="223"/>
  <c r="AH16" i="18"/>
  <c r="Q10" i="18"/>
  <c r="C39" i="223"/>
  <c r="L83" i="223"/>
  <c r="Y10" i="18"/>
  <c r="AI4" i="18"/>
  <c r="N75" i="223"/>
  <c r="C48" i="18"/>
  <c r="B75" i="223"/>
  <c r="I86" i="223"/>
  <c r="E29" i="223"/>
  <c r="B144" i="223"/>
  <c r="Z34" i="18"/>
  <c r="F19" i="1"/>
  <c r="K42" i="233"/>
  <c r="L27" i="223"/>
  <c r="K98" i="223"/>
  <c r="E44" i="223"/>
  <c r="W14" i="18"/>
  <c r="D148" i="223"/>
  <c r="AY8" i="18"/>
  <c r="D54" i="223"/>
  <c r="J81" i="223"/>
  <c r="BA6" i="18"/>
  <c r="I51" i="223"/>
  <c r="BC29" i="15"/>
  <c r="N177" i="223"/>
  <c r="AD4" i="18"/>
  <c r="N129" i="223"/>
  <c r="G9" i="18"/>
  <c r="L25" i="15"/>
  <c r="AC20" i="18"/>
  <c r="BK28" i="1"/>
  <c r="F21" i="223"/>
  <c r="C54" i="18"/>
  <c r="C86" i="18"/>
  <c r="AS24" i="15"/>
  <c r="W19" i="15"/>
  <c r="AY26" i="15"/>
  <c r="AF10" i="18"/>
  <c r="M20" i="15"/>
  <c r="M13" i="18"/>
  <c r="AM19" i="15"/>
  <c r="S5" i="18"/>
  <c r="BK23" i="15"/>
  <c r="X30" i="15"/>
  <c r="Z27" i="15"/>
  <c r="U23" i="15"/>
  <c r="D38" i="223"/>
  <c r="M161" i="223"/>
  <c r="N189" i="223"/>
  <c r="AO6" i="18"/>
  <c r="BM10" i="18"/>
  <c r="I53" i="223"/>
  <c r="F91" i="223"/>
  <c r="V19" i="18"/>
  <c r="R25" i="15"/>
  <c r="F3" i="225"/>
  <c r="I9" i="231"/>
  <c r="BM2" i="1"/>
  <c r="D35" i="223"/>
  <c r="X34" i="18"/>
  <c r="AM6" i="18"/>
  <c r="BF24" i="15"/>
  <c r="AG30" i="15"/>
  <c r="AI13" i="18"/>
  <c r="AM4" i="18"/>
  <c r="C78" i="18"/>
  <c r="C157" i="223"/>
  <c r="BI28" i="1"/>
  <c r="G66" i="223"/>
  <c r="AI20" i="18"/>
  <c r="E182" i="223"/>
  <c r="K122" i="223"/>
  <c r="F4" i="226"/>
  <c r="AE16" i="18"/>
  <c r="BM7" i="18"/>
  <c r="C64" i="18"/>
  <c r="F176" i="223"/>
  <c r="AL24" i="15"/>
  <c r="AU22" i="18"/>
  <c r="BJ25" i="15"/>
  <c r="B111" i="223"/>
  <c r="BL19" i="15"/>
  <c r="C132" i="223"/>
  <c r="AO13" i="18"/>
  <c r="D142" i="223"/>
  <c r="J132" i="223"/>
  <c r="AV14" i="18"/>
  <c r="U12" i="18"/>
  <c r="C31" i="223"/>
  <c r="BF19" i="15"/>
  <c r="Q20" i="15"/>
  <c r="E96" i="223"/>
  <c r="E193" i="223"/>
  <c r="E30" i="223"/>
  <c r="BC30" i="15"/>
  <c r="BA21" i="18"/>
  <c r="F19" i="225"/>
  <c r="E28" i="223"/>
  <c r="I151" i="223"/>
  <c r="C187" i="223"/>
  <c r="BC19" i="18"/>
  <c r="I15" i="18"/>
  <c r="C71" i="18"/>
  <c r="AI70" i="18"/>
  <c r="C87" i="18"/>
  <c r="B115" i="223"/>
  <c r="G127" i="223"/>
  <c r="M182" i="223"/>
  <c r="BO24" i="15"/>
  <c r="BI22" i="18"/>
  <c r="B175" i="223"/>
  <c r="F6" i="234"/>
  <c r="AL20" i="15"/>
  <c r="N14" i="18"/>
  <c r="K96" i="223"/>
  <c r="J31" i="15"/>
  <c r="H54" i="223"/>
  <c r="C68" i="18"/>
  <c r="BI14" i="18"/>
  <c r="E192" i="223"/>
  <c r="BE23" i="15"/>
  <c r="AF21" i="18"/>
  <c r="AM20" i="15"/>
  <c r="J151" i="223"/>
  <c r="K118" i="223"/>
  <c r="P12" i="18"/>
  <c r="AW28" i="1"/>
  <c r="F22" i="235"/>
  <c r="AR25" i="15"/>
  <c r="AQ22" i="15"/>
  <c r="C70" i="18"/>
  <c r="AP28" i="1"/>
  <c r="O26" i="15"/>
  <c r="I15" i="229"/>
  <c r="B20" i="223"/>
  <c r="BM29" i="15"/>
  <c r="G173" i="223"/>
  <c r="J7" i="18"/>
  <c r="BM28" i="15"/>
  <c r="Y16" i="18"/>
  <c r="I8" i="224"/>
  <c r="W7" i="18"/>
  <c r="AH6" i="18"/>
  <c r="K20" i="15"/>
  <c r="H9" i="18"/>
  <c r="BL34" i="18"/>
  <c r="R2" i="18"/>
  <c r="C68" i="223"/>
  <c r="C88" i="18"/>
  <c r="F24" i="232"/>
  <c r="AE10" i="18"/>
  <c r="K99" i="223"/>
  <c r="K7" i="14"/>
  <c r="J28" i="15"/>
  <c r="O21" i="18"/>
  <c r="H182" i="223"/>
  <c r="C73" i="18"/>
  <c r="H123" i="223"/>
  <c r="AX10" i="18"/>
  <c r="B159" i="223"/>
  <c r="AZ8" i="18"/>
  <c r="L25" i="223"/>
  <c r="D133" i="223"/>
  <c r="R10" i="18"/>
  <c r="G112" i="223"/>
  <c r="P26" i="15"/>
  <c r="S2" i="18"/>
  <c r="C85" i="18"/>
  <c r="AF29" i="15"/>
  <c r="AE23" i="15"/>
  <c r="I22" i="223"/>
  <c r="AJ20" i="18"/>
  <c r="M127" i="223"/>
  <c r="K189" i="223"/>
  <c r="M192" i="223"/>
  <c r="I181" i="223"/>
  <c r="R30" i="15"/>
  <c r="F67" i="223"/>
  <c r="AN17" i="18"/>
  <c r="F16" i="230"/>
  <c r="L30" i="223"/>
  <c r="AD29" i="15"/>
  <c r="BA12" i="18"/>
  <c r="F7" i="230"/>
  <c r="I19" i="18"/>
  <c r="BB13" i="18"/>
  <c r="AP3" i="18"/>
  <c r="S20" i="18"/>
  <c r="Y23" i="15"/>
  <c r="AA28" i="1"/>
  <c r="AR7" i="18"/>
  <c r="BG22" i="15"/>
  <c r="I3" i="1"/>
  <c r="L86" i="223"/>
  <c r="L167" i="223"/>
  <c r="C98" i="223"/>
  <c r="BM25" i="15"/>
  <c r="G193" i="223"/>
  <c r="K126" i="223"/>
  <c r="AV5" i="18"/>
  <c r="F23" i="234"/>
  <c r="L69" i="223"/>
  <c r="BE20" i="15"/>
  <c r="C163" i="223"/>
  <c r="U2" i="1"/>
  <c r="AJ28" i="15"/>
  <c r="BI31" i="15"/>
  <c r="I6" i="232"/>
  <c r="M28" i="1"/>
  <c r="I77" i="223"/>
  <c r="BO7" i="18"/>
  <c r="H70" i="223"/>
  <c r="AX22" i="15"/>
  <c r="Q27" i="15"/>
  <c r="I37" i="223"/>
  <c r="AF8" i="18"/>
  <c r="I99" i="223"/>
  <c r="H151" i="223"/>
  <c r="C93" i="18"/>
  <c r="C43" i="18"/>
  <c r="I21" i="1"/>
  <c r="BM34" i="18"/>
  <c r="C96" i="18" s="1"/>
  <c r="BD20" i="15"/>
  <c r="L8" i="18"/>
  <c r="AF24" i="15"/>
  <c r="BI30" i="15"/>
  <c r="R20" i="15"/>
  <c r="AK2" i="18"/>
  <c r="M41" i="223"/>
  <c r="T20" i="15"/>
  <c r="AQ3" i="18"/>
  <c r="N156" i="223"/>
  <c r="I38" i="223"/>
  <c r="AO3" i="18"/>
  <c r="F23" i="224"/>
  <c r="N38" i="223"/>
  <c r="BM22" i="15"/>
  <c r="AB22" i="18"/>
  <c r="G2" i="18"/>
  <c r="F88" i="223"/>
  <c r="BD24" i="15"/>
  <c r="H159" i="223"/>
  <c r="AF19" i="15"/>
  <c r="BN26" i="15"/>
  <c r="Y21" i="15"/>
  <c r="AE11" i="18"/>
  <c r="D143" i="223"/>
  <c r="AY24" i="15"/>
  <c r="F15" i="234"/>
  <c r="I81" i="223"/>
  <c r="N10" i="18"/>
  <c r="AU30" i="15"/>
  <c r="K22" i="18"/>
  <c r="B5" i="185"/>
  <c r="I157" i="223"/>
  <c r="BG20" i="18"/>
  <c r="Y9" i="18"/>
  <c r="BM21" i="15"/>
  <c r="H57" i="223"/>
  <c r="R11" i="18"/>
  <c r="F164" i="223"/>
  <c r="B167" i="223"/>
  <c r="AK12" i="18"/>
  <c r="D115" i="223"/>
  <c r="BA34" i="18"/>
  <c r="F6" i="1"/>
  <c r="D165" i="223"/>
  <c r="Z22" i="18"/>
  <c r="F149" i="223"/>
  <c r="AS12" i="18"/>
  <c r="I23" i="223"/>
  <c r="I12" i="229"/>
  <c r="AQ20" i="15"/>
  <c r="Z6" i="18"/>
  <c r="BE13" i="18"/>
  <c r="L176" i="223"/>
  <c r="AS29" i="15"/>
  <c r="AE19" i="15"/>
  <c r="AS21" i="15"/>
  <c r="J66" i="223"/>
  <c r="N152" i="223"/>
  <c r="G120" i="223"/>
  <c r="I120" i="223"/>
  <c r="AB5" i="18"/>
  <c r="N188" i="223"/>
  <c r="AI2" i="18"/>
  <c r="B56" i="14"/>
  <c r="AH88" i="18"/>
  <c r="BK59" i="18"/>
  <c r="C94" i="18"/>
  <c r="AB65" i="18"/>
  <c r="BG59" i="18"/>
  <c r="C83" i="18"/>
  <c r="BB90" i="18"/>
  <c r="C53" i="223"/>
  <c r="U20" i="18"/>
  <c r="J28" i="223"/>
  <c r="I22" i="231"/>
  <c r="AS26" i="15"/>
  <c r="BM27" i="15"/>
  <c r="K42" i="235"/>
  <c r="BM9" i="18"/>
  <c r="AF28" i="15"/>
  <c r="AU2" i="1"/>
  <c r="I25" i="223"/>
  <c r="BC2" i="1"/>
  <c r="D75" i="223"/>
  <c r="I3" i="18"/>
  <c r="BB30" i="15"/>
  <c r="I9" i="226"/>
  <c r="W3" i="18"/>
  <c r="BC21" i="18"/>
  <c r="M18" i="18"/>
  <c r="BA16" i="18"/>
  <c r="AV19" i="18"/>
  <c r="C81" i="18"/>
  <c r="K26" i="15"/>
  <c r="I10" i="18"/>
  <c r="E97" i="223"/>
  <c r="AJ2" i="1"/>
  <c r="J164" i="223"/>
  <c r="G34" i="18"/>
  <c r="AO8" i="18"/>
  <c r="C38" i="18"/>
  <c r="AE34" i="18"/>
  <c r="C62" i="18" s="1"/>
  <c r="BN21" i="15"/>
  <c r="R21" i="18"/>
  <c r="B39" i="14"/>
  <c r="I10" i="226"/>
  <c r="L151" i="223"/>
  <c r="AZ17" i="18"/>
  <c r="F29" i="223"/>
  <c r="I4" i="235"/>
  <c r="B161" i="223"/>
  <c r="F111" i="223"/>
  <c r="C77" i="223"/>
  <c r="M39" i="223"/>
  <c r="H3" i="18"/>
  <c r="J20" i="15"/>
  <c r="AD27" i="15"/>
  <c r="F178" i="223"/>
  <c r="J86" i="223"/>
  <c r="AG10" i="18"/>
  <c r="M172" i="223"/>
  <c r="H96" i="223"/>
  <c r="E40" i="223"/>
  <c r="C167" i="223"/>
  <c r="V3" i="18"/>
  <c r="H157" i="223"/>
  <c r="F22" i="233"/>
  <c r="R29" i="15"/>
  <c r="B38" i="223"/>
  <c r="O4" i="18"/>
  <c r="AV4" i="18"/>
  <c r="AY9" i="18"/>
  <c r="AP29" i="15"/>
  <c r="F16" i="224"/>
  <c r="F10" i="235"/>
  <c r="O27" i="15"/>
  <c r="J6" i="18"/>
  <c r="C59" i="18"/>
  <c r="AP22" i="18"/>
  <c r="AF21" i="15"/>
  <c r="B22" i="223"/>
  <c r="J84" i="223"/>
  <c r="G16" i="18"/>
  <c r="AF3" i="18"/>
  <c r="H20" i="15"/>
  <c r="AA12" i="18"/>
  <c r="G144" i="223"/>
  <c r="AR34" i="18"/>
  <c r="AO28" i="15"/>
  <c r="L30" i="15"/>
  <c r="I14" i="225"/>
  <c r="Y29" i="15"/>
  <c r="F13" i="232"/>
  <c r="AR19" i="15"/>
  <c r="I57" i="223"/>
  <c r="AT27" i="15"/>
  <c r="B113" i="223"/>
  <c r="N146" i="223"/>
  <c r="J143" i="223"/>
  <c r="BG30" i="15"/>
  <c r="Y2" i="1"/>
  <c r="G23" i="15"/>
  <c r="M67" i="223"/>
  <c r="AI29" i="15"/>
  <c r="BN22" i="15"/>
  <c r="BO10" i="18"/>
  <c r="AB28" i="1"/>
  <c r="BJ16" i="18"/>
  <c r="AI28" i="1"/>
  <c r="BI2" i="1"/>
  <c r="AL12" i="18"/>
  <c r="G67" i="223"/>
  <c r="AS2" i="18"/>
  <c r="F22" i="223"/>
  <c r="C44" i="18"/>
  <c r="J58" i="223"/>
  <c r="C61" i="18"/>
  <c r="B173" i="223"/>
  <c r="K190" i="223"/>
  <c r="D24" i="223"/>
  <c r="AE22" i="15"/>
  <c r="AW22" i="15"/>
  <c r="C40" i="18"/>
  <c r="H191" i="223"/>
  <c r="J41" i="18"/>
  <c r="BB65" i="18"/>
  <c r="C39" i="18"/>
  <c r="H82" i="18"/>
  <c r="I6" i="224"/>
  <c r="B45" i="14"/>
  <c r="L56" i="223"/>
  <c r="G74" i="223"/>
  <c r="N141" i="223"/>
  <c r="K57" i="223"/>
  <c r="Q20" i="18"/>
  <c r="AJ5" i="18"/>
  <c r="G42" i="223"/>
  <c r="L37" i="223"/>
  <c r="I119" i="223"/>
  <c r="U9" i="18"/>
  <c r="C21" i="223"/>
  <c r="L35" i="223"/>
  <c r="BD16" i="18"/>
  <c r="J19" i="15"/>
  <c r="BI8" i="18"/>
  <c r="F85" i="223"/>
  <c r="F19" i="228"/>
  <c r="B60" i="14"/>
  <c r="N20" i="18"/>
  <c r="Z28" i="15"/>
  <c r="AX4" i="18"/>
  <c r="AU4" i="18"/>
  <c r="D73" i="223"/>
  <c r="N90" i="223"/>
  <c r="AV21" i="18"/>
  <c r="J159" i="223"/>
  <c r="I141" i="223"/>
  <c r="K159" i="223"/>
  <c r="N97" i="223"/>
  <c r="AL23" i="15"/>
  <c r="BG2" i="18"/>
  <c r="L18" i="18"/>
  <c r="AO20" i="18"/>
  <c r="C63" i="18"/>
  <c r="B192" i="223"/>
  <c r="AS20" i="18"/>
  <c r="V10" i="18"/>
  <c r="F86" i="223"/>
  <c r="AF26" i="15"/>
  <c r="H179" i="223"/>
  <c r="C92" i="18"/>
  <c r="L3" i="18"/>
  <c r="V22" i="15"/>
  <c r="I17" i="226"/>
  <c r="I18" i="1"/>
  <c r="AQ25" i="15"/>
  <c r="I21" i="223"/>
  <c r="AA25" i="15"/>
  <c r="S12" i="18"/>
  <c r="BD7" i="18"/>
  <c r="C174" i="223"/>
  <c r="U21" i="15"/>
  <c r="F9" i="224"/>
  <c r="E151" i="223"/>
  <c r="E68" i="223"/>
  <c r="AD16" i="18"/>
  <c r="J122" i="223"/>
  <c r="BL4" i="18"/>
  <c r="BD14" i="18"/>
  <c r="BC18" i="18"/>
  <c r="F143" i="223"/>
  <c r="D25" i="223"/>
  <c r="P20" i="15"/>
  <c r="W9" i="18"/>
  <c r="F186" i="223"/>
  <c r="AT6" i="18"/>
  <c r="X39" i="18"/>
  <c r="H66" i="18"/>
  <c r="AV83" i="18"/>
  <c r="BC86" i="18"/>
  <c r="BK76" i="18"/>
  <c r="AY79" i="18"/>
  <c r="AS65" i="18"/>
  <c r="AF81" i="18"/>
  <c r="AI66" i="18"/>
  <c r="G39" i="18"/>
  <c r="N65" i="18"/>
  <c r="N45" i="18"/>
  <c r="AZ79" i="18"/>
  <c r="AX72" i="18"/>
  <c r="BK85" i="18"/>
  <c r="AJ76" i="18"/>
  <c r="BK83" i="18"/>
  <c r="AS88" i="18"/>
  <c r="V39" i="18"/>
  <c r="H88" i="18"/>
  <c r="AJ39" i="18"/>
  <c r="BD76" i="18"/>
  <c r="AM52" i="18"/>
  <c r="AX63" i="18"/>
  <c r="AO66" i="18"/>
  <c r="U41" i="18"/>
  <c r="BL39" i="18"/>
  <c r="AJ87" i="18"/>
  <c r="AF79" i="18"/>
  <c r="AO79" i="18"/>
  <c r="AV82" i="18"/>
  <c r="BK70" i="18"/>
  <c r="AH39" i="18"/>
  <c r="AX52" i="18"/>
  <c r="AH81" i="18"/>
  <c r="BI39" i="18"/>
  <c r="H86" i="18"/>
  <c r="J59" i="18"/>
  <c r="BK52" i="18"/>
  <c r="AO82" i="18"/>
  <c r="N79" i="18"/>
  <c r="AY70" i="18"/>
  <c r="AS41" i="18"/>
  <c r="AY85" i="18"/>
  <c r="N52" i="18"/>
  <c r="BG76" i="18"/>
  <c r="AJ72" i="18"/>
  <c r="BE79" i="18"/>
  <c r="AY87" i="18"/>
  <c r="AS81" i="18"/>
  <c r="BF39" i="18"/>
  <c r="U83" i="18"/>
  <c r="J76" i="18"/>
  <c r="J90" i="18"/>
  <c r="AB85" i="18"/>
  <c r="BN12" i="18"/>
  <c r="H11" i="18"/>
  <c r="AR3" i="18"/>
  <c r="C89" i="18"/>
  <c r="B30" i="185"/>
  <c r="C76" i="18"/>
  <c r="H174" i="223"/>
  <c r="BO23" i="15"/>
  <c r="B44" i="223"/>
  <c r="H21" i="18"/>
  <c r="BG21" i="15"/>
  <c r="X29" i="15"/>
  <c r="I172" i="223"/>
  <c r="D111" i="223"/>
  <c r="AT2" i="18"/>
  <c r="H44" i="223"/>
  <c r="AG13" i="18"/>
  <c r="AA21" i="18"/>
  <c r="BI25" i="15"/>
  <c r="H120" i="223"/>
  <c r="L75" i="223"/>
  <c r="V5" i="18"/>
  <c r="Y5" i="18"/>
  <c r="B27" i="14"/>
  <c r="B54" i="223"/>
  <c r="Q2" i="18"/>
  <c r="S16" i="18"/>
  <c r="L4" i="18"/>
  <c r="BH18" i="18"/>
  <c r="AQ11" i="18"/>
  <c r="K52" i="223"/>
  <c r="AG2" i="1"/>
  <c r="L157" i="223"/>
  <c r="AN20" i="18"/>
  <c r="T13" i="18"/>
  <c r="L29" i="223"/>
  <c r="F77" i="223"/>
  <c r="BJ4" i="18"/>
  <c r="BN22" i="18"/>
  <c r="BE28" i="1"/>
  <c r="AD9" i="18"/>
  <c r="L36" i="223"/>
  <c r="G68" i="223"/>
  <c r="BH28" i="1"/>
  <c r="L133" i="223"/>
  <c r="C189" i="223"/>
  <c r="AI52" i="18"/>
  <c r="AX50" i="18"/>
  <c r="AS76" i="18"/>
  <c r="BK93" i="18"/>
  <c r="AD79" i="18"/>
  <c r="AD59" i="18"/>
  <c r="Q39" i="18"/>
  <c r="AI41" i="18"/>
  <c r="C80" i="18"/>
  <c r="BB81" i="18"/>
  <c r="U90" i="18"/>
  <c r="AY86" i="18"/>
  <c r="AX79" i="18"/>
  <c r="AF88" i="18"/>
  <c r="AJ81" i="18"/>
  <c r="N91" i="18"/>
  <c r="S72" i="18"/>
  <c r="AX59" i="18"/>
  <c r="AZ39" i="18"/>
  <c r="AS86" i="18"/>
  <c r="AH87" i="18"/>
  <c r="AF91" i="18"/>
  <c r="BJ82" i="18"/>
  <c r="J66" i="18"/>
  <c r="U91" i="18"/>
  <c r="BJ85" i="18"/>
  <c r="BE61" i="18"/>
  <c r="AI45" i="18"/>
  <c r="BE72" i="18"/>
  <c r="C66" i="18"/>
  <c r="AX67" i="18"/>
  <c r="AX76" i="18"/>
  <c r="AX87" i="18"/>
  <c r="AX83" i="18"/>
  <c r="J63" i="18"/>
  <c r="AD52" i="18"/>
  <c r="AO65" i="18"/>
  <c r="BE39" i="18"/>
  <c r="J86" i="18"/>
  <c r="AN39" i="18"/>
  <c r="AH67" i="18"/>
  <c r="Y81" i="18"/>
  <c r="BD63" i="18"/>
  <c r="AB70" i="18"/>
  <c r="BE76" i="18"/>
  <c r="AX61" i="18"/>
  <c r="AJ59" i="18"/>
  <c r="AX91" i="18"/>
  <c r="BJ94" i="18"/>
  <c r="AF90" i="18"/>
  <c r="H85" i="18"/>
  <c r="BD82" i="18"/>
  <c r="BD81" i="18"/>
  <c r="S88" i="18"/>
  <c r="AJ45" i="18"/>
  <c r="AM63" i="18"/>
  <c r="S61" i="18"/>
  <c r="AV59" i="18"/>
  <c r="T39" i="18"/>
  <c r="U76" i="18"/>
  <c r="C75" i="18"/>
  <c r="BD66" i="18"/>
  <c r="I22" i="18"/>
  <c r="H76" i="18"/>
  <c r="AY94" i="18"/>
  <c r="BK61" i="18"/>
  <c r="AB45" i="18"/>
  <c r="BD91" i="18"/>
  <c r="U85" i="18"/>
  <c r="AF93" i="18"/>
  <c r="AD91" i="18"/>
  <c r="AY41" i="18"/>
  <c r="BE90" i="18"/>
  <c r="BJ59" i="18"/>
  <c r="AZ41" i="18"/>
  <c r="BE81" i="18"/>
  <c r="AI72" i="18"/>
  <c r="BK86" i="18"/>
  <c r="Y61" i="18"/>
  <c r="N39" i="18"/>
  <c r="H63" i="18"/>
  <c r="U82" i="18"/>
  <c r="BD79" i="18"/>
  <c r="AH86" i="18"/>
  <c r="AO45" i="18"/>
  <c r="BE66" i="18"/>
  <c r="BG82" i="18"/>
  <c r="S39" i="18"/>
  <c r="AS87" i="18"/>
  <c r="BE86" i="18"/>
  <c r="N67" i="18"/>
  <c r="AO63" i="18"/>
  <c r="BD85" i="18"/>
  <c r="BD39" i="18"/>
  <c r="BC50" i="18"/>
  <c r="BJ79" i="18"/>
  <c r="AM45" i="18"/>
  <c r="N70" i="18"/>
  <c r="AY93" i="18"/>
  <c r="AD82" i="18"/>
  <c r="BH61" i="18"/>
  <c r="AD86" i="18"/>
  <c r="C46" i="18"/>
  <c r="G40" i="18"/>
  <c r="AA40" i="18"/>
  <c r="Y40" i="18"/>
  <c r="BG40" i="18"/>
  <c r="AE40" i="18"/>
  <c r="AX31" i="15"/>
  <c r="H115" i="223"/>
  <c r="M144" i="223"/>
  <c r="AK20" i="18"/>
  <c r="D68" i="223"/>
  <c r="L52" i="223"/>
  <c r="K16" i="18"/>
  <c r="J23" i="223"/>
  <c r="AA34" i="18"/>
  <c r="M156" i="223"/>
  <c r="G10" i="18"/>
  <c r="BO26" i="15"/>
  <c r="J142" i="223"/>
  <c r="BA20" i="18"/>
  <c r="F90" i="223"/>
  <c r="AG8" i="18"/>
  <c r="K173" i="223"/>
  <c r="I118" i="223"/>
  <c r="M57" i="223"/>
  <c r="AN3" i="18"/>
  <c r="AP18" i="18"/>
  <c r="I72" i="223"/>
  <c r="F20" i="1"/>
  <c r="W20" i="18"/>
  <c r="E76" i="223"/>
  <c r="J68" i="223"/>
  <c r="K165" i="223"/>
  <c r="I16" i="229"/>
  <c r="BB41" i="18"/>
  <c r="G82" i="18"/>
  <c r="AP85" i="18"/>
  <c r="AY39" i="18"/>
  <c r="AQ21" i="18"/>
  <c r="N74" i="223"/>
  <c r="B128" i="223"/>
  <c r="AW31" i="15"/>
  <c r="L88" i="223"/>
  <c r="H148" i="223"/>
  <c r="K172" i="223"/>
  <c r="J29" i="223"/>
  <c r="AR20" i="15"/>
  <c r="BF7" i="18"/>
  <c r="L2" i="1"/>
  <c r="BL15" i="18"/>
  <c r="J119" i="223"/>
  <c r="C22" i="223"/>
  <c r="V20" i="18"/>
  <c r="P25" i="15"/>
  <c r="U42" i="18"/>
  <c r="K64" i="18"/>
  <c r="K94" i="18"/>
  <c r="BE63" i="18"/>
  <c r="K65" i="18"/>
  <c r="AS91" i="18"/>
  <c r="AY61" i="18"/>
  <c r="BG65" i="18"/>
  <c r="AV67" i="18"/>
  <c r="AY45" i="18"/>
  <c r="AY83" i="18"/>
  <c r="AN89" i="18"/>
  <c r="BG42" i="18"/>
  <c r="BA50" i="18"/>
  <c r="AG82" i="18"/>
  <c r="U94" i="18"/>
  <c r="AP39" i="18"/>
  <c r="AM85" i="18"/>
  <c r="AH66" i="18"/>
  <c r="AZ72" i="18"/>
  <c r="AH61" i="18"/>
  <c r="AJ50" i="18"/>
  <c r="AM84" i="18"/>
  <c r="AB84" i="18"/>
  <c r="AP74" i="18"/>
  <c r="AO50" i="18"/>
  <c r="AZ38" i="18"/>
  <c r="AG42" i="18"/>
  <c r="AB38" i="18"/>
  <c r="S45" i="18"/>
  <c r="AQ72" i="18"/>
  <c r="AQ66" i="18"/>
  <c r="G91" i="18"/>
  <c r="AP89" i="18"/>
  <c r="Y87" i="18"/>
  <c r="AO90" i="18"/>
  <c r="BC67" i="18"/>
  <c r="BG71" i="18"/>
  <c r="AW39" i="18"/>
  <c r="BC88" i="18"/>
  <c r="C84" i="18"/>
  <c r="BC66" i="18"/>
  <c r="AI90" i="18"/>
  <c r="BA56" i="18"/>
  <c r="BD65" i="18"/>
  <c r="AV42" i="18"/>
  <c r="BB88" i="18"/>
  <c r="S66" i="18"/>
  <c r="N83" i="18"/>
  <c r="AG50" i="18"/>
  <c r="AN81" i="18"/>
  <c r="I17" i="18"/>
  <c r="BK66" i="18"/>
  <c r="AJ89" i="18"/>
  <c r="BK65" i="18"/>
  <c r="J39" i="18"/>
  <c r="AS50" i="18"/>
  <c r="G86" i="18"/>
  <c r="J67" i="18"/>
  <c r="AF38" i="18"/>
  <c r="BD94" i="18"/>
  <c r="AI85" i="18"/>
  <c r="AI42" i="18"/>
  <c r="BD67" i="18"/>
  <c r="AZ50" i="18"/>
  <c r="BG74" i="18"/>
  <c r="AF72" i="18"/>
  <c r="AX64" i="18"/>
  <c r="AP41" i="18"/>
  <c r="BF81" i="18"/>
  <c r="AD45" i="18"/>
  <c r="K70" i="18"/>
  <c r="AO71" i="18"/>
  <c r="BG93" i="18"/>
  <c r="J56" i="18"/>
  <c r="BH87" i="18"/>
  <c r="AS82" i="18"/>
  <c r="BB59" i="18"/>
  <c r="BD42" i="18"/>
  <c r="AZ93" i="18"/>
  <c r="AD85" i="18"/>
  <c r="AG66" i="18"/>
  <c r="BB72" i="18"/>
  <c r="AD50" i="18"/>
  <c r="K86" i="18"/>
  <c r="Y88" i="18"/>
  <c r="AG84" i="18"/>
  <c r="AO61" i="18"/>
  <c r="AS63" i="18"/>
  <c r="H87" i="18"/>
  <c r="BG90" i="18"/>
  <c r="AS83" i="18"/>
  <c r="AX65" i="18"/>
  <c r="AP72" i="18"/>
  <c r="AP63" i="18"/>
  <c r="AB79" i="18"/>
  <c r="AI63" i="18"/>
  <c r="AB39" i="18"/>
  <c r="BJ42" i="18"/>
  <c r="AN76" i="18"/>
  <c r="AJ65" i="18"/>
  <c r="BA91" i="18"/>
  <c r="AF64" i="18"/>
  <c r="H89" i="18"/>
  <c r="N66" i="18"/>
  <c r="BG85" i="18"/>
  <c r="G65" i="18"/>
  <c r="AH93" i="18"/>
  <c r="BH88" i="18"/>
  <c r="H45" i="18"/>
  <c r="AJ52" i="18"/>
  <c r="BE70" i="18"/>
  <c r="AF42" i="18"/>
  <c r="AI71" i="18"/>
  <c r="BK79" i="18"/>
  <c r="G90" i="18"/>
  <c r="Y59" i="18"/>
  <c r="AN65" i="18"/>
  <c r="I20" i="18"/>
  <c r="BH41" i="18"/>
  <c r="BJ45" i="18"/>
  <c r="C72" i="18"/>
  <c r="AZ81" i="18"/>
  <c r="AF73" i="18"/>
  <c r="U87" i="18"/>
  <c r="U86" i="18"/>
  <c r="AD72" i="18"/>
  <c r="U70" i="18"/>
  <c r="AH50" i="18"/>
  <c r="BH63" i="18"/>
  <c r="AP73" i="18"/>
  <c r="AS52" i="18"/>
  <c r="AB94" i="18"/>
  <c r="BD89" i="18"/>
  <c r="AQ59" i="18"/>
  <c r="AI76" i="18"/>
  <c r="AN70" i="18"/>
  <c r="R39" i="18"/>
  <c r="BK72" i="18"/>
  <c r="J52" i="18"/>
  <c r="J73" i="18"/>
  <c r="U67" i="18"/>
  <c r="AB64" i="18"/>
  <c r="C77" i="18"/>
  <c r="BC42" i="18"/>
  <c r="BC65" i="18"/>
  <c r="BF91" i="18"/>
  <c r="BJ90" i="18"/>
  <c r="BB67" i="18"/>
  <c r="AF89" i="18"/>
  <c r="BA82" i="18"/>
  <c r="BD56" i="18"/>
  <c r="AI87" i="18"/>
  <c r="BK88" i="18"/>
  <c r="BB83" i="18"/>
  <c r="BF61" i="18"/>
  <c r="G74" i="18"/>
  <c r="AD63" i="18"/>
  <c r="C57" i="18"/>
  <c r="AZ85" i="18"/>
  <c r="BJ39" i="18"/>
  <c r="K67" i="18"/>
  <c r="K83" i="18"/>
  <c r="G79" i="18"/>
  <c r="AO41" i="18"/>
  <c r="K44" i="14"/>
  <c r="BD70" i="18"/>
  <c r="AQ90" i="18"/>
  <c r="AY66" i="18"/>
  <c r="U89" i="18"/>
  <c r="BG56" i="18"/>
  <c r="BJ88" i="18"/>
  <c r="AZ86" i="18"/>
  <c r="I4" i="18"/>
  <c r="BN40" i="18"/>
  <c r="AM40" i="18"/>
  <c r="I65" i="18"/>
  <c r="AS40" i="18"/>
  <c r="R12" i="18"/>
  <c r="BI7" i="18"/>
  <c r="BN21" i="18"/>
  <c r="AK28" i="1"/>
  <c r="H163" i="223"/>
  <c r="AT22" i="18"/>
  <c r="Q18" i="18"/>
  <c r="D31" i="223"/>
  <c r="X18" i="18"/>
  <c r="U28" i="1"/>
  <c r="AQ28" i="1"/>
  <c r="D193" i="223"/>
  <c r="AW12" i="18"/>
  <c r="B10" i="14"/>
  <c r="B43" i="14"/>
  <c r="BL6" i="18"/>
  <c r="B92" i="223"/>
  <c r="Z24" i="15"/>
  <c r="I16" i="18"/>
  <c r="BJ2" i="18"/>
  <c r="BK21" i="15"/>
  <c r="AN22" i="15"/>
  <c r="BN2" i="18"/>
  <c r="F38" i="223"/>
  <c r="I188" i="223"/>
  <c r="N192" i="223"/>
  <c r="L70" i="223"/>
  <c r="J34" i="18"/>
  <c r="C41" i="18" s="1"/>
  <c r="BH73" i="18"/>
  <c r="AG94" i="18"/>
  <c r="J83" i="18"/>
  <c r="AF30" i="15"/>
  <c r="K119" i="223"/>
  <c r="BN17" i="18"/>
  <c r="J113" i="223"/>
  <c r="AR17" i="18"/>
  <c r="I18" i="18"/>
  <c r="U24" i="15"/>
  <c r="W4" i="18"/>
  <c r="V6" i="18"/>
  <c r="D120" i="223"/>
  <c r="G176" i="223"/>
  <c r="O10" i="18"/>
  <c r="AH28" i="1"/>
  <c r="AE21" i="18"/>
  <c r="I11" i="230"/>
  <c r="H21" i="15"/>
  <c r="AI79" i="18"/>
  <c r="AY62" i="18"/>
  <c r="AI82" i="18"/>
  <c r="AE50" i="18"/>
  <c r="BA83" i="18"/>
  <c r="U72" i="18"/>
  <c r="W70" i="18"/>
  <c r="W64" i="18"/>
  <c r="X46" i="18"/>
  <c r="AF41" i="18"/>
  <c r="BB71" i="18"/>
  <c r="BJ86" i="18"/>
  <c r="AD46" i="18"/>
  <c r="BK48" i="18"/>
  <c r="AM71" i="18"/>
  <c r="V62" i="18"/>
  <c r="BG73" i="18"/>
  <c r="AE89" i="18"/>
  <c r="AT75" i="18"/>
  <c r="R38" i="18"/>
  <c r="G62" i="18"/>
  <c r="H91" i="18"/>
  <c r="BL87" i="18"/>
  <c r="H95" i="18"/>
  <c r="AQ76" i="18"/>
  <c r="Q76" i="18"/>
  <c r="BN92" i="18"/>
  <c r="AM91" i="18"/>
  <c r="AJ74" i="18"/>
  <c r="BA49" i="18"/>
  <c r="AV66" i="18"/>
  <c r="AH56" i="18"/>
  <c r="AJ38" i="18"/>
  <c r="G52" i="18"/>
  <c r="N75" i="18"/>
  <c r="AR41" i="18"/>
  <c r="BC64" i="18"/>
  <c r="AQ62" i="18"/>
  <c r="AI91" i="18"/>
  <c r="N49" i="18"/>
  <c r="AR64" i="18"/>
  <c r="G66" i="18"/>
  <c r="J92" i="18"/>
  <c r="BD53" i="18"/>
  <c r="AQ64" i="18"/>
  <c r="J46" i="18"/>
  <c r="AK39" i="18"/>
  <c r="AZ62" i="18"/>
  <c r="AR97" i="18"/>
  <c r="R86" i="18"/>
  <c r="AJ70" i="18"/>
  <c r="AE85" i="18"/>
  <c r="Q46" i="18"/>
  <c r="BC55" i="18"/>
  <c r="O88" i="18"/>
  <c r="BJ46" i="18"/>
  <c r="AM41" i="18"/>
  <c r="BF48" i="18"/>
  <c r="X52" i="18"/>
  <c r="X94" i="18"/>
  <c r="AB89" i="18"/>
  <c r="BH77" i="18"/>
  <c r="BA63" i="18"/>
  <c r="R92" i="18"/>
  <c r="AQ87" i="18"/>
  <c r="AR88" i="18"/>
  <c r="V83" i="18"/>
  <c r="BN87" i="18"/>
  <c r="AG38" i="18"/>
  <c r="AT94" i="18"/>
  <c r="AQ77" i="18"/>
  <c r="H71" i="18"/>
  <c r="BD73" i="18"/>
  <c r="BH52" i="18"/>
  <c r="BB55" i="18"/>
  <c r="Q48" i="18"/>
  <c r="B48" i="18" s="1"/>
  <c r="BJ50" i="18"/>
  <c r="AN50" i="18"/>
  <c r="AD39" i="18"/>
  <c r="BB92" i="18"/>
  <c r="AP50" i="18"/>
  <c r="AS62" i="18"/>
  <c r="BH81" i="18"/>
  <c r="AF59" i="18"/>
  <c r="AB91" i="18"/>
  <c r="J82" i="18"/>
  <c r="R77" i="18"/>
  <c r="BF90" i="18"/>
  <c r="AX48" i="18"/>
  <c r="U73" i="18"/>
  <c r="BH53" i="18"/>
  <c r="G89" i="18"/>
  <c r="AX56" i="18"/>
  <c r="BK46" i="18"/>
  <c r="K79" i="18"/>
  <c r="BE49" i="18"/>
  <c r="AH75" i="18"/>
  <c r="BK87" i="18"/>
  <c r="AN97" i="18"/>
  <c r="V84" i="18"/>
  <c r="X62" i="18"/>
  <c r="AJ83" i="18"/>
  <c r="BB91" i="18"/>
  <c r="BG45" i="18"/>
  <c r="Q63" i="18"/>
  <c r="Y77" i="18"/>
  <c r="C47" i="18"/>
  <c r="K85" i="18"/>
  <c r="BB94" i="18"/>
  <c r="W39" i="18"/>
  <c r="AN62" i="18"/>
  <c r="AE53" i="18"/>
  <c r="AY50" i="18"/>
  <c r="BN65" i="18"/>
  <c r="AV46" i="18"/>
  <c r="W79" i="18"/>
  <c r="AH64" i="18"/>
  <c r="N41" i="18"/>
  <c r="N55" i="18"/>
  <c r="AX45" i="18"/>
  <c r="AH70" i="18"/>
  <c r="AJ93" i="18"/>
  <c r="AE48" i="18"/>
  <c r="W73" i="18"/>
  <c r="BI89" i="18"/>
  <c r="G75" i="18"/>
  <c r="AZ56" i="18"/>
  <c r="BN76" i="18"/>
  <c r="BA87" i="18"/>
  <c r="G88" i="18"/>
  <c r="S84" i="18"/>
  <c r="AM61" i="18"/>
  <c r="BG86" i="18"/>
  <c r="K59" i="18"/>
  <c r="BN77" i="18"/>
  <c r="BH62" i="18"/>
  <c r="AT48" i="18"/>
  <c r="AE52" i="18"/>
  <c r="U66" i="18"/>
  <c r="BB89" i="18"/>
  <c r="J65" i="18"/>
  <c r="BA76" i="18"/>
  <c r="H74" i="18"/>
  <c r="AR79" i="18"/>
  <c r="G49" i="18"/>
  <c r="AF75" i="18"/>
  <c r="U50" i="18"/>
  <c r="J81" i="18"/>
  <c r="AD62" i="18"/>
  <c r="AZ70" i="18"/>
  <c r="AG64" i="18"/>
  <c r="AP95" i="18"/>
  <c r="AY38" i="18"/>
  <c r="BN59" i="18"/>
  <c r="S94" i="18"/>
  <c r="BJ52" i="18"/>
  <c r="BK94" i="18"/>
  <c r="BB53" i="18"/>
  <c r="BG50" i="18"/>
  <c r="BI54" i="18"/>
  <c r="H49" i="18"/>
  <c r="X84" i="18"/>
  <c r="AL39" i="18"/>
  <c r="BE65" i="18"/>
  <c r="BG54" i="18"/>
  <c r="AP93" i="18"/>
  <c r="K45" i="18"/>
  <c r="BG92" i="18"/>
  <c r="AB82" i="18"/>
  <c r="R82" i="18"/>
  <c r="BK49" i="18"/>
  <c r="U97" i="18"/>
  <c r="Y93" i="18"/>
  <c r="AV64" i="18"/>
  <c r="AM38" i="18"/>
  <c r="Y79" i="18"/>
  <c r="BA72" i="18"/>
  <c r="AM39" i="18"/>
  <c r="BG81" i="18"/>
  <c r="AD95" i="18"/>
  <c r="BF59" i="18"/>
  <c r="BJ41" i="18"/>
  <c r="J54" i="18"/>
  <c r="U81" i="18"/>
  <c r="AE67" i="18"/>
  <c r="J71" i="18"/>
  <c r="AE41" i="18"/>
  <c r="AV41" i="18"/>
  <c r="U39" i="18"/>
  <c r="AO93" i="18"/>
  <c r="AS72" i="18"/>
  <c r="AO72" i="18"/>
  <c r="BI86" i="18"/>
  <c r="K39" i="18"/>
  <c r="AR56" i="18"/>
  <c r="BB54" i="18"/>
  <c r="AM77" i="18"/>
  <c r="AD66" i="18"/>
  <c r="AO94" i="18"/>
  <c r="AT55" i="18"/>
  <c r="H90" i="18"/>
  <c r="BI76" i="18"/>
  <c r="AG88" i="18"/>
  <c r="X83" i="18"/>
  <c r="BF86" i="18"/>
  <c r="BF38" i="18"/>
  <c r="V53" i="18"/>
  <c r="S77" i="18"/>
  <c r="X64" i="18"/>
  <c r="AM65" i="18"/>
  <c r="AX49" i="18"/>
  <c r="BK63" i="18"/>
  <c r="BC82" i="18"/>
  <c r="AH73" i="18"/>
  <c r="AB46" i="18"/>
  <c r="AP56" i="18"/>
  <c r="U65" i="18"/>
  <c r="AJ48" i="18"/>
  <c r="AV89" i="18"/>
  <c r="X48" i="18"/>
  <c r="N76" i="18"/>
  <c r="V50" i="18"/>
  <c r="BH85" i="18"/>
  <c r="AV70" i="18"/>
  <c r="BJ49" i="18"/>
  <c r="BI46" i="18"/>
  <c r="AI97" i="18"/>
  <c r="AM89" i="18"/>
  <c r="AM95" i="18"/>
  <c r="AX82" i="18"/>
  <c r="N62" i="18"/>
  <c r="AG85" i="18"/>
  <c r="AV45" i="18"/>
  <c r="O66" i="18"/>
  <c r="BE91" i="18"/>
  <c r="BB42" i="18"/>
  <c r="AD56" i="18"/>
  <c r="BJ81" i="18"/>
  <c r="BI61" i="18"/>
  <c r="BG91" i="18"/>
  <c r="BH95" i="18"/>
  <c r="AH41" i="18"/>
  <c r="O67" i="18"/>
  <c r="W45" i="18"/>
  <c r="I21" i="18"/>
  <c r="BL90" i="18"/>
  <c r="AD87" i="18"/>
  <c r="K20" i="223"/>
  <c r="L74" i="223"/>
  <c r="L89" i="223"/>
  <c r="AC5" i="18"/>
  <c r="AQ24" i="15"/>
  <c r="AL3" i="18"/>
  <c r="BM19" i="18"/>
  <c r="AU14" i="18"/>
  <c r="D122" i="223"/>
  <c r="I115" i="223"/>
  <c r="L57" i="223"/>
  <c r="M28" i="223"/>
  <c r="D36" i="223"/>
  <c r="I2" i="1"/>
  <c r="H117" i="223"/>
  <c r="P10" i="18"/>
  <c r="O20" i="15"/>
  <c r="H83" i="223"/>
  <c r="L22" i="18"/>
  <c r="C162" i="223"/>
  <c r="AK5" i="18"/>
  <c r="AA6" i="18"/>
  <c r="H66" i="223"/>
  <c r="M86" i="223"/>
  <c r="I3" i="233"/>
  <c r="K86" i="223"/>
  <c r="AP24" i="15"/>
  <c r="J36" i="223"/>
  <c r="AZ69" i="18"/>
  <c r="AG39" i="18"/>
  <c r="BK41" i="18"/>
  <c r="AY58" i="18"/>
  <c r="Z17" i="18"/>
  <c r="F19" i="224"/>
  <c r="I165" i="223"/>
  <c r="R34" i="18"/>
  <c r="AA31" i="15"/>
  <c r="AW13" i="18"/>
  <c r="I167" i="223"/>
  <c r="BG34" i="18"/>
  <c r="C90" i="18" s="1"/>
  <c r="BH2" i="18"/>
  <c r="M25" i="15"/>
  <c r="M10" i="18"/>
  <c r="K92" i="223"/>
  <c r="I6" i="18"/>
  <c r="T11" i="18"/>
  <c r="I123" i="223"/>
  <c r="AK28" i="15"/>
  <c r="BD21" i="15"/>
  <c r="X73" i="18"/>
  <c r="BF77" i="18"/>
  <c r="BB49" i="18"/>
  <c r="BL48" i="18"/>
  <c r="T50" i="18"/>
  <c r="AW73" i="18"/>
  <c r="AN51" i="18"/>
  <c r="AQ93" i="18"/>
  <c r="BM57" i="18"/>
  <c r="S82" i="18"/>
  <c r="J49" i="18"/>
  <c r="G69" i="18"/>
  <c r="AO91" i="18"/>
  <c r="BL74" i="18"/>
  <c r="K62" i="18"/>
  <c r="AC60" i="18"/>
  <c r="AU49" i="18"/>
  <c r="BL46" i="18"/>
  <c r="K76" i="18"/>
  <c r="K38" i="18"/>
  <c r="H46" i="18"/>
  <c r="O94" i="18"/>
  <c r="W75" i="18"/>
  <c r="H64" i="18"/>
  <c r="BK92" i="18"/>
  <c r="AU78" i="18"/>
  <c r="B78" i="18" s="1"/>
  <c r="BJ73" i="18"/>
  <c r="AE56" i="18"/>
  <c r="BE48" i="18"/>
  <c r="G85" i="18"/>
  <c r="AM46" i="18"/>
  <c r="V94" i="18"/>
  <c r="K93" i="18"/>
  <c r="R47" i="18"/>
  <c r="AH85" i="18"/>
  <c r="W85" i="18"/>
  <c r="AZ64" i="18"/>
  <c r="AJ78" i="18"/>
  <c r="AQ49" i="18"/>
  <c r="Z93" i="18"/>
  <c r="P57" i="18"/>
  <c r="AL66" i="18"/>
  <c r="AI44" i="18"/>
  <c r="AR72" i="18"/>
  <c r="AU83" i="18"/>
  <c r="AI81" i="18"/>
  <c r="P72" i="18"/>
  <c r="I9" i="18"/>
  <c r="AV78" i="18"/>
  <c r="AO96" i="18"/>
  <c r="AQ39" i="18"/>
  <c r="AB87" i="18"/>
  <c r="BM62" i="18"/>
  <c r="BH74" i="18"/>
  <c r="J94" i="18"/>
  <c r="AC95" i="18"/>
  <c r="Y85" i="18"/>
  <c r="AH63" i="18"/>
  <c r="P79" i="18"/>
  <c r="T52" i="18"/>
  <c r="W44" i="18"/>
  <c r="AG43" i="18"/>
  <c r="AV73" i="18"/>
  <c r="AY71" i="18"/>
  <c r="BD50" i="18"/>
  <c r="Q53" i="18"/>
  <c r="AD38" i="18"/>
  <c r="AJ90" i="18"/>
  <c r="Y42" i="18"/>
  <c r="AD94" i="18"/>
  <c r="Z55" i="18"/>
  <c r="W63" i="18"/>
  <c r="L48" i="18"/>
  <c r="AM57" i="18"/>
  <c r="AX47" i="18"/>
  <c r="BA85" i="18"/>
  <c r="X59" i="18"/>
  <c r="AV61" i="18"/>
  <c r="AS53" i="18"/>
  <c r="BG67" i="18"/>
  <c r="N86" i="18"/>
  <c r="BB77" i="18"/>
  <c r="AM94" i="18"/>
  <c r="W56" i="18"/>
  <c r="BA60" i="18"/>
  <c r="AB50" i="18"/>
  <c r="AA38" i="18"/>
  <c r="O71" i="18"/>
  <c r="BL60" i="18"/>
  <c r="AI39" i="18"/>
  <c r="BI62" i="18"/>
  <c r="BB45" i="18"/>
  <c r="Z41" i="18"/>
  <c r="L93" i="18"/>
  <c r="AC91" i="18"/>
  <c r="S85" i="18"/>
  <c r="T96" i="18"/>
  <c r="N44" i="18"/>
  <c r="AP87" i="18"/>
  <c r="AQ48" i="18"/>
  <c r="K52" i="18"/>
  <c r="L94" i="18"/>
  <c r="O53" i="18"/>
  <c r="O78" i="18"/>
  <c r="BJ58" i="18"/>
  <c r="BL82" i="18"/>
  <c r="U62" i="18"/>
  <c r="AP46" i="18"/>
  <c r="AH54" i="18"/>
  <c r="S46" i="18"/>
  <c r="BI96" i="18"/>
  <c r="U49" i="18"/>
  <c r="AI64" i="18"/>
  <c r="BE83" i="18"/>
  <c r="AY78" i="18"/>
  <c r="U88" i="18"/>
  <c r="BD97" i="18"/>
  <c r="Q71" i="18"/>
  <c r="BL71" i="18"/>
  <c r="BG48" i="18"/>
  <c r="AR96" i="18"/>
  <c r="U52" i="18"/>
  <c r="AM51" i="18"/>
  <c r="AD70" i="18"/>
  <c r="AX78" i="18"/>
  <c r="AG63" i="18"/>
  <c r="X58" i="18"/>
  <c r="AS71" i="18"/>
  <c r="BG52" i="18"/>
  <c r="BC72" i="18"/>
  <c r="N50" i="18"/>
  <c r="AY56" i="18"/>
  <c r="BE50" i="18"/>
  <c r="AS84" i="18"/>
  <c r="AW44" i="18"/>
  <c r="AN45" i="18"/>
  <c r="BH42" i="18"/>
  <c r="BD93" i="18"/>
  <c r="AW85" i="18"/>
  <c r="AL73" i="18"/>
  <c r="AV68" i="18"/>
  <c r="J53" i="18"/>
  <c r="AH55" i="18"/>
  <c r="BF96" i="18"/>
  <c r="K82" i="18"/>
  <c r="N56" i="18"/>
  <c r="AZ43" i="18"/>
  <c r="AO57" i="18"/>
  <c r="AF46" i="18"/>
  <c r="AL92" i="18"/>
  <c r="BL72" i="18"/>
  <c r="AF50" i="18"/>
  <c r="BI87" i="18"/>
  <c r="AB97" i="18"/>
  <c r="R88" i="18"/>
  <c r="BA81" i="18"/>
  <c r="AX70" i="18"/>
  <c r="AZ74" i="18"/>
  <c r="AT54" i="18"/>
  <c r="Q95" i="18"/>
  <c r="BN61" i="18"/>
  <c r="AI47" i="18"/>
  <c r="Y45" i="18"/>
  <c r="BG63" i="18"/>
  <c r="AE69" i="18"/>
  <c r="C65" i="18"/>
  <c r="AR85" i="18"/>
  <c r="BA94" i="18"/>
  <c r="BG39" i="18"/>
  <c r="J62" i="18"/>
  <c r="BL69" i="18"/>
  <c r="T53" i="18"/>
  <c r="AW67" i="18"/>
  <c r="Y83" i="18"/>
  <c r="AQ52" i="18"/>
  <c r="AZ46" i="18"/>
  <c r="O79" i="18"/>
  <c r="AW64" i="18"/>
  <c r="BL47" i="18"/>
  <c r="AA41" i="18"/>
  <c r="AK55" i="18"/>
  <c r="BC63" i="18"/>
  <c r="J45" i="18"/>
  <c r="AK70" i="18"/>
  <c r="BH54" i="18"/>
  <c r="AG93" i="18"/>
  <c r="AP48" i="18"/>
  <c r="AT90" i="18"/>
  <c r="BA66" i="18"/>
  <c r="BN89" i="18"/>
  <c r="AY75" i="18"/>
  <c r="AA44" i="18"/>
  <c r="BG58" i="18"/>
  <c r="L56" i="18"/>
  <c r="AM76" i="18"/>
  <c r="W51" i="18"/>
  <c r="AL84" i="18"/>
  <c r="AF95" i="18"/>
  <c r="AQ61" i="18"/>
  <c r="BM86" i="18"/>
  <c r="H59" i="18"/>
  <c r="AO60" i="18"/>
  <c r="AU77" i="18"/>
  <c r="W47" i="18"/>
  <c r="O90" i="18"/>
  <c r="P48" i="18"/>
  <c r="AD73" i="18"/>
  <c r="AC78" i="18"/>
  <c r="AM66" i="18"/>
  <c r="BF55" i="18"/>
  <c r="AV44" i="18"/>
  <c r="AH82" i="18"/>
  <c r="Y80" i="18"/>
  <c r="AB76" i="18"/>
  <c r="AG57" i="18"/>
  <c r="BH39" i="18"/>
  <c r="BF79" i="18"/>
  <c r="S49" i="18"/>
  <c r="S75" i="18"/>
  <c r="AF87" i="18"/>
  <c r="BM97" i="18"/>
  <c r="AL51" i="18"/>
  <c r="AK41" i="18"/>
  <c r="AE71" i="18"/>
  <c r="AB83" i="18"/>
  <c r="Z60" i="18"/>
  <c r="Z64" i="18"/>
  <c r="S91" i="18"/>
  <c r="Z38" i="18"/>
  <c r="AQ45" i="18"/>
  <c r="AF80" i="18"/>
  <c r="BD69" i="18"/>
  <c r="G77" i="18"/>
  <c r="AN91" i="18"/>
  <c r="AQ85" i="18"/>
  <c r="H65" i="18"/>
  <c r="S70" i="18"/>
  <c r="BH76" i="18"/>
  <c r="AK65" i="18"/>
  <c r="BN79" i="18"/>
  <c r="BN68" i="18"/>
  <c r="BF64" i="18"/>
  <c r="AE75" i="18"/>
  <c r="BK89" i="18"/>
  <c r="AG58" i="18"/>
  <c r="Y54" i="18"/>
  <c r="S60" i="18"/>
  <c r="Z91" i="18"/>
  <c r="S87" i="18"/>
  <c r="BM90" i="18"/>
  <c r="AL95" i="18"/>
  <c r="AL59" i="18"/>
  <c r="T64" i="18"/>
  <c r="AY43" i="18"/>
  <c r="M43" i="18"/>
  <c r="V71" i="18"/>
  <c r="R95" i="18"/>
  <c r="AH65" i="18"/>
  <c r="BM81" i="18"/>
  <c r="AI67" i="18"/>
  <c r="R74" i="18"/>
  <c r="BM78" i="18"/>
  <c r="AG51" i="18"/>
  <c r="AA68" i="18"/>
  <c r="AF61" i="18"/>
  <c r="R41" i="18"/>
  <c r="AW45" i="18"/>
  <c r="AB69" i="18"/>
  <c r="BG68" i="18"/>
  <c r="L88" i="18"/>
  <c r="AR46" i="18"/>
  <c r="AW83" i="18"/>
  <c r="P56" i="18"/>
  <c r="Y38" i="18"/>
  <c r="AT39" i="18"/>
  <c r="BF56" i="18"/>
  <c r="BK42" i="18"/>
  <c r="AY55" i="18"/>
  <c r="BG55" i="18"/>
  <c r="AP84" i="18"/>
  <c r="Y46" i="18"/>
  <c r="Z88" i="18"/>
  <c r="O87" i="18"/>
  <c r="AL86" i="18"/>
  <c r="AN61" i="18"/>
  <c r="G53" i="18"/>
  <c r="AC53" i="18"/>
  <c r="AQ44" i="18"/>
  <c r="AH44" i="18"/>
  <c r="O91" i="18"/>
  <c r="AV79" i="18"/>
  <c r="U45" i="18"/>
  <c r="AO38" i="18"/>
  <c r="O92" i="18"/>
  <c r="BM51" i="18"/>
  <c r="G78" i="18"/>
  <c r="BA58" i="18"/>
  <c r="BN41" i="18"/>
  <c r="AE88" i="18"/>
  <c r="BF82" i="18"/>
  <c r="AH60" i="18"/>
  <c r="BM52" i="18"/>
  <c r="AI80" i="18"/>
  <c r="S55" i="18"/>
  <c r="Q80" i="18"/>
  <c r="BA52" i="18"/>
  <c r="BK47" i="18"/>
  <c r="AR48" i="18"/>
  <c r="S47" i="18"/>
  <c r="AM58" i="18"/>
  <c r="AQ63" i="18"/>
  <c r="BK62" i="18"/>
  <c r="AP45" i="18"/>
  <c r="BN72" i="18"/>
  <c r="AV39" i="18"/>
  <c r="AM42" i="18"/>
  <c r="R97" i="18"/>
  <c r="AV84" i="18"/>
  <c r="BD83" i="18"/>
  <c r="BN39" i="18"/>
  <c r="AD65" i="18"/>
  <c r="AV58" i="18"/>
  <c r="AU97" i="18"/>
  <c r="L68" i="18"/>
  <c r="AR89" i="18"/>
  <c r="K91" i="18"/>
  <c r="AG72" i="18"/>
  <c r="V82" i="18"/>
  <c r="V60" i="18"/>
  <c r="AB41" i="18"/>
  <c r="AD60" i="18"/>
  <c r="BN66" i="18"/>
  <c r="S44" i="18"/>
  <c r="Z85" i="18"/>
  <c r="Y68" i="18"/>
  <c r="G45" i="18"/>
  <c r="O81" i="18"/>
  <c r="AE61" i="18"/>
  <c r="AO55" i="18"/>
  <c r="J64" i="18"/>
  <c r="AU61" i="18"/>
  <c r="T84" i="18"/>
  <c r="L59" i="18"/>
  <c r="H72" i="18"/>
  <c r="L74" i="18"/>
  <c r="AW66" i="18"/>
  <c r="BF51" i="18"/>
  <c r="BE57" i="18"/>
  <c r="H50" i="18"/>
  <c r="AT76" i="18"/>
  <c r="BA65" i="18"/>
  <c r="U78" i="18"/>
  <c r="U51" i="18"/>
  <c r="AO64" i="18"/>
  <c r="Q67" i="18"/>
  <c r="AR71" i="18"/>
  <c r="AI54" i="18"/>
  <c r="AW41" i="18"/>
  <c r="AQ96" i="18"/>
  <c r="L79" i="18"/>
  <c r="AQ41" i="18"/>
  <c r="BE45" i="18"/>
  <c r="C95" i="18"/>
  <c r="AX81" i="18"/>
  <c r="AI61" i="18"/>
  <c r="P44" i="18"/>
  <c r="AI56" i="18"/>
  <c r="AI69" i="18"/>
  <c r="BA57" i="18"/>
  <c r="N72" i="18"/>
  <c r="AV93" i="18"/>
  <c r="W80" i="18"/>
  <c r="BN49" i="18"/>
  <c r="AF83" i="18"/>
  <c r="BN91" i="18"/>
  <c r="AN43" i="18"/>
  <c r="AJ66" i="18"/>
  <c r="T69" i="18"/>
  <c r="AN92" i="18"/>
  <c r="AN90" i="18"/>
  <c r="BC76" i="18"/>
  <c r="AO42" i="18"/>
  <c r="S80" i="18"/>
  <c r="H60" i="18"/>
  <c r="P85" i="18"/>
  <c r="AN85" i="18"/>
  <c r="AX90" i="18"/>
  <c r="AK93" i="18"/>
  <c r="BB52" i="18"/>
  <c r="X78" i="18"/>
  <c r="AB66" i="18"/>
  <c r="BJ89" i="18"/>
  <c r="BF65" i="18"/>
  <c r="U96" i="18"/>
  <c r="BI58" i="18"/>
  <c r="O56" i="18"/>
  <c r="L55" i="18"/>
  <c r="BK39" i="18"/>
  <c r="BG79" i="18"/>
  <c r="T49" i="18"/>
  <c r="AJ75" i="18"/>
  <c r="AA50" i="18"/>
  <c r="AM86" i="18"/>
  <c r="O51" i="18"/>
  <c r="Y41" i="18"/>
  <c r="AJ62" i="18"/>
  <c r="BB70" i="18"/>
  <c r="AN60" i="18"/>
  <c r="AS54" i="18"/>
  <c r="AZ95" i="18"/>
  <c r="U38" i="18"/>
  <c r="AB47" i="18"/>
  <c r="AS59" i="18"/>
  <c r="BL94" i="18"/>
  <c r="AF77" i="18"/>
  <c r="B66" i="18"/>
  <c r="BH57" i="18"/>
  <c r="AX97" i="18"/>
  <c r="BF42" i="18"/>
  <c r="AE49" i="18"/>
  <c r="AL69" i="18"/>
  <c r="AO53" i="18"/>
  <c r="X67" i="18"/>
  <c r="BF74" i="18"/>
  <c r="AZ52" i="18"/>
  <c r="J72" i="18"/>
  <c r="BG64" i="18"/>
  <c r="AB92" i="18"/>
  <c r="BM41" i="18"/>
  <c r="AQ81" i="18"/>
  <c r="AE78" i="18"/>
  <c r="BF63" i="18"/>
  <c r="Y70" i="18"/>
  <c r="AT71" i="18"/>
  <c r="BH93" i="18"/>
  <c r="N48" i="18"/>
  <c r="AS73" i="18"/>
  <c r="AO68" i="18"/>
  <c r="L66" i="18"/>
  <c r="BF89" i="18"/>
  <c r="BA75" i="18"/>
  <c r="Y96" i="18"/>
  <c r="S58" i="18"/>
  <c r="AU43" i="18"/>
  <c r="Y76" i="18"/>
  <c r="N82" i="18"/>
  <c r="AI84" i="18"/>
  <c r="AK95" i="18"/>
  <c r="N61" i="18"/>
  <c r="W38" i="18"/>
  <c r="T59" i="18"/>
  <c r="BC91" i="18"/>
  <c r="BG77" i="18"/>
  <c r="I61" i="18"/>
  <c r="I47" i="18"/>
  <c r="I91" i="18"/>
  <c r="L40" i="18"/>
  <c r="T40" i="18"/>
  <c r="Z40" i="18"/>
  <c r="I50" i="18"/>
  <c r="AH83" i="18"/>
  <c r="AF71" i="18"/>
  <c r="P46" i="18"/>
  <c r="AP64" i="18"/>
  <c r="AZ73" i="18"/>
  <c r="AX96" i="18"/>
  <c r="AY57" i="18"/>
  <c r="BL50" i="18"/>
  <c r="P84" i="18"/>
  <c r="BL81" i="18"/>
  <c r="AU63" i="18"/>
  <c r="AF85" i="18"/>
  <c r="AK69" i="18"/>
  <c r="Y52" i="18"/>
  <c r="AV47" i="18"/>
  <c r="BC45" i="18"/>
  <c r="N73" i="18"/>
  <c r="AV75" i="18"/>
  <c r="AE76" i="18"/>
  <c r="AD61" i="18"/>
  <c r="V77" i="18"/>
  <c r="I60" i="18"/>
  <c r="I69" i="18"/>
  <c r="I95" i="18"/>
  <c r="U40" i="18"/>
  <c r="I67" i="18"/>
  <c r="I48" i="18"/>
  <c r="AR40" i="18"/>
  <c r="BC40" i="18"/>
  <c r="BE40" i="18"/>
  <c r="AF40" i="18"/>
  <c r="L63" i="18"/>
  <c r="AE63" i="18"/>
  <c r="AJ63" i="18"/>
  <c r="T63" i="18"/>
  <c r="T48" i="18"/>
  <c r="Q73" i="18"/>
  <c r="AL48" i="18"/>
  <c r="BI48" i="18"/>
  <c r="AT67" i="18"/>
  <c r="P67" i="18"/>
  <c r="V67" i="18"/>
  <c r="AN67" i="18"/>
  <c r="AQ67" i="18"/>
  <c r="BH50" i="18"/>
  <c r="AL50" i="18"/>
  <c r="Z50" i="18"/>
  <c r="P74" i="18"/>
  <c r="AX74" i="18"/>
  <c r="AQ74" i="18"/>
  <c r="X74" i="18"/>
  <c r="S74" i="18"/>
  <c r="AY52" i="18"/>
  <c r="AU52" i="18"/>
  <c r="V52" i="18"/>
  <c r="AV97" i="18"/>
  <c r="BH97" i="18"/>
  <c r="AT97" i="18"/>
  <c r="BN85" i="18"/>
  <c r="AY72" i="18"/>
  <c r="G72" i="18"/>
  <c r="AO58" i="18"/>
  <c r="T72" i="18"/>
  <c r="L92" i="18"/>
  <c r="V92" i="18"/>
  <c r="AC92" i="18"/>
  <c r="K92" i="18"/>
  <c r="BI91" i="18"/>
  <c r="H92" i="18"/>
  <c r="BM71" i="18"/>
  <c r="X71" i="18"/>
  <c r="BA71" i="18"/>
  <c r="AP71" i="18"/>
  <c r="M75" i="18"/>
  <c r="L75" i="18"/>
  <c r="J75" i="18"/>
  <c r="Q75" i="18"/>
  <c r="AW94" i="18"/>
  <c r="X80" i="18"/>
  <c r="AC80" i="18"/>
  <c r="N80" i="18"/>
  <c r="L81" i="18"/>
  <c r="AR81" i="18"/>
  <c r="N78" i="18"/>
  <c r="W78" i="18"/>
  <c r="AM78" i="18"/>
  <c r="O62" i="18"/>
  <c r="BC62" i="18"/>
  <c r="AW62" i="18"/>
  <c r="BB62" i="18"/>
  <c r="BH66" i="18"/>
  <c r="AF66" i="18"/>
  <c r="AI65" i="18"/>
  <c r="Z66" i="18"/>
  <c r="BA45" i="18"/>
  <c r="AF45" i="18"/>
  <c r="N60" i="18"/>
  <c r="AT70" i="18"/>
  <c r="AM70" i="18"/>
  <c r="L70" i="18"/>
  <c r="BN54" i="18"/>
  <c r="W54" i="18"/>
  <c r="AA54" i="18"/>
  <c r="BM54" i="18"/>
  <c r="AR42" i="18"/>
  <c r="L42" i="18"/>
  <c r="K69" i="18"/>
  <c r="AH42" i="18"/>
  <c r="AX93" i="18"/>
  <c r="U93" i="18"/>
  <c r="AT93" i="18"/>
  <c r="BG41" i="18"/>
  <c r="W90" i="18"/>
  <c r="BD90" i="18"/>
  <c r="AZ90" i="18"/>
  <c r="L90" i="18"/>
  <c r="AS90" i="18"/>
  <c r="AM53" i="18"/>
  <c r="P53" i="18"/>
  <c r="V65" i="18"/>
  <c r="AU53" i="18"/>
  <c r="Y65" i="18"/>
  <c r="Y60" i="18"/>
  <c r="M56" i="18"/>
  <c r="BB56" i="18"/>
  <c r="Y89" i="18"/>
  <c r="K89" i="18"/>
  <c r="BF94" i="18"/>
  <c r="R91" i="18"/>
  <c r="Q49" i="18"/>
  <c r="R60" i="18"/>
  <c r="M64" i="18"/>
  <c r="BG44" i="18"/>
  <c r="M47" i="18"/>
  <c r="T44" i="18"/>
  <c r="M96" i="18"/>
  <c r="BB96" i="18"/>
  <c r="BM58" i="18"/>
  <c r="BM47" i="18"/>
  <c r="BJ96" i="18"/>
  <c r="H68" i="18"/>
  <c r="BB68" i="18"/>
  <c r="AC68" i="18"/>
  <c r="AK68" i="18"/>
  <c r="AO43" i="18"/>
  <c r="W43" i="18"/>
  <c r="AJ43" i="18"/>
  <c r="J43" i="18"/>
  <c r="AB43" i="18"/>
  <c r="X43" i="18"/>
  <c r="G61" i="18"/>
  <c r="AD47" i="18"/>
  <c r="AD41" i="18"/>
  <c r="AC46" i="18"/>
  <c r="AK46" i="18"/>
  <c r="O82" i="18"/>
  <c r="V46" i="18"/>
  <c r="AR76" i="18"/>
  <c r="R76" i="18"/>
  <c r="AS69" i="18"/>
  <c r="AS55" i="18"/>
  <c r="K87" i="18"/>
  <c r="V87" i="18"/>
  <c r="AT87" i="18"/>
  <c r="BD60" i="18"/>
  <c r="AB51" i="18"/>
  <c r="Z51" i="18"/>
  <c r="P51" i="18"/>
  <c r="T58" i="18"/>
  <c r="AS51" i="18"/>
  <c r="AQ79" i="18"/>
  <c r="BH79" i="18"/>
  <c r="H79" i="18"/>
  <c r="BA79" i="18"/>
  <c r="BI57" i="18"/>
  <c r="Z94" i="18"/>
  <c r="AU57" i="18"/>
  <c r="AC88" i="18"/>
  <c r="BE88" i="18"/>
  <c r="K88" i="18"/>
  <c r="AV88" i="18"/>
  <c r="BE94" i="18"/>
  <c r="BL58" i="18"/>
  <c r="O95" i="18"/>
  <c r="AN95" i="18"/>
  <c r="V95" i="18"/>
  <c r="Z95" i="18"/>
  <c r="BB86" i="18"/>
  <c r="AA86" i="18"/>
  <c r="T86" i="18"/>
  <c r="AP86" i="18"/>
  <c r="BC84" i="18"/>
  <c r="H84" i="18"/>
  <c r="M84" i="18"/>
  <c r="BE59" i="18"/>
  <c r="AM59" i="18"/>
  <c r="AB58" i="18"/>
  <c r="AB77" i="18"/>
  <c r="AE77" i="18"/>
  <c r="N77" i="18"/>
  <c r="AJ77" i="18"/>
  <c r="M77" i="18"/>
  <c r="I43" i="18"/>
  <c r="BH40" i="18"/>
  <c r="H40" i="18"/>
  <c r="I86" i="18"/>
  <c r="I92" i="18"/>
  <c r="AV40" i="18"/>
  <c r="AO40" i="18"/>
  <c r="I52" i="18"/>
  <c r="I81" i="18"/>
  <c r="I96" i="18"/>
  <c r="I93" i="18"/>
  <c r="I79" i="18"/>
  <c r="BA95" i="18"/>
  <c r="AA51" i="18"/>
  <c r="AH52" i="18"/>
  <c r="AQ42" i="18"/>
  <c r="M68" i="18"/>
  <c r="AY67" i="18"/>
  <c r="AS46" i="18"/>
  <c r="AQ86" i="18"/>
  <c r="BH70" i="18"/>
  <c r="AD55" i="18"/>
  <c r="W69" i="18"/>
  <c r="AP94" i="18"/>
  <c r="AA53" i="18"/>
  <c r="K72" i="18"/>
  <c r="H41" i="18"/>
  <c r="M71" i="18"/>
  <c r="AR90" i="18"/>
  <c r="AY96" i="18"/>
  <c r="J51" i="18"/>
  <c r="X86" i="18"/>
  <c r="I58" i="18"/>
  <c r="I72" i="18"/>
  <c r="AB40" i="18"/>
  <c r="S40" i="18"/>
  <c r="I75" i="18"/>
  <c r="I42" i="18"/>
  <c r="I89" i="18"/>
  <c r="R40" i="18"/>
  <c r="I83" i="18"/>
  <c r="AQ40" i="18"/>
  <c r="S63" i="18"/>
  <c r="AZ63" i="18"/>
  <c r="AT63" i="18"/>
  <c r="AF39" i="18"/>
  <c r="AF65" i="18"/>
  <c r="AO48" i="18"/>
  <c r="S48" i="18"/>
  <c r="AY48" i="18"/>
  <c r="Z48" i="18"/>
  <c r="H67" i="18"/>
  <c r="T67" i="18"/>
  <c r="AL67" i="18"/>
  <c r="AB67" i="18"/>
  <c r="BJ67" i="18"/>
  <c r="S50" i="18"/>
  <c r="AQ50" i="18"/>
  <c r="AV50" i="18"/>
  <c r="BD74" i="18"/>
  <c r="AI74" i="18"/>
  <c r="AQ65" i="18"/>
  <c r="AB74" i="18"/>
  <c r="AL52" i="18"/>
  <c r="H52" i="18"/>
  <c r="AN52" i="18"/>
  <c r="BC52" i="18"/>
  <c r="AF97" i="18"/>
  <c r="P97" i="18"/>
  <c r="AD97" i="18"/>
  <c r="BA97" i="18"/>
  <c r="M72" i="18"/>
  <c r="BJ72" i="18"/>
  <c r="AM72" i="18"/>
  <c r="W72" i="18"/>
  <c r="BI60" i="18"/>
  <c r="X92" i="18"/>
  <c r="AX92" i="18"/>
  <c r="BI38" i="18"/>
  <c r="W92" i="18"/>
  <c r="BI85" i="18"/>
  <c r="AN82" i="18"/>
  <c r="AN38" i="18"/>
  <c r="W71" i="18"/>
  <c r="AC71" i="18"/>
  <c r="BN75" i="18"/>
  <c r="AD75" i="18"/>
  <c r="AA75" i="18"/>
  <c r="AJ80" i="18"/>
  <c r="AW47" i="18"/>
  <c r="AA80" i="18"/>
  <c r="AK80" i="18"/>
  <c r="H81" i="18"/>
  <c r="AX94" i="18"/>
  <c r="AD81" i="18"/>
  <c r="AU41" i="18"/>
  <c r="BG78" i="18"/>
  <c r="AU69" i="18"/>
  <c r="Y62" i="18"/>
  <c r="AE65" i="18"/>
  <c r="T62" i="18"/>
  <c r="M62" i="18"/>
  <c r="AZ66" i="18"/>
  <c r="AR66" i="18"/>
  <c r="AS66" i="18"/>
  <c r="BG66" i="18"/>
  <c r="Q45" i="18"/>
  <c r="N38" i="18"/>
  <c r="BL70" i="18"/>
  <c r="AA70" i="18"/>
  <c r="AM82" i="18"/>
  <c r="BG70" i="18"/>
  <c r="BA54" i="18"/>
  <c r="O54" i="18"/>
  <c r="S54" i="18"/>
  <c r="AL54" i="18"/>
  <c r="K41" i="18"/>
  <c r="M42" i="18"/>
  <c r="V42" i="18"/>
  <c r="AM93" i="18"/>
  <c r="AC93" i="18"/>
  <c r="BL93" i="18"/>
  <c r="BJ69" i="18"/>
  <c r="S90" i="18"/>
  <c r="AP90" i="18"/>
  <c r="BC90" i="18"/>
  <c r="M90" i="18"/>
  <c r="AY90" i="18"/>
  <c r="BG94" i="18"/>
  <c r="V91" i="18"/>
  <c r="AI53" i="18"/>
  <c r="W53" i="18"/>
  <c r="BI56" i="18"/>
  <c r="G56" i="18"/>
  <c r="AT56" i="18"/>
  <c r="AB56" i="18"/>
  <c r="M89" i="18"/>
  <c r="AC89" i="18"/>
  <c r="AK89" i="18"/>
  <c r="AQ89" i="18"/>
  <c r="R83" i="18"/>
  <c r="AM49" i="18"/>
  <c r="X49" i="18"/>
  <c r="AZ44" i="18"/>
  <c r="M44" i="18"/>
  <c r="U44" i="18"/>
  <c r="AN44" i="18"/>
  <c r="BM39" i="18"/>
  <c r="AT96" i="18"/>
  <c r="AD96" i="18"/>
  <c r="BL96" i="18"/>
  <c r="BM73" i="18"/>
  <c r="AZ68" i="18"/>
  <c r="AD68" i="18"/>
  <c r="BF68" i="18"/>
  <c r="AN68" i="18"/>
  <c r="AQ43" i="18"/>
  <c r="AV43" i="18"/>
  <c r="AT43" i="18"/>
  <c r="AF43" i="18"/>
  <c r="L83" i="18"/>
  <c r="K61" i="18"/>
  <c r="AZ61" i="18"/>
  <c r="Q61" i="18"/>
  <c r="AJ61" i="18"/>
  <c r="K46" i="18"/>
  <c r="BA46" i="18"/>
  <c r="AO46" i="18"/>
  <c r="O69" i="18"/>
  <c r="AF76" i="18"/>
  <c r="BJ76" i="18"/>
  <c r="AO76" i="18"/>
  <c r="AR87" i="18"/>
  <c r="P87" i="18"/>
  <c r="BD55" i="18"/>
  <c r="G87" i="18"/>
  <c r="H51" i="18"/>
  <c r="AE51" i="18"/>
  <c r="G51" i="18"/>
  <c r="AW51" i="18"/>
  <c r="BE51" i="18"/>
  <c r="AV91" i="18"/>
  <c r="AV55" i="18"/>
  <c r="AC79" i="18"/>
  <c r="BM79" i="18"/>
  <c r="BL79" i="18"/>
  <c r="Z39" i="18"/>
  <c r="AN57" i="18"/>
  <c r="L57" i="18"/>
  <c r="V88" i="18"/>
  <c r="AU88" i="18"/>
  <c r="BE55" i="18"/>
  <c r="AN88" i="18"/>
  <c r="AB88" i="18"/>
  <c r="BM95" i="18"/>
  <c r="AS95" i="18"/>
  <c r="BL41" i="18"/>
  <c r="G95" i="18"/>
  <c r="L86" i="18"/>
  <c r="W86" i="18"/>
  <c r="AV86" i="18"/>
  <c r="AI86" i="18"/>
  <c r="Y86" i="18"/>
  <c r="BE84" i="18"/>
  <c r="AA84" i="18"/>
  <c r="BG84" i="18"/>
  <c r="BC59" i="18"/>
  <c r="AU59" i="18"/>
  <c r="AZ59" i="18"/>
  <c r="AT83" i="18"/>
  <c r="AT38" i="18"/>
  <c r="BE77" i="18"/>
  <c r="P77" i="18"/>
  <c r="Q40" i="18"/>
  <c r="I66" i="18"/>
  <c r="I76" i="18"/>
  <c r="AT40" i="18"/>
  <c r="J40" i="18"/>
  <c r="I49" i="18"/>
  <c r="W40" i="18"/>
  <c r="BD40" i="18"/>
  <c r="I51" i="18"/>
  <c r="AC40" i="18"/>
  <c r="BI40" i="18"/>
  <c r="BM40" i="18"/>
  <c r="P40" i="18"/>
  <c r="I59" i="18"/>
  <c r="I54" i="18"/>
  <c r="I77" i="18"/>
  <c r="I64" i="18"/>
  <c r="AY63" i="18"/>
  <c r="AA88" i="18"/>
  <c r="L73" i="18"/>
  <c r="X93" i="18"/>
  <c r="AB53" i="18"/>
  <c r="AJ56" i="18"/>
  <c r="BI55" i="18"/>
  <c r="AZ97" i="18"/>
  <c r="Z83" i="18"/>
  <c r="BF47" i="18"/>
  <c r="Z89" i="18"/>
  <c r="BB39" i="18"/>
  <c r="AC67" i="18"/>
  <c r="AC64" i="18"/>
  <c r="AJ55" i="18"/>
  <c r="BL54" i="18"/>
  <c r="AT66" i="18"/>
  <c r="BC58" i="18"/>
  <c r="BK84" i="18"/>
  <c r="BD59" i="18"/>
  <c r="I63" i="18"/>
  <c r="I90" i="18"/>
  <c r="AD40" i="18"/>
  <c r="I38" i="18"/>
  <c r="AG40" i="18"/>
  <c r="BF40" i="18"/>
  <c r="I41" i="18"/>
  <c r="I74" i="18"/>
  <c r="AN40" i="18"/>
  <c r="N40" i="18"/>
  <c r="AF94" i="18"/>
  <c r="P63" i="18"/>
  <c r="X63" i="18"/>
  <c r="K63" i="18"/>
  <c r="AF63" i="18"/>
  <c r="Q85" i="18"/>
  <c r="Q82" i="18"/>
  <c r="BM48" i="18"/>
  <c r="AF67" i="18"/>
  <c r="AK67" i="18"/>
  <c r="BK67" i="18"/>
  <c r="AS67" i="18"/>
  <c r="BE67" i="18"/>
  <c r="AD67" i="18"/>
  <c r="BK50" i="18"/>
  <c r="BN50" i="18"/>
  <c r="AW50" i="18"/>
  <c r="AH74" i="18"/>
  <c r="V74" i="18"/>
  <c r="AQ94" i="18"/>
  <c r="M74" i="18"/>
  <c r="U58" i="18"/>
  <c r="AO52" i="18"/>
  <c r="Q52" i="18"/>
  <c r="BN52" i="18"/>
  <c r="S97" i="18"/>
  <c r="BN73" i="18"/>
  <c r="BC97" i="18"/>
  <c r="Z97" i="18"/>
  <c r="BG72" i="18"/>
  <c r="BH72" i="18"/>
  <c r="AO85" i="18"/>
  <c r="O72" i="18"/>
  <c r="AP92" i="18"/>
  <c r="BJ92" i="18"/>
  <c r="AU92" i="18"/>
  <c r="AJ92" i="18"/>
  <c r="S92" i="18"/>
  <c r="AN71" i="18"/>
  <c r="AN64" i="18"/>
  <c r="AG71" i="18"/>
  <c r="AN58" i="18"/>
  <c r="BJ71" i="18"/>
  <c r="H75" i="18"/>
  <c r="T75" i="18"/>
  <c r="AQ75" i="18"/>
  <c r="O80" i="18"/>
  <c r="AW82" i="18"/>
  <c r="AW38" i="18"/>
  <c r="AH80" i="18"/>
  <c r="AC81" i="18"/>
  <c r="V81" i="18"/>
  <c r="AK81" i="18"/>
  <c r="AT78" i="18"/>
  <c r="AP78" i="18"/>
  <c r="BH78" i="18"/>
  <c r="AI62" i="18"/>
  <c r="AE55" i="18"/>
  <c r="AC62" i="18"/>
  <c r="AV62" i="18"/>
  <c r="V66" i="18"/>
  <c r="X66" i="18"/>
  <c r="Q66" i="18"/>
  <c r="AI94" i="18"/>
  <c r="BM45" i="18"/>
  <c r="BK45" i="18"/>
  <c r="AM83" i="18"/>
  <c r="V70" i="18"/>
  <c r="AS70" i="18"/>
  <c r="AF70" i="18"/>
  <c r="K54" i="18"/>
  <c r="Q54" i="18"/>
  <c r="N54" i="18"/>
  <c r="AY54" i="18"/>
  <c r="K42" i="18"/>
  <c r="AK42" i="18"/>
  <c r="K55" i="18"/>
  <c r="O93" i="18"/>
  <c r="BJ65" i="18"/>
  <c r="BJ93" i="18"/>
  <c r="H93" i="18"/>
  <c r="BG60" i="18"/>
  <c r="AB90" i="18"/>
  <c r="BG83" i="18"/>
  <c r="AL90" i="18"/>
  <c r="AG90" i="18"/>
  <c r="V58" i="18"/>
  <c r="Z53" i="18"/>
  <c r="V85" i="18"/>
  <c r="AX53" i="18"/>
  <c r="K56" i="18"/>
  <c r="AM56" i="18"/>
  <c r="Y91" i="18"/>
  <c r="AQ56" i="18"/>
  <c r="N89" i="18"/>
  <c r="BC89" i="18"/>
  <c r="BL89" i="18"/>
  <c r="O89" i="18"/>
  <c r="AP49" i="18"/>
  <c r="AV49" i="18"/>
  <c r="AI49" i="18"/>
  <c r="AD44" i="18"/>
  <c r="M58" i="18"/>
  <c r="Y44" i="18"/>
  <c r="BN44" i="18"/>
  <c r="AU96" i="18"/>
  <c r="AK96" i="18"/>
  <c r="N96" i="18"/>
  <c r="BM64" i="18"/>
  <c r="AN96" i="18"/>
  <c r="AK47" i="18"/>
  <c r="AI68" i="18"/>
  <c r="Z68" i="18"/>
  <c r="AJ68" i="18"/>
  <c r="L91" i="18"/>
  <c r="BH43" i="18"/>
  <c r="BB43" i="18"/>
  <c r="L64" i="18"/>
  <c r="AM43" i="18"/>
  <c r="AD83" i="18"/>
  <c r="J61" i="18"/>
  <c r="BA61" i="18"/>
  <c r="AJ46" i="18"/>
  <c r="W46" i="18"/>
  <c r="BD46" i="18"/>
  <c r="AY46" i="18"/>
  <c r="AI46" i="18"/>
  <c r="T76" i="18"/>
  <c r="AS85" i="18"/>
  <c r="AS94" i="18"/>
  <c r="AC87" i="18"/>
  <c r="AV87" i="18"/>
  <c r="BC87" i="18"/>
  <c r="N87" i="18"/>
  <c r="T73" i="18"/>
  <c r="AO51" i="18"/>
  <c r="T94" i="18"/>
  <c r="T38" i="18"/>
  <c r="BG51" i="18"/>
  <c r="BB79" i="18"/>
  <c r="U79" i="18"/>
  <c r="AV85" i="18"/>
  <c r="BC79" i="18"/>
  <c r="S79" i="18"/>
  <c r="AE57" i="18"/>
  <c r="BB57" i="18"/>
  <c r="X57" i="18"/>
  <c r="AZ88" i="18"/>
  <c r="AM88" i="18"/>
  <c r="BE85" i="18"/>
  <c r="BM88" i="18"/>
  <c r="BG95" i="18"/>
  <c r="L95" i="18"/>
  <c r="AT95" i="18"/>
  <c r="AB95" i="18"/>
  <c r="BL85" i="18"/>
  <c r="M86" i="18"/>
  <c r="AG86" i="18"/>
  <c r="P86" i="18"/>
  <c r="AB86" i="18"/>
  <c r="AR86" i="18"/>
  <c r="BA55" i="18"/>
  <c r="AX84" i="18"/>
  <c r="S59" i="18"/>
  <c r="AI59" i="18"/>
  <c r="AB59" i="18"/>
  <c r="BH59" i="18"/>
  <c r="AR77" i="18"/>
  <c r="W77" i="18"/>
  <c r="AC77" i="18"/>
  <c r="AV77" i="18"/>
  <c r="K40" i="18"/>
  <c r="BL40" i="18"/>
  <c r="I85" i="18"/>
  <c r="I94" i="18"/>
  <c r="I84" i="18"/>
  <c r="I82" i="18"/>
  <c r="I62" i="18"/>
  <c r="AP40" i="18"/>
  <c r="AY40" i="18"/>
  <c r="AZ40" i="18"/>
  <c r="I46" i="18"/>
  <c r="M40" i="18"/>
  <c r="AI40" i="18"/>
  <c r="AH94" i="18"/>
  <c r="BB97" i="18"/>
  <c r="AO67" i="18"/>
  <c r="O85" i="18"/>
  <c r="S65" i="18"/>
  <c r="T43" i="18"/>
  <c r="AB72" i="18"/>
  <c r="AI88" i="18"/>
  <c r="BF54" i="18"/>
  <c r="AH59" i="18"/>
  <c r="B60" i="18"/>
  <c r="P62" i="18"/>
  <c r="AO83" i="18"/>
  <c r="AQ92" i="18"/>
  <c r="N63" i="18"/>
  <c r="G48" i="18"/>
  <c r="P89" i="18"/>
  <c r="BC43" i="18"/>
  <c r="U95" i="18"/>
  <c r="BJ91" i="18"/>
  <c r="I73" i="18"/>
  <c r="AH40" i="18"/>
  <c r="I88" i="18"/>
  <c r="AX40" i="18"/>
  <c r="I78" i="18"/>
  <c r="AW40" i="18"/>
  <c r="AK40" i="18"/>
  <c r="I57" i="18"/>
  <c r="X40" i="18"/>
  <c r="AL40" i="18"/>
  <c r="BB63" i="18"/>
  <c r="BL63" i="18"/>
  <c r="O63" i="18"/>
  <c r="AN63" i="18"/>
  <c r="AF48" i="18"/>
  <c r="V48" i="18"/>
  <c r="AD48" i="18"/>
  <c r="Q55" i="18"/>
  <c r="BN67" i="18"/>
  <c r="AP67" i="18"/>
  <c r="AJ73" i="18"/>
  <c r="AJ41" i="18"/>
  <c r="BH67" i="18"/>
  <c r="Y67" i="18"/>
  <c r="BB50" i="18"/>
  <c r="K50" i="18"/>
  <c r="AA74" i="18"/>
  <c r="BI74" i="18"/>
  <c r="AY74" i="18"/>
  <c r="AO74" i="18"/>
  <c r="AQ83" i="18"/>
  <c r="AV52" i="18"/>
  <c r="O52" i="18"/>
  <c r="AP52" i="18"/>
  <c r="BE52" i="18"/>
  <c r="X97" i="18"/>
  <c r="AK97" i="18"/>
  <c r="AQ97" i="18"/>
  <c r="AG97" i="18"/>
  <c r="AK72" i="18"/>
  <c r="R72" i="18"/>
  <c r="AH72" i="18"/>
  <c r="AO73" i="18"/>
  <c r="AA92" i="18"/>
  <c r="BI83" i="18"/>
  <c r="AD92" i="18"/>
  <c r="AH92" i="18"/>
  <c r="AZ92" i="18"/>
  <c r="Y71" i="18"/>
  <c r="AA71" i="18"/>
  <c r="AX71" i="18"/>
  <c r="K71" i="18"/>
  <c r="AR82" i="18"/>
  <c r="AS75" i="18"/>
  <c r="AR91" i="18"/>
  <c r="K75" i="18"/>
  <c r="AW65" i="18"/>
  <c r="BK80" i="18"/>
  <c r="T80" i="18"/>
  <c r="AW80" i="18"/>
  <c r="AV81" i="18"/>
  <c r="AX39" i="18"/>
  <c r="AA81" i="18"/>
  <c r="AI78" i="18"/>
  <c r="BI78" i="18"/>
  <c r="S62" i="18"/>
  <c r="AE91" i="18"/>
  <c r="W62" i="18"/>
  <c r="AM62" i="18"/>
  <c r="BL62" i="18"/>
  <c r="BF66" i="18"/>
  <c r="AA66" i="18"/>
  <c r="AN66" i="18"/>
  <c r="N94" i="18"/>
  <c r="BI45" i="18"/>
  <c r="BD45" i="18"/>
  <c r="J70" i="18"/>
  <c r="AO70" i="18"/>
  <c r="BA70" i="18"/>
  <c r="M70" i="18"/>
  <c r="W94" i="18"/>
  <c r="V54" i="18"/>
  <c r="AZ54" i="18"/>
  <c r="AA42" i="18"/>
  <c r="AB42" i="18"/>
  <c r="AD42" i="18"/>
  <c r="BE42" i="18"/>
  <c r="BB93" i="18"/>
  <c r="AB93" i="18"/>
  <c r="G93" i="18"/>
  <c r="BA90" i="18"/>
  <c r="Z90" i="18"/>
  <c r="N90" i="18"/>
  <c r="X90" i="18"/>
  <c r="BG38" i="18"/>
  <c r="BG47" i="18"/>
  <c r="AR53" i="18"/>
  <c r="AK53" i="18"/>
  <c r="BG53" i="18"/>
  <c r="AH53" i="18"/>
  <c r="BE56" i="18"/>
  <c r="AL56" i="18"/>
  <c r="BC56" i="18"/>
  <c r="Y94" i="18"/>
  <c r="AT89" i="18"/>
  <c r="AS89" i="18"/>
  <c r="AG89" i="18"/>
  <c r="AF49" i="18"/>
  <c r="K49" i="18"/>
  <c r="AW49" i="18"/>
  <c r="M65" i="18"/>
  <c r="M82" i="18"/>
  <c r="X44" i="18"/>
  <c r="BM44" i="18"/>
  <c r="V96" i="18"/>
  <c r="AA96" i="18"/>
  <c r="L96" i="18"/>
  <c r="BN96" i="18"/>
  <c r="BM60" i="18"/>
  <c r="AG96" i="18"/>
  <c r="BM68" i="18"/>
  <c r="AS68" i="18"/>
  <c r="AK58" i="18"/>
  <c r="BE68" i="18"/>
  <c r="BD43" i="18"/>
  <c r="L82" i="18"/>
  <c r="L65" i="18"/>
  <c r="AI43" i="18"/>
  <c r="L38" i="18"/>
  <c r="AR61" i="18"/>
  <c r="AD64" i="18"/>
  <c r="O61" i="18"/>
  <c r="O55" i="18"/>
  <c r="AL46" i="18"/>
  <c r="AE46" i="18"/>
  <c r="AH46" i="18"/>
  <c r="BF46" i="18"/>
  <c r="AP76" i="18"/>
  <c r="AV76" i="18"/>
  <c r="V76" i="18"/>
  <c r="AO87" i="18"/>
  <c r="AM87" i="18"/>
  <c r="AW87" i="18"/>
  <c r="BM87" i="18"/>
  <c r="AI51" i="18"/>
  <c r="AC51" i="18"/>
  <c r="BJ51" i="18"/>
  <c r="AR51" i="18"/>
  <c r="T47" i="18"/>
  <c r="AG79" i="18"/>
  <c r="AH79" i="18"/>
  <c r="AP79" i="18"/>
  <c r="R79" i="18"/>
  <c r="AT57" i="18"/>
  <c r="M57" i="18"/>
  <c r="AQ57" i="18"/>
  <c r="AX88" i="18"/>
  <c r="BE41" i="18"/>
  <c r="BL88" i="18"/>
  <c r="BG88" i="18"/>
  <c r="Q88" i="18"/>
  <c r="Y95" i="18"/>
  <c r="AQ95" i="18"/>
  <c r="BL95" i="18"/>
  <c r="AI95" i="18"/>
  <c r="BK95" i="18"/>
  <c r="BC69" i="18"/>
  <c r="AW86" i="18"/>
  <c r="BC38" i="18"/>
  <c r="BC83" i="18"/>
  <c r="AO84" i="18"/>
  <c r="BJ84" i="18"/>
  <c r="U84" i="18"/>
  <c r="AB73" i="18"/>
  <c r="BL59" i="18"/>
  <c r="Q59" i="18"/>
  <c r="W59" i="18"/>
  <c r="AT65" i="18"/>
  <c r="BJ77" i="18"/>
  <c r="H77" i="18"/>
  <c r="K77" i="18"/>
  <c r="I87" i="18"/>
  <c r="I68" i="18"/>
  <c r="I40" i="18"/>
  <c r="BJ40" i="18"/>
  <c r="I39" i="18"/>
  <c r="I97" i="18"/>
  <c r="BK40" i="18"/>
  <c r="BB40" i="18"/>
  <c r="AJ40" i="18"/>
  <c r="O40" i="18"/>
  <c r="I56" i="18"/>
  <c r="V40" i="18"/>
  <c r="I70" i="18"/>
  <c r="BA40" i="18"/>
  <c r="AU40" i="18"/>
  <c r="I45" i="18"/>
  <c r="I44" i="18"/>
  <c r="I55" i="18"/>
  <c r="C49" i="18"/>
  <c r="B61" i="18"/>
  <c r="C58" i="18"/>
  <c r="B95" i="18"/>
  <c r="B54" i="18"/>
  <c r="B80" i="18"/>
  <c r="B52" i="18"/>
  <c r="B40" i="18"/>
  <c r="B59" i="18"/>
  <c r="B41" i="18"/>
  <c r="B64" i="18"/>
  <c r="B44" i="18"/>
  <c r="B53" i="18"/>
  <c r="B70" i="18"/>
  <c r="B74" i="18"/>
  <c r="B86" i="18"/>
  <c r="B88" i="18"/>
  <c r="B76" i="18"/>
  <c r="B90" i="18"/>
  <c r="B45" i="18"/>
  <c r="B71" i="18"/>
  <c r="B50" i="18"/>
  <c r="B65" i="18"/>
  <c r="B73" i="18"/>
  <c r="B69" i="18"/>
  <c r="B94" i="18"/>
  <c r="B68" i="18"/>
  <c r="B89" i="18"/>
  <c r="B93" i="18"/>
  <c r="B72" i="18"/>
  <c r="AV65" i="18"/>
  <c r="BM65" i="18"/>
  <c r="BL65" i="18"/>
  <c r="AL65" i="18"/>
  <c r="AE62" i="18"/>
  <c r="B62" i="18" s="1"/>
  <c r="BJ62" i="18"/>
  <c r="BF62" i="18"/>
  <c r="AF62" i="18"/>
  <c r="AI83" i="18"/>
  <c r="BN83" i="18"/>
  <c r="AZ94" i="18"/>
  <c r="W83" i="18"/>
  <c r="AT49" i="18"/>
  <c r="AZ49" i="18"/>
  <c r="AK49" i="18"/>
  <c r="R70" i="18"/>
  <c r="Y49" i="18"/>
  <c r="V49" i="18"/>
  <c r="BL49" i="18"/>
  <c r="N84" i="18"/>
  <c r="AZ84" i="18"/>
  <c r="AH84" i="18"/>
  <c r="AJ84" i="18"/>
  <c r="BI84" i="18"/>
  <c r="BH84" i="18"/>
  <c r="AT85" i="18"/>
  <c r="BF85" i="18"/>
  <c r="M85" i="18"/>
  <c r="BB85" i="18"/>
  <c r="B85" i="18" s="1"/>
  <c r="J85" i="18"/>
  <c r="BB66" i="18"/>
  <c r="AA85" i="18"/>
  <c r="BA73" i="18"/>
  <c r="BC73" i="18"/>
  <c r="BB73" i="18"/>
  <c r="AM73" i="18"/>
  <c r="M73" i="18"/>
  <c r="BF73" i="18"/>
  <c r="AR73" i="18"/>
  <c r="G73" i="18"/>
  <c r="N74" i="18"/>
  <c r="BN74" i="18"/>
  <c r="AE74" i="18"/>
  <c r="AF74" i="18"/>
  <c r="W74" i="18"/>
  <c r="U74" i="18"/>
  <c r="AN72" i="18"/>
  <c r="V45" i="18"/>
  <c r="AS45" i="18"/>
  <c r="AA45" i="18"/>
  <c r="Z45" i="18"/>
  <c r="AH45" i="18"/>
  <c r="BH90" i="18"/>
  <c r="BK90" i="18"/>
  <c r="T90" i="18"/>
  <c r="AM90" i="18"/>
  <c r="R90" i="18"/>
  <c r="AH90" i="18"/>
  <c r="AD76" i="18"/>
  <c r="AG76" i="18"/>
  <c r="AH76" i="18"/>
  <c r="AZ76" i="18"/>
  <c r="O76" i="18"/>
  <c r="Z76" i="18"/>
  <c r="P76" i="18"/>
  <c r="N57" i="18"/>
  <c r="V57" i="18"/>
  <c r="BJ57" i="18"/>
  <c r="AC57" i="18"/>
  <c r="Z57" i="18"/>
  <c r="B57" i="18" s="1"/>
  <c r="AJ57" i="18"/>
  <c r="BN57" i="18"/>
  <c r="AV57" i="18"/>
  <c r="M88" i="18"/>
  <c r="AO88" i="18"/>
  <c r="J88" i="18"/>
  <c r="AY88" i="18"/>
  <c r="N88" i="18"/>
  <c r="AG59" i="18"/>
  <c r="G59" i="18"/>
  <c r="P59" i="18"/>
  <c r="AN59" i="18"/>
  <c r="BM85" i="18"/>
  <c r="P96" i="18"/>
  <c r="O96" i="18"/>
  <c r="BM96" i="18"/>
  <c r="B96" i="18" s="1"/>
  <c r="BH96" i="18"/>
  <c r="AZ96" i="18"/>
  <c r="G96" i="18"/>
  <c r="J96" i="18"/>
  <c r="S96" i="18"/>
  <c r="AQ54" i="18"/>
  <c r="BK54" i="18"/>
  <c r="AN54" i="18"/>
  <c r="AD54" i="18"/>
  <c r="BE54" i="18"/>
  <c r="AX54" i="18"/>
  <c r="AR54" i="18"/>
  <c r="AO54" i="18"/>
  <c r="BJ54" i="18"/>
  <c r="BD54" i="18"/>
  <c r="AJ54" i="18"/>
  <c r="R54" i="18"/>
  <c r="AM54" i="18"/>
  <c r="AE84" i="18"/>
  <c r="J84" i="18"/>
  <c r="AR84" i="18"/>
  <c r="BD84" i="18"/>
  <c r="AY84" i="18"/>
  <c r="AV72" i="18"/>
  <c r="AE72" i="18"/>
  <c r="Y72" i="18"/>
  <c r="AO59" i="18"/>
  <c r="BD72" i="18"/>
  <c r="AA72" i="18"/>
  <c r="X72" i="18"/>
  <c r="AP83" i="18"/>
  <c r="M83" i="18"/>
  <c r="BF83" i="18"/>
  <c r="H83" i="18"/>
  <c r="BH83" i="18"/>
  <c r="AZ83" i="18"/>
  <c r="B83" i="18" s="1"/>
  <c r="AZ65" i="18"/>
  <c r="P83" i="18"/>
  <c r="AE39" i="18"/>
  <c r="AS39" i="18"/>
  <c r="Y39" i="18"/>
  <c r="L39" i="18"/>
  <c r="AO39" i="18"/>
  <c r="O39" i="18"/>
  <c r="AC39" i="18"/>
  <c r="H70" i="18"/>
  <c r="M39" i="18"/>
  <c r="AR39" i="18"/>
  <c r="AU39" i="18"/>
  <c r="BC39" i="18"/>
  <c r="AA39" i="18"/>
  <c r="H94" i="18"/>
  <c r="BA39" i="18"/>
  <c r="H39" i="18"/>
  <c r="B39" i="18" s="1"/>
  <c r="P39" i="18"/>
  <c r="S53" i="18"/>
  <c r="Y53" i="18"/>
  <c r="AJ53" i="18"/>
  <c r="AD53" i="18"/>
  <c r="R53" i="18"/>
  <c r="AL53" i="18"/>
  <c r="N53" i="18"/>
  <c r="AG53" i="18"/>
  <c r="BI53" i="18"/>
  <c r="L53" i="18"/>
  <c r="U53" i="18"/>
  <c r="AZ53" i="18"/>
  <c r="BC53" i="18"/>
  <c r="BM46" i="18"/>
  <c r="U46" i="18"/>
  <c r="R46" i="18"/>
  <c r="O65" i="18"/>
  <c r="G46" i="18"/>
  <c r="BC46" i="18"/>
  <c r="BH46" i="18"/>
  <c r="AQ46" i="18"/>
  <c r="AU46" i="18"/>
  <c r="AT46" i="18"/>
  <c r="AS79" i="18"/>
  <c r="AJ79" i="18"/>
  <c r="AV90" i="18"/>
  <c r="AV94" i="18"/>
  <c r="Q79" i="18"/>
  <c r="AM79" i="18"/>
  <c r="J79" i="18"/>
  <c r="Z79" i="18"/>
  <c r="AJ82" i="18"/>
  <c r="AY65" i="18"/>
  <c r="AY59" i="18"/>
  <c r="BH82" i="18"/>
  <c r="Y82" i="18"/>
  <c r="AP82" i="18"/>
  <c r="AA82" i="18"/>
  <c r="BM82" i="18"/>
  <c r="BB82" i="18"/>
  <c r="AY82" i="18"/>
  <c r="B82" i="18" s="1"/>
  <c r="AF82" i="18"/>
  <c r="AE82" i="18"/>
  <c r="BE82" i="18"/>
  <c r="BK82" i="18"/>
  <c r="AZ82" i="18"/>
  <c r="AC82" i="18"/>
  <c r="AX41" i="18"/>
  <c r="AT41" i="18"/>
  <c r="BD41" i="18"/>
  <c r="AC41" i="18"/>
  <c r="L41" i="18"/>
  <c r="BI41" i="18"/>
  <c r="AL41" i="18"/>
  <c r="V41" i="18"/>
  <c r="BC41" i="18"/>
  <c r="O41" i="18"/>
  <c r="G41" i="18"/>
  <c r="AG41" i="18"/>
  <c r="U63" i="18"/>
  <c r="BI63" i="18"/>
  <c r="AV63" i="18"/>
  <c r="M63" i="18"/>
  <c r="G63" i="18"/>
  <c r="AL63" i="18"/>
  <c r="AB63" i="18"/>
  <c r="Y63" i="18"/>
  <c r="BJ63" i="18"/>
  <c r="BA67" i="18"/>
  <c r="W67" i="18"/>
  <c r="AJ88" i="18"/>
  <c r="BL67" i="18"/>
  <c r="AZ67" i="18"/>
  <c r="AM67" i="18"/>
  <c r="AJ67" i="18"/>
  <c r="B67" i="18" s="1"/>
  <c r="AJ85" i="18"/>
  <c r="AJ94" i="18"/>
  <c r="L67" i="18"/>
  <c r="BF67" i="18"/>
  <c r="R67" i="18"/>
  <c r="BL52" i="18"/>
  <c r="U59" i="18"/>
  <c r="R52" i="18"/>
  <c r="BD52" i="18"/>
  <c r="AG52" i="18"/>
  <c r="AC52" i="18"/>
  <c r="AB52" i="18"/>
  <c r="AF52" i="18"/>
  <c r="AW52" i="18"/>
  <c r="L45" i="18"/>
  <c r="AT45" i="18"/>
  <c r="AR45" i="18"/>
  <c r="BH45" i="18"/>
  <c r="N85" i="18"/>
  <c r="P45" i="18"/>
  <c r="AZ45" i="18"/>
  <c r="N59" i="18"/>
  <c r="AX66" i="18"/>
  <c r="P81" i="18"/>
  <c r="AL81" i="18"/>
  <c r="Q81" i="18"/>
  <c r="AX85" i="18"/>
  <c r="AY81" i="18"/>
  <c r="BN81" i="18"/>
  <c r="BC81" i="18"/>
  <c r="AO81" i="18"/>
  <c r="AB81" i="18"/>
  <c r="G81" i="18"/>
  <c r="AM81" i="18"/>
  <c r="AW81" i="18"/>
  <c r="M81" i="18"/>
  <c r="AU81" i="18"/>
  <c r="AP81" i="18"/>
  <c r="BK81" i="18"/>
  <c r="N81" i="18"/>
  <c r="R81" i="18"/>
  <c r="Q78" i="18"/>
  <c r="AZ78" i="18"/>
  <c r="AU66" i="18"/>
  <c r="Y78" i="18"/>
  <c r="K78" i="18"/>
  <c r="Z78" i="18"/>
  <c r="AH78" i="18"/>
  <c r="AW78" i="18"/>
  <c r="AU94" i="18"/>
  <c r="BL78" i="18"/>
  <c r="AY76" i="18"/>
  <c r="BB76" i="18"/>
  <c r="S76" i="18"/>
  <c r="R43" i="18"/>
  <c r="AL43" i="18"/>
  <c r="AD43" i="18"/>
  <c r="AA43" i="18"/>
  <c r="AE43" i="18"/>
  <c r="BN43" i="18"/>
  <c r="P43" i="18"/>
  <c r="H43" i="18"/>
  <c r="AK43" i="18"/>
  <c r="BE43" i="18"/>
  <c r="AW43" i="18"/>
  <c r="BM43" i="18"/>
  <c r="AH43" i="18"/>
  <c r="AM50" i="18"/>
  <c r="AT50" i="18"/>
  <c r="BI50" i="18"/>
  <c r="BF50" i="18"/>
  <c r="AR50" i="18"/>
  <c r="Y50" i="18"/>
  <c r="P50" i="18"/>
  <c r="W50" i="18"/>
  <c r="BG87" i="18"/>
  <c r="BD87" i="18"/>
  <c r="B87" i="18" s="1"/>
  <c r="AL87" i="18"/>
  <c r="BF87" i="18"/>
  <c r="BD88" i="18"/>
  <c r="AZ87" i="18"/>
  <c r="Q87" i="18"/>
  <c r="J87" i="18"/>
  <c r="BE87" i="18"/>
  <c r="BB87" i="18"/>
  <c r="AH95" i="18"/>
  <c r="X95" i="18"/>
  <c r="AA95" i="18"/>
  <c r="AV95" i="18"/>
  <c r="AW95" i="18"/>
  <c r="BF95" i="18"/>
  <c r="BE95" i="18"/>
  <c r="AE95" i="18"/>
  <c r="BB95" i="18"/>
  <c r="AJ86" i="18"/>
  <c r="BD86" i="18"/>
  <c r="BC85" i="18"/>
  <c r="BH86" i="18"/>
  <c r="O86" i="18"/>
  <c r="AO86" i="18"/>
  <c r="AF86" i="18"/>
  <c r="BC94" i="18"/>
  <c r="AX86" i="18"/>
  <c r="BC70" i="18"/>
  <c r="S86" i="18"/>
  <c r="AT86" i="18"/>
  <c r="BM77" i="18"/>
  <c r="Q77" i="18"/>
  <c r="AX77" i="18"/>
  <c r="BA77" i="18"/>
  <c r="AD77" i="18"/>
  <c r="AS77" i="18"/>
  <c r="BD77" i="18"/>
  <c r="AG77" i="18"/>
  <c r="X77" i="18"/>
  <c r="AA97" i="18"/>
  <c r="T97" i="18"/>
  <c r="BN63" i="18"/>
  <c r="AL97" i="18"/>
  <c r="BK97" i="18"/>
  <c r="BN86" i="18"/>
  <c r="BJ97" i="18"/>
  <c r="W97" i="18"/>
  <c r="BF97" i="18"/>
  <c r="H97" i="18"/>
  <c r="BN97" i="18"/>
  <c r="B97" i="18" s="1"/>
  <c r="N97" i="18"/>
  <c r="BN94" i="18"/>
  <c r="AP97" i="18"/>
  <c r="J97" i="18"/>
  <c r="AE97" i="18"/>
  <c r="L97" i="18"/>
  <c r="Y97" i="18"/>
  <c r="AR83" i="18"/>
  <c r="AG75" i="18"/>
  <c r="AR70" i="18"/>
  <c r="BD75" i="18"/>
  <c r="O75" i="18"/>
  <c r="BM75" i="18"/>
  <c r="X75" i="18"/>
  <c r="AR94" i="18"/>
  <c r="Y75" i="18"/>
  <c r="BH75" i="18"/>
  <c r="AK75" i="18"/>
  <c r="AI75" i="18"/>
  <c r="BC75" i="18"/>
  <c r="AX75" i="18"/>
  <c r="BG75" i="18"/>
  <c r="AZ75" i="18"/>
  <c r="V75" i="18"/>
  <c r="BE75" i="18"/>
  <c r="BB75" i="18"/>
  <c r="BF75" i="18"/>
  <c r="AY53" i="18"/>
  <c r="AP53" i="18"/>
  <c r="AN53" i="18"/>
  <c r="BK53" i="18"/>
  <c r="AT53" i="18"/>
  <c r="Y90" i="18"/>
  <c r="AF56" i="18"/>
  <c r="X56" i="18"/>
  <c r="AG56" i="18"/>
  <c r="V56" i="18"/>
  <c r="AK56" i="18"/>
  <c r="BK56" i="18"/>
  <c r="Y56" i="18"/>
  <c r="B56" i="18" s="1"/>
  <c r="BM56" i="18"/>
  <c r="S56" i="18"/>
  <c r="AU56" i="18"/>
  <c r="AV56" i="18"/>
  <c r="H56" i="18"/>
  <c r="U56" i="18"/>
  <c r="AC56" i="18"/>
  <c r="BH56" i="18"/>
  <c r="AS56" i="18"/>
  <c r="Y66" i="18"/>
  <c r="AO56" i="18"/>
  <c r="T56" i="18"/>
  <c r="BJ56" i="18"/>
  <c r="M50" i="18"/>
  <c r="G50" i="18"/>
  <c r="AI50" i="18"/>
  <c r="S67" i="18"/>
  <c r="S52" i="18"/>
  <c r="Q50" i="18"/>
  <c r="S41" i="18"/>
  <c r="AU50" i="18"/>
  <c r="O50" i="18"/>
  <c r="S81" i="18"/>
  <c r="AC50" i="18"/>
  <c r="J50" i="18"/>
  <c r="S83" i="18"/>
  <c r="L43" i="18"/>
  <c r="B43" i="18" s="1"/>
  <c r="AC43" i="18"/>
  <c r="BF43" i="18"/>
  <c r="Y43" i="18"/>
  <c r="L85" i="18"/>
  <c r="L87" i="18"/>
  <c r="AQ91" i="18"/>
  <c r="AT91" i="18"/>
  <c r="J91" i="18"/>
  <c r="BH91" i="18"/>
  <c r="B91" i="18" s="1"/>
  <c r="AL91" i="18"/>
  <c r="AU91" i="18"/>
  <c r="BH65" i="18"/>
  <c r="AP91" i="18"/>
  <c r="AH91" i="18"/>
  <c r="BK91" i="18"/>
  <c r="Q91" i="18"/>
  <c r="AW91" i="18"/>
  <c r="AJ91" i="18"/>
  <c r="AK91" i="18"/>
  <c r="AY91" i="18"/>
  <c r="BL91" i="18"/>
  <c r="P91" i="18"/>
  <c r="AZ91" i="18"/>
  <c r="AG91" i="18"/>
  <c r="BH94" i="18"/>
  <c r="J74" i="18"/>
  <c r="AQ82" i="18"/>
  <c r="BB74" i="18"/>
  <c r="Y74" i="18"/>
  <c r="AQ70" i="18"/>
  <c r="AV74" i="18"/>
  <c r="K74" i="18"/>
  <c r="AS74" i="18"/>
  <c r="BC74" i="18"/>
  <c r="BE74" i="18"/>
  <c r="BM74" i="18"/>
  <c r="BK74" i="18"/>
  <c r="AG74" i="18"/>
  <c r="AM74" i="18"/>
  <c r="AI93" i="18"/>
  <c r="V93" i="18"/>
  <c r="BA93" i="18"/>
  <c r="J93" i="18"/>
  <c r="BJ83" i="18"/>
  <c r="BJ87" i="18"/>
  <c r="BF93" i="18"/>
  <c r="BE93" i="18"/>
  <c r="AE93" i="18"/>
  <c r="AA93" i="18"/>
  <c r="BJ70" i="18"/>
  <c r="S93" i="18"/>
  <c r="P93" i="18"/>
  <c r="AL93" i="18"/>
  <c r="AS93" i="18"/>
  <c r="BC93" i="18"/>
  <c r="BJ66" i="18"/>
  <c r="BI93" i="18"/>
  <c r="AD93" i="18"/>
  <c r="N93" i="18"/>
  <c r="Q93" i="18"/>
  <c r="H61" i="18"/>
  <c r="M61" i="18"/>
  <c r="AD90" i="18"/>
  <c r="X61" i="18"/>
  <c r="BG61" i="18"/>
  <c r="AS61" i="18"/>
  <c r="AD88" i="18"/>
  <c r="AC61" i="18"/>
  <c r="AB61" i="18"/>
  <c r="L61" i="18"/>
  <c r="AG61" i="18"/>
  <c r="T61" i="18"/>
  <c r="P61" i="18"/>
  <c r="W61" i="18"/>
  <c r="AT61" i="18"/>
  <c r="AW61" i="18"/>
  <c r="BB61" i="18"/>
  <c r="BJ61" i="18"/>
  <c r="U61" i="18"/>
  <c r="BC61" i="18"/>
  <c r="BD61" i="18"/>
  <c r="BM61" i="18"/>
  <c r="H42" i="18"/>
  <c r="BL42" i="18"/>
  <c r="AX42" i="18"/>
  <c r="AT42" i="18"/>
  <c r="AP42" i="18"/>
  <c r="W42" i="18"/>
  <c r="AW42" i="18"/>
  <c r="BN42" i="18"/>
  <c r="BI42" i="18"/>
  <c r="K81" i="18"/>
  <c r="J42" i="18"/>
  <c r="BA42" i="18"/>
  <c r="BM42" i="18"/>
  <c r="AL42" i="18"/>
  <c r="S42" i="18"/>
  <c r="AN42" i="18"/>
  <c r="N42" i="18"/>
  <c r="K66" i="18"/>
  <c r="AY42" i="18"/>
  <c r="AZ42" i="18"/>
  <c r="AU42" i="18"/>
  <c r="T42" i="18"/>
  <c r="R42" i="18"/>
  <c r="K90" i="18"/>
  <c r="AJ42" i="18"/>
  <c r="O42" i="18"/>
  <c r="AS42" i="18"/>
  <c r="Q42" i="18"/>
  <c r="G42" i="18"/>
  <c r="P42" i="18"/>
  <c r="O38" i="18"/>
  <c r="BM38" i="18"/>
  <c r="V38" i="18"/>
  <c r="AH38" i="18"/>
  <c r="AV38" i="18"/>
  <c r="G76" i="18"/>
  <c r="BK38" i="18"/>
  <c r="AI38" i="18"/>
  <c r="BD38" i="18"/>
  <c r="BA38" i="18"/>
  <c r="G83" i="18"/>
  <c r="BE38" i="18"/>
  <c r="G94" i="18"/>
  <c r="G67" i="18"/>
  <c r="AQ38" i="18"/>
  <c r="AS38" i="18"/>
  <c r="G38" i="18"/>
  <c r="B38" i="18" s="1"/>
  <c r="H38" i="18"/>
  <c r="G70" i="18"/>
  <c r="X38" i="18"/>
  <c r="M38" i="18"/>
  <c r="AK38" i="18"/>
  <c r="BJ38" i="18"/>
  <c r="AP38" i="18"/>
  <c r="Q38" i="18"/>
  <c r="BB38" i="18"/>
  <c r="S38" i="18"/>
  <c r="AX38" i="18"/>
  <c r="AE38" i="18"/>
  <c r="AL38" i="18"/>
  <c r="AR38" i="18"/>
  <c r="J38" i="18"/>
  <c r="BH38" i="18"/>
  <c r="AU84" i="18"/>
  <c r="BF84" i="18"/>
  <c r="Z84" i="18"/>
  <c r="Y84" i="18"/>
  <c r="AN84" i="18"/>
  <c r="AD84" i="18"/>
  <c r="BM84" i="18"/>
  <c r="K84" i="18"/>
  <c r="BA41" i="18"/>
  <c r="BN84" i="18"/>
  <c r="Q84" i="18"/>
  <c r="BA88" i="18"/>
  <c r="AQ84" i="18"/>
  <c r="R84" i="18"/>
  <c r="BB84" i="18"/>
  <c r="BA84" i="18"/>
  <c r="B84" i="18" s="1"/>
  <c r="G84" i="18"/>
  <c r="O84" i="18"/>
  <c r="AF84" i="18"/>
  <c r="BA59" i="18"/>
  <c r="BA86" i="18"/>
  <c r="AS64" i="18"/>
  <c r="BA64" i="18"/>
  <c r="AG81" i="18"/>
  <c r="BD64" i="18"/>
  <c r="AG67" i="18"/>
  <c r="AA64" i="18"/>
  <c r="BE64" i="18"/>
  <c r="AM64" i="18"/>
  <c r="U64" i="18"/>
  <c r="AG45" i="18"/>
  <c r="N64" i="18"/>
  <c r="O64" i="18"/>
  <c r="AG65" i="18"/>
  <c r="AG83" i="18"/>
  <c r="AG87" i="18"/>
  <c r="BN64" i="18"/>
  <c r="R64" i="18"/>
  <c r="G64" i="18"/>
  <c r="Y64" i="18"/>
  <c r="BI64" i="18"/>
  <c r="AG70" i="18"/>
  <c r="BB64" i="18"/>
  <c r="S64" i="18"/>
  <c r="BL64" i="18"/>
  <c r="AJ64" i="18"/>
  <c r="BK64" i="18"/>
  <c r="AE64" i="18"/>
  <c r="Q64" i="18"/>
  <c r="BJ64" i="18"/>
  <c r="AY64" i="18"/>
  <c r="P64" i="18"/>
  <c r="BH64" i="18"/>
  <c r="I71" i="18"/>
  <c r="AW71" i="18"/>
  <c r="AN41" i="18"/>
  <c r="AV71" i="18"/>
  <c r="BF71" i="18"/>
  <c r="BD71" i="18"/>
  <c r="AN56" i="18"/>
  <c r="BC71" i="18"/>
  <c r="AN93" i="18"/>
  <c r="BI71" i="18"/>
  <c r="AD71" i="18"/>
  <c r="BH71" i="18"/>
  <c r="U71" i="18"/>
  <c r="AN87" i="18"/>
  <c r="R71" i="18"/>
  <c r="AZ71" i="18"/>
  <c r="AN79" i="18"/>
  <c r="AN83" i="18"/>
  <c r="AQ71" i="18"/>
  <c r="BK71" i="18"/>
  <c r="AN94" i="18"/>
  <c r="AN86" i="18"/>
  <c r="AB71" i="18"/>
  <c r="N71" i="18"/>
  <c r="BN71" i="18"/>
  <c r="S71" i="18"/>
  <c r="Z71" i="18"/>
  <c r="AJ71" i="18"/>
  <c r="AH71" i="18"/>
  <c r="G71" i="18"/>
  <c r="AL71" i="18"/>
  <c r="BE71" i="18"/>
  <c r="AU71" i="18"/>
  <c r="AN73" i="18"/>
  <c r="BE73" i="18"/>
  <c r="AP65" i="18"/>
  <c r="AK73" i="18"/>
  <c r="BI73" i="18"/>
  <c r="AX73" i="18"/>
  <c r="AP59" i="18"/>
  <c r="AP61" i="18"/>
  <c r="AY73" i="18"/>
  <c r="AP66" i="18"/>
  <c r="S73" i="18"/>
  <c r="AP70" i="18"/>
  <c r="P73" i="18"/>
  <c r="AG73" i="18"/>
  <c r="AI73" i="18"/>
  <c r="Y73" i="18"/>
  <c r="O73" i="18"/>
  <c r="AQ73" i="18"/>
  <c r="K73" i="18"/>
  <c r="AP88" i="18"/>
  <c r="AT73" i="18"/>
  <c r="BK73" i="18"/>
  <c r="R73" i="18"/>
  <c r="AA73" i="18"/>
  <c r="H73" i="18"/>
  <c r="AD74" i="18"/>
  <c r="AU74" i="18"/>
  <c r="T74" i="18"/>
  <c r="AW74" i="18"/>
  <c r="AN74" i="18"/>
  <c r="AQ88" i="18"/>
  <c r="BA74" i="18"/>
  <c r="O74" i="18"/>
  <c r="BJ74" i="18"/>
  <c r="AT74" i="18"/>
  <c r="Z74" i="18"/>
  <c r="Q89" i="18"/>
  <c r="BA89" i="18"/>
  <c r="BF72" i="18"/>
  <c r="BF41" i="18"/>
  <c r="BE89" i="18"/>
  <c r="BF76" i="18"/>
  <c r="L89" i="18"/>
  <c r="V89" i="18"/>
  <c r="AY89" i="18"/>
  <c r="BF70" i="18"/>
  <c r="BH89" i="18"/>
  <c r="R89" i="18"/>
  <c r="AH89" i="18"/>
  <c r="BF45" i="18"/>
  <c r="AD89" i="18"/>
  <c r="AZ89" i="18"/>
  <c r="BF52" i="18"/>
  <c r="AA89" i="18"/>
  <c r="BF88" i="18"/>
  <c r="T89" i="18"/>
  <c r="AI89" i="18"/>
  <c r="X89" i="18"/>
  <c r="BG89" i="18"/>
  <c r="S89" i="18"/>
  <c r="AX89" i="18"/>
  <c r="J89" i="18"/>
  <c r="AW89" i="18"/>
  <c r="AL89" i="18"/>
  <c r="AO89" i="18"/>
  <c r="R94" i="18"/>
  <c r="L49" i="18"/>
  <c r="BH49" i="18"/>
  <c r="R61" i="18"/>
  <c r="R50" i="18"/>
  <c r="BD49" i="18"/>
  <c r="R56" i="18"/>
  <c r="AB49" i="18"/>
  <c r="R93" i="18"/>
  <c r="M49" i="18"/>
  <c r="O49" i="18"/>
  <c r="AS49" i="18"/>
  <c r="AD49" i="18"/>
  <c r="R63" i="18"/>
  <c r="Z49" i="18"/>
  <c r="R87" i="18"/>
  <c r="R45" i="18"/>
  <c r="AL49" i="18"/>
  <c r="AY49" i="18"/>
  <c r="W49" i="18"/>
  <c r="R66" i="18"/>
  <c r="BM49" i="18"/>
  <c r="R65" i="18"/>
  <c r="AH49" i="18"/>
  <c r="AR49" i="18"/>
  <c r="R49" i="18"/>
  <c r="B49" i="18" s="1"/>
  <c r="AG49" i="18"/>
  <c r="R85" i="18"/>
  <c r="BI49" i="18"/>
  <c r="BG49" i="18"/>
  <c r="BF49" i="18"/>
  <c r="BC49" i="18"/>
  <c r="AA49" i="18"/>
  <c r="AN49" i="18"/>
  <c r="AC49" i="18"/>
  <c r="R59" i="18"/>
  <c r="P49" i="18"/>
  <c r="AO49" i="18"/>
  <c r="AJ49" i="18"/>
  <c r="BD92" i="18"/>
  <c r="BF92" i="18"/>
  <c r="BI66" i="18"/>
  <c r="BL92" i="18"/>
  <c r="BI52" i="18"/>
  <c r="AE92" i="18"/>
  <c r="Q92" i="18"/>
  <c r="BI79" i="18"/>
  <c r="Y92" i="18"/>
  <c r="BA92" i="18"/>
  <c r="AG92" i="18"/>
  <c r="BI67" i="18"/>
  <c r="AT92" i="18"/>
  <c r="BC92" i="18"/>
  <c r="BI65" i="18"/>
  <c r="AF92" i="18"/>
  <c r="AK92" i="18"/>
  <c r="AR92" i="18"/>
  <c r="AO92" i="18"/>
  <c r="BI81" i="18"/>
  <c r="BI70" i="18"/>
  <c r="BI88" i="18"/>
  <c r="U92" i="18"/>
  <c r="BI94" i="18"/>
  <c r="AM92" i="18"/>
  <c r="T92" i="18"/>
  <c r="BI72" i="18"/>
  <c r="P92" i="18"/>
  <c r="AW92" i="18"/>
  <c r="BI82" i="18"/>
  <c r="AS92" i="18"/>
  <c r="Z92" i="18"/>
  <c r="AV92" i="18"/>
  <c r="BI92" i="18"/>
  <c r="B92" i="18" s="1"/>
  <c r="BI90" i="18"/>
  <c r="M92" i="18"/>
  <c r="BI59" i="18"/>
  <c r="BE92" i="18"/>
  <c r="AI92" i="18"/>
  <c r="BH92" i="18"/>
  <c r="N92" i="18"/>
  <c r="AY92" i="18"/>
  <c r="BM92" i="18"/>
  <c r="G92" i="18"/>
  <c r="BK77" i="18"/>
  <c r="AT59" i="18"/>
  <c r="AH77" i="18"/>
  <c r="J77" i="18"/>
  <c r="AT81" i="18"/>
  <c r="Z77" i="18"/>
  <c r="AP77" i="18"/>
  <c r="AT64" i="18"/>
  <c r="AO77" i="18"/>
  <c r="AT84" i="18"/>
  <c r="AT77" i="18"/>
  <c r="B77" i="18" s="1"/>
  <c r="AY77" i="18"/>
  <c r="AZ77" i="18"/>
  <c r="AN77" i="18"/>
  <c r="AT72" i="18"/>
  <c r="AT82" i="18"/>
  <c r="BI77" i="18"/>
  <c r="AT88" i="18"/>
  <c r="AL77" i="18"/>
  <c r="AT79" i="18"/>
  <c r="BC77" i="18"/>
  <c r="AA77" i="18"/>
  <c r="O77" i="18"/>
  <c r="AI77" i="18"/>
  <c r="U77" i="18"/>
  <c r="BL77" i="18"/>
  <c r="AT52" i="18"/>
  <c r="AK77" i="18"/>
  <c r="AW77" i="18"/>
  <c r="AZ48" i="18"/>
  <c r="W48" i="18"/>
  <c r="Q56" i="18"/>
  <c r="AK48" i="18"/>
  <c r="K48" i="18"/>
  <c r="AV48" i="18"/>
  <c r="AC48" i="18"/>
  <c r="Q74" i="18"/>
  <c r="BH48" i="18"/>
  <c r="AW48" i="18"/>
  <c r="BN48" i="18"/>
  <c r="BB48" i="18"/>
  <c r="Q83" i="18"/>
  <c r="AM48" i="18"/>
  <c r="Q41" i="18"/>
  <c r="R48" i="18"/>
  <c r="AI48" i="18"/>
  <c r="BD48" i="18"/>
  <c r="Q90" i="18"/>
  <c r="Q72" i="18"/>
  <c r="Q86" i="18"/>
  <c r="J48" i="18"/>
  <c r="AB48" i="18"/>
  <c r="AS48" i="18"/>
  <c r="AA48" i="18"/>
  <c r="BJ48" i="18"/>
  <c r="Q70" i="18"/>
  <c r="Y48" i="18"/>
  <c r="O48" i="18"/>
  <c r="U48" i="18"/>
  <c r="AH48" i="18"/>
  <c r="M48" i="18"/>
  <c r="BA48" i="18"/>
  <c r="AG48" i="18"/>
  <c r="Q65" i="18"/>
  <c r="BC48" i="18"/>
  <c r="Q94" i="18"/>
  <c r="AU48" i="18"/>
  <c r="H48" i="18"/>
  <c r="AN48" i="18"/>
  <c r="AN55" i="18"/>
  <c r="AL55" i="18"/>
  <c r="AG55" i="18"/>
  <c r="X88" i="18"/>
  <c r="AB55" i="18"/>
  <c r="X85" i="18"/>
  <c r="BM55" i="18"/>
  <c r="X42" i="18"/>
  <c r="X82" i="18"/>
  <c r="AF55" i="18"/>
  <c r="V55" i="18"/>
  <c r="BN55" i="18"/>
  <c r="X70" i="18"/>
  <c r="X45" i="18"/>
  <c r="X81" i="18"/>
  <c r="X55" i="18"/>
  <c r="B55" i="18" s="1"/>
  <c r="BL55" i="18"/>
  <c r="Y55" i="18"/>
  <c r="U55" i="18"/>
  <c r="X50" i="18"/>
  <c r="BJ55" i="18"/>
  <c r="BH55" i="18"/>
  <c r="X87" i="18"/>
  <c r="X91" i="18"/>
  <c r="X41" i="18"/>
  <c r="AM55" i="18"/>
  <c r="X79" i="18"/>
  <c r="AR55" i="18"/>
  <c r="X76" i="18"/>
  <c r="AW55" i="18"/>
  <c r="G55" i="18"/>
  <c r="T55" i="18"/>
  <c r="R55" i="18"/>
  <c r="W55" i="18"/>
  <c r="P55" i="18"/>
  <c r="J55" i="18"/>
  <c r="AP55" i="18"/>
  <c r="X65" i="18"/>
  <c r="M55" i="18"/>
  <c r="AX55" i="18"/>
  <c r="AZ55" i="18"/>
  <c r="AI55" i="18"/>
  <c r="AQ55" i="18"/>
  <c r="AU55" i="18"/>
  <c r="H55" i="18"/>
  <c r="BK55" i="18"/>
  <c r="AW93" i="18"/>
  <c r="AE80" i="18"/>
  <c r="BD80" i="18"/>
  <c r="U80" i="18"/>
  <c r="L80" i="18"/>
  <c r="AY80" i="18"/>
  <c r="K80" i="18"/>
  <c r="AM80" i="18"/>
  <c r="BJ80" i="18"/>
  <c r="H80" i="18"/>
  <c r="AQ80" i="18"/>
  <c r="I80" i="18"/>
  <c r="AT80" i="18"/>
  <c r="R80" i="18"/>
  <c r="BF80" i="18"/>
  <c r="AB80" i="18"/>
  <c r="AW88" i="18"/>
  <c r="AW63" i="18"/>
  <c r="BM80" i="18"/>
  <c r="BH80" i="18"/>
  <c r="AW72" i="18"/>
  <c r="BL80" i="18"/>
  <c r="AO80" i="18"/>
  <c r="BB80" i="18"/>
  <c r="BN80" i="18"/>
  <c r="V80" i="18"/>
  <c r="BE80" i="18"/>
  <c r="AW90" i="18"/>
  <c r="M80" i="18"/>
  <c r="AW79" i="18"/>
  <c r="AD80" i="18"/>
  <c r="AU80" i="18"/>
  <c r="AL80" i="18"/>
  <c r="AW70" i="18"/>
  <c r="AN80" i="18"/>
  <c r="P80" i="18"/>
  <c r="Z80" i="18"/>
  <c r="AP80" i="18"/>
  <c r="AR80" i="18"/>
  <c r="AG80" i="18"/>
  <c r="AX80" i="18"/>
  <c r="BI80" i="18"/>
  <c r="BL61" i="18"/>
  <c r="BN95" i="18"/>
  <c r="BL45" i="18"/>
  <c r="BL38" i="18"/>
  <c r="M95" i="18"/>
  <c r="BL73" i="18"/>
  <c r="AJ95" i="18"/>
  <c r="S95" i="18"/>
  <c r="AX95" i="18"/>
  <c r="BL56" i="18"/>
  <c r="BL76" i="18"/>
  <c r="BL84" i="18"/>
  <c r="BJ95" i="18"/>
  <c r="T95" i="18"/>
  <c r="N95" i="18"/>
  <c r="AG95" i="18"/>
  <c r="W95" i="18"/>
  <c r="BL83" i="18"/>
  <c r="J95" i="18"/>
  <c r="BL66" i="18"/>
  <c r="AY95" i="18"/>
  <c r="K95" i="18"/>
  <c r="BC95" i="18"/>
  <c r="AR95" i="18"/>
  <c r="BI95" i="18"/>
  <c r="BL86" i="18"/>
  <c r="BD95" i="18"/>
  <c r="AO95" i="18"/>
  <c r="AU95" i="18"/>
  <c r="P95" i="18"/>
  <c r="O97" i="18"/>
  <c r="BN93" i="18"/>
  <c r="K97" i="18"/>
  <c r="AH97" i="18"/>
  <c r="AM97" i="18"/>
  <c r="Q97" i="18"/>
  <c r="BL97" i="18"/>
  <c r="BN38" i="18"/>
  <c r="AS97" i="18"/>
  <c r="BI97" i="18"/>
  <c r="G97" i="18"/>
  <c r="BN70" i="18"/>
  <c r="AO97" i="18"/>
  <c r="BN82" i="18"/>
  <c r="BN45" i="18"/>
  <c r="BN90" i="18"/>
  <c r="AJ97" i="18"/>
  <c r="V97" i="18"/>
  <c r="BN88" i="18"/>
  <c r="BG97" i="18"/>
  <c r="BN56" i="18"/>
  <c r="BE97" i="18"/>
  <c r="AY97" i="18"/>
  <c r="AW97" i="18"/>
  <c r="M97" i="18"/>
  <c r="AM75" i="18"/>
  <c r="R75" i="18"/>
  <c r="AW75" i="18"/>
  <c r="AR75" i="18"/>
  <c r="B75" i="18" s="1"/>
  <c r="BK75" i="18"/>
  <c r="P75" i="18"/>
  <c r="U75" i="18"/>
  <c r="AR74" i="18"/>
  <c r="BI75" i="18"/>
  <c r="AR59" i="18"/>
  <c r="BJ75" i="18"/>
  <c r="AR63" i="18"/>
  <c r="BL75" i="18"/>
  <c r="AN75" i="18"/>
  <c r="AO75" i="18"/>
  <c r="AR52" i="18"/>
  <c r="AB75" i="18"/>
  <c r="AR67" i="18"/>
  <c r="AR65" i="18"/>
  <c r="AP75" i="18"/>
  <c r="Z75" i="18"/>
  <c r="AR93" i="18"/>
  <c r="W76" i="18"/>
  <c r="H54" i="18"/>
  <c r="W81" i="18"/>
  <c r="P54" i="18"/>
  <c r="W89" i="18"/>
  <c r="W84" i="18"/>
  <c r="U54" i="18"/>
  <c r="W52" i="18"/>
  <c r="AV54" i="18"/>
  <c r="AC54" i="18"/>
  <c r="W93" i="18"/>
  <c r="AK54" i="18"/>
  <c r="W87" i="18"/>
  <c r="W41" i="18"/>
  <c r="AG54" i="18"/>
  <c r="W82" i="18"/>
  <c r="X54" i="18"/>
  <c r="G54" i="18"/>
  <c r="M54" i="18"/>
  <c r="W66" i="18"/>
  <c r="AP54" i="18"/>
  <c r="W91" i="18"/>
  <c r="AB54" i="18"/>
  <c r="Z54" i="18"/>
  <c r="AE54" i="18"/>
  <c r="W65" i="18"/>
  <c r="AF54" i="18"/>
  <c r="W88" i="18"/>
  <c r="BC54" i="18"/>
  <c r="AW54" i="18"/>
  <c r="T54" i="18"/>
  <c r="BF53" i="18"/>
  <c r="BM53" i="18"/>
  <c r="BN53" i="18"/>
  <c r="BJ53" i="18"/>
  <c r="H53" i="18"/>
  <c r="V90" i="18"/>
  <c r="BE53" i="18"/>
  <c r="V73" i="18"/>
  <c r="K53" i="18"/>
  <c r="V59" i="18"/>
  <c r="V86" i="18"/>
  <c r="V61" i="18"/>
  <c r="V64" i="18"/>
  <c r="V63" i="18"/>
  <c r="I53" i="18"/>
  <c r="AF53" i="18"/>
  <c r="M53" i="18"/>
  <c r="V72" i="18"/>
  <c r="BA53" i="18"/>
  <c r="AW53" i="18"/>
  <c r="BL53" i="18"/>
  <c r="X53" i="18"/>
  <c r="V79" i="18"/>
  <c r="AV53" i="18"/>
  <c r="AQ53" i="18"/>
  <c r="AN46" i="18"/>
  <c r="T46" i="18"/>
  <c r="BN46" i="18"/>
  <c r="L46" i="18"/>
  <c r="O70" i="18"/>
  <c r="AW46" i="18"/>
  <c r="O46" i="18"/>
  <c r="B46" i="18" s="1"/>
  <c r="AG46" i="18"/>
  <c r="BB46" i="18"/>
  <c r="Z46" i="18"/>
  <c r="BE46" i="18"/>
  <c r="O83" i="18"/>
  <c r="N46" i="18"/>
  <c r="AA46" i="18"/>
  <c r="O45" i="18"/>
  <c r="O59" i="18"/>
  <c r="AX46" i="18"/>
  <c r="M46" i="18"/>
  <c r="BG46" i="18"/>
  <c r="L62" i="18"/>
  <c r="Q62" i="18"/>
  <c r="AE42" i="18"/>
  <c r="BN62" i="18"/>
  <c r="AE45" i="18"/>
  <c r="AE59" i="18"/>
  <c r="AE86" i="18"/>
  <c r="AE73" i="18"/>
  <c r="BE62" i="18"/>
  <c r="AB62" i="18"/>
  <c r="AE81" i="18"/>
  <c r="AE83" i="18"/>
  <c r="AA62" i="18"/>
  <c r="H62" i="18"/>
  <c r="AE79" i="18"/>
  <c r="R62" i="18"/>
  <c r="AE70" i="18"/>
  <c r="AH62" i="18"/>
  <c r="AL62" i="18"/>
  <c r="AR62" i="18"/>
  <c r="AE87" i="18"/>
  <c r="AE90" i="18"/>
  <c r="AG62" i="18"/>
  <c r="BD62" i="18"/>
  <c r="AK62" i="18"/>
  <c r="AX62" i="18"/>
  <c r="BG62" i="18"/>
  <c r="AE94" i="18"/>
  <c r="AT62" i="18"/>
  <c r="AE66" i="18"/>
  <c r="AP62" i="18"/>
  <c r="BA62" i="18"/>
  <c r="AO62" i="18"/>
  <c r="AC97" i="18"/>
  <c r="U60" i="18"/>
  <c r="AC42" i="18"/>
  <c r="AL60" i="18"/>
  <c r="AC63" i="18"/>
  <c r="J60" i="18"/>
  <c r="AT60" i="18"/>
  <c r="T60" i="18"/>
  <c r="M60" i="18"/>
  <c r="AC55" i="18"/>
  <c r="W60" i="18"/>
  <c r="AC75" i="18"/>
  <c r="AC73" i="18"/>
  <c r="AZ60" i="18"/>
  <c r="AJ60" i="18"/>
  <c r="AC74" i="18"/>
  <c r="P60" i="18"/>
  <c r="O60" i="18"/>
  <c r="AC38" i="18"/>
  <c r="AB60" i="18"/>
  <c r="AC84" i="18"/>
  <c r="AQ60" i="18"/>
  <c r="AI60" i="18"/>
  <c r="AC76" i="18"/>
  <c r="AC83" i="18"/>
  <c r="AK60" i="18"/>
  <c r="AG60" i="18"/>
  <c r="AR60" i="18"/>
  <c r="AC90" i="18"/>
  <c r="AS60" i="18"/>
  <c r="BH60" i="18"/>
  <c r="AE60" i="18"/>
  <c r="AC86" i="18"/>
  <c r="AU60" i="18"/>
  <c r="K60" i="18"/>
  <c r="AF60" i="18"/>
  <c r="AC59" i="18"/>
  <c r="AC66" i="18"/>
  <c r="BF60" i="18"/>
  <c r="AC94" i="18"/>
  <c r="AC72" i="18"/>
  <c r="AA60" i="18"/>
  <c r="AC45" i="18"/>
  <c r="AM60" i="18"/>
  <c r="BK60" i="18"/>
  <c r="AW60" i="18"/>
  <c r="BN60" i="18"/>
  <c r="AC65" i="18"/>
  <c r="AP60" i="18"/>
  <c r="AC85" i="18"/>
  <c r="X60" i="18"/>
  <c r="BE60" i="18"/>
  <c r="AY60" i="18"/>
  <c r="AC70" i="18"/>
  <c r="G60" i="18"/>
  <c r="AX60" i="18"/>
  <c r="L60" i="18"/>
  <c r="BJ60" i="18"/>
  <c r="AV60" i="18"/>
  <c r="BC60" i="18"/>
  <c r="Q60" i="18"/>
  <c r="BB60" i="18"/>
  <c r="AC69" i="18"/>
  <c r="Y69" i="18"/>
  <c r="AL82" i="18"/>
  <c r="AD69" i="18"/>
  <c r="AH69" i="18"/>
  <c r="BK69" i="18"/>
  <c r="AV69" i="18"/>
  <c r="AL74" i="18"/>
  <c r="AL75" i="18"/>
  <c r="Z69" i="18"/>
  <c r="AL64" i="18"/>
  <c r="AN69" i="18"/>
  <c r="AL83" i="18"/>
  <c r="L69" i="18"/>
  <c r="AJ69" i="18"/>
  <c r="BG69" i="18"/>
  <c r="AL79" i="18"/>
  <c r="AL76" i="18"/>
  <c r="Q69" i="18"/>
  <c r="AL61" i="18"/>
  <c r="AM69" i="18"/>
  <c r="U69" i="18"/>
  <c r="AR69" i="18"/>
  <c r="H69" i="18"/>
  <c r="AL94" i="18"/>
  <c r="AW69" i="18"/>
  <c r="BN69" i="18"/>
  <c r="BF69" i="18"/>
  <c r="AF69" i="18"/>
  <c r="AG69" i="18"/>
  <c r="AL70" i="18"/>
  <c r="BE69" i="18"/>
  <c r="AP69" i="18"/>
  <c r="AY69" i="18"/>
  <c r="V69" i="18"/>
  <c r="AL85" i="18"/>
  <c r="J69" i="18"/>
  <c r="AL72" i="18"/>
  <c r="AL45" i="18"/>
  <c r="X69" i="18"/>
  <c r="BB69" i="18"/>
  <c r="AX69" i="18"/>
  <c r="AT69" i="18"/>
  <c r="AQ69" i="18"/>
  <c r="BA69" i="18"/>
  <c r="AL88" i="18"/>
  <c r="S69" i="18"/>
  <c r="AO69" i="18"/>
  <c r="BH69" i="18"/>
  <c r="M69" i="18"/>
  <c r="P69" i="18"/>
  <c r="BM69" i="18"/>
  <c r="BI69" i="18"/>
  <c r="R69" i="18"/>
  <c r="N69" i="18"/>
  <c r="AA69" i="18"/>
  <c r="BE96" i="18"/>
  <c r="AH96" i="18"/>
  <c r="AC96" i="18"/>
  <c r="AV96" i="18"/>
  <c r="BM59" i="18"/>
  <c r="BC96" i="18"/>
  <c r="BM94" i="18"/>
  <c r="BM67" i="18"/>
  <c r="Q96" i="18"/>
  <c r="BM83" i="18"/>
  <c r="AI96" i="18"/>
  <c r="K96" i="18"/>
  <c r="AJ96" i="18"/>
  <c r="BM91" i="18"/>
  <c r="AB96" i="18"/>
  <c r="BM89" i="18"/>
  <c r="W96" i="18"/>
  <c r="BM72" i="18"/>
  <c r="AS96" i="18"/>
  <c r="BM93" i="18"/>
  <c r="BK96" i="18"/>
  <c r="AL96" i="18"/>
  <c r="H96" i="18"/>
  <c r="AE96" i="18"/>
  <c r="R96" i="18"/>
  <c r="BA96" i="18"/>
  <c r="AF96" i="18"/>
  <c r="BM50" i="18"/>
  <c r="BM76" i="18"/>
  <c r="BD96" i="18"/>
  <c r="X96" i="18"/>
  <c r="AM96" i="18"/>
  <c r="BM70" i="18"/>
  <c r="Z96" i="18"/>
  <c r="BM63" i="18"/>
  <c r="BG96" i="18"/>
  <c r="BM66" i="18"/>
  <c r="AW96" i="18"/>
  <c r="AP96" i="18"/>
  <c r="AU76" i="18"/>
  <c r="BD78" i="18"/>
  <c r="AQ78" i="18"/>
  <c r="AU93" i="18"/>
  <c r="AU38" i="18"/>
  <c r="AU85" i="18"/>
  <c r="AU62" i="18"/>
  <c r="AU86" i="18"/>
  <c r="BK78" i="18"/>
  <c r="BF78" i="18"/>
  <c r="L78" i="18"/>
  <c r="AU75" i="18"/>
  <c r="BB78" i="18"/>
  <c r="AU54" i="18"/>
  <c r="AN78" i="18"/>
  <c r="AU73" i="18"/>
  <c r="M78" i="18"/>
  <c r="T78" i="18"/>
  <c r="AU45" i="18"/>
  <c r="BN78" i="18"/>
  <c r="AU70" i="18"/>
  <c r="AL78" i="18"/>
  <c r="AU64" i="18"/>
  <c r="H78" i="18"/>
  <c r="V78" i="18"/>
  <c r="AU90" i="18"/>
  <c r="AU89" i="18"/>
  <c r="P78" i="18"/>
  <c r="S78" i="18"/>
  <c r="AU65" i="18"/>
  <c r="AD78" i="18"/>
  <c r="AA78" i="18"/>
  <c r="J78" i="18"/>
  <c r="AU67" i="18"/>
  <c r="AO78" i="18"/>
  <c r="AS78" i="18"/>
  <c r="BC78" i="18"/>
  <c r="AU72" i="18"/>
  <c r="AU82" i="18"/>
  <c r="R78" i="18"/>
  <c r="AK78" i="18"/>
  <c r="AU87" i="18"/>
  <c r="AR78" i="18"/>
  <c r="AF78" i="18"/>
  <c r="BA78" i="18"/>
  <c r="AU79" i="18"/>
  <c r="BE78" i="18"/>
  <c r="BJ78" i="18"/>
  <c r="AG78" i="18"/>
  <c r="AB78" i="18"/>
  <c r="J47" i="18"/>
  <c r="BI47" i="18"/>
  <c r="AR47" i="18"/>
  <c r="P71" i="18"/>
  <c r="BJ47" i="18"/>
  <c r="P38" i="18"/>
  <c r="P94" i="18"/>
  <c r="BH47" i="18"/>
  <c r="X47" i="18"/>
  <c r="U47" i="18"/>
  <c r="O47" i="18"/>
  <c r="P52" i="18"/>
  <c r="P66" i="18"/>
  <c r="P70" i="18"/>
  <c r="K47" i="18"/>
  <c r="V47" i="18"/>
  <c r="P88" i="18"/>
  <c r="AS47" i="18"/>
  <c r="Z47" i="18"/>
  <c r="AT47" i="18"/>
  <c r="P82" i="18"/>
  <c r="AU47" i="18"/>
  <c r="N47" i="18"/>
  <c r="AJ47" i="18"/>
  <c r="BA47" i="18"/>
  <c r="G47" i="18"/>
  <c r="P65" i="18"/>
  <c r="BN47" i="18"/>
  <c r="AM47" i="18"/>
  <c r="AY47" i="18"/>
  <c r="P90" i="18"/>
  <c r="BD47" i="18"/>
  <c r="AP47" i="18"/>
  <c r="P41" i="18"/>
  <c r="AL47" i="18"/>
  <c r="P47" i="18"/>
  <c r="B47" i="18" s="1"/>
  <c r="L47" i="18"/>
  <c r="AF47" i="18"/>
  <c r="AZ47" i="18"/>
  <c r="AG47" i="18"/>
  <c r="AE47" i="18"/>
  <c r="BC47" i="18"/>
  <c r="AN47" i="18"/>
  <c r="H47" i="18"/>
  <c r="BB47" i="18"/>
  <c r="Q47" i="18"/>
  <c r="AO47" i="18"/>
  <c r="AH47" i="18"/>
  <c r="AC47" i="18"/>
  <c r="AQ47" i="18"/>
  <c r="BE47" i="18"/>
  <c r="Y47" i="18"/>
  <c r="AA47" i="18"/>
  <c r="AS43" i="18"/>
  <c r="L77" i="18"/>
  <c r="S43" i="18"/>
  <c r="L54" i="18"/>
  <c r="Z43" i="18"/>
  <c r="L84" i="18"/>
  <c r="U43" i="18"/>
  <c r="BJ43" i="18"/>
  <c r="AR43" i="18"/>
  <c r="L50" i="18"/>
  <c r="G43" i="18"/>
  <c r="L71" i="18"/>
  <c r="AP43" i="18"/>
  <c r="V43" i="18"/>
  <c r="K43" i="18"/>
  <c r="O43" i="18"/>
  <c r="L76" i="18"/>
  <c r="BG43" i="18"/>
  <c r="BI43" i="18"/>
  <c r="N43" i="18"/>
  <c r="Q43" i="18"/>
  <c r="BK43" i="18"/>
  <c r="BA43" i="18"/>
  <c r="AX43" i="18"/>
  <c r="L72" i="18"/>
  <c r="BL43" i="18"/>
  <c r="L52" i="18"/>
  <c r="AK79" i="18"/>
  <c r="AK63" i="18"/>
  <c r="AK84" i="18"/>
  <c r="AK82" i="18"/>
  <c r="R68" i="18"/>
  <c r="BA68" i="18"/>
  <c r="AK64" i="18"/>
  <c r="T68" i="18"/>
  <c r="AM68" i="18"/>
  <c r="AK86" i="18"/>
  <c r="AK87" i="18"/>
  <c r="U68" i="18"/>
  <c r="AK61" i="18"/>
  <c r="S68" i="18"/>
  <c r="BI68" i="18"/>
  <c r="AK76" i="18"/>
  <c r="AK94" i="18"/>
  <c r="AP68" i="18"/>
  <c r="AK71" i="18"/>
  <c r="BD68" i="18"/>
  <c r="AU68" i="18"/>
  <c r="AG68" i="18"/>
  <c r="AK90" i="18"/>
  <c r="AK59" i="18"/>
  <c r="AK52" i="18"/>
  <c r="AK74" i="18"/>
  <c r="AB68" i="18"/>
  <c r="Q68" i="18"/>
  <c r="AH68" i="18"/>
  <c r="AK45" i="18"/>
  <c r="P68" i="18"/>
  <c r="AK83" i="18"/>
  <c r="J68" i="18"/>
  <c r="AK50" i="18"/>
  <c r="AK88" i="18"/>
  <c r="AL68" i="18"/>
  <c r="AY68" i="18"/>
  <c r="AW68" i="18"/>
  <c r="AE68" i="18"/>
  <c r="AF68" i="18"/>
  <c r="AX68" i="18"/>
  <c r="K68" i="18"/>
  <c r="BH68" i="18"/>
  <c r="W68" i="18"/>
  <c r="G68" i="18"/>
  <c r="BL68" i="18"/>
  <c r="AK85" i="18"/>
  <c r="N68" i="18"/>
  <c r="AQ68" i="18"/>
  <c r="BK68" i="18"/>
  <c r="AT68" i="18"/>
  <c r="O68" i="18"/>
  <c r="BJ68" i="18"/>
  <c r="X68" i="18"/>
  <c r="AK66" i="18"/>
  <c r="V68" i="18"/>
  <c r="BC68" i="18"/>
  <c r="AR68" i="18"/>
  <c r="AA55" i="18"/>
  <c r="AW58" i="18"/>
  <c r="AE58" i="18"/>
  <c r="AF58" i="18"/>
  <c r="BD58" i="18"/>
  <c r="AA83" i="18"/>
  <c r="P58" i="18"/>
  <c r="BF58" i="18"/>
  <c r="BK58" i="18"/>
  <c r="AA67" i="18"/>
  <c r="G58" i="18"/>
  <c r="AJ58" i="18"/>
  <c r="AA59" i="18"/>
  <c r="AX58" i="18"/>
  <c r="N58" i="18"/>
  <c r="Q58" i="18"/>
  <c r="Y58" i="18"/>
  <c r="K58" i="18"/>
  <c r="W58" i="18"/>
  <c r="AA61" i="18"/>
  <c r="BH58" i="18"/>
  <c r="AA91" i="18"/>
  <c r="AQ58" i="18"/>
  <c r="O58" i="18"/>
  <c r="AS58" i="18"/>
  <c r="BN58" i="18"/>
  <c r="AA56" i="18"/>
  <c r="AA94" i="18"/>
  <c r="AA58" i="18"/>
  <c r="B58" i="18" s="1"/>
  <c r="AA90" i="18"/>
  <c r="AC58" i="18"/>
  <c r="AA52" i="18"/>
  <c r="AA87" i="18"/>
  <c r="AA76" i="18"/>
  <c r="AP58" i="18"/>
  <c r="L58" i="18"/>
  <c r="AA79" i="18"/>
  <c r="BE58" i="18"/>
  <c r="AL58" i="18"/>
  <c r="AI58" i="18"/>
  <c r="AH58" i="18"/>
  <c r="Z58" i="18"/>
  <c r="R58" i="18"/>
  <c r="AA63" i="18"/>
  <c r="AU58" i="18"/>
  <c r="AZ58" i="18"/>
  <c r="AA65" i="18"/>
  <c r="AT58" i="18"/>
  <c r="AR58" i="18"/>
  <c r="H58" i="18"/>
  <c r="AD58" i="18"/>
  <c r="J58" i="18"/>
  <c r="BB58" i="18"/>
  <c r="Z82" i="18"/>
  <c r="Z72" i="18"/>
  <c r="Y57" i="18"/>
  <c r="Z65" i="18"/>
  <c r="BC57" i="18"/>
  <c r="Z73" i="18"/>
  <c r="Z62" i="18"/>
  <c r="S57" i="18"/>
  <c r="Z86" i="18"/>
  <c r="K57" i="18"/>
  <c r="Z52" i="18"/>
  <c r="AI57" i="18"/>
  <c r="J57" i="18"/>
  <c r="AS57" i="18"/>
  <c r="BK57" i="18"/>
  <c r="AD57" i="18"/>
  <c r="Z42" i="18"/>
  <c r="AL57" i="18"/>
  <c r="Z61" i="18"/>
  <c r="AP57" i="18"/>
  <c r="R57" i="18"/>
  <c r="Z63" i="18"/>
  <c r="Z56" i="18"/>
  <c r="BD57" i="18"/>
  <c r="H57" i="18"/>
  <c r="AX57" i="18"/>
  <c r="O57" i="18"/>
  <c r="AF57" i="18"/>
  <c r="Q57" i="18"/>
  <c r="BF57" i="18"/>
  <c r="U57" i="18"/>
  <c r="T57" i="18"/>
  <c r="AZ57" i="18"/>
  <c r="AA57" i="18"/>
  <c r="AK57" i="18"/>
  <c r="Z87" i="18"/>
  <c r="G57" i="18"/>
  <c r="Z67" i="18"/>
  <c r="Z70" i="18"/>
  <c r="Z81" i="18"/>
  <c r="W57" i="18"/>
  <c r="AH57" i="18"/>
  <c r="BL57" i="18"/>
  <c r="AB57" i="18"/>
  <c r="AR57" i="18"/>
  <c r="Z59" i="18"/>
  <c r="AW57" i="18"/>
  <c r="BG57" i="18"/>
  <c r="AV80" i="18"/>
  <c r="BC80" i="18"/>
  <c r="G80" i="18"/>
  <c r="AW56" i="18"/>
  <c r="BA80" i="18"/>
  <c r="BG80" i="18"/>
  <c r="AZ80" i="18"/>
  <c r="AS80" i="18"/>
  <c r="AW76" i="18"/>
  <c r="AW84" i="18"/>
  <c r="J80" i="18"/>
  <c r="AW59" i="18"/>
  <c r="M76" i="18"/>
  <c r="AL44" i="18"/>
  <c r="AF44" i="18"/>
  <c r="O44" i="18"/>
  <c r="BC44" i="18"/>
  <c r="AX44" i="18"/>
  <c r="M87" i="18"/>
  <c r="L44" i="18"/>
  <c r="M79" i="18"/>
  <c r="Q44" i="18"/>
  <c r="M45" i="18"/>
  <c r="AO44" i="18"/>
  <c r="AP44" i="18"/>
  <c r="BI44" i="18"/>
  <c r="BJ44" i="18"/>
  <c r="BK44" i="18"/>
  <c r="M67" i="18"/>
  <c r="AE44" i="18"/>
  <c r="M41" i="18"/>
  <c r="M91" i="18"/>
  <c r="AG44" i="18"/>
  <c r="M52" i="18"/>
  <c r="BB44" i="18"/>
  <c r="BE44" i="18"/>
  <c r="M93" i="18"/>
  <c r="H44" i="18"/>
  <c r="M94" i="18"/>
  <c r="AU44" i="18"/>
  <c r="AS44" i="18"/>
  <c r="BA44" i="18"/>
  <c r="G44" i="18"/>
  <c r="AC44" i="18"/>
  <c r="K44" i="18"/>
  <c r="M66" i="18"/>
  <c r="V44" i="18"/>
  <c r="AM44" i="18"/>
  <c r="J44" i="18"/>
  <c r="M59" i="18"/>
  <c r="AY44" i="18"/>
  <c r="AR44" i="18"/>
  <c r="BH44" i="18"/>
  <c r="AB44" i="18"/>
  <c r="AJ44" i="18"/>
  <c r="BF44" i="18"/>
  <c r="BD44" i="18"/>
  <c r="Z44" i="18"/>
  <c r="R44" i="18"/>
  <c r="AT44" i="18"/>
  <c r="AK44" i="18"/>
  <c r="BL44" i="18"/>
  <c r="AY51" i="18"/>
  <c r="AZ51" i="18"/>
  <c r="AQ51" i="18"/>
  <c r="BI51" i="18"/>
  <c r="T77" i="18"/>
  <c r="T45" i="18"/>
  <c r="BB51" i="18"/>
  <c r="R51" i="18"/>
  <c r="T70" i="18"/>
  <c r="BC51" i="18"/>
  <c r="T66" i="18"/>
  <c r="T65" i="18"/>
  <c r="K51" i="18"/>
  <c r="T41" i="18"/>
  <c r="L51" i="18"/>
  <c r="S51" i="18"/>
  <c r="T93" i="18"/>
  <c r="T81" i="18"/>
  <c r="T71" i="18"/>
  <c r="M51" i="18"/>
  <c r="V51" i="18"/>
  <c r="T91" i="18"/>
  <c r="BH51" i="18"/>
  <c r="T87" i="18"/>
  <c r="T83" i="18"/>
  <c r="Y51" i="18"/>
  <c r="AH51" i="18"/>
  <c r="AP51" i="18"/>
  <c r="BN51" i="18"/>
  <c r="AT51" i="18"/>
  <c r="T82" i="18"/>
  <c r="T85" i="18"/>
  <c r="T79" i="18"/>
  <c r="BL51" i="18"/>
  <c r="T51" i="18"/>
  <c r="B51" i="18" s="1"/>
  <c r="AF51" i="18"/>
  <c r="AK51" i="18"/>
  <c r="T88" i="18"/>
  <c r="AD51" i="18"/>
  <c r="BD51" i="18"/>
  <c r="X51" i="18"/>
  <c r="BA51" i="18"/>
  <c r="Q51" i="18"/>
  <c r="N51" i="18"/>
  <c r="AJ51" i="18"/>
  <c r="AV51" i="18"/>
  <c r="AU51" i="18"/>
  <c r="AX51" i="18"/>
  <c r="BK51" i="18"/>
  <c r="BJ31" i="233" l="1"/>
  <c r="BM31" i="233"/>
  <c r="M31" i="233"/>
  <c r="AE31" i="233"/>
  <c r="K31" i="233"/>
  <c r="P31" i="233"/>
  <c r="Y31" i="233"/>
  <c r="AB31" i="233"/>
  <c r="T31" i="233"/>
  <c r="X31" i="233"/>
  <c r="AG31" i="233"/>
  <c r="AR31" i="233"/>
  <c r="AW31" i="233"/>
  <c r="BG31" i="233"/>
  <c r="BE31" i="233"/>
  <c r="BC31" i="233"/>
  <c r="BB31" i="233"/>
  <c r="AQ31" i="233"/>
  <c r="AF31" i="233"/>
  <c r="R31" i="233"/>
  <c r="U31" i="233"/>
  <c r="AC31" i="233"/>
  <c r="BK31" i="233"/>
  <c r="AY31" i="233"/>
  <c r="AT31" i="233"/>
  <c r="AO31" i="233"/>
  <c r="W31" i="233"/>
  <c r="BN31" i="233"/>
  <c r="AJ31" i="233"/>
  <c r="Q31" i="233"/>
  <c r="BH31" i="233"/>
  <c r="BI31" i="233"/>
  <c r="S31" i="233"/>
  <c r="AN31" i="233"/>
  <c r="AL31" i="233"/>
  <c r="BL31" i="233"/>
  <c r="AZ31" i="233"/>
  <c r="V31" i="233"/>
  <c r="AA31" i="233"/>
  <c r="L31" i="233"/>
  <c r="AD31" i="233"/>
  <c r="AI31" i="233"/>
  <c r="AU31" i="233"/>
  <c r="I25" i="233"/>
  <c r="AX31" i="233"/>
  <c r="AS31" i="233"/>
  <c r="AV31" i="233"/>
  <c r="AH31" i="233"/>
  <c r="O31" i="233"/>
  <c r="N31" i="233"/>
  <c r="Z31" i="233"/>
  <c r="BF31" i="233"/>
  <c r="AM31" i="233"/>
  <c r="AP31" i="233"/>
  <c r="AK31" i="233"/>
  <c r="BA31" i="233"/>
  <c r="BD31" i="233"/>
  <c r="H65" i="223"/>
  <c r="H4" i="223" s="1"/>
  <c r="AL25" i="18"/>
  <c r="K19" i="223"/>
  <c r="K5" i="223" s="1"/>
  <c r="O92" i="223"/>
  <c r="J44" i="14"/>
  <c r="I44" i="14"/>
  <c r="L40" i="1"/>
  <c r="O128" i="223"/>
  <c r="AN25" i="18"/>
  <c r="M155" i="223"/>
  <c r="M3" i="223" s="1"/>
  <c r="AG40" i="1"/>
  <c r="O54" i="223"/>
  <c r="D110" i="223"/>
  <c r="D14" i="223" s="1"/>
  <c r="O44" i="223"/>
  <c r="B31" i="185"/>
  <c r="AR25" i="18"/>
  <c r="F185" i="223"/>
  <c r="F13" i="223" s="1"/>
  <c r="L25" i="18"/>
  <c r="O192" i="223"/>
  <c r="I140" i="223"/>
  <c r="I7" i="223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L34" i="223"/>
  <c r="L6" i="223" s="1"/>
  <c r="N140" i="223"/>
  <c r="N7" i="223" s="1"/>
  <c r="O173" i="223"/>
  <c r="BI40" i="1"/>
  <c r="Y40" i="1"/>
  <c r="O113" i="223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AF25" i="18"/>
  <c r="O22" i="223"/>
  <c r="O38" i="223"/>
  <c r="V25" i="18"/>
  <c r="H95" i="223"/>
  <c r="H9" i="223" s="1"/>
  <c r="F110" i="223"/>
  <c r="F14" i="223" s="1"/>
  <c r="O161" i="223"/>
  <c r="AJ40" i="1"/>
  <c r="W25" i="18"/>
  <c r="BC40" i="1"/>
  <c r="AU40" i="1"/>
  <c r="J65" i="223"/>
  <c r="J4" i="223" s="1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O167" i="223"/>
  <c r="I80" i="223"/>
  <c r="I11" i="223" s="1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AO25" i="18"/>
  <c r="N155" i="223"/>
  <c r="N3" i="223" s="1"/>
  <c r="AQ25" i="18"/>
  <c r="U40" i="1"/>
  <c r="K125" i="223"/>
  <c r="K10" i="223" s="1"/>
  <c r="BA31" i="1"/>
  <c r="T31" i="1"/>
  <c r="Z31" i="1"/>
  <c r="BE31" i="1"/>
  <c r="V31" i="1"/>
  <c r="AW31" i="1"/>
  <c r="P31" i="1"/>
  <c r="BG31" i="1"/>
  <c r="BN31" i="1"/>
  <c r="AC31" i="1"/>
  <c r="BB31" i="1"/>
  <c r="AF31" i="1"/>
  <c r="AM31" i="1"/>
  <c r="AY31" i="1"/>
  <c r="L31" i="1"/>
  <c r="Q31" i="1"/>
  <c r="BJ31" i="1"/>
  <c r="BM31" i="1"/>
  <c r="AS31" i="1"/>
  <c r="AG31" i="1"/>
  <c r="K31" i="1"/>
  <c r="BC31" i="1"/>
  <c r="X31" i="1"/>
  <c r="AD31" i="1"/>
  <c r="AP31" i="1"/>
  <c r="AU31" i="1"/>
  <c r="Y31" i="1"/>
  <c r="AE31" i="1"/>
  <c r="AK31" i="1"/>
  <c r="AQ31" i="1"/>
  <c r="O31" i="1"/>
  <c r="AN31" i="1"/>
  <c r="BL31" i="1"/>
  <c r="AT31" i="1"/>
  <c r="AI31" i="1"/>
  <c r="AH31" i="1"/>
  <c r="AV31" i="1"/>
  <c r="BK31" i="1"/>
  <c r="BI31" i="1"/>
  <c r="S31" i="1"/>
  <c r="BH31" i="1"/>
  <c r="AX31" i="1"/>
  <c r="AZ31" i="1"/>
  <c r="AA31" i="1"/>
  <c r="I25" i="1"/>
  <c r="AL31" i="1"/>
  <c r="U31" i="1"/>
  <c r="R31" i="1"/>
  <c r="N31" i="1"/>
  <c r="M31" i="1"/>
  <c r="AR31" i="1"/>
  <c r="AB31" i="1"/>
  <c r="BD31" i="1"/>
  <c r="AJ31" i="1"/>
  <c r="BF31" i="1"/>
  <c r="AO31" i="1"/>
  <c r="W31" i="1"/>
  <c r="AP25" i="18"/>
  <c r="O159" i="223"/>
  <c r="I7" i="14"/>
  <c r="J7" i="14"/>
  <c r="O20" i="223"/>
  <c r="B19" i="223"/>
  <c r="B5" i="223" s="1"/>
  <c r="K95" i="223"/>
  <c r="K9" i="223" s="1"/>
  <c r="O175" i="223"/>
  <c r="O115" i="223"/>
  <c r="E95" i="223"/>
  <c r="E9" i="223" s="1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B110" i="223"/>
  <c r="B14" i="223" s="1"/>
  <c r="O111" i="223"/>
  <c r="G65" i="223"/>
  <c r="G4" i="223" s="1"/>
  <c r="D34" i="223"/>
  <c r="D6" i="223" s="1"/>
  <c r="BM40" i="1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I50" i="223"/>
  <c r="I8" i="223" s="1"/>
  <c r="J80" i="223"/>
  <c r="J11" i="223" s="1"/>
  <c r="O144" i="223"/>
  <c r="O75" i="223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AH25" i="18"/>
  <c r="K110" i="223"/>
  <c r="K14" i="223" s="1"/>
  <c r="W40" i="1"/>
  <c r="N170" i="223"/>
  <c r="N12" i="223" s="1"/>
  <c r="AM40" i="1"/>
  <c r="R40" i="1"/>
  <c r="O162" i="223"/>
  <c r="G155" i="223"/>
  <c r="G3" i="223" s="1"/>
  <c r="D170" i="223"/>
  <c r="D12" i="223" s="1"/>
  <c r="O27" i="223"/>
  <c r="N80" i="223"/>
  <c r="N11" i="223" s="1"/>
  <c r="O114" i="223"/>
  <c r="M50" i="223"/>
  <c r="M8" i="223" s="1"/>
  <c r="O147" i="223"/>
  <c r="B95" i="223"/>
  <c r="B9" i="223" s="1"/>
  <c r="O96" i="223"/>
  <c r="O66" i="223"/>
  <c r="B65" i="223"/>
  <c r="B4" i="223" s="1"/>
  <c r="BG40" i="1"/>
  <c r="AV25" i="18"/>
  <c r="O118" i="223"/>
  <c r="O56" i="223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J50" i="223"/>
  <c r="J8" i="223" s="1"/>
  <c r="O163" i="223"/>
  <c r="O52" i="223"/>
  <c r="O40" i="1"/>
  <c r="G19" i="223"/>
  <c r="G5" i="223" s="1"/>
  <c r="C19" i="223"/>
  <c r="C5" i="223" s="1"/>
  <c r="O40" i="223"/>
  <c r="O29" i="223"/>
  <c r="F140" i="223"/>
  <c r="F7" i="223" s="1"/>
  <c r="Z25" i="18"/>
  <c r="G50" i="223"/>
  <c r="G8" i="223" s="1"/>
  <c r="J170" i="223"/>
  <c r="J12" i="223" s="1"/>
  <c r="O68" i="223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AU25" i="18"/>
  <c r="L50" i="223"/>
  <c r="L8" i="223" s="1"/>
  <c r="H80" i="223"/>
  <c r="H11" i="223" s="1"/>
  <c r="O188" i="223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AY25" i="18"/>
  <c r="O187" i="223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O186" i="223"/>
  <c r="B185" i="223"/>
  <c r="B13" i="223" s="1"/>
  <c r="C170" i="223"/>
  <c r="C12" i="223" s="1"/>
  <c r="J34" i="223"/>
  <c r="J6" i="223" s="1"/>
  <c r="M185" i="223"/>
  <c r="M13" i="223" s="1"/>
  <c r="O122" i="223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K34" i="223"/>
  <c r="K6" i="223" s="1"/>
  <c r="AX25" i="18"/>
  <c r="E110" i="223"/>
  <c r="E14" i="223" s="1"/>
  <c r="O26" i="223"/>
  <c r="O77" i="223"/>
  <c r="O141" i="223"/>
  <c r="B140" i="223"/>
  <c r="B7" i="223" s="1"/>
  <c r="F80" i="223"/>
  <c r="F11" i="223" s="1"/>
  <c r="M80" i="223"/>
  <c r="M11" i="223" s="1"/>
  <c r="T40" i="1"/>
  <c r="BL40" i="1"/>
  <c r="O83" i="223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X40" i="1"/>
  <c r="H155" i="223"/>
  <c r="H3" i="223" s="1"/>
  <c r="J95" i="223"/>
  <c r="J9" i="223" s="1"/>
  <c r="AQ40" i="1"/>
  <c r="J155" i="223"/>
  <c r="J3" i="223" s="1"/>
  <c r="E19" i="223"/>
  <c r="E5" i="223" s="1"/>
  <c r="O23" i="223"/>
  <c r="O148" i="223"/>
  <c r="O81" i="223"/>
  <c r="B80" i="223"/>
  <c r="B11" i="223" s="1"/>
  <c r="O71" i="223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N125" i="223"/>
  <c r="N10" i="223" s="1"/>
  <c r="G185" i="223"/>
  <c r="G13" i="223" s="1"/>
  <c r="BA25" i="18"/>
  <c r="H170" i="223"/>
  <c r="H12" i="223" s="1"/>
  <c r="BF40" i="1"/>
  <c r="M34" i="223"/>
  <c r="M6" i="223" s="1"/>
  <c r="I65" i="223"/>
  <c r="I4" i="223" s="1"/>
  <c r="O178" i="223"/>
  <c r="O67" i="223"/>
  <c r="BH25" i="18"/>
  <c r="AM25" i="18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J185" i="223"/>
  <c r="J13" i="223" s="1"/>
  <c r="O74" i="223"/>
  <c r="N185" i="223"/>
  <c r="N13" i="223" s="1"/>
  <c r="C50" i="223"/>
  <c r="C8" i="223" s="1"/>
  <c r="O129" i="223"/>
  <c r="D19" i="223"/>
  <c r="D5" i="223" s="1"/>
  <c r="O69" i="223"/>
  <c r="O119" i="223"/>
  <c r="L80" i="223"/>
  <c r="L11" i="223" s="1"/>
  <c r="AB31" i="228"/>
  <c r="L31" i="228"/>
  <c r="R31" i="228"/>
  <c r="BL31" i="228"/>
  <c r="AJ31" i="228"/>
  <c r="U31" i="228"/>
  <c r="W31" i="228"/>
  <c r="S31" i="228"/>
  <c r="AL31" i="228"/>
  <c r="AI31" i="228"/>
  <c r="BG31" i="228"/>
  <c r="AC31" i="228"/>
  <c r="AO31" i="228"/>
  <c r="Z31" i="228"/>
  <c r="AG31" i="228"/>
  <c r="BF31" i="228"/>
  <c r="X31" i="228"/>
  <c r="M31" i="228"/>
  <c r="AS31" i="228"/>
  <c r="AA31" i="228"/>
  <c r="AV31" i="228"/>
  <c r="BB31" i="228"/>
  <c r="BK31" i="228"/>
  <c r="K31" i="228"/>
  <c r="AR31" i="228"/>
  <c r="AE31" i="228"/>
  <c r="Q31" i="228"/>
  <c r="P31" i="228"/>
  <c r="BC31" i="228"/>
  <c r="BJ31" i="228"/>
  <c r="BE31" i="228"/>
  <c r="AY31" i="228"/>
  <c r="BA31" i="228"/>
  <c r="V31" i="228"/>
  <c r="AF31" i="228"/>
  <c r="AM31" i="228"/>
  <c r="BI31" i="228"/>
  <c r="BN31" i="228"/>
  <c r="T31" i="228"/>
  <c r="AT31" i="228"/>
  <c r="AD31" i="228"/>
  <c r="Y31" i="228"/>
  <c r="AU31" i="228"/>
  <c r="AW31" i="228"/>
  <c r="AN31" i="228"/>
  <c r="N31" i="228"/>
  <c r="BD31" i="228"/>
  <c r="AX31" i="228"/>
  <c r="BM31" i="228"/>
  <c r="AP31" i="228"/>
  <c r="AK31" i="228"/>
  <c r="O31" i="228"/>
  <c r="BH31" i="228"/>
  <c r="AZ31" i="228"/>
  <c r="AH31" i="228"/>
  <c r="I25" i="228"/>
  <c r="AQ31" i="228"/>
  <c r="O190" i="223"/>
  <c r="K185" i="223"/>
  <c r="K13" i="223" s="1"/>
  <c r="N110" i="223"/>
  <c r="N14" i="223" s="1"/>
  <c r="AA25" i="18"/>
  <c r="N19" i="223"/>
  <c r="N5" i="223" s="1"/>
  <c r="I110" i="223"/>
  <c r="I14" i="223" s="1"/>
  <c r="AS25" i="18"/>
  <c r="O157" i="223"/>
  <c r="O150" i="223"/>
  <c r="F170" i="223"/>
  <c r="F12" i="223" s="1"/>
  <c r="A33" i="185"/>
  <c r="AD40" i="1"/>
  <c r="O133" i="223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O30" i="223"/>
  <c r="O41" i="223"/>
  <c r="F34" i="223"/>
  <c r="F6" i="223" s="1"/>
  <c r="AJ25" i="18"/>
  <c r="BC25" i="18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O160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O191" i="223"/>
  <c r="AH40" i="1"/>
  <c r="AB25" i="18"/>
  <c r="AG25" i="18"/>
  <c r="H50" i="223"/>
  <c r="H8" i="223" s="1"/>
  <c r="BG25" i="18"/>
  <c r="Z40" i="1"/>
  <c r="I185" i="223"/>
  <c r="I13" i="223" s="1"/>
  <c r="O21" i="223"/>
  <c r="N40" i="1"/>
  <c r="P40" i="1"/>
  <c r="F95" i="223"/>
  <c r="F9" i="223" s="1"/>
  <c r="O142" i="223"/>
  <c r="F19" i="223"/>
  <c r="F5" i="223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AL40" i="1"/>
  <c r="P25" i="18"/>
  <c r="F125" i="223"/>
  <c r="F10" i="223" s="1"/>
  <c r="AR40" i="1"/>
  <c r="AO40" i="1"/>
  <c r="Q40" i="1"/>
  <c r="O146" i="223"/>
  <c r="AA40" i="1"/>
  <c r="AV40" i="1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G95" i="223"/>
  <c r="G9" i="223" s="1"/>
  <c r="AB31" i="224"/>
  <c r="BN31" i="224"/>
  <c r="P31" i="224"/>
  <c r="AP31" i="224"/>
  <c r="AH31" i="224"/>
  <c r="Q31" i="224"/>
  <c r="BA31" i="224"/>
  <c r="W31" i="224"/>
  <c r="S31" i="224"/>
  <c r="BE31" i="224"/>
  <c r="AF31" i="224"/>
  <c r="AR31" i="224"/>
  <c r="X31" i="224"/>
  <c r="BC31" i="224"/>
  <c r="BL31" i="224"/>
  <c r="Y31" i="224"/>
  <c r="T31" i="224"/>
  <c r="Z31" i="224"/>
  <c r="R31" i="224"/>
  <c r="N31" i="224"/>
  <c r="AL31" i="224"/>
  <c r="AJ31" i="224"/>
  <c r="V31" i="224"/>
  <c r="AO31" i="224"/>
  <c r="AG31" i="224"/>
  <c r="AX31" i="224"/>
  <c r="BH31" i="224"/>
  <c r="BB31" i="224"/>
  <c r="AD31" i="224"/>
  <c r="BF31" i="224"/>
  <c r="AM31" i="224"/>
  <c r="BJ31" i="224"/>
  <c r="L31" i="224"/>
  <c r="AU31" i="224"/>
  <c r="AZ31" i="224"/>
  <c r="BI31" i="224"/>
  <c r="BG31" i="224"/>
  <c r="O31" i="224"/>
  <c r="AN31" i="224"/>
  <c r="AT31" i="224"/>
  <c r="BK31" i="224"/>
  <c r="BM31" i="224"/>
  <c r="AK31" i="224"/>
  <c r="AY31" i="224"/>
  <c r="M31" i="224"/>
  <c r="AI31" i="224"/>
  <c r="AE31" i="224"/>
  <c r="U31" i="224"/>
  <c r="AW31" i="224"/>
  <c r="AC31" i="224"/>
  <c r="K31" i="224"/>
  <c r="BD31" i="224"/>
  <c r="AA31" i="224"/>
  <c r="AV31" i="224"/>
  <c r="I25" i="224"/>
  <c r="AS31" i="224"/>
  <c r="AQ31" i="224"/>
  <c r="L65" i="223"/>
  <c r="L4" i="223" s="1"/>
  <c r="O112" i="223"/>
  <c r="E185" i="223"/>
  <c r="E13" i="223" s="1"/>
  <c r="O126" i="223"/>
  <c r="B125" i="223"/>
  <c r="B10" i="223" s="1"/>
  <c r="E65" i="223"/>
  <c r="E4" i="223" s="1"/>
  <c r="AC40" i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BC31" i="232"/>
  <c r="AW31" i="232"/>
  <c r="BG31" i="232"/>
  <c r="S31" i="232"/>
  <c r="BF31" i="232"/>
  <c r="BB31" i="232"/>
  <c r="P31" i="232"/>
  <c r="AF31" i="232"/>
  <c r="AY31" i="232"/>
  <c r="AN31" i="232"/>
  <c r="U31" i="232"/>
  <c r="N31" i="232"/>
  <c r="Z31" i="232"/>
  <c r="BA31" i="232"/>
  <c r="BI31" i="232"/>
  <c r="W31" i="232"/>
  <c r="V31" i="232"/>
  <c r="AQ31" i="232"/>
  <c r="I25" i="232"/>
  <c r="AC31" i="232"/>
  <c r="K31" i="232"/>
  <c r="L31" i="232"/>
  <c r="Y31" i="232"/>
  <c r="AJ31" i="232"/>
  <c r="AG31" i="232"/>
  <c r="BH31" i="232"/>
  <c r="BE31" i="232"/>
  <c r="AA31" i="232"/>
  <c r="AB31" i="232"/>
  <c r="AV31" i="232"/>
  <c r="AK31" i="232"/>
  <c r="O31" i="232"/>
  <c r="AE31" i="232"/>
  <c r="M31" i="232"/>
  <c r="BM31" i="232"/>
  <c r="BL31" i="232"/>
  <c r="R31" i="232"/>
  <c r="AT31" i="232"/>
  <c r="AP31" i="232"/>
  <c r="Q31" i="232"/>
  <c r="AD31" i="232"/>
  <c r="AZ31" i="232"/>
  <c r="AX31" i="232"/>
  <c r="X31" i="232"/>
  <c r="BJ31" i="232"/>
  <c r="BN31" i="232"/>
  <c r="AU31" i="232"/>
  <c r="AS31" i="232"/>
  <c r="AH31" i="232"/>
  <c r="AO31" i="232"/>
  <c r="AM31" i="232"/>
  <c r="AL31" i="232"/>
  <c r="BK31" i="232"/>
  <c r="AI31" i="232"/>
  <c r="T31" i="232"/>
  <c r="AR31" i="232"/>
  <c r="BD31" i="232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I19" i="223"/>
  <c r="I5" i="223" s="1"/>
  <c r="BE40" i="1"/>
  <c r="O87" i="223"/>
  <c r="M25" i="18"/>
  <c r="H140" i="223"/>
  <c r="H7" i="223" s="1"/>
  <c r="D125" i="223"/>
  <c r="D10" i="223" s="1"/>
  <c r="S40" i="1"/>
  <c r="AE40" i="1"/>
  <c r="S25" i="18"/>
  <c r="BJ25" i="18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C80" i="223"/>
  <c r="C11" i="223" s="1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BI25" i="18"/>
  <c r="O86" i="223"/>
  <c r="AW25" i="18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AW40" i="1"/>
  <c r="O151" i="223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D50" i="223"/>
  <c r="D8" i="223" s="1"/>
  <c r="D155" i="223"/>
  <c r="D3" i="223" s="1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C140" i="223"/>
  <c r="C7" i="223" s="1"/>
  <c r="J19" i="223"/>
  <c r="J5" i="223" s="1"/>
  <c r="L110" i="223"/>
  <c r="L14" i="223" s="1"/>
  <c r="N25" i="18"/>
  <c r="AN40" i="1"/>
  <c r="I34" i="223"/>
  <c r="I6" i="223" s="1"/>
  <c r="O72" i="223"/>
  <c r="L95" i="223"/>
  <c r="L9" i="223" s="1"/>
  <c r="C155" i="223"/>
  <c r="C3" i="223" s="1"/>
  <c r="E125" i="223"/>
  <c r="E10" i="223" s="1"/>
  <c r="M31" i="231"/>
  <c r="AS31" i="231"/>
  <c r="X31" i="231"/>
  <c r="S31" i="231"/>
  <c r="AY31" i="231"/>
  <c r="I25" i="231"/>
  <c r="BG31" i="231"/>
  <c r="AU31" i="231"/>
  <c r="Q31" i="231"/>
  <c r="AT31" i="231"/>
  <c r="BA31" i="231"/>
  <c r="AL31" i="231"/>
  <c r="Z31" i="231"/>
  <c r="AA31" i="231"/>
  <c r="AJ31" i="231"/>
  <c r="AG31" i="231"/>
  <c r="T31" i="231"/>
  <c r="V31" i="231"/>
  <c r="AK31" i="231"/>
  <c r="AE31" i="231"/>
  <c r="BD31" i="231"/>
  <c r="U31" i="231"/>
  <c r="AX31" i="231"/>
  <c r="AZ31" i="231"/>
  <c r="AB31" i="231"/>
  <c r="O31" i="231"/>
  <c r="AM31" i="231"/>
  <c r="AQ31" i="231"/>
  <c r="AV31" i="231"/>
  <c r="W31" i="231"/>
  <c r="AH31" i="231"/>
  <c r="AR31" i="231"/>
  <c r="BF31" i="231"/>
  <c r="BH31" i="231"/>
  <c r="AF31" i="231"/>
  <c r="BN31" i="231"/>
  <c r="R31" i="231"/>
  <c r="AC31" i="231"/>
  <c r="N31" i="231"/>
  <c r="BE31" i="231"/>
  <c r="AN31" i="231"/>
  <c r="AP31" i="231"/>
  <c r="BL31" i="231"/>
  <c r="L31" i="231"/>
  <c r="Y31" i="231"/>
  <c r="AW31" i="231"/>
  <c r="AI31" i="231"/>
  <c r="BB31" i="231"/>
  <c r="P31" i="231"/>
  <c r="BC31" i="231"/>
  <c r="BM31" i="231"/>
  <c r="BK31" i="231"/>
  <c r="AO31" i="231"/>
  <c r="AD31" i="231"/>
  <c r="K31" i="231"/>
  <c r="BI31" i="231"/>
  <c r="BJ31" i="231"/>
  <c r="BD40" i="1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R25" i="18"/>
  <c r="O152" i="223"/>
  <c r="O174" i="223"/>
  <c r="O82" i="223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M170" i="223"/>
  <c r="M12" i="223" s="1"/>
  <c r="H34" i="223"/>
  <c r="H6" i="223" s="1"/>
  <c r="D80" i="223"/>
  <c r="D11" i="223" s="1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AD25" i="18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O193" i="223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AE25" i="18"/>
  <c r="AK25" i="18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O176" i="223"/>
  <c r="K50" i="223"/>
  <c r="K8" i="223" s="1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D185" i="223"/>
  <c r="D13" i="223" s="1"/>
  <c r="I95" i="223"/>
  <c r="I9" i="223" s="1"/>
  <c r="O171" i="223"/>
  <c r="B170" i="223"/>
  <c r="B12" i="223" s="1"/>
  <c r="G125" i="223"/>
  <c r="G10" i="223" s="1"/>
  <c r="G34" i="223"/>
  <c r="G6" i="223" s="1"/>
  <c r="O70" i="223"/>
  <c r="D65" i="223"/>
  <c r="D4" i="223" s="1"/>
  <c r="F50" i="223"/>
  <c r="F8" i="223" s="1"/>
  <c r="O39" i="223"/>
  <c r="AP40" i="1"/>
  <c r="E140" i="223"/>
  <c r="E7" i="223" s="1"/>
  <c r="E80" i="223"/>
  <c r="E11" i="223" s="1"/>
  <c r="O85" i="223"/>
  <c r="Y25" i="18"/>
  <c r="AZ25" i="18"/>
  <c r="E155" i="223"/>
  <c r="E3" i="223" s="1"/>
  <c r="C185" i="223"/>
  <c r="C13" i="223" s="1"/>
  <c r="O28" i="223"/>
  <c r="BH40" i="1"/>
  <c r="O25" i="223"/>
  <c r="K155" i="223"/>
  <c r="K3" i="223" s="1"/>
  <c r="C34" i="223"/>
  <c r="C6" i="223" s="1"/>
  <c r="O98" i="223"/>
  <c r="K40" i="1"/>
  <c r="F65" i="223"/>
  <c r="F4" i="223" s="1"/>
  <c r="O145" i="223"/>
  <c r="H125" i="223"/>
  <c r="H10" i="223" s="1"/>
  <c r="O189" i="223"/>
  <c r="I155" i="223"/>
  <c r="I3" i="223" s="1"/>
  <c r="BF25" i="18"/>
  <c r="BM25" i="18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AF40" i="1"/>
  <c r="I125" i="223"/>
  <c r="I10" i="223" s="1"/>
  <c r="BE25" i="18"/>
  <c r="C95" i="223"/>
  <c r="C9" i="223" s="1"/>
  <c r="M110" i="223"/>
  <c r="M14" i="223" s="1"/>
  <c r="H110" i="223"/>
  <c r="H14" i="223" s="1"/>
  <c r="O89" i="223"/>
  <c r="AZ40" i="1"/>
  <c r="AY40" i="1"/>
  <c r="T25" i="18"/>
  <c r="X25" i="18"/>
  <c r="K65" i="223"/>
  <c r="K4" i="223" s="1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L19" i="223"/>
  <c r="L5" i="223" s="1"/>
  <c r="O97" i="223"/>
  <c r="O37" i="223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Q25" i="18"/>
  <c r="J125" i="223"/>
  <c r="J10" i="223" s="1"/>
  <c r="L125" i="223"/>
  <c r="L10" i="223" s="1"/>
  <c r="L155" i="223"/>
  <c r="L3" i="223" s="1"/>
  <c r="J110" i="223"/>
  <c r="J14" i="223" s="1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M95" i="223"/>
  <c r="M9" i="223" s="1"/>
  <c r="H19" i="223"/>
  <c r="H5" i="223" s="1"/>
  <c r="D140" i="223"/>
  <c r="D7" i="223" s="1"/>
  <c r="C65" i="223"/>
  <c r="C4" i="223" s="1"/>
  <c r="O172" i="223"/>
  <c r="K170" i="223"/>
  <c r="K12" i="223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E170" i="223"/>
  <c r="E12" i="223" s="1"/>
  <c r="B34" i="223"/>
  <c r="B6" i="223" s="1"/>
  <c r="O35" i="223"/>
  <c r="O180" i="223"/>
  <c r="N34" i="223"/>
  <c r="N6" i="223" s="1"/>
  <c r="AE31" i="225"/>
  <c r="AS31" i="225"/>
  <c r="Y31" i="225"/>
  <c r="BF31" i="225"/>
  <c r="N31" i="225"/>
  <c r="AQ31" i="225"/>
  <c r="AO31" i="225"/>
  <c r="S31" i="225"/>
  <c r="BN31" i="225"/>
  <c r="AV31" i="225"/>
  <c r="AK31" i="225"/>
  <c r="K31" i="225"/>
  <c r="AW31" i="225"/>
  <c r="Q31" i="225"/>
  <c r="AC31" i="225"/>
  <c r="BC31" i="225"/>
  <c r="X31" i="225"/>
  <c r="R31" i="225"/>
  <c r="T31" i="225"/>
  <c r="AG31" i="225"/>
  <c r="U31" i="225"/>
  <c r="L31" i="225"/>
  <c r="BA31" i="225"/>
  <c r="BJ31" i="225"/>
  <c r="AF31" i="225"/>
  <c r="AU31" i="225"/>
  <c r="AJ31" i="225"/>
  <c r="W31" i="225"/>
  <c r="AT31" i="225"/>
  <c r="BM31" i="225"/>
  <c r="BB31" i="225"/>
  <c r="BG31" i="225"/>
  <c r="BI31" i="225"/>
  <c r="AI31" i="225"/>
  <c r="AX31" i="225"/>
  <c r="P31" i="225"/>
  <c r="AM31" i="225"/>
  <c r="AY31" i="225"/>
  <c r="BE31" i="225"/>
  <c r="AZ31" i="225"/>
  <c r="V31" i="225"/>
  <c r="BL31" i="225"/>
  <c r="AD31" i="225"/>
  <c r="AL31" i="225"/>
  <c r="BD31" i="225"/>
  <c r="I25" i="225"/>
  <c r="AB31" i="225"/>
  <c r="AA31" i="225"/>
  <c r="AN31" i="225"/>
  <c r="Z31" i="225"/>
  <c r="O31" i="225"/>
  <c r="AH31" i="225"/>
  <c r="BH31" i="225"/>
  <c r="M31" i="225"/>
  <c r="AP31" i="225"/>
  <c r="BK31" i="225"/>
  <c r="AR31" i="225"/>
  <c r="AE31" i="229"/>
  <c r="BK31" i="229"/>
  <c r="BL31" i="229"/>
  <c r="AC31" i="229"/>
  <c r="AQ31" i="229"/>
  <c r="BN31" i="229"/>
  <c r="BC31" i="229"/>
  <c r="AM31" i="229"/>
  <c r="BG31" i="229"/>
  <c r="BB31" i="229"/>
  <c r="AU31" i="229"/>
  <c r="R31" i="229"/>
  <c r="N31" i="229"/>
  <c r="AT31" i="229"/>
  <c r="AG31" i="229"/>
  <c r="Y31" i="229"/>
  <c r="AW31" i="229"/>
  <c r="U31" i="229"/>
  <c r="V31" i="229"/>
  <c r="AF31" i="229"/>
  <c r="BI31" i="229"/>
  <c r="AL31" i="229"/>
  <c r="AZ31" i="229"/>
  <c r="AB31" i="229"/>
  <c r="T31" i="229"/>
  <c r="AH31" i="229"/>
  <c r="P31" i="229"/>
  <c r="AR31" i="229"/>
  <c r="AP31" i="229"/>
  <c r="AV31" i="229"/>
  <c r="AO31" i="229"/>
  <c r="BE31" i="229"/>
  <c r="BA31" i="229"/>
  <c r="BD31" i="229"/>
  <c r="W31" i="229"/>
  <c r="BF31" i="229"/>
  <c r="O31" i="229"/>
  <c r="AA31" i="229"/>
  <c r="Z31" i="229"/>
  <c r="AD31" i="229"/>
  <c r="AX31" i="229"/>
  <c r="L31" i="229"/>
  <c r="I25" i="229"/>
  <c r="AK31" i="229"/>
  <c r="K31" i="229"/>
  <c r="BJ31" i="229"/>
  <c r="AS31" i="229"/>
  <c r="S31" i="229"/>
  <c r="AY31" i="229"/>
  <c r="AI31" i="229"/>
  <c r="BH31" i="229"/>
  <c r="M31" i="229"/>
  <c r="AN31" i="229"/>
  <c r="BM31" i="229"/>
  <c r="X31" i="229"/>
  <c r="AJ31" i="229"/>
  <c r="Q31" i="229"/>
  <c r="O116" i="223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O120" i="223"/>
  <c r="BD25" i="18"/>
  <c r="O24" i="223"/>
  <c r="D95" i="223"/>
  <c r="D9" i="223" s="1"/>
  <c r="O158" i="223"/>
  <c r="O149" i="223"/>
  <c r="L170" i="223"/>
  <c r="L12" i="223" s="1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AX40" i="1"/>
  <c r="O165" i="223"/>
  <c r="O166" i="223"/>
  <c r="O58" i="223"/>
  <c r="C125" i="223"/>
  <c r="C10" i="223" s="1"/>
  <c r="O25" i="18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I170" i="223"/>
  <c r="I12" i="223" s="1"/>
  <c r="O36" i="223"/>
  <c r="U25" i="18"/>
  <c r="BB40" i="1"/>
  <c r="O43" i="223"/>
  <c r="L140" i="223"/>
  <c r="L7" i="223" s="1"/>
  <c r="N95" i="223"/>
  <c r="N9" i="223" s="1"/>
  <c r="O53" i="223"/>
  <c r="K140" i="223"/>
  <c r="K7" i="223" s="1"/>
  <c r="O117" i="223"/>
  <c r="AC25" i="18"/>
  <c r="AS40" i="1"/>
  <c r="O73" i="223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J5" i="14"/>
  <c r="I5" i="14"/>
  <c r="O88" i="223"/>
  <c r="O91" i="223"/>
  <c r="L31" i="230"/>
  <c r="BM31" i="230"/>
  <c r="BH31" i="230"/>
  <c r="BI31" i="230"/>
  <c r="AP31" i="230"/>
  <c r="AD31" i="230"/>
  <c r="S31" i="230"/>
  <c r="V31" i="230"/>
  <c r="P31" i="230"/>
  <c r="U31" i="230"/>
  <c r="AR31" i="230"/>
  <c r="I25" i="230"/>
  <c r="AI31" i="230"/>
  <c r="T31" i="230"/>
  <c r="AE31" i="230"/>
  <c r="BJ31" i="230"/>
  <c r="AB31" i="230"/>
  <c r="BK31" i="230"/>
  <c r="AK31" i="230"/>
  <c r="BE31" i="230"/>
  <c r="AU31" i="230"/>
  <c r="AS31" i="230"/>
  <c r="AO31" i="230"/>
  <c r="AQ31" i="230"/>
  <c r="AW31" i="230"/>
  <c r="AT31" i="230"/>
  <c r="M31" i="230"/>
  <c r="AZ31" i="230"/>
  <c r="AC31" i="230"/>
  <c r="X31" i="230"/>
  <c r="AF31" i="230"/>
  <c r="N31" i="230"/>
  <c r="AH31" i="230"/>
  <c r="AG31" i="230"/>
  <c r="Y31" i="230"/>
  <c r="R31" i="230"/>
  <c r="BL31" i="230"/>
  <c r="BB31" i="230"/>
  <c r="BD31" i="230"/>
  <c r="BF31" i="230"/>
  <c r="BG31" i="230"/>
  <c r="AV31" i="230"/>
  <c r="BA31" i="230"/>
  <c r="AA31" i="230"/>
  <c r="Q31" i="230"/>
  <c r="AJ31" i="230"/>
  <c r="BN31" i="230"/>
  <c r="AY31" i="230"/>
  <c r="AL31" i="230"/>
  <c r="O31" i="230"/>
  <c r="W31" i="230"/>
  <c r="K31" i="230"/>
  <c r="BC31" i="230"/>
  <c r="AN31" i="230"/>
  <c r="Z31" i="230"/>
  <c r="AX31" i="230"/>
  <c r="AM31" i="230"/>
  <c r="L185" i="223"/>
  <c r="L13" i="223" s="1"/>
  <c r="BN25" i="18"/>
  <c r="O177" i="223"/>
  <c r="C110" i="223"/>
  <c r="C14" i="223" s="1"/>
  <c r="BK25" i="18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O181" i="223"/>
  <c r="O90" i="223"/>
  <c r="M31" i="227"/>
  <c r="W31" i="227"/>
  <c r="AQ31" i="227"/>
  <c r="BI31" i="227"/>
  <c r="AZ31" i="227"/>
  <c r="AX31" i="227"/>
  <c r="Q31" i="227"/>
  <c r="X31" i="227"/>
  <c r="U31" i="227"/>
  <c r="AV31" i="227"/>
  <c r="S31" i="227"/>
  <c r="V31" i="227"/>
  <c r="AW31" i="227"/>
  <c r="BN31" i="227"/>
  <c r="AY31" i="227"/>
  <c r="K31" i="227"/>
  <c r="AN31" i="227"/>
  <c r="BL31" i="227"/>
  <c r="BF31" i="227"/>
  <c r="AI31" i="227"/>
  <c r="BK31" i="227"/>
  <c r="O31" i="227"/>
  <c r="R31" i="227"/>
  <c r="BH31" i="227"/>
  <c r="AG31" i="227"/>
  <c r="AE31" i="227"/>
  <c r="AT31" i="227"/>
  <c r="AA31" i="227"/>
  <c r="BA31" i="227"/>
  <c r="BG31" i="227"/>
  <c r="BB31" i="227"/>
  <c r="BE31" i="227"/>
  <c r="Y31" i="227"/>
  <c r="T31" i="227"/>
  <c r="AK31" i="227"/>
  <c r="BC31" i="227"/>
  <c r="AJ31" i="227"/>
  <c r="I25" i="227"/>
  <c r="BM31" i="227"/>
  <c r="AL31" i="227"/>
  <c r="N31" i="227"/>
  <c r="BJ31" i="227"/>
  <c r="BD31" i="227"/>
  <c r="AB31" i="227"/>
  <c r="AR31" i="227"/>
  <c r="AO31" i="227"/>
  <c r="AH31" i="227"/>
  <c r="AC31" i="227"/>
  <c r="L31" i="227"/>
  <c r="Z31" i="227"/>
  <c r="AP31" i="227"/>
  <c r="P31" i="227"/>
  <c r="AM31" i="227"/>
  <c r="AS31" i="227"/>
  <c r="AD31" i="227"/>
  <c r="AF31" i="227"/>
  <c r="AU31" i="227"/>
  <c r="O182" i="223"/>
  <c r="V40" i="1"/>
  <c r="BB25" i="18"/>
  <c r="O179" i="223"/>
  <c r="O123" i="223"/>
  <c r="O57" i="223"/>
  <c r="AK40" i="1"/>
  <c r="E34" i="223"/>
  <c r="E6" i="223" s="1"/>
  <c r="O99" i="223"/>
  <c r="BO25" i="18"/>
  <c r="O121" i="223"/>
  <c r="AS31" i="234"/>
  <c r="BF31" i="234"/>
  <c r="Y31" i="234"/>
  <c r="AY31" i="234"/>
  <c r="BJ31" i="234"/>
  <c r="BE31" i="234"/>
  <c r="T31" i="234"/>
  <c r="BH31" i="234"/>
  <c r="AV31" i="234"/>
  <c r="K31" i="234"/>
  <c r="AD31" i="234"/>
  <c r="AT31" i="234"/>
  <c r="AB31" i="234"/>
  <c r="U31" i="234"/>
  <c r="AJ31" i="234"/>
  <c r="AZ31" i="234"/>
  <c r="I25" i="234"/>
  <c r="AU31" i="234"/>
  <c r="BG31" i="234"/>
  <c r="AG31" i="234"/>
  <c r="AL31" i="234"/>
  <c r="BC31" i="234"/>
  <c r="BM31" i="234"/>
  <c r="W31" i="234"/>
  <c r="AN31" i="234"/>
  <c r="BL31" i="234"/>
  <c r="BD31" i="234"/>
  <c r="R31" i="234"/>
  <c r="BB31" i="234"/>
  <c r="BI31" i="234"/>
  <c r="AW31" i="234"/>
  <c r="Z31" i="234"/>
  <c r="AI31" i="234"/>
  <c r="AE31" i="234"/>
  <c r="AK31" i="234"/>
  <c r="O31" i="234"/>
  <c r="S31" i="234"/>
  <c r="AM31" i="234"/>
  <c r="AA31" i="234"/>
  <c r="AF31" i="234"/>
  <c r="M31" i="234"/>
  <c r="BA31" i="234"/>
  <c r="P31" i="234"/>
  <c r="AO31" i="234"/>
  <c r="BN31" i="234"/>
  <c r="N31" i="234"/>
  <c r="X31" i="234"/>
  <c r="AQ31" i="234"/>
  <c r="AC31" i="234"/>
  <c r="BK31" i="234"/>
  <c r="AX31" i="234"/>
  <c r="AH31" i="234"/>
  <c r="AP31" i="234"/>
  <c r="L31" i="234"/>
  <c r="AR31" i="234"/>
  <c r="V31" i="234"/>
  <c r="Q31" i="234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O51" i="223"/>
  <c r="B50" i="223"/>
  <c r="B8" i="223" s="1"/>
  <c r="M65" i="223"/>
  <c r="M4" i="223" s="1"/>
  <c r="O132" i="223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131" i="223"/>
  <c r="G140" i="223"/>
  <c r="G7" i="223" s="1"/>
  <c r="G170" i="223"/>
  <c r="G12" i="223" s="1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O156" i="223"/>
  <c r="B155" i="223"/>
  <c r="B3" i="223" s="1"/>
  <c r="G110" i="223"/>
  <c r="G14" i="223" s="1"/>
  <c r="O55" i="223"/>
  <c r="BJ40" i="1"/>
  <c r="K80" i="223"/>
  <c r="K11" i="223" s="1"/>
  <c r="M40" i="1"/>
  <c r="AB40" i="1"/>
  <c r="F155" i="223"/>
  <c r="F3" i="223" s="1"/>
  <c r="AV31" i="235"/>
  <c r="AI31" i="235"/>
  <c r="AH31" i="235"/>
  <c r="BD31" i="235"/>
  <c r="R31" i="235"/>
  <c r="AE31" i="235"/>
  <c r="V31" i="235"/>
  <c r="K31" i="235"/>
  <c r="AM31" i="235"/>
  <c r="Q31" i="235"/>
  <c r="AK31" i="235"/>
  <c r="AF31" i="235"/>
  <c r="N31" i="235"/>
  <c r="BJ31" i="235"/>
  <c r="AQ31" i="235"/>
  <c r="AY31" i="235"/>
  <c r="AW31" i="235"/>
  <c r="BK31" i="235"/>
  <c r="BH31" i="235"/>
  <c r="AL31" i="235"/>
  <c r="BA31" i="235"/>
  <c r="AZ31" i="235"/>
  <c r="Z31" i="235"/>
  <c r="AX31" i="235"/>
  <c r="P31" i="235"/>
  <c r="O31" i="235"/>
  <c r="AU31" i="235"/>
  <c r="BL31" i="235"/>
  <c r="M31" i="235"/>
  <c r="BB31" i="235"/>
  <c r="X31" i="235"/>
  <c r="AG31" i="235"/>
  <c r="BN31" i="235"/>
  <c r="AJ31" i="235"/>
  <c r="AB31" i="235"/>
  <c r="AO31" i="235"/>
  <c r="AN31" i="235"/>
  <c r="BM31" i="235"/>
  <c r="T31" i="235"/>
  <c r="W31" i="235"/>
  <c r="L31" i="235"/>
  <c r="AT31" i="235"/>
  <c r="Y31" i="235"/>
  <c r="BC31" i="235"/>
  <c r="AD31" i="235"/>
  <c r="S31" i="235"/>
  <c r="AC31" i="235"/>
  <c r="AA31" i="235"/>
  <c r="BE31" i="235"/>
  <c r="I25" i="235"/>
  <c r="AR31" i="235"/>
  <c r="AP31" i="235"/>
  <c r="BG31" i="235"/>
  <c r="BI31" i="235"/>
  <c r="BF31" i="235"/>
  <c r="AS31" i="235"/>
  <c r="U31" i="235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BA40" i="1"/>
  <c r="N50" i="223"/>
  <c r="N8" i="223" s="1"/>
  <c r="AT40" i="1"/>
  <c r="J4" i="14"/>
  <c r="I4" i="14"/>
  <c r="O84" i="223"/>
  <c r="AI25" i="18"/>
  <c r="J140" i="223"/>
  <c r="J7" i="223" s="1"/>
  <c r="AU31" i="226"/>
  <c r="BJ31" i="226"/>
  <c r="V31" i="226"/>
  <c r="AT31" i="226"/>
  <c r="AC31" i="226"/>
  <c r="AF31" i="226"/>
  <c r="AV31" i="226"/>
  <c r="L31" i="226"/>
  <c r="AP31" i="226"/>
  <c r="M31" i="226"/>
  <c r="AE31" i="226"/>
  <c r="I25" i="226"/>
  <c r="AB31" i="226"/>
  <c r="U31" i="226"/>
  <c r="AZ31" i="226"/>
  <c r="BH31" i="226"/>
  <c r="AL31" i="226"/>
  <c r="AN31" i="226"/>
  <c r="AY31" i="226"/>
  <c r="AS31" i="226"/>
  <c r="AG31" i="226"/>
  <c r="BG31" i="226"/>
  <c r="BE31" i="226"/>
  <c r="AO31" i="226"/>
  <c r="Q31" i="226"/>
  <c r="AI31" i="226"/>
  <c r="BL31" i="226"/>
  <c r="AM31" i="226"/>
  <c r="P31" i="226"/>
  <c r="Y31" i="226"/>
  <c r="BN31" i="226"/>
  <c r="X31" i="226"/>
  <c r="AH31" i="226"/>
  <c r="AJ31" i="226"/>
  <c r="AQ31" i="226"/>
  <c r="BF31" i="226"/>
  <c r="BK31" i="226"/>
  <c r="K31" i="226"/>
  <c r="Z31" i="226"/>
  <c r="AW31" i="226"/>
  <c r="T31" i="226"/>
  <c r="AR31" i="226"/>
  <c r="W31" i="226"/>
  <c r="AK31" i="226"/>
  <c r="BI31" i="226"/>
  <c r="AX31" i="226"/>
  <c r="N31" i="226"/>
  <c r="BD31" i="226"/>
  <c r="S31" i="226"/>
  <c r="BB31" i="226"/>
  <c r="AD31" i="226"/>
  <c r="R31" i="226"/>
  <c r="BC31" i="226"/>
  <c r="O31" i="226"/>
  <c r="AA31" i="226"/>
  <c r="BM31" i="226"/>
  <c r="BA31" i="226"/>
  <c r="O143" i="223"/>
  <c r="M140" i="223"/>
  <c r="M7" i="223" s="1"/>
  <c r="O130" i="223"/>
  <c r="E50" i="223"/>
  <c r="E8" i="223" s="1"/>
  <c r="O42" i="223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O31" i="223"/>
  <c r="K25" i="18"/>
  <c r="AT25" i="18"/>
  <c r="BK40" i="1"/>
  <c r="O76" i="223"/>
  <c r="G80" i="223"/>
  <c r="G11" i="223" s="1"/>
  <c r="N65" i="223"/>
  <c r="N4" i="223" s="1"/>
  <c r="AI40" i="1"/>
  <c r="O164" i="223"/>
  <c r="BL25" i="18"/>
  <c r="M19" i="223"/>
  <c r="M5" i="223" s="1"/>
  <c r="M125" i="223"/>
  <c r="M10" i="223" s="1"/>
  <c r="O127" i="223"/>
  <c r="H185" i="223"/>
  <c r="H13" i="223" s="1"/>
  <c r="H46" i="14"/>
  <c r="A53" i="14"/>
  <c r="H53" i="14" s="1"/>
  <c r="H45" i="14"/>
  <c r="H31" i="14"/>
  <c r="K42" i="1"/>
  <c r="B42" i="18"/>
  <c r="C13" i="14"/>
  <c r="R43" i="14"/>
  <c r="U43" i="14"/>
  <c r="K43" i="14"/>
  <c r="Q10" i="14"/>
  <c r="S10" i="14"/>
  <c r="T10" i="14"/>
  <c r="C59" i="14"/>
  <c r="S27" i="14"/>
  <c r="V27" i="14"/>
  <c r="K27" i="14"/>
  <c r="W60" i="14"/>
  <c r="S60" i="14"/>
  <c r="V60" i="14"/>
  <c r="L45" i="14"/>
  <c r="V45" i="14"/>
  <c r="U45" i="14"/>
  <c r="Q39" i="14"/>
  <c r="U39" i="14"/>
  <c r="M39" i="14"/>
  <c r="W56" i="14"/>
  <c r="U56" i="14"/>
  <c r="T56" i="14"/>
  <c r="L16" i="14"/>
  <c r="Q16" i="14"/>
  <c r="P16" i="14"/>
  <c r="S55" i="14"/>
  <c r="M55" i="14"/>
  <c r="P55" i="14"/>
  <c r="U19" i="14"/>
  <c r="L19" i="14"/>
  <c r="N19" i="14"/>
  <c r="P20" i="14"/>
  <c r="Q20" i="14"/>
  <c r="V20" i="14"/>
  <c r="W38" i="14"/>
  <c r="Q38" i="14"/>
  <c r="L38" i="14"/>
  <c r="N38" i="14"/>
  <c r="W34" i="14"/>
  <c r="S34" i="14"/>
  <c r="U34" i="14"/>
  <c r="Q34" i="14"/>
  <c r="U18" i="14"/>
  <c r="V18" i="14"/>
  <c r="Q18" i="14"/>
  <c r="P22" i="14"/>
  <c r="O22" i="14"/>
  <c r="N22" i="14"/>
  <c r="K40" i="14"/>
  <c r="Q40" i="14"/>
  <c r="R40" i="14"/>
  <c r="Q36" i="14"/>
  <c r="N36" i="14"/>
  <c r="O36" i="14"/>
  <c r="P33" i="14"/>
  <c r="N33" i="14"/>
  <c r="O33" i="14"/>
  <c r="M51" i="14"/>
  <c r="K51" i="14"/>
  <c r="R51" i="14"/>
  <c r="N51" i="14"/>
  <c r="N35" i="14"/>
  <c r="V35" i="14"/>
  <c r="Q35" i="14"/>
  <c r="W24" i="14"/>
  <c r="P24" i="14"/>
  <c r="V24" i="14"/>
  <c r="O24" i="14"/>
  <c r="W31" i="14"/>
  <c r="P31" i="14"/>
  <c r="L31" i="14"/>
  <c r="T31" i="14"/>
  <c r="U47" i="14"/>
  <c r="L47" i="14"/>
  <c r="T47" i="14"/>
  <c r="K42" i="14"/>
  <c r="P42" i="14"/>
  <c r="N42" i="14"/>
  <c r="P6" i="14"/>
  <c r="I24" i="15"/>
  <c r="Q58" i="14"/>
  <c r="T58" i="14"/>
  <c r="L58" i="14"/>
  <c r="O9" i="14"/>
  <c r="W9" i="14"/>
  <c r="P9" i="14"/>
  <c r="C48" i="14"/>
  <c r="L6" i="14"/>
  <c r="I20" i="15"/>
  <c r="Q21" i="14"/>
  <c r="O21" i="14"/>
  <c r="L21" i="14"/>
  <c r="W30" i="14"/>
  <c r="K30" i="14"/>
  <c r="M30" i="14"/>
  <c r="R30" i="14"/>
  <c r="U11" i="14"/>
  <c r="T11" i="14"/>
  <c r="K11" i="14"/>
  <c r="C43" i="14"/>
  <c r="W52" i="14"/>
  <c r="T52" i="14"/>
  <c r="S52" i="14"/>
  <c r="P52" i="14"/>
  <c r="M37" i="14"/>
  <c r="T37" i="14"/>
  <c r="Q37" i="14"/>
  <c r="W46" i="14"/>
  <c r="L46" i="14"/>
  <c r="U46" i="14"/>
  <c r="M59" i="14"/>
  <c r="Q59" i="14"/>
  <c r="R59" i="14"/>
  <c r="U50" i="14"/>
  <c r="Q50" i="14"/>
  <c r="O50" i="14"/>
  <c r="U25" i="14"/>
  <c r="R25" i="14"/>
  <c r="P25" i="14"/>
  <c r="W28" i="14"/>
  <c r="M28" i="14"/>
  <c r="V28" i="14"/>
  <c r="T28" i="14"/>
  <c r="C63" i="14"/>
  <c r="O8" i="14"/>
  <c r="V8" i="14"/>
  <c r="L8" i="14"/>
  <c r="K53" i="14"/>
  <c r="U53" i="14"/>
  <c r="T53" i="14"/>
  <c r="T62" i="14"/>
  <c r="O62" i="14"/>
  <c r="L62" i="14"/>
  <c r="R23" i="14"/>
  <c r="N23" i="14"/>
  <c r="S23" i="14"/>
  <c r="C34" i="14"/>
  <c r="P61" i="14"/>
  <c r="V61" i="14"/>
  <c r="U61" i="14"/>
  <c r="I21" i="15"/>
  <c r="M6" i="14"/>
  <c r="O14" i="14"/>
  <c r="K14" i="14"/>
  <c r="U14" i="14"/>
  <c r="W63" i="14"/>
  <c r="U63" i="14"/>
  <c r="R63" i="14"/>
  <c r="N63" i="14"/>
  <c r="C18" i="14"/>
  <c r="L57" i="14"/>
  <c r="K57" i="14"/>
  <c r="U57" i="14"/>
  <c r="L13" i="14"/>
  <c r="S13" i="14"/>
  <c r="V13" i="14"/>
  <c r="T29" i="14"/>
  <c r="Q29" i="14"/>
  <c r="U29" i="14"/>
  <c r="I26" i="15"/>
  <c r="R6" i="14"/>
  <c r="W49" i="14"/>
  <c r="M49" i="14"/>
  <c r="Q49" i="14"/>
  <c r="N49" i="14"/>
  <c r="Q12" i="14"/>
  <c r="V12" i="14"/>
  <c r="T12" i="14"/>
  <c r="W54" i="14"/>
  <c r="T54" i="14"/>
  <c r="O54" i="14"/>
  <c r="Q54" i="14"/>
  <c r="C49" i="14"/>
  <c r="I30" i="15"/>
  <c r="V6" i="14"/>
  <c r="Q26" i="14"/>
  <c r="N26" i="14"/>
  <c r="R26" i="14"/>
  <c r="L17" i="14"/>
  <c r="N17" i="14"/>
  <c r="P17" i="14"/>
  <c r="S48" i="14"/>
  <c r="R48" i="14"/>
  <c r="M48" i="14"/>
  <c r="C42" i="14"/>
  <c r="W41" i="14"/>
  <c r="N41" i="14"/>
  <c r="Q41" i="14"/>
  <c r="T41" i="14"/>
  <c r="C25" i="18"/>
  <c r="M32" i="14"/>
  <c r="Q32" i="14"/>
  <c r="S32" i="14"/>
  <c r="T15" i="14"/>
  <c r="S15" i="14"/>
  <c r="L15" i="14"/>
  <c r="O48" i="14"/>
  <c r="P48" i="14"/>
  <c r="N32" i="14"/>
  <c r="N15" i="14"/>
  <c r="B63" i="18"/>
  <c r="N43" i="14"/>
  <c r="Q43" i="14"/>
  <c r="M43" i="14"/>
  <c r="K10" i="14"/>
  <c r="P10" i="14"/>
  <c r="R10" i="14"/>
  <c r="C17" i="14"/>
  <c r="N27" i="14"/>
  <c r="W27" i="14"/>
  <c r="U27" i="14"/>
  <c r="M27" i="14"/>
  <c r="P60" i="14"/>
  <c r="L60" i="14"/>
  <c r="O60" i="14"/>
  <c r="W45" i="14"/>
  <c r="Q45" i="14"/>
  <c r="K45" i="14"/>
  <c r="C61" i="14"/>
  <c r="K39" i="14"/>
  <c r="S39" i="14"/>
  <c r="V39" i="14"/>
  <c r="L39" i="14"/>
  <c r="O56" i="14"/>
  <c r="P56" i="14"/>
  <c r="Q56" i="14"/>
  <c r="C35" i="14"/>
  <c r="R16" i="14"/>
  <c r="O16" i="14"/>
  <c r="S16" i="14"/>
  <c r="U55" i="14"/>
  <c r="Q55" i="14"/>
  <c r="L55" i="14"/>
  <c r="R55" i="14"/>
  <c r="W19" i="14"/>
  <c r="M19" i="14"/>
  <c r="P19" i="14"/>
  <c r="O20" i="14"/>
  <c r="T20" i="14"/>
  <c r="N20" i="14"/>
  <c r="K38" i="14"/>
  <c r="S38" i="14"/>
  <c r="T38" i="14"/>
  <c r="N34" i="14"/>
  <c r="K34" i="14"/>
  <c r="T34" i="14"/>
  <c r="T18" i="14"/>
  <c r="P18" i="14"/>
  <c r="M18" i="14"/>
  <c r="S22" i="14"/>
  <c r="V22" i="14"/>
  <c r="T22" i="14"/>
  <c r="P40" i="14"/>
  <c r="S40" i="14"/>
  <c r="V40" i="14"/>
  <c r="W36" i="14"/>
  <c r="U36" i="14"/>
  <c r="R36" i="14"/>
  <c r="M36" i="14"/>
  <c r="Q33" i="14"/>
  <c r="R33" i="14"/>
  <c r="U33" i="14"/>
  <c r="P51" i="14"/>
  <c r="V51" i="14"/>
  <c r="S51" i="14"/>
  <c r="S35" i="14"/>
  <c r="O35" i="14"/>
  <c r="T35" i="14"/>
  <c r="S24" i="14"/>
  <c r="K24" i="14"/>
  <c r="U24" i="14"/>
  <c r="C44" i="14"/>
  <c r="O31" i="14"/>
  <c r="S31" i="14"/>
  <c r="Q31" i="14"/>
  <c r="W47" i="14"/>
  <c r="K47" i="14"/>
  <c r="V47" i="14"/>
  <c r="Q47" i="14"/>
  <c r="C36" i="14"/>
  <c r="L42" i="14"/>
  <c r="R42" i="14"/>
  <c r="S42" i="14"/>
  <c r="S58" i="14"/>
  <c r="U58" i="14"/>
  <c r="P58" i="14"/>
  <c r="S9" i="14"/>
  <c r="R9" i="14"/>
  <c r="M9" i="14"/>
  <c r="C28" i="14"/>
  <c r="N21" i="14"/>
  <c r="K21" i="14"/>
  <c r="M21" i="14"/>
  <c r="C40" i="14"/>
  <c r="U30" i="14"/>
  <c r="P30" i="14"/>
  <c r="Q30" i="14"/>
  <c r="W11" i="14"/>
  <c r="P11" i="14"/>
  <c r="O11" i="14"/>
  <c r="Q11" i="14"/>
  <c r="K52" i="14"/>
  <c r="L52" i="14"/>
  <c r="Q52" i="14"/>
  <c r="W37" i="14"/>
  <c r="K37" i="14"/>
  <c r="N37" i="14"/>
  <c r="U37" i="14"/>
  <c r="P46" i="14"/>
  <c r="M46" i="14"/>
  <c r="R46" i="14"/>
  <c r="N59" i="14"/>
  <c r="S59" i="14"/>
  <c r="V59" i="14"/>
  <c r="W50" i="14"/>
  <c r="R50" i="14"/>
  <c r="P50" i="14"/>
  <c r="N50" i="14"/>
  <c r="W25" i="14"/>
  <c r="V25" i="14"/>
  <c r="N25" i="14"/>
  <c r="O25" i="14"/>
  <c r="S28" i="14"/>
  <c r="R28" i="14"/>
  <c r="L28" i="14"/>
  <c r="W8" i="14"/>
  <c r="S8" i="14"/>
  <c r="T8" i="14"/>
  <c r="M8" i="14"/>
  <c r="M53" i="14"/>
  <c r="P53" i="14"/>
  <c r="O53" i="14"/>
  <c r="Q62" i="14"/>
  <c r="R62" i="14"/>
  <c r="P62" i="14"/>
  <c r="V23" i="14"/>
  <c r="U23" i="14"/>
  <c r="P23" i="14"/>
  <c r="S61" i="14"/>
  <c r="K61" i="14"/>
  <c r="Q61" i="14"/>
  <c r="W14" i="14"/>
  <c r="M14" i="14"/>
  <c r="R14" i="14"/>
  <c r="L14" i="14"/>
  <c r="M63" i="14"/>
  <c r="L63" i="14"/>
  <c r="P63" i="14"/>
  <c r="S57" i="14"/>
  <c r="N57" i="14"/>
  <c r="P57" i="14"/>
  <c r="O13" i="14"/>
  <c r="R13" i="14"/>
  <c r="M13" i="14"/>
  <c r="N29" i="14"/>
  <c r="R29" i="14"/>
  <c r="O29" i="14"/>
  <c r="R49" i="14"/>
  <c r="U49" i="14"/>
  <c r="P49" i="14"/>
  <c r="W12" i="14"/>
  <c r="P12" i="14"/>
  <c r="S12" i="14"/>
  <c r="L12" i="14"/>
  <c r="M54" i="14"/>
  <c r="V54" i="14"/>
  <c r="S54" i="14"/>
  <c r="C14" i="14"/>
  <c r="W26" i="14"/>
  <c r="V26" i="14"/>
  <c r="O26" i="14"/>
  <c r="T26" i="14"/>
  <c r="Q17" i="14"/>
  <c r="R17" i="14"/>
  <c r="U17" i="14"/>
  <c r="C51" i="14"/>
  <c r="W48" i="14"/>
  <c r="T48" i="14"/>
  <c r="N48" i="14"/>
  <c r="U48" i="14"/>
  <c r="N6" i="14"/>
  <c r="I22" i="15"/>
  <c r="M41" i="14"/>
  <c r="K41" i="14"/>
  <c r="R41" i="14"/>
  <c r="C54" i="14"/>
  <c r="W32" i="14"/>
  <c r="K32" i="14"/>
  <c r="U32" i="14"/>
  <c r="O32" i="14"/>
  <c r="C23" i="14"/>
  <c r="W15" i="14"/>
  <c r="R15" i="14"/>
  <c r="Q15" i="14"/>
  <c r="U15" i="14"/>
  <c r="B33" i="185"/>
  <c r="K48" i="14"/>
  <c r="U41" i="14"/>
  <c r="O41" i="14"/>
  <c r="L41" i="14"/>
  <c r="C60" i="14"/>
  <c r="B81" i="18"/>
  <c r="O43" i="14"/>
  <c r="L43" i="14"/>
  <c r="S43" i="14"/>
  <c r="P43" i="14"/>
  <c r="O10" i="14"/>
  <c r="N10" i="14"/>
  <c r="M10" i="14"/>
  <c r="C27" i="14"/>
  <c r="C16" i="14"/>
  <c r="T27" i="14"/>
  <c r="P27" i="14"/>
  <c r="Q27" i="14"/>
  <c r="Q60" i="14"/>
  <c r="T60" i="14"/>
  <c r="K60" i="14"/>
  <c r="M60" i="14"/>
  <c r="N45" i="14"/>
  <c r="R45" i="14"/>
  <c r="O45" i="14"/>
  <c r="M45" i="14"/>
  <c r="P39" i="14"/>
  <c r="T39" i="14"/>
  <c r="N39" i="14"/>
  <c r="V56" i="14"/>
  <c r="K56" i="14"/>
  <c r="S56" i="14"/>
  <c r="N56" i="14"/>
  <c r="I19" i="15"/>
  <c r="K6" i="14"/>
  <c r="C12" i="14"/>
  <c r="C55" i="18"/>
  <c r="T16" i="14"/>
  <c r="N16" i="14"/>
  <c r="U16" i="14"/>
  <c r="W55" i="14"/>
  <c r="T55" i="14"/>
  <c r="V55" i="14"/>
  <c r="T19" i="14"/>
  <c r="S19" i="14"/>
  <c r="O19" i="14"/>
  <c r="R19" i="14"/>
  <c r="L20" i="14"/>
  <c r="U20" i="14"/>
  <c r="K20" i="14"/>
  <c r="R38" i="14"/>
  <c r="O38" i="14"/>
  <c r="V38" i="14"/>
  <c r="P34" i="14"/>
  <c r="R34" i="14"/>
  <c r="M34" i="14"/>
  <c r="W18" i="14"/>
  <c r="N18" i="14"/>
  <c r="S18" i="14"/>
  <c r="O18" i="14"/>
  <c r="U22" i="14"/>
  <c r="L22" i="14"/>
  <c r="Q22" i="14"/>
  <c r="O40" i="14"/>
  <c r="L40" i="14"/>
  <c r="M40" i="14"/>
  <c r="S36" i="14"/>
  <c r="P36" i="14"/>
  <c r="T36" i="14"/>
  <c r="W33" i="14"/>
  <c r="V33" i="14"/>
  <c r="S33" i="14"/>
  <c r="K33" i="14"/>
  <c r="Q51" i="14"/>
  <c r="O51" i="14"/>
  <c r="U51" i="14"/>
  <c r="K35" i="14"/>
  <c r="R35" i="14"/>
  <c r="P35" i="14"/>
  <c r="T24" i="14"/>
  <c r="R24" i="14"/>
  <c r="N24" i="14"/>
  <c r="N31" i="14"/>
  <c r="U31" i="14"/>
  <c r="V31" i="14"/>
  <c r="O47" i="14"/>
  <c r="R47" i="14"/>
  <c r="S47" i="14"/>
  <c r="W42" i="14"/>
  <c r="Q42" i="14"/>
  <c r="M42" i="14"/>
  <c r="O42" i="14"/>
  <c r="C26" i="14"/>
  <c r="C39" i="14"/>
  <c r="N58" i="14"/>
  <c r="W58" i="14"/>
  <c r="V58" i="14"/>
  <c r="O58" i="14"/>
  <c r="K9" i="14"/>
  <c r="T9" i="14"/>
  <c r="Q9" i="14"/>
  <c r="W21" i="14"/>
  <c r="U21" i="14"/>
  <c r="R21" i="14"/>
  <c r="P21" i="14"/>
  <c r="C9" i="14"/>
  <c r="S30" i="14"/>
  <c r="L30" i="14"/>
  <c r="T30" i="14"/>
  <c r="M11" i="14"/>
  <c r="S11" i="14"/>
  <c r="L11" i="14"/>
  <c r="R52" i="14"/>
  <c r="N52" i="14"/>
  <c r="U52" i="14"/>
  <c r="V37" i="14"/>
  <c r="R37" i="14"/>
  <c r="O37" i="14"/>
  <c r="K46" i="14"/>
  <c r="Q46" i="14"/>
  <c r="T46" i="14"/>
  <c r="N46" i="14"/>
  <c r="I27" i="15"/>
  <c r="S6" i="14"/>
  <c r="W59" i="14"/>
  <c r="K59" i="14"/>
  <c r="T59" i="14"/>
  <c r="L59" i="14"/>
  <c r="L50" i="14"/>
  <c r="T50" i="14"/>
  <c r="M50" i="14"/>
  <c r="T25" i="14"/>
  <c r="K25" i="14"/>
  <c r="M25" i="14"/>
  <c r="P28" i="14"/>
  <c r="O28" i="14"/>
  <c r="U28" i="14"/>
  <c r="K8" i="14"/>
  <c r="Q8" i="14"/>
  <c r="R8" i="14"/>
  <c r="W53" i="14"/>
  <c r="Q53" i="14"/>
  <c r="L53" i="14"/>
  <c r="R53" i="14"/>
  <c r="U62" i="14"/>
  <c r="M62" i="14"/>
  <c r="S62" i="14"/>
  <c r="C21" i="14"/>
  <c r="W23" i="14"/>
  <c r="M23" i="14"/>
  <c r="Q23" i="14"/>
  <c r="O23" i="14"/>
  <c r="W61" i="14"/>
  <c r="O61" i="14"/>
  <c r="T61" i="14"/>
  <c r="R61" i="14"/>
  <c r="Q6" i="14"/>
  <c r="I25" i="15"/>
  <c r="Q14" i="14"/>
  <c r="V14" i="14"/>
  <c r="P14" i="14"/>
  <c r="O63" i="14"/>
  <c r="K63" i="14"/>
  <c r="T63" i="14"/>
  <c r="C8" i="14"/>
  <c r="W57" i="14"/>
  <c r="T57" i="14"/>
  <c r="R57" i="14"/>
  <c r="V57" i="14"/>
  <c r="W13" i="14"/>
  <c r="K13" i="14"/>
  <c r="P13" i="14"/>
  <c r="U13" i="14"/>
  <c r="W29" i="14"/>
  <c r="K29" i="14"/>
  <c r="V29" i="14"/>
  <c r="S29" i="14"/>
  <c r="S49" i="14"/>
  <c r="O49" i="14"/>
  <c r="K49" i="14"/>
  <c r="R12" i="14"/>
  <c r="K12" i="14"/>
  <c r="M12" i="14"/>
  <c r="U54" i="14"/>
  <c r="N54" i="14"/>
  <c r="R54" i="14"/>
  <c r="P26" i="14"/>
  <c r="M26" i="14"/>
  <c r="U26" i="14"/>
  <c r="I31" i="15"/>
  <c r="W6" i="14"/>
  <c r="W17" i="14"/>
  <c r="V17" i="14"/>
  <c r="O17" i="14"/>
  <c r="M17" i="14"/>
  <c r="L48" i="14"/>
  <c r="V48" i="14"/>
  <c r="Q48" i="14"/>
  <c r="P41" i="14"/>
  <c r="S41" i="14"/>
  <c r="V41" i="14"/>
  <c r="L32" i="14"/>
  <c r="P32" i="14"/>
  <c r="T32" i="14"/>
  <c r="O15" i="14"/>
  <c r="P15" i="14"/>
  <c r="K15" i="14"/>
  <c r="C38" i="14"/>
  <c r="R32" i="14"/>
  <c r="V15" i="14"/>
  <c r="B79" i="18"/>
  <c r="I29" i="15"/>
  <c r="U6" i="14"/>
  <c r="T43" i="14"/>
  <c r="W43" i="14"/>
  <c r="V43" i="14"/>
  <c r="W10" i="14"/>
  <c r="V10" i="14"/>
  <c r="L10" i="14"/>
  <c r="U10" i="14"/>
  <c r="R27" i="14"/>
  <c r="L27" i="14"/>
  <c r="O27" i="14"/>
  <c r="N60" i="14"/>
  <c r="U60" i="14"/>
  <c r="R60" i="14"/>
  <c r="P45" i="14"/>
  <c r="S45" i="14"/>
  <c r="T45" i="14"/>
  <c r="W39" i="14"/>
  <c r="O39" i="14"/>
  <c r="R39" i="14"/>
  <c r="M56" i="14"/>
  <c r="R56" i="14"/>
  <c r="L56" i="14"/>
  <c r="C10" i="14"/>
  <c r="C24" i="14"/>
  <c r="W16" i="14"/>
  <c r="V16" i="14"/>
  <c r="M16" i="14"/>
  <c r="K16" i="14"/>
  <c r="K55" i="14"/>
  <c r="O55" i="14"/>
  <c r="N55" i="14"/>
  <c r="V19" i="14"/>
  <c r="K19" i="14"/>
  <c r="Q19" i="14"/>
  <c r="C52" i="14"/>
  <c r="W20" i="14"/>
  <c r="M20" i="14"/>
  <c r="R20" i="14"/>
  <c r="S20" i="14"/>
  <c r="U38" i="14"/>
  <c r="M38" i="14"/>
  <c r="P38" i="14"/>
  <c r="L34" i="14"/>
  <c r="O34" i="14"/>
  <c r="V34" i="14"/>
  <c r="K18" i="14"/>
  <c r="R18" i="14"/>
  <c r="L18" i="14"/>
  <c r="W22" i="14"/>
  <c r="R22" i="14"/>
  <c r="M22" i="14"/>
  <c r="K22" i="14"/>
  <c r="W40" i="14"/>
  <c r="U40" i="14"/>
  <c r="N40" i="14"/>
  <c r="T40" i="14"/>
  <c r="L36" i="14"/>
  <c r="K36" i="14"/>
  <c r="V36" i="14"/>
  <c r="T33" i="14"/>
  <c r="L33" i="14"/>
  <c r="M33" i="14"/>
  <c r="W51" i="14"/>
  <c r="T51" i="14"/>
  <c r="L51" i="14"/>
  <c r="W35" i="14"/>
  <c r="M35" i="14"/>
  <c r="U35" i="14"/>
  <c r="L35" i="14"/>
  <c r="M24" i="14"/>
  <c r="L24" i="14"/>
  <c r="Q24" i="14"/>
  <c r="C62" i="14"/>
  <c r="R31" i="14"/>
  <c r="K31" i="14"/>
  <c r="M31" i="14"/>
  <c r="P47" i="14"/>
  <c r="M47" i="14"/>
  <c r="N47" i="14"/>
  <c r="T42" i="14"/>
  <c r="V42" i="14"/>
  <c r="U42" i="14"/>
  <c r="R58" i="14"/>
  <c r="M58" i="14"/>
  <c r="K58" i="14"/>
  <c r="V9" i="14"/>
  <c r="N9" i="14"/>
  <c r="L9" i="14"/>
  <c r="U9" i="14"/>
  <c r="T21" i="14"/>
  <c r="V21" i="14"/>
  <c r="S21" i="14"/>
  <c r="I28" i="15"/>
  <c r="T6" i="14"/>
  <c r="C58" i="14"/>
  <c r="O30" i="14"/>
  <c r="N30" i="14"/>
  <c r="V30" i="14"/>
  <c r="R11" i="14"/>
  <c r="N11" i="14"/>
  <c r="V11" i="14"/>
  <c r="M52" i="14"/>
  <c r="O52" i="14"/>
  <c r="V52" i="14"/>
  <c r="S37" i="14"/>
  <c r="L37" i="14"/>
  <c r="P37" i="14"/>
  <c r="S46" i="14"/>
  <c r="O46" i="14"/>
  <c r="V46" i="14"/>
  <c r="C50" i="18"/>
  <c r="U59" i="14"/>
  <c r="O59" i="14"/>
  <c r="P59" i="14"/>
  <c r="S50" i="14"/>
  <c r="K50" i="14"/>
  <c r="V50" i="14"/>
  <c r="Q25" i="14"/>
  <c r="S25" i="14"/>
  <c r="L25" i="14"/>
  <c r="K28" i="14"/>
  <c r="Q28" i="14"/>
  <c r="N28" i="14"/>
  <c r="N8" i="14"/>
  <c r="U8" i="14"/>
  <c r="P8" i="14"/>
  <c r="N53" i="14"/>
  <c r="V53" i="14"/>
  <c r="S53" i="14"/>
  <c r="W62" i="14"/>
  <c r="V62" i="14"/>
  <c r="N62" i="14"/>
  <c r="K62" i="14"/>
  <c r="C29" i="14"/>
  <c r="C41" i="14"/>
  <c r="L23" i="14"/>
  <c r="T23" i="14"/>
  <c r="K23" i="14"/>
  <c r="N61" i="14"/>
  <c r="M61" i="14"/>
  <c r="L61" i="14"/>
  <c r="N14" i="14"/>
  <c r="T14" i="14"/>
  <c r="S14" i="14"/>
  <c r="S63" i="14"/>
  <c r="Q63" i="14"/>
  <c r="V63" i="14"/>
  <c r="C37" i="14"/>
  <c r="O57" i="14"/>
  <c r="M57" i="14"/>
  <c r="Q57" i="14"/>
  <c r="N13" i="14"/>
  <c r="T13" i="14"/>
  <c r="Q13" i="14"/>
  <c r="P29" i="14"/>
  <c r="M29" i="14"/>
  <c r="L29" i="14"/>
  <c r="O6" i="14"/>
  <c r="I23" i="15"/>
  <c r="T49" i="14"/>
  <c r="L49" i="14"/>
  <c r="V49" i="14"/>
  <c r="U12" i="14"/>
  <c r="N12" i="14"/>
  <c r="O12" i="14"/>
  <c r="K54" i="14"/>
  <c r="L54" i="14"/>
  <c r="P54" i="14"/>
  <c r="L26" i="14"/>
  <c r="K26" i="14"/>
  <c r="S26" i="14"/>
  <c r="T17" i="14"/>
  <c r="K17" i="14"/>
  <c r="S17" i="14"/>
  <c r="V32" i="14"/>
  <c r="M15" i="14"/>
  <c r="A42" i="18"/>
  <c r="A43" i="18"/>
  <c r="C34" i="18"/>
  <c r="O10" i="223" l="1"/>
  <c r="O3" i="223"/>
  <c r="C15" i="223"/>
  <c r="O9" i="223"/>
  <c r="A34" i="185"/>
  <c r="A35" i="185" s="1"/>
  <c r="J15" i="223"/>
  <c r="N15" i="223"/>
  <c r="K15" i="223"/>
  <c r="O5" i="223"/>
  <c r="O7" i="223"/>
  <c r="O13" i="223"/>
  <c r="B15" i="223"/>
  <c r="O11" i="223"/>
  <c r="L15" i="223"/>
  <c r="O6" i="223"/>
  <c r="I15" i="223"/>
  <c r="F15" i="223"/>
  <c r="D15" i="223"/>
  <c r="D6" i="14"/>
  <c r="E6" i="14" s="1"/>
  <c r="M15" i="223"/>
  <c r="O12" i="223"/>
  <c r="O14" i="223"/>
  <c r="H15" i="223"/>
  <c r="E15" i="223"/>
  <c r="O4" i="223"/>
  <c r="G15" i="223"/>
  <c r="A44" i="18"/>
  <c r="J17" i="14"/>
  <c r="I17" i="14"/>
  <c r="I26" i="14"/>
  <c r="J26" i="14"/>
  <c r="I54" i="14"/>
  <c r="J54" i="14"/>
  <c r="J23" i="14"/>
  <c r="I23" i="14"/>
  <c r="I62" i="14"/>
  <c r="J62" i="14"/>
  <c r="I28" i="14"/>
  <c r="J28" i="14"/>
  <c r="J50" i="14"/>
  <c r="I50" i="14"/>
  <c r="I58" i="14"/>
  <c r="J58" i="14"/>
  <c r="J31" i="14"/>
  <c r="I31" i="14"/>
  <c r="I36" i="14"/>
  <c r="J36" i="14"/>
  <c r="J22" i="14"/>
  <c r="I22" i="14"/>
  <c r="J18" i="14"/>
  <c r="I18" i="14"/>
  <c r="I19" i="14"/>
  <c r="J19" i="14"/>
  <c r="J55" i="14"/>
  <c r="I55" i="14"/>
  <c r="I16" i="14"/>
  <c r="J16" i="14"/>
  <c r="I15" i="14"/>
  <c r="J15" i="14"/>
  <c r="I12" i="14"/>
  <c r="J12" i="14"/>
  <c r="J49" i="14"/>
  <c r="I49" i="14"/>
  <c r="I29" i="14"/>
  <c r="J29" i="14"/>
  <c r="I13" i="14"/>
  <c r="J13" i="14"/>
  <c r="I63" i="14"/>
  <c r="J63" i="14"/>
  <c r="J8" i="14"/>
  <c r="I8" i="14"/>
  <c r="I25" i="14"/>
  <c r="J25" i="14"/>
  <c r="J59" i="14"/>
  <c r="I59" i="14"/>
  <c r="I46" i="14"/>
  <c r="J46" i="14"/>
  <c r="I9" i="14"/>
  <c r="J9" i="14"/>
  <c r="J35" i="14"/>
  <c r="I35" i="14"/>
  <c r="J33" i="14"/>
  <c r="I33" i="14"/>
  <c r="I20" i="14"/>
  <c r="J20" i="14"/>
  <c r="I6" i="14"/>
  <c r="J6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J56" i="14"/>
  <c r="I56" i="14"/>
  <c r="J60" i="14"/>
  <c r="I60" i="14"/>
  <c r="I48" i="14"/>
  <c r="J48" i="14"/>
  <c r="J32" i="14"/>
  <c r="I32" i="14"/>
  <c r="J41" i="14"/>
  <c r="I41" i="14"/>
  <c r="I61" i="14"/>
  <c r="J61" i="14"/>
  <c r="I37" i="14"/>
  <c r="J37" i="14"/>
  <c r="J52" i="14"/>
  <c r="I52" i="14"/>
  <c r="I21" i="14"/>
  <c r="J21" i="14"/>
  <c r="J47" i="14"/>
  <c r="I47" i="14"/>
  <c r="J24" i="14"/>
  <c r="I24" i="14"/>
  <c r="I34" i="14"/>
  <c r="J34" i="14"/>
  <c r="J38" i="14"/>
  <c r="I38" i="14"/>
  <c r="J39" i="14"/>
  <c r="I39" i="14"/>
  <c r="J45" i="14"/>
  <c r="I45" i="14"/>
  <c r="J10" i="14"/>
  <c r="I10" i="14"/>
  <c r="I57" i="14"/>
  <c r="J57" i="14"/>
  <c r="I14" i="14"/>
  <c r="J14" i="14"/>
  <c r="I53" i="14"/>
  <c r="J53" i="14"/>
  <c r="J11" i="14"/>
  <c r="I11" i="14"/>
  <c r="I30" i="14"/>
  <c r="J30" i="14"/>
  <c r="I42" i="14"/>
  <c r="J42" i="14"/>
  <c r="I51" i="14"/>
  <c r="J51" i="14"/>
  <c r="I40" i="14"/>
  <c r="J40" i="14"/>
  <c r="I27" i="14"/>
  <c r="J27" i="14"/>
  <c r="I43" i="14"/>
  <c r="J43" i="14"/>
  <c r="O8" i="223"/>
  <c r="A19" i="14"/>
  <c r="A60" i="14"/>
  <c r="B34" i="185"/>
  <c r="B34" i="18"/>
  <c r="O15" i="223" l="1"/>
  <c r="H19" i="14"/>
  <c r="A20" i="14"/>
  <c r="A36" i="185"/>
  <c r="H60" i="14"/>
  <c r="B35" i="185"/>
  <c r="A15" i="14" l="1"/>
  <c r="H15" i="14" s="1"/>
  <c r="H20" i="14"/>
  <c r="A37" i="185"/>
  <c r="A16" i="14"/>
  <c r="A14" i="14" s="1"/>
  <c r="A17" i="14" s="1"/>
  <c r="A61" i="14"/>
  <c r="B36" i="185"/>
  <c r="A38" i="185" l="1"/>
  <c r="H14" i="14"/>
  <c r="H17" i="14"/>
  <c r="H16" i="14"/>
  <c r="A58" i="14"/>
  <c r="H61" i="14"/>
  <c r="A59" i="14"/>
  <c r="B37" i="185"/>
  <c r="A39" i="185" l="1"/>
  <c r="A22" i="14"/>
  <c r="H58" i="14"/>
  <c r="H59" i="14"/>
  <c r="A62" i="14"/>
  <c r="A63" i="14" s="1"/>
  <c r="H63" i="14" s="1"/>
  <c r="B38" i="185"/>
  <c r="A40" i="185" l="1"/>
  <c r="H22" i="14"/>
  <c r="A25" i="14"/>
  <c r="H62" i="14"/>
  <c r="A23" i="14"/>
  <c r="B39" i="185"/>
  <c r="A26" i="14" l="1"/>
  <c r="H26" i="14" s="1"/>
  <c r="A41" i="185"/>
  <c r="H25" i="14"/>
  <c r="H23" i="14"/>
  <c r="B40" i="185"/>
  <c r="A27" i="14" l="1"/>
  <c r="A42" i="185"/>
  <c r="B41" i="185"/>
  <c r="H27" i="14" l="1"/>
  <c r="A28" i="14"/>
  <c r="H28" i="14" s="1"/>
  <c r="A43" i="185"/>
  <c r="A21" i="14"/>
  <c r="A32" i="14"/>
  <c r="B43" i="185"/>
  <c r="B42" i="185"/>
  <c r="A47" i="14" l="1"/>
  <c r="A37" i="14" s="1"/>
  <c r="A38" i="14" s="1"/>
  <c r="H38" i="14" s="1"/>
  <c r="A33" i="14"/>
  <c r="H33" i="14" s="1"/>
  <c r="H47" i="14"/>
  <c r="A54" i="14"/>
  <c r="A29" i="14"/>
  <c r="H21" i="14"/>
  <c r="H32" i="14"/>
  <c r="A51" i="14"/>
  <c r="A34" i="14" s="1"/>
  <c r="A48" i="14" l="1"/>
  <c r="H37" i="14"/>
  <c r="A24" i="14"/>
  <c r="H34" i="14"/>
  <c r="H54" i="14"/>
  <c r="A52" i="14"/>
  <c r="H29" i="14"/>
  <c r="A18" i="14"/>
  <c r="H18" i="14" s="1"/>
  <c r="H51" i="14"/>
  <c r="A39" i="14"/>
  <c r="H39" i="14" s="1"/>
  <c r="H48" i="14" l="1"/>
  <c r="A49" i="14"/>
  <c r="H49" i="14" s="1"/>
  <c r="H52" i="14"/>
  <c r="A40" i="14"/>
  <c r="A41" i="14" s="1"/>
  <c r="H24" i="14"/>
  <c r="A42" i="14" l="1"/>
  <c r="H41" i="14"/>
  <c r="H40" i="14"/>
  <c r="A35" i="14"/>
  <c r="H42" i="14" l="1"/>
  <c r="A43" i="14"/>
  <c r="H35" i="14"/>
  <c r="A36" i="14"/>
  <c r="H36" i="14" s="1"/>
  <c r="A44" i="14" l="1"/>
  <c r="H44" i="14" s="1"/>
  <c r="H43" i="14"/>
  <c r="C55" i="14"/>
  <c r="C22" i="14"/>
  <c r="C31" i="14"/>
  <c r="C47" i="14"/>
  <c r="C11" i="14"/>
  <c r="C46" i="14"/>
  <c r="C25" i="14"/>
  <c r="C32" i="14"/>
  <c r="C33" i="14"/>
  <c r="C57" i="14"/>
  <c r="C45" i="14"/>
  <c r="C53" i="14"/>
  <c r="C56" i="14"/>
  <c r="C15" i="14"/>
  <c r="C50" i="14"/>
  <c r="C20" i="14"/>
  <c r="C30" i="14"/>
  <c r="C19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45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<sst xmlns="http://schemas.openxmlformats.org/spreadsheetml/2006/main" count="8472" uniqueCount="495">
  <si>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</si>
  <si>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</si>
  <si>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</si>
  <si>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</si>
  <si>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</si>
  <si>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</si>
  <si>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</si>
  <si>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</si>
  <si>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</si>
  <si>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</si>
  <si>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</si>
  <si>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</si>
  <si>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</si>
  <si>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</si>
  <si>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</si>
  <si>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</si>
  <si>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</si>
  <si>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</si>
  <si>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</si>
  <si>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</si>
  <si>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</si>
  <si>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</si>
  <si>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</si>
  <si>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</si>
  <si>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</si>
  <si>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</si>
  <si>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</si>
  <si>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</si>
  <si>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</si>
  <si>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</si>
  <si>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</si>
  <si>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</si>
  <si>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</si>
  <si>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</si>
  <si>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</si>
  <si>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</si>
  <si>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</si>
  <si>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</si>
  <si>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</si>
  <si>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</si>
  <si>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</si>
  <si>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</si>
  <si>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</si>
  <si>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</si>
  <si>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</si>
  <si>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Strom, Brooker</t>
  </si>
  <si>
    <t>Mean</t>
  </si>
  <si>
    <t>Median</t>
  </si>
  <si>
    <t>Mode</t>
  </si>
  <si>
    <t>Farren, Kevin M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</si>
  <si>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</si>
  <si>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</si>
  <si>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</si>
  <si>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</si>
  <si>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</si>
  <si>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</si>
  <si>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</si>
  <si>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</si>
  <si>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</si>
  <si>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</si>
  <si>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</si>
  <si>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</si>
  <si>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</si>
  <si>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</si>
  <si>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</si>
  <si>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</si>
  <si>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</si>
  <si>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</si>
  <si>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</si>
  <si>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</si>
  <si>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</si>
  <si>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</si>
  <si>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</si>
  <si>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</si>
  <si>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</si>
  <si>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</si>
  <si>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</si>
  <si>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</si>
  <si>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Nagorniak, Kristen M</t>
  </si>
  <si>
    <t>Robbins, Thomas D</t>
  </si>
  <si>
    <t>Steele, David L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</si>
  <si>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</si>
  <si>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</si>
  <si>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</si>
  <si>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</si>
  <si>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</si>
  <si>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</si>
  <si>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</si>
  <si>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</si>
  <si>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</si>
  <si>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</si>
  <si>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</si>
  <si>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</si>
  <si>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</si>
  <si>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</si>
  <si>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</si>
  <si>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</si>
  <si>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</si>
  <si>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</si>
  <si>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</si>
  <si>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</si>
  <si>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</si>
  <si>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</si>
  <si>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</si>
  <si>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</si>
  <si>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</si>
  <si>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</si>
  <si>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</si>
  <si>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</si>
  <si>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</si>
  <si>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</si>
  <si>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</si>
  <si>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</si>
  <si>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</si>
  <si>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Nguyen, Thai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</si>
  <si>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</si>
  <si>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</si>
  <si>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</si>
  <si>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</si>
  <si>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</si>
  <si>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</si>
  <si>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</si>
  <si>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</si>
  <si>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</si>
  <si>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</si>
  <si>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</si>
  <si>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</si>
  <si>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</si>
  <si>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</si>
  <si>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Shuey, Jeffrey M</t>
  </si>
  <si>
    <t>60.8% represents the highest winning percentage in our history.</t>
  </si>
  <si>
    <t>There are two constant trendlines, Mr. 60.8% and Mr. 54.4%.</t>
  </si>
  <si>
    <t>Hendrick, Matt R</t>
  </si>
  <si>
    <t>Puga, Moises</t>
  </si>
  <si>
    <t>Carter, Chris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</si>
  <si>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</si>
  <si>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</si>
  <si>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</si>
  <si>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</si>
  <si>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</si>
  <si>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</si>
  <si>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Nance, Rob</t>
  </si>
  <si>
    <t>Locklear, Dave Remote</t>
  </si>
  <si>
    <t>Marsh, Alexander Remote</t>
  </si>
  <si>
    <t>Penrose, Tim Remote</t>
  </si>
  <si>
    <t>Redys, David Remote</t>
  </si>
  <si>
    <t>Bowers, Martin L</t>
  </si>
  <si>
    <t>Ferguson, Scott Remote</t>
  </si>
  <si>
    <t>Gore, Brandon</t>
  </si>
  <si>
    <t>Gregory, Adam J</t>
  </si>
  <si>
    <t>Holley, Jeremy Remote</t>
  </si>
  <si>
    <t>Johnson, Robert J</t>
  </si>
  <si>
    <t>Wells, Seth Remote</t>
  </si>
  <si>
    <t>Ruffin, Chris</t>
  </si>
  <si>
    <t>Emptage, Nick</t>
  </si>
  <si>
    <t>Wells, Jennifer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</si>
  <si>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</si>
  <si>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</si>
  <si>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</si>
  <si>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</si>
  <si>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</si>
  <si>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</si>
  <si>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</si>
  <si>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</si>
  <si>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</si>
  <si>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</si>
  <si>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</si>
  <si>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</si>
  <si>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</si>
  <si>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</si>
  <si>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</si>
  <si>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</si>
  <si>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</si>
  <si>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</si>
  <si>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</si>
  <si>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</si>
  <si>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Adams, Daniel O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</si>
  <si>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</si>
  <si>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</si>
  <si>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</si>
  <si>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</si>
  <si>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</si>
  <si>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</si>
  <si>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</si>
  <si>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</si>
  <si>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</si>
  <si>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</si>
  <si>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</si>
  <si>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</si>
  <si>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</si>
  <si>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East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</si>
  <si>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</si>
  <si>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</si>
  <si>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</si>
  <si>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</si>
  <si>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</si>
  <si>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</si>
  <si>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</si>
  <si>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Western Athletic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</si>
  <si>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</si>
  <si>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</si>
  <si>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</si>
  <si>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</si>
  <si>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</si>
  <si>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</si>
  <si>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</si>
  <si>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</si>
  <si>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</si>
  <si>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</si>
  <si>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</si>
  <si>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</si>
  <si>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</si>
  <si>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</si>
  <si>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</si>
  <si>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</si>
  <si>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</si>
  <si>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</si>
  <si>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</si>
  <si>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</si>
  <si>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</si>
  <si>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</si>
  <si>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</si>
  <si>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</si>
  <si>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</si>
  <si>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</si>
  <si>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</si>
  <si>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</si>
  <si>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</si>
  <si>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</si>
  <si>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</si>
  <si>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</si>
  <si>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</si>
  <si>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</si>
  <si>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</si>
  <si>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</si>
  <si>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UTEP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</si>
  <si>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</si>
  <si>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</si>
  <si>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</si>
  <si>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</si>
  <si>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</si>
  <si>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</si>
  <si>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</si>
  <si>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</si>
  <si>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</si>
  <si>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</si>
  <si>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</si>
  <si>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</si>
  <si>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</si>
  <si>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</si>
  <si>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</si>
  <si>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</si>
  <si>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</si>
  <si>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</si>
  <si>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</si>
  <si>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</si>
  <si>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</si>
  <si>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</si>
  <si>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</si>
  <si>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</si>
  <si>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</si>
  <si>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</si>
  <si>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</si>
  <si>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</si>
  <si>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</si>
  <si>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</si>
  <si>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</si>
  <si>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</si>
  <si>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</si>
  <si>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</si>
  <si>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</si>
  <si>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</si>
  <si>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</si>
  <si>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</si>
  <si>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</si>
  <si>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</si>
  <si>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</si>
  <si>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</si>
  <si>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</si>
  <si>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</si>
  <si>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</si>
  <si>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</si>
  <si>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</si>
  <si>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</si>
  <si>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</si>
  <si>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</si>
  <si>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</si>
  <si>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</si>
  <si>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Chan, Simon</t>
  </si>
  <si>
    <t>Hucks, Jason</t>
  </si>
  <si>
    <t>Warren, Todd Remote</t>
  </si>
  <si>
    <t>Steel, Van Remote</t>
  </si>
  <si>
    <t>Boykin, Jerome W</t>
  </si>
  <si>
    <t>McGee, Steve</t>
  </si>
  <si>
    <t>White, Jarred</t>
  </si>
  <si>
    <t>Desetto, Daniel</t>
  </si>
  <si>
    <t>Farren, Leslie Remote</t>
  </si>
  <si>
    <t>Gindlesperger, Jeffrey C</t>
  </si>
  <si>
    <t>Powell, LaMar</t>
  </si>
  <si>
    <t>Arkansas Little Rock</t>
  </si>
  <si>
    <t>Denver</t>
  </si>
  <si>
    <t>South Alabama</t>
  </si>
  <si>
    <t>Brokaw, Brantley A</t>
  </si>
  <si>
    <t>Fonville, Chris</t>
  </si>
  <si>
    <t>Inabinet, Greg</t>
  </si>
  <si>
    <t>Moore, Kevin B</t>
  </si>
  <si>
    <t>BYU</t>
  </si>
  <si>
    <t>Sapp, Carl G</t>
  </si>
  <si>
    <t>Teasdell, Brian K</t>
  </si>
  <si>
    <t>Sams, David</t>
  </si>
  <si>
    <t>Gilmer, Justin T</t>
  </si>
  <si>
    <t>s</t>
  </si>
  <si>
    <t>X</t>
  </si>
  <si>
    <t>_R_</t>
  </si>
  <si>
    <t>M</t>
  </si>
  <si>
    <t>D</t>
  </si>
  <si>
    <t>B</t>
  </si>
  <si>
    <t>x</t>
  </si>
  <si>
    <t xml:space="preserve"> </t>
  </si>
  <si>
    <t>N</t>
  </si>
  <si>
    <t>e</t>
  </si>
  <si>
    <t>w</t>
  </si>
  <si>
    <t>S</t>
  </si>
  <si>
    <t>a</t>
  </si>
  <si>
    <t>o</t>
  </si>
  <si>
    <t>n</t>
  </si>
  <si>
    <t>!</t>
  </si>
  <si>
    <t>H</t>
  </si>
  <si>
    <t>E</t>
  </si>
  <si>
    <t>R</t>
  </si>
  <si>
    <t>_</t>
  </si>
  <si>
    <t>W</t>
  </si>
  <si>
    <t>G</t>
  </si>
  <si>
    <t>O</t>
  </si>
  <si>
    <t>T</t>
  </si>
  <si>
    <t>i</t>
  </si>
  <si>
    <t>m</t>
  </si>
  <si>
    <t>4</t>
  </si>
  <si>
    <t>P</t>
  </si>
  <si>
    <t>k</t>
  </si>
  <si>
    <t>u</t>
  </si>
  <si>
    <t>r</t>
  </si>
  <si>
    <t>p</t>
  </si>
  <si>
    <t>I</t>
  </si>
  <si>
    <t>2</t>
  </si>
  <si>
    <t>9</t>
  </si>
  <si>
    <t>y</t>
  </si>
  <si>
    <t>A</t>
  </si>
  <si>
    <t>g</t>
  </si>
  <si>
    <t>l</t>
  </si>
  <si>
    <t>t</t>
  </si>
  <si>
    <t>C</t>
  </si>
  <si>
    <t>K</t>
  </si>
  <si>
    <t>Y</t>
  </si>
  <si>
    <t>#</t>
  </si>
  <si>
    <t>J</t>
  </si>
  <si>
    <t>0</t>
  </si>
  <si>
    <t>1</t>
  </si>
  <si>
    <t>Ready</t>
  </si>
  <si>
    <t>For</t>
  </si>
  <si>
    <t>F</t>
  </si>
  <si>
    <t>L</t>
  </si>
  <si>
    <t>_X_</t>
  </si>
  <si>
    <t>b</t>
  </si>
  <si>
    <t>U</t>
  </si>
  <si>
    <t>/w</t>
  </si>
  <si>
    <t>UT</t>
  </si>
  <si>
    <t>$</t>
  </si>
  <si>
    <t>v</t>
  </si>
  <si>
    <t>R!</t>
  </si>
  <si>
    <t>Pacific 12</t>
  </si>
  <si>
    <t>*</t>
  </si>
  <si>
    <t>+50</t>
  </si>
  <si>
    <t>UF</t>
  </si>
  <si>
    <t>WINS</t>
  </si>
  <si>
    <t>c</t>
  </si>
  <si>
    <t>Q</t>
  </si>
  <si>
    <t>h</t>
  </si>
  <si>
    <t>is</t>
  </si>
  <si>
    <t>3</t>
  </si>
  <si>
    <t>5</t>
  </si>
  <si>
    <t>6</t>
  </si>
  <si>
    <t>7</t>
  </si>
  <si>
    <t>8</t>
  </si>
  <si>
    <t>10!</t>
  </si>
  <si>
    <t>n'</t>
  </si>
  <si>
    <t>f</t>
  </si>
  <si>
    <t>V</t>
  </si>
  <si>
    <t>~</t>
  </si>
  <si>
    <t>NO</t>
  </si>
  <si>
    <t>-</t>
  </si>
  <si>
    <t>=</t>
  </si>
  <si>
    <t>:)</t>
  </si>
  <si>
    <t>12,</t>
  </si>
  <si>
    <t>ll</t>
  </si>
  <si>
    <t>To</t>
  </si>
  <si>
    <t>w/</t>
  </si>
  <si>
    <t>d</t>
  </si>
  <si>
    <t>_d_</t>
  </si>
  <si>
    <t>TIME</t>
  </si>
  <si>
    <t>;)</t>
  </si>
  <si>
    <t>:O</t>
  </si>
  <si>
    <t>:P</t>
  </si>
  <si>
    <t>:*(</t>
  </si>
  <si>
    <t>=))</t>
  </si>
  <si>
    <t>:|</t>
  </si>
  <si>
    <t>:(</t>
  </si>
  <si>
    <t>:o)</t>
  </si>
  <si>
    <t>?</t>
  </si>
  <si>
    <t>12.1</t>
  </si>
  <si>
    <t>/</t>
  </si>
  <si>
    <t>@</t>
  </si>
  <si>
    <t>%</t>
  </si>
  <si>
    <t>^</t>
  </si>
  <si>
    <t>&amp;</t>
  </si>
  <si>
    <t>(</t>
  </si>
  <si>
    <t>j</t>
  </si>
  <si>
    <t>ei</t>
  </si>
  <si>
    <t>ma</t>
  </si>
  <si>
    <t>???</t>
  </si>
  <si>
    <t>No</t>
  </si>
  <si>
    <t>But</t>
  </si>
  <si>
    <t>Go</t>
  </si>
  <si>
    <t>PLAYERS</t>
  </si>
  <si>
    <t>Z</t>
  </si>
  <si>
    <t>VPI</t>
  </si>
  <si>
    <t>sh</t>
  </si>
  <si>
    <t xml:space="preserve">  </t>
  </si>
  <si>
    <t>D?</t>
  </si>
  <si>
    <t>Week</t>
  </si>
  <si>
    <t>1/2</t>
  </si>
  <si>
    <t>1st</t>
  </si>
  <si>
    <t>'05</t>
  </si>
  <si>
    <t>Bye</t>
  </si>
  <si>
    <t>le</t>
  </si>
  <si>
    <t>Co</t>
  </si>
  <si>
    <t>_D_</t>
  </si>
  <si>
    <t>z</t>
  </si>
  <si>
    <t>.</t>
  </si>
  <si>
    <t>Why Not</t>
  </si>
  <si>
    <t>&gt;</t>
  </si>
  <si>
    <t>eisman</t>
  </si>
  <si>
    <t>10</t>
  </si>
  <si>
    <t>Nut</t>
  </si>
  <si>
    <t>:-(</t>
  </si>
  <si>
    <t>M*</t>
  </si>
  <si>
    <t>A*</t>
  </si>
  <si>
    <t>S*</t>
  </si>
  <si>
    <t>Th</t>
  </si>
  <si>
    <t>ge</t>
  </si>
  <si>
    <t>Mc</t>
  </si>
  <si>
    <t>??</t>
  </si>
  <si>
    <t>Ci</t>
  </si>
  <si>
    <t>cl</t>
  </si>
  <si>
    <t>The</t>
  </si>
  <si>
    <t>Wa</t>
  </si>
  <si>
    <t>go</t>
  </si>
  <si>
    <t>Need</t>
  </si>
  <si>
    <t>Some</t>
  </si>
  <si>
    <t>CU</t>
  </si>
  <si>
    <t>ap</t>
  </si>
  <si>
    <t>se</t>
  </si>
  <si>
    <t>N!</t>
  </si>
  <si>
    <t>-d-</t>
  </si>
  <si>
    <t>Al</t>
  </si>
  <si>
    <t>Li</t>
  </si>
  <si>
    <t>ke</t>
  </si>
  <si>
    <t>Gr</t>
  </si>
  <si>
    <t>ed</t>
  </si>
  <si>
    <t>Ho</t>
  </si>
  <si>
    <t>'</t>
  </si>
  <si>
    <t>Defense</t>
  </si>
  <si>
    <t>q</t>
  </si>
  <si>
    <t>BIGGER</t>
  </si>
  <si>
    <t>THAN</t>
  </si>
  <si>
    <t>JOE</t>
  </si>
  <si>
    <t>PA</t>
  </si>
  <si>
    <t>:</t>
  </si>
  <si>
    <t>On</t>
  </si>
  <si>
    <t>k?</t>
  </si>
  <si>
    <t>Cut</t>
  </si>
  <si>
    <t>ock</t>
  </si>
  <si>
    <t>He</t>
  </si>
  <si>
    <t>lp</t>
  </si>
  <si>
    <t>ss</t>
  </si>
  <si>
    <t>ly</t>
  </si>
  <si>
    <t>W?</t>
  </si>
  <si>
    <t>Who</t>
  </si>
  <si>
    <t>w/o</t>
  </si>
  <si>
    <t>ns</t>
  </si>
  <si>
    <t>30</t>
  </si>
  <si>
    <t>me</t>
  </si>
  <si>
    <t>Holden, Brent</t>
  </si>
  <si>
    <t>James, Larry C</t>
  </si>
  <si>
    <t>Kandela, Marwan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</si>
</sst>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4" tint="-0.249977111117893"/>
        <bgColor indexed="24"/>
      </patternFill>
    </fill>
    <fill>
      <patternFill patternType="darkGray">
        <fgColor indexed="9"/>
        <bgColor rgb="FFCCFFC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19" fillId="13" borderId="7" xfId="0" applyFont="1" applyFill="1" applyBorder="1" applyAlignment="1"/>
    <xf numFmtId="0" fontId="21" fillId="13" borderId="7" xfId="0" applyFont="1" applyFill="1" applyBorder="1" applyAlignment="1">
      <alignment horizontal="left"/>
    </xf>
    <xf numFmtId="0" fontId="22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2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9" fillId="15" borderId="7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2" fillId="14" borderId="5" xfId="0" applyFont="1" applyFill="1" applyBorder="1" applyAlignment="1">
      <alignment horizontal="left"/>
    </xf>
    <xf numFmtId="0" fontId="23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19" fillId="16" borderId="5" xfId="0" applyFont="1" applyFill="1" applyBorder="1" applyAlignment="1"/>
    <xf numFmtId="0" fontId="22" fillId="16" borderId="5" xfId="0" applyFont="1" applyFill="1" applyBorder="1" applyAlignment="1">
      <alignment horizontal="right"/>
    </xf>
    <xf numFmtId="0" fontId="22" fillId="16" borderId="5" xfId="0" applyNumberFormat="1" applyFont="1" applyFill="1" applyBorder="1" applyAlignment="1">
      <alignment horizontal="center" wrapText="1"/>
    </xf>
    <xf numFmtId="0" fontId="22" fillId="16" borderId="5" xfId="0" applyFont="1" applyFill="1" applyBorder="1" applyAlignment="1">
      <alignment horizontal="left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7" borderId="7" xfId="0" applyFont="1" applyFill="1" applyBorder="1" applyAlignment="1">
      <alignment horizontal="left"/>
    </xf>
    <xf numFmtId="0" fontId="19" fillId="17" borderId="7" xfId="0" applyFont="1" applyFill="1" applyBorder="1" applyAlignment="1"/>
    <xf numFmtId="0" fontId="23" fillId="17" borderId="0" xfId="0" applyFont="1" applyFill="1" applyBorder="1" applyAlignment="1">
      <alignment horizontal="left"/>
    </xf>
    <xf numFmtId="2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8" xfId="1" applyNumberFormat="1" applyFont="1" applyBorder="1" applyAlignment="1">
      <alignment horizontal="center"/>
    </xf>
    <xf numFmtId="167" fontId="0" fillId="0" borderId="8" xfId="1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42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-1</c:v>
                </c:pt>
                <c:pt idx="4">
                  <c:v>0</c:v>
                </c:pt>
                <c:pt idx="5">
                  <c:v>-2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-1</c:v>
                </c:pt>
                <c:pt idx="13">
                  <c:v>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-2.5</c:v>
                </c:pt>
                <c:pt idx="6">
                  <c:v>-0.5</c:v>
                </c:pt>
                <c:pt idx="7">
                  <c:v>0.5</c:v>
                </c:pt>
                <c:pt idx="8">
                  <c:v>-0.5</c:v>
                </c:pt>
                <c:pt idx="9">
                  <c:v>-3</c:v>
                </c:pt>
                <c:pt idx="10">
                  <c:v>-2</c:v>
                </c:pt>
                <c:pt idx="11">
                  <c:v>-4</c:v>
                </c:pt>
                <c:pt idx="12">
                  <c:v>-5</c:v>
                </c:pt>
                <c:pt idx="13">
                  <c:v>-6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-2</c:v>
                </c:pt>
                <c:pt idx="7">
                  <c:v>-3</c:v>
                </c:pt>
                <c:pt idx="8">
                  <c:v>0</c:v>
                </c:pt>
                <c:pt idx="9">
                  <c:v>-2</c:v>
                </c:pt>
                <c:pt idx="10">
                  <c:v>-2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-3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Adams, Daniel O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7</c:v>
                </c:pt>
                <c:pt idx="8">
                  <c:v>6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Bowers, Martin L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-4</c:v>
                </c:pt>
                <c:pt idx="7">
                  <c:v>-3</c:v>
                </c:pt>
                <c:pt idx="8">
                  <c:v>-4</c:v>
                </c:pt>
                <c:pt idx="9">
                  <c:v>-5</c:v>
                </c:pt>
                <c:pt idx="10">
                  <c:v>-6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Brokaw, Brantley A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-1</c:v>
                </c:pt>
                <c:pt idx="7">
                  <c:v>-1</c:v>
                </c:pt>
                <c:pt idx="8">
                  <c:v>-3</c:v>
                </c:pt>
                <c:pt idx="9">
                  <c:v>-4</c:v>
                </c:pt>
                <c:pt idx="10">
                  <c:v>-4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Chan, Simon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1</c:v>
                </c:pt>
                <c:pt idx="4">
                  <c:v>0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-7</c:v>
                </c:pt>
                <c:pt idx="13">
                  <c:v>-8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7</c:v>
                </c:pt>
                <c:pt idx="9">
                  <c:v>5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-3</c:v>
                </c:pt>
                <c:pt idx="4">
                  <c:v>-2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Farren, Kevin M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Farren, Leslie Remote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-1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7</c:v>
                </c:pt>
                <c:pt idx="8">
                  <c:v>8</c:v>
                </c:pt>
                <c:pt idx="9">
                  <c:v>8</c:v>
                </c:pt>
                <c:pt idx="10">
                  <c:v>7</c:v>
                </c:pt>
                <c:pt idx="11">
                  <c:v>8</c:v>
                </c:pt>
                <c:pt idx="12">
                  <c:v>5</c:v>
                </c:pt>
                <c:pt idx="13">
                  <c:v>6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-3</c:v>
                </c:pt>
                <c:pt idx="10">
                  <c:v>-1</c:v>
                </c:pt>
                <c:pt idx="11">
                  <c:v>-1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-5</c:v>
                </c:pt>
                <c:pt idx="3">
                  <c:v>-5</c:v>
                </c:pt>
                <c:pt idx="4">
                  <c:v>-3</c:v>
                </c:pt>
                <c:pt idx="5">
                  <c:v>-4</c:v>
                </c:pt>
                <c:pt idx="6">
                  <c:v>-2</c:v>
                </c:pt>
                <c:pt idx="7">
                  <c:v>-1</c:v>
                </c:pt>
                <c:pt idx="8">
                  <c:v>0</c:v>
                </c:pt>
                <c:pt idx="9">
                  <c:v>-2</c:v>
                </c:pt>
                <c:pt idx="10">
                  <c:v>-2</c:v>
                </c:pt>
                <c:pt idx="11">
                  <c:v>-6</c:v>
                </c:pt>
                <c:pt idx="12">
                  <c:v>-7</c:v>
                </c:pt>
                <c:pt idx="13">
                  <c:v>-8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Gindlesperger, Jeffrey C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4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60.8%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1.0769230769230766</c:v>
                </c:pt>
                <c:pt idx="2">
                  <c:v>2.1538461538461533</c:v>
                </c:pt>
                <c:pt idx="3">
                  <c:v>3.2307692307692299</c:v>
                </c:pt>
                <c:pt idx="4">
                  <c:v>4.3076923076923066</c:v>
                </c:pt>
                <c:pt idx="5">
                  <c:v>5.3846153846153832</c:v>
                </c:pt>
                <c:pt idx="6">
                  <c:v>6.4615384615384599</c:v>
                </c:pt>
                <c:pt idx="7">
                  <c:v>7.538461538461533</c:v>
                </c:pt>
                <c:pt idx="8">
                  <c:v>8.6153846153846132</c:v>
                </c:pt>
                <c:pt idx="9">
                  <c:v>9.6923076923076934</c:v>
                </c:pt>
                <c:pt idx="10">
                  <c:v>10.769230769230774</c:v>
                </c:pt>
                <c:pt idx="11">
                  <c:v>11.846153846153854</c:v>
                </c:pt>
                <c:pt idx="12">
                  <c:v>12.923076923076934</c:v>
                </c:pt>
                <c:pt idx="13">
                  <c:v>14.000000000000014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Gore, Brandon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-2</c:v>
                </c:pt>
                <c:pt idx="6">
                  <c:v>-2</c:v>
                </c:pt>
                <c:pt idx="7">
                  <c:v>-3</c:v>
                </c:pt>
                <c:pt idx="8">
                  <c:v>-4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-4</c:v>
                </c:pt>
                <c:pt idx="13">
                  <c:v>-5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Gregory, Adam J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-2</c:v>
                </c:pt>
                <c:pt idx="10">
                  <c:v>-3</c:v>
                </c:pt>
                <c:pt idx="11">
                  <c:v>-3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-1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  <c:pt idx="0">
                  <c:v>Holden, Brent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-2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-2</c:v>
                </c:pt>
                <c:pt idx="11">
                  <c:v>-2</c:v>
                </c:pt>
                <c:pt idx="12">
                  <c:v>-1</c:v>
                </c:pt>
                <c:pt idx="13">
                  <c:v>-4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-2</c:v>
                </c:pt>
                <c:pt idx="6">
                  <c:v>-2</c:v>
                </c:pt>
                <c:pt idx="7">
                  <c:v>-3</c:v>
                </c:pt>
                <c:pt idx="8">
                  <c:v>-2</c:v>
                </c:pt>
                <c:pt idx="9">
                  <c:v>-3</c:v>
                </c:pt>
                <c:pt idx="10">
                  <c:v>-5</c:v>
                </c:pt>
                <c:pt idx="11">
                  <c:v>-6</c:v>
                </c:pt>
                <c:pt idx="12">
                  <c:v>-10</c:v>
                </c:pt>
                <c:pt idx="13">
                  <c:v>-10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  <c:pt idx="0">
                  <c:v>Hucks, Jason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-1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-6</c:v>
                </c:pt>
                <c:pt idx="9">
                  <c:v>-3</c:v>
                </c:pt>
                <c:pt idx="10">
                  <c:v>-5</c:v>
                </c:pt>
                <c:pt idx="11">
                  <c:v>-3</c:v>
                </c:pt>
                <c:pt idx="12">
                  <c:v>-2</c:v>
                </c:pt>
                <c:pt idx="13">
                  <c:v>-5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  <c:pt idx="0">
                  <c:v>Inabinet, Greg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5</c:v>
                </c:pt>
                <c:pt idx="8">
                  <c:v>6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6</c:v>
                </c:pt>
                <c:pt idx="13">
                  <c:v>5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  <c:pt idx="0">
                  <c:v>Johnson, Robert J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-4</c:v>
                </c:pt>
                <c:pt idx="4">
                  <c:v>-2</c:v>
                </c:pt>
                <c:pt idx="5">
                  <c:v>-2</c:v>
                </c:pt>
                <c:pt idx="6">
                  <c:v>-4</c:v>
                </c:pt>
                <c:pt idx="7">
                  <c:v>-5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-10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  <c:pt idx="0">
                  <c:v>Kandela, Marwan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5</c:v>
                </c:pt>
                <c:pt idx="9">
                  <c:v>4</c:v>
                </c:pt>
                <c:pt idx="10">
                  <c:v>5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5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8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-1</c:v>
                </c:pt>
                <c:pt idx="11">
                  <c:v>-3</c:v>
                </c:pt>
                <c:pt idx="12">
                  <c:v>-2</c:v>
                </c:pt>
                <c:pt idx="13">
                  <c:v>-4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  <c:pt idx="0">
                  <c:v>Nagorniak, Kristen M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-2</c:v>
                </c:pt>
                <c:pt idx="8">
                  <c:v>-4</c:v>
                </c:pt>
                <c:pt idx="9">
                  <c:v>-7</c:v>
                </c:pt>
                <c:pt idx="10">
                  <c:v>-6</c:v>
                </c:pt>
                <c:pt idx="11">
                  <c:v>-10</c:v>
                </c:pt>
                <c:pt idx="12">
                  <c:v>-8</c:v>
                </c:pt>
                <c:pt idx="13">
                  <c:v>-9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-4</c:v>
                </c:pt>
                <c:pt idx="4">
                  <c:v>-5</c:v>
                </c:pt>
                <c:pt idx="5">
                  <c:v>-3</c:v>
                </c:pt>
                <c:pt idx="6">
                  <c:v>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-2</c:v>
                </c:pt>
                <c:pt idx="7">
                  <c:v>-3</c:v>
                </c:pt>
                <c:pt idx="8">
                  <c:v>-1</c:v>
                </c:pt>
                <c:pt idx="9">
                  <c:v>-3</c:v>
                </c:pt>
                <c:pt idx="10">
                  <c:v>-3</c:v>
                </c:pt>
                <c:pt idx="11">
                  <c:v>0</c:v>
                </c:pt>
                <c:pt idx="12">
                  <c:v>1</c:v>
                </c:pt>
                <c:pt idx="13">
                  <c:v>-1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-1</c:v>
                </c:pt>
                <c:pt idx="5">
                  <c:v>2</c:v>
                </c:pt>
                <c:pt idx="6">
                  <c:v>4</c:v>
                </c:pt>
                <c:pt idx="7">
                  <c:v>6</c:v>
                </c:pt>
                <c:pt idx="8">
                  <c:v>6</c:v>
                </c:pt>
                <c:pt idx="9">
                  <c:v>8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1</c:v>
                </c:pt>
                <c:pt idx="13">
                  <c:v>-2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  <c:pt idx="0">
                  <c:v>Puga, Moises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0</c:v>
                </c:pt>
                <c:pt idx="4">
                  <c:v>-1</c:v>
                </c:pt>
                <c:pt idx="5">
                  <c:v>-3</c:v>
                </c:pt>
                <c:pt idx="6">
                  <c:v>-2</c:v>
                </c:pt>
                <c:pt idx="7">
                  <c:v>-3</c:v>
                </c:pt>
                <c:pt idx="8">
                  <c:v>-4</c:v>
                </c:pt>
                <c:pt idx="9">
                  <c:v>-4</c:v>
                </c:pt>
                <c:pt idx="10">
                  <c:v>-2</c:v>
                </c:pt>
                <c:pt idx="11">
                  <c:v>-4</c:v>
                </c:pt>
                <c:pt idx="12">
                  <c:v>-5</c:v>
                </c:pt>
                <c:pt idx="13">
                  <c:v>-8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8</c:v>
                </c:pt>
                <c:pt idx="7">
                  <c:v>9</c:v>
                </c:pt>
                <c:pt idx="8">
                  <c:v>12</c:v>
                </c:pt>
                <c:pt idx="9">
                  <c:v>13</c:v>
                </c:pt>
                <c:pt idx="10">
                  <c:v>9</c:v>
                </c:pt>
                <c:pt idx="11">
                  <c:v>9</c:v>
                </c:pt>
                <c:pt idx="12">
                  <c:v>8</c:v>
                </c:pt>
                <c:pt idx="13">
                  <c:v>8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  <c:pt idx="0">
                  <c:v>Redys, David Remote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-5</c:v>
                </c:pt>
                <c:pt idx="4">
                  <c:v>-5</c:v>
                </c:pt>
                <c:pt idx="5">
                  <c:v>-1</c:v>
                </c:pt>
                <c:pt idx="6">
                  <c:v>0</c:v>
                </c:pt>
                <c:pt idx="7">
                  <c:v>-3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-8</c:v>
                </c:pt>
                <c:pt idx="12">
                  <c:v>-9</c:v>
                </c:pt>
                <c:pt idx="13">
                  <c:v>-12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-2</c:v>
                </c:pt>
                <c:pt idx="10">
                  <c:v>-2</c:v>
                </c:pt>
                <c:pt idx="11">
                  <c:v>-3</c:v>
                </c:pt>
                <c:pt idx="12">
                  <c:v>-3</c:v>
                </c:pt>
                <c:pt idx="13">
                  <c:v>-2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  <c:pt idx="0">
                  <c:v>Robbins, Thomas D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-3</c:v>
                </c:pt>
                <c:pt idx="5">
                  <c:v>-3</c:v>
                </c:pt>
                <c:pt idx="6">
                  <c:v>-2</c:v>
                </c:pt>
                <c:pt idx="7">
                  <c:v>-2</c:v>
                </c:pt>
                <c:pt idx="8">
                  <c:v>0</c:v>
                </c:pt>
                <c:pt idx="9">
                  <c:v>-2</c:v>
                </c:pt>
                <c:pt idx="10">
                  <c:v>-1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-3</c:v>
                </c:pt>
                <c:pt idx="4">
                  <c:v>-1</c:v>
                </c:pt>
                <c:pt idx="5">
                  <c:v>-2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</c:v>
                </c:pt>
                <c:pt idx="10">
                  <c:v>-1</c:v>
                </c:pt>
                <c:pt idx="11">
                  <c:v>0</c:v>
                </c:pt>
                <c:pt idx="12">
                  <c:v>-1</c:v>
                </c:pt>
                <c:pt idx="13">
                  <c:v>0</c:v>
                </c:pt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0</c:v>
                </c:pt>
                <c:pt idx="13">
                  <c:v>-3</c:v>
                </c:pt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0</c:v>
                </c:pt>
                <c:pt idx="9">
                  <c:v>-3</c:v>
                </c:pt>
                <c:pt idx="10">
                  <c:v>-2</c:v>
                </c:pt>
                <c:pt idx="11">
                  <c:v>-3</c:v>
                </c:pt>
                <c:pt idx="12">
                  <c:v>-1</c:v>
                </c:pt>
                <c:pt idx="13">
                  <c:v>-2</c:v>
                </c:pt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  <c:pt idx="0">
                  <c:v>Shuey, Jeffrey M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-3</c:v>
                </c:pt>
                <c:pt idx="3">
                  <c:v>-5</c:v>
                </c:pt>
                <c:pt idx="4">
                  <c:v>-8</c:v>
                </c:pt>
                <c:pt idx="5">
                  <c:v>-7</c:v>
                </c:pt>
                <c:pt idx="6">
                  <c:v>-8</c:v>
                </c:pt>
                <c:pt idx="7">
                  <c:v>-9</c:v>
                </c:pt>
                <c:pt idx="8">
                  <c:v>-9</c:v>
                </c:pt>
                <c:pt idx="9">
                  <c:v>-8</c:v>
                </c:pt>
                <c:pt idx="10">
                  <c:v>-8</c:v>
                </c:pt>
                <c:pt idx="11">
                  <c:v>-9</c:v>
                </c:pt>
                <c:pt idx="12">
                  <c:v>-11</c:v>
                </c:pt>
                <c:pt idx="13">
                  <c:v>-14</c:v>
                </c:pt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5</c:v>
                </c:pt>
                <c:pt idx="10">
                  <c:v>5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  <c:pt idx="0">
                  <c:v>Steel, Van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-3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  <c:pt idx="0">
                  <c:v>Steele, David L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</c:v>
                </c:pt>
                <c:pt idx="4">
                  <c:v>-4</c:v>
                </c:pt>
                <c:pt idx="5">
                  <c:v>-8</c:v>
                </c:pt>
                <c:pt idx="6">
                  <c:v>-11</c:v>
                </c:pt>
                <c:pt idx="7">
                  <c:v>-12</c:v>
                </c:pt>
                <c:pt idx="8">
                  <c:v>-10</c:v>
                </c:pt>
                <c:pt idx="9">
                  <c:v>-9</c:v>
                </c:pt>
                <c:pt idx="10">
                  <c:v>-7</c:v>
                </c:pt>
                <c:pt idx="11">
                  <c:v>-4</c:v>
                </c:pt>
                <c:pt idx="12">
                  <c:v>-4</c:v>
                </c:pt>
                <c:pt idx="13">
                  <c:v>-2</c:v>
                </c:pt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  <c:pt idx="0">
                  <c:v>Strom, Brooker</c:v>
                </c:pt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  <c:pt idx="0">
                  <c:v>Teasdell, Brian K</c:v>
                </c:pt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-3</c:v>
                </c:pt>
                <c:pt idx="10">
                  <c:v>-1</c:v>
                </c:pt>
                <c:pt idx="11">
                  <c:v>-2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  <c:pt idx="0">
                  <c:v>Warren, Todd Remote</c:v>
                </c:pt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-2</c:v>
                </c:pt>
                <c:pt idx="5">
                  <c:v>-4</c:v>
                </c:pt>
                <c:pt idx="6">
                  <c:v>-5</c:v>
                </c:pt>
                <c:pt idx="7">
                  <c:v>-4</c:v>
                </c:pt>
                <c:pt idx="8">
                  <c:v>-4</c:v>
                </c:pt>
                <c:pt idx="9">
                  <c:v>-5</c:v>
                </c:pt>
                <c:pt idx="10">
                  <c:v>-3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  <c:pt idx="0">
                  <c:v>Wells, Jennifer</c:v>
                </c:pt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  <c:pt idx="0">
                  <c:v>Wells, Seth Remote</c:v>
                </c:pt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5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61"/>
          <c:order val="61"/>
          <c:tx>
            <c:strRef>
              <c:f>Chart!$BN$2</c:f>
              <c:strCache>
                <c:ptCount val="1"/>
                <c:pt idx="0">
                  <c:v>White, Jarred</c:v>
                </c:pt>
              </c:strCache>
            </c:strRef>
          </c:tx>
          <c:val>
            <c:numRef>
              <c:f>Chart!$BN$3:$BN$16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7</c:v>
                </c:pt>
                <c:pt idx="5">
                  <c:v>7</c:v>
                </c:pt>
                <c:pt idx="6">
                  <c:v>6</c:v>
                </c:pt>
                <c:pt idx="7">
                  <c:v>5</c:v>
                </c:pt>
                <c:pt idx="8">
                  <c:v>6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7348536"/>
        <c:axId val="1057348928"/>
      </c:lineChart>
      <c:catAx>
        <c:axId val="105734853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7348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57348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7348536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103308327430839"/>
          <c:h val="0.98732300495602621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14</c:v>
                </c:pt>
                <c:pt idx="3">
                  <c:v>3</c:v>
                </c:pt>
                <c:pt idx="4">
                  <c:v>12</c:v>
                </c:pt>
                <c:pt idx="5">
                  <c:v>12</c:v>
                </c:pt>
                <c:pt idx="6">
                  <c:v>8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7349320"/>
        <c:axId val="1057350104"/>
      </c:barChart>
      <c:catAx>
        <c:axId val="1057349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7350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573501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73493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51</c:v>
                </c:pt>
                <c:pt idx="1">
                  <c:v>53.2</c:v>
                </c:pt>
                <c:pt idx="2">
                  <c:v>55.400000000000006</c:v>
                </c:pt>
                <c:pt idx="3">
                  <c:v>57.600000000000009</c:v>
                </c:pt>
                <c:pt idx="4">
                  <c:v>59.800000000000011</c:v>
                </c:pt>
                <c:pt idx="5">
                  <c:v>62.000000000000014</c:v>
                </c:pt>
                <c:pt idx="6">
                  <c:v>64.200000000000017</c:v>
                </c:pt>
                <c:pt idx="7">
                  <c:v>66.40000000000002</c:v>
                </c:pt>
                <c:pt idx="8">
                  <c:v>68.600000000000023</c:v>
                </c:pt>
                <c:pt idx="9">
                  <c:v>70.800000000000026</c:v>
                </c:pt>
                <c:pt idx="10">
                  <c:v>73.000000000000028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13</c:v>
                </c:pt>
                <c:pt idx="6">
                  <c:v>10</c:v>
                </c:pt>
                <c:pt idx="7">
                  <c:v>8</c:v>
                </c:pt>
                <c:pt idx="8">
                  <c:v>7</c:v>
                </c:pt>
                <c:pt idx="9">
                  <c:v>4</c:v>
                </c:pt>
                <c:pt idx="10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7350888"/>
        <c:axId val="1057351280"/>
      </c:barChart>
      <c:catAx>
        <c:axId val="1057350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7351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573512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5735088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0</xdr:row>
          <xdr:rowOff>15240</xdr:rowOff>
        </xdr:from>
        <xdr:to>
          <xdr:col>13</xdr:col>
          <xdr:colOff>91440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</xdr:colOff>
          <xdr:row>0</xdr:row>
          <xdr:rowOff>22860</xdr:rowOff>
        </xdr:from>
        <xdr:to>
          <xdr:col>21</xdr:col>
          <xdr:colOff>7620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91440</xdr:colOff>
          <xdr:row>0</xdr:row>
          <xdr:rowOff>15240</xdr:rowOff>
        </xdr:from>
        <xdr:to>
          <xdr:col>26</xdr:col>
          <xdr:colOff>472440</xdr:colOff>
          <xdr:row>0</xdr:row>
          <xdr:rowOff>175260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441960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441960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441960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441960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441960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441960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441960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441960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441960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441960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441960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441960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441960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106680</xdr:rowOff>
        </xdr:from>
        <xdr:to>
          <xdr:col>1</xdr:col>
          <xdr:colOff>624840</xdr:colOff>
          <xdr:row>1</xdr:row>
          <xdr:rowOff>312420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381000</xdr:rowOff>
        </xdr:from>
        <xdr:to>
          <xdr:col>1</xdr:col>
          <xdr:colOff>624840</xdr:colOff>
          <xdr:row>1</xdr:row>
          <xdr:rowOff>586740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678180</xdr:rowOff>
        </xdr:from>
        <xdr:to>
          <xdr:col>1</xdr:col>
          <xdr:colOff>739140</xdr:colOff>
          <xdr:row>1</xdr:row>
          <xdr:rowOff>883920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106680</xdr:rowOff>
        </xdr:from>
        <xdr:to>
          <xdr:col>1</xdr:col>
          <xdr:colOff>624840</xdr:colOff>
          <xdr:row>1</xdr:row>
          <xdr:rowOff>312420</xdr:rowOff>
        </xdr:to>
        <xdr:sp macro="" textlink="">
          <xdr:nvSpPr>
            <xdr:cNvPr id="414721" name="Button 1" hidden="1">
              <a:extLst>
                <a:ext uri="{63B3BB69-23CF-44E3-9099-C40C66FF867C}">
                  <a14:compatExt spid="_x0000_s4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381000</xdr:rowOff>
        </xdr:from>
        <xdr:to>
          <xdr:col>1</xdr:col>
          <xdr:colOff>624840</xdr:colOff>
          <xdr:row>1</xdr:row>
          <xdr:rowOff>586740</xdr:rowOff>
        </xdr:to>
        <xdr:sp macro="" textlink="">
          <xdr:nvSpPr>
            <xdr:cNvPr id="414722" name="Button 2" hidden="1">
              <a:extLst>
                <a:ext uri="{63B3BB69-23CF-44E3-9099-C40C66FF867C}">
                  <a14:compatExt spid="_x0000_s4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678180</xdr:rowOff>
        </xdr:from>
        <xdr:to>
          <xdr:col>1</xdr:col>
          <xdr:colOff>739140</xdr:colOff>
          <xdr:row>1</xdr:row>
          <xdr:rowOff>883920</xdr:rowOff>
        </xdr:to>
        <xdr:sp macro="" textlink="">
          <xdr:nvSpPr>
            <xdr:cNvPr id="414724" name="Button 4" hidden="1">
              <a:extLst>
                <a:ext uri="{63B3BB69-23CF-44E3-9099-C40C66FF867C}">
                  <a14:compatExt spid="_x0000_s4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106680</xdr:rowOff>
        </xdr:from>
        <xdr:to>
          <xdr:col>1</xdr:col>
          <xdr:colOff>624840</xdr:colOff>
          <xdr:row>1</xdr:row>
          <xdr:rowOff>312420</xdr:rowOff>
        </xdr:to>
        <xdr:sp macro="" textlink="">
          <xdr:nvSpPr>
            <xdr:cNvPr id="415745" name="Button 1" hidden="1">
              <a:extLst>
                <a:ext uri="{63B3BB69-23CF-44E3-9099-C40C66FF867C}">
                  <a14:compatExt spid="_x0000_s415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381000</xdr:rowOff>
        </xdr:from>
        <xdr:to>
          <xdr:col>1</xdr:col>
          <xdr:colOff>624840</xdr:colOff>
          <xdr:row>1</xdr:row>
          <xdr:rowOff>586740</xdr:rowOff>
        </xdr:to>
        <xdr:sp macro="" textlink="">
          <xdr:nvSpPr>
            <xdr:cNvPr id="415746" name="Button 2" hidden="1">
              <a:extLst>
                <a:ext uri="{63B3BB69-23CF-44E3-9099-C40C66FF867C}">
                  <a14:compatExt spid="_x0000_s415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678180</xdr:rowOff>
        </xdr:from>
        <xdr:to>
          <xdr:col>1</xdr:col>
          <xdr:colOff>739140</xdr:colOff>
          <xdr:row>1</xdr:row>
          <xdr:rowOff>883920</xdr:rowOff>
        </xdr:to>
        <xdr:sp macro="" textlink="">
          <xdr:nvSpPr>
            <xdr:cNvPr id="415749" name="Button 5" hidden="1">
              <a:extLst>
                <a:ext uri="{63B3BB69-23CF-44E3-9099-C40C66FF867C}">
                  <a14:compatExt spid="_x0000_s415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106680</xdr:rowOff>
        </xdr:from>
        <xdr:to>
          <xdr:col>1</xdr:col>
          <xdr:colOff>624840</xdr:colOff>
          <xdr:row>1</xdr:row>
          <xdr:rowOff>312420</xdr:rowOff>
        </xdr:to>
        <xdr:sp macro="" textlink="">
          <xdr:nvSpPr>
            <xdr:cNvPr id="416769" name="Button 1" hidden="1">
              <a:extLst>
                <a:ext uri="{63B3BB69-23CF-44E3-9099-C40C66FF867C}">
                  <a14:compatExt spid="_x0000_s416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381000</xdr:rowOff>
        </xdr:from>
        <xdr:to>
          <xdr:col>1</xdr:col>
          <xdr:colOff>624840</xdr:colOff>
          <xdr:row>1</xdr:row>
          <xdr:rowOff>586740</xdr:rowOff>
        </xdr:to>
        <xdr:sp macro="" textlink="">
          <xdr:nvSpPr>
            <xdr:cNvPr id="416770" name="Button 2" hidden="1">
              <a:extLst>
                <a:ext uri="{63B3BB69-23CF-44E3-9099-C40C66FF867C}">
                  <a14:compatExt spid="_x0000_s416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381000</xdr:rowOff>
        </xdr:from>
        <xdr:to>
          <xdr:col>1</xdr:col>
          <xdr:colOff>624840</xdr:colOff>
          <xdr:row>1</xdr:row>
          <xdr:rowOff>586740</xdr:rowOff>
        </xdr:to>
        <xdr:sp macro="" textlink="">
          <xdr:nvSpPr>
            <xdr:cNvPr id="416772" name="Button 4" hidden="1">
              <a:extLst>
                <a:ext uri="{63B3BB69-23CF-44E3-9099-C40C66FF867C}">
                  <a14:compatExt spid="_x0000_s416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678180</xdr:rowOff>
        </xdr:from>
        <xdr:to>
          <xdr:col>1</xdr:col>
          <xdr:colOff>739140</xdr:colOff>
          <xdr:row>1</xdr:row>
          <xdr:rowOff>883920</xdr:rowOff>
        </xdr:to>
        <xdr:sp macro="" textlink="">
          <xdr:nvSpPr>
            <xdr:cNvPr id="416773" name="Button 5" hidden="1">
              <a:extLst>
                <a:ext uri="{63B3BB69-23CF-44E3-9099-C40C66FF867C}">
                  <a14:compatExt spid="_x0000_s416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106680</xdr:rowOff>
        </xdr:from>
        <xdr:to>
          <xdr:col>1</xdr:col>
          <xdr:colOff>624840</xdr:colOff>
          <xdr:row>1</xdr:row>
          <xdr:rowOff>312420</xdr:rowOff>
        </xdr:to>
        <xdr:sp macro="" textlink="">
          <xdr:nvSpPr>
            <xdr:cNvPr id="417793" name="Button 1" hidden="1">
              <a:extLst>
                <a:ext uri="{63B3BB69-23CF-44E3-9099-C40C66FF867C}">
                  <a14:compatExt spid="_x0000_s417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381000</xdr:rowOff>
        </xdr:from>
        <xdr:to>
          <xdr:col>1</xdr:col>
          <xdr:colOff>624840</xdr:colOff>
          <xdr:row>1</xdr:row>
          <xdr:rowOff>586740</xdr:rowOff>
        </xdr:to>
        <xdr:sp macro="" textlink="">
          <xdr:nvSpPr>
            <xdr:cNvPr id="417794" name="Button 2" hidden="1">
              <a:extLst>
                <a:ext uri="{63B3BB69-23CF-44E3-9099-C40C66FF867C}">
                  <a14:compatExt spid="_x0000_s417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678180</xdr:rowOff>
        </xdr:from>
        <xdr:to>
          <xdr:col>1</xdr:col>
          <xdr:colOff>739140</xdr:colOff>
          <xdr:row>1</xdr:row>
          <xdr:rowOff>883920</xdr:rowOff>
        </xdr:to>
        <xdr:sp macro="" textlink="">
          <xdr:nvSpPr>
            <xdr:cNvPr id="417796" name="Button 4" hidden="1">
              <a:extLst>
                <a:ext uri="{63B3BB69-23CF-44E3-9099-C40C66FF867C}">
                  <a14:compatExt spid="_x0000_s417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106680</xdr:rowOff>
        </xdr:from>
        <xdr:to>
          <xdr:col>1</xdr:col>
          <xdr:colOff>624840</xdr:colOff>
          <xdr:row>1</xdr:row>
          <xdr:rowOff>312420</xdr:rowOff>
        </xdr:to>
        <xdr:sp macro="" textlink="">
          <xdr:nvSpPr>
            <xdr:cNvPr id="418817" name="Button 1" hidden="1">
              <a:extLst>
                <a:ext uri="{63B3BB69-23CF-44E3-9099-C40C66FF867C}">
                  <a14:compatExt spid="_x0000_s4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381000</xdr:rowOff>
        </xdr:from>
        <xdr:to>
          <xdr:col>1</xdr:col>
          <xdr:colOff>624840</xdr:colOff>
          <xdr:row>1</xdr:row>
          <xdr:rowOff>586740</xdr:rowOff>
        </xdr:to>
        <xdr:sp macro="" textlink="">
          <xdr:nvSpPr>
            <xdr:cNvPr id="418818" name="Button 2" hidden="1">
              <a:extLst>
                <a:ext uri="{63B3BB69-23CF-44E3-9099-C40C66FF867C}">
                  <a14:compatExt spid="_x0000_s4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678180</xdr:rowOff>
        </xdr:from>
        <xdr:to>
          <xdr:col>1</xdr:col>
          <xdr:colOff>739140</xdr:colOff>
          <xdr:row>1</xdr:row>
          <xdr:rowOff>883920</xdr:rowOff>
        </xdr:to>
        <xdr:sp macro="" textlink="">
          <xdr:nvSpPr>
            <xdr:cNvPr id="418820" name="Button 4" hidden="1">
              <a:extLst>
                <a:ext uri="{63B3BB69-23CF-44E3-9099-C40C66FF867C}">
                  <a14:compatExt spid="_x0000_s4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106680</xdr:rowOff>
        </xdr:from>
        <xdr:to>
          <xdr:col>1</xdr:col>
          <xdr:colOff>624840</xdr:colOff>
          <xdr:row>1</xdr:row>
          <xdr:rowOff>312420</xdr:rowOff>
        </xdr:to>
        <xdr:sp macro="" textlink="">
          <xdr:nvSpPr>
            <xdr:cNvPr id="419841" name="Button 1" hidden="1">
              <a:extLst>
                <a:ext uri="{63B3BB69-23CF-44E3-9099-C40C66FF867C}">
                  <a14:compatExt spid="_x0000_s419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381000</xdr:rowOff>
        </xdr:from>
        <xdr:to>
          <xdr:col>1</xdr:col>
          <xdr:colOff>624840</xdr:colOff>
          <xdr:row>1</xdr:row>
          <xdr:rowOff>586740</xdr:rowOff>
        </xdr:to>
        <xdr:sp macro="" textlink="">
          <xdr:nvSpPr>
            <xdr:cNvPr id="419842" name="Button 2" hidden="1">
              <a:extLst>
                <a:ext uri="{63B3BB69-23CF-44E3-9099-C40C66FF867C}">
                  <a14:compatExt spid="_x0000_s419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678180</xdr:rowOff>
        </xdr:from>
        <xdr:to>
          <xdr:col>1</xdr:col>
          <xdr:colOff>739140</xdr:colOff>
          <xdr:row>1</xdr:row>
          <xdr:rowOff>883920</xdr:rowOff>
        </xdr:to>
        <xdr:sp macro="" textlink="">
          <xdr:nvSpPr>
            <xdr:cNvPr id="419844" name="Button 4" hidden="1">
              <a:extLst>
                <a:ext uri="{63B3BB69-23CF-44E3-9099-C40C66FF867C}">
                  <a14:compatExt spid="_x0000_s419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106680</xdr:rowOff>
        </xdr:from>
        <xdr:to>
          <xdr:col>1</xdr:col>
          <xdr:colOff>624840</xdr:colOff>
          <xdr:row>1</xdr:row>
          <xdr:rowOff>312420</xdr:rowOff>
        </xdr:to>
        <xdr:sp macro="" textlink="">
          <xdr:nvSpPr>
            <xdr:cNvPr id="420865" name="Button 1" hidden="1">
              <a:extLst>
                <a:ext uri="{63B3BB69-23CF-44E3-9099-C40C66FF867C}">
                  <a14:compatExt spid="_x0000_s420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381000</xdr:rowOff>
        </xdr:from>
        <xdr:to>
          <xdr:col>1</xdr:col>
          <xdr:colOff>624840</xdr:colOff>
          <xdr:row>1</xdr:row>
          <xdr:rowOff>586740</xdr:rowOff>
        </xdr:to>
        <xdr:sp macro="" textlink="">
          <xdr:nvSpPr>
            <xdr:cNvPr id="420866" name="Button 2" hidden="1">
              <a:extLst>
                <a:ext uri="{63B3BB69-23CF-44E3-9099-C40C66FF867C}">
                  <a14:compatExt spid="_x0000_s420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678180</xdr:rowOff>
        </xdr:from>
        <xdr:to>
          <xdr:col>1</xdr:col>
          <xdr:colOff>739140</xdr:colOff>
          <xdr:row>1</xdr:row>
          <xdr:rowOff>883920</xdr:rowOff>
        </xdr:to>
        <xdr:sp macro="" textlink="">
          <xdr:nvSpPr>
            <xdr:cNvPr id="420868" name="Button 4" hidden="1">
              <a:extLst>
                <a:ext uri="{63B3BB69-23CF-44E3-9099-C40C66FF867C}">
                  <a14:compatExt spid="_x0000_s420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106680</xdr:rowOff>
        </xdr:from>
        <xdr:to>
          <xdr:col>1</xdr:col>
          <xdr:colOff>624840</xdr:colOff>
          <xdr:row>1</xdr:row>
          <xdr:rowOff>312420</xdr:rowOff>
        </xdr:to>
        <xdr:sp macro="" textlink="">
          <xdr:nvSpPr>
            <xdr:cNvPr id="421889" name="Button 1" hidden="1">
              <a:extLst>
                <a:ext uri="{63B3BB69-23CF-44E3-9099-C40C66FF867C}">
                  <a14:compatExt spid="_x0000_s42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381000</xdr:rowOff>
        </xdr:from>
        <xdr:to>
          <xdr:col>1</xdr:col>
          <xdr:colOff>624840</xdr:colOff>
          <xdr:row>1</xdr:row>
          <xdr:rowOff>586740</xdr:rowOff>
        </xdr:to>
        <xdr:sp macro="" textlink="">
          <xdr:nvSpPr>
            <xdr:cNvPr id="421890" name="Button 2" hidden="1">
              <a:extLst>
                <a:ext uri="{63B3BB69-23CF-44E3-9099-C40C66FF867C}">
                  <a14:compatExt spid="_x0000_s42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678180</xdr:rowOff>
        </xdr:from>
        <xdr:to>
          <xdr:col>1</xdr:col>
          <xdr:colOff>739140</xdr:colOff>
          <xdr:row>1</xdr:row>
          <xdr:rowOff>883920</xdr:rowOff>
        </xdr:to>
        <xdr:sp macro="" textlink="">
          <xdr:nvSpPr>
            <xdr:cNvPr id="421892" name="Button 4" hidden="1">
              <a:extLst>
                <a:ext uri="{63B3BB69-23CF-44E3-9099-C40C66FF867C}">
                  <a14:compatExt spid="_x0000_s42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106680</xdr:rowOff>
        </xdr:from>
        <xdr:to>
          <xdr:col>1</xdr:col>
          <xdr:colOff>624840</xdr:colOff>
          <xdr:row>1</xdr:row>
          <xdr:rowOff>312420</xdr:rowOff>
        </xdr:to>
        <xdr:sp macro="" textlink="">
          <xdr:nvSpPr>
            <xdr:cNvPr id="422913" name="Button 1" hidden="1">
              <a:extLst>
                <a:ext uri="{63B3BB69-23CF-44E3-9099-C40C66FF867C}">
                  <a14:compatExt spid="_x0000_s422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381000</xdr:rowOff>
        </xdr:from>
        <xdr:to>
          <xdr:col>1</xdr:col>
          <xdr:colOff>624840</xdr:colOff>
          <xdr:row>1</xdr:row>
          <xdr:rowOff>586740</xdr:rowOff>
        </xdr:to>
        <xdr:sp macro="" textlink="">
          <xdr:nvSpPr>
            <xdr:cNvPr id="422914" name="Button 2" hidden="1">
              <a:extLst>
                <a:ext uri="{63B3BB69-23CF-44E3-9099-C40C66FF867C}">
                  <a14:compatExt spid="_x0000_s422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678180</xdr:rowOff>
        </xdr:from>
        <xdr:to>
          <xdr:col>1</xdr:col>
          <xdr:colOff>739140</xdr:colOff>
          <xdr:row>1</xdr:row>
          <xdr:rowOff>883920</xdr:rowOff>
        </xdr:to>
        <xdr:sp macro="" textlink="">
          <xdr:nvSpPr>
            <xdr:cNvPr id="422916" name="Button 4" hidden="1">
              <a:extLst>
                <a:ext uri="{63B3BB69-23CF-44E3-9099-C40C66FF867C}">
                  <a14:compatExt spid="_x0000_s422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106680</xdr:rowOff>
        </xdr:from>
        <xdr:to>
          <xdr:col>1</xdr:col>
          <xdr:colOff>624840</xdr:colOff>
          <xdr:row>1</xdr:row>
          <xdr:rowOff>312420</xdr:rowOff>
        </xdr:to>
        <xdr:sp macro="" textlink="">
          <xdr:nvSpPr>
            <xdr:cNvPr id="423937" name="Button 1" hidden="1">
              <a:extLst>
                <a:ext uri="{63B3BB69-23CF-44E3-9099-C40C66FF867C}">
                  <a14:compatExt spid="_x0000_s423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381000</xdr:rowOff>
        </xdr:from>
        <xdr:to>
          <xdr:col>1</xdr:col>
          <xdr:colOff>624840</xdr:colOff>
          <xdr:row>1</xdr:row>
          <xdr:rowOff>586740</xdr:rowOff>
        </xdr:to>
        <xdr:sp macro="" textlink="">
          <xdr:nvSpPr>
            <xdr:cNvPr id="423938" name="Button 2" hidden="1">
              <a:extLst>
                <a:ext uri="{63B3BB69-23CF-44E3-9099-C40C66FF867C}">
                  <a14:compatExt spid="_x0000_s423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678180</xdr:rowOff>
        </xdr:from>
        <xdr:to>
          <xdr:col>1</xdr:col>
          <xdr:colOff>739140</xdr:colOff>
          <xdr:row>1</xdr:row>
          <xdr:rowOff>883920</xdr:rowOff>
        </xdr:to>
        <xdr:sp macro="" textlink="">
          <xdr:nvSpPr>
            <xdr:cNvPr id="423940" name="Button 4" hidden="1">
              <a:extLst>
                <a:ext uri="{63B3BB69-23CF-44E3-9099-C40C66FF867C}">
                  <a14:compatExt spid="_x0000_s423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106680</xdr:rowOff>
        </xdr:from>
        <xdr:to>
          <xdr:col>1</xdr:col>
          <xdr:colOff>624840</xdr:colOff>
          <xdr:row>1</xdr:row>
          <xdr:rowOff>312420</xdr:rowOff>
        </xdr:to>
        <xdr:sp macro="" textlink="">
          <xdr:nvSpPr>
            <xdr:cNvPr id="424961" name="Button 1" hidden="1">
              <a:extLst>
                <a:ext uri="{63B3BB69-23CF-44E3-9099-C40C66FF867C}">
                  <a14:compatExt spid="_x0000_s424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381000</xdr:rowOff>
        </xdr:from>
        <xdr:to>
          <xdr:col>1</xdr:col>
          <xdr:colOff>624840</xdr:colOff>
          <xdr:row>1</xdr:row>
          <xdr:rowOff>586740</xdr:rowOff>
        </xdr:to>
        <xdr:sp macro="" textlink="">
          <xdr:nvSpPr>
            <xdr:cNvPr id="424962" name="Button 2" hidden="1">
              <a:extLst>
                <a:ext uri="{63B3BB69-23CF-44E3-9099-C40C66FF867C}">
                  <a14:compatExt spid="_x0000_s424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678180</xdr:rowOff>
        </xdr:from>
        <xdr:to>
          <xdr:col>1</xdr:col>
          <xdr:colOff>739140</xdr:colOff>
          <xdr:row>1</xdr:row>
          <xdr:rowOff>883920</xdr:rowOff>
        </xdr:to>
        <xdr:sp macro="" textlink="">
          <xdr:nvSpPr>
            <xdr:cNvPr id="424964" name="Button 4" hidden="1">
              <a:extLst>
                <a:ext uri="{63B3BB69-23CF-44E3-9099-C40C66FF867C}">
                  <a14:compatExt spid="_x0000_s424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106680</xdr:rowOff>
        </xdr:from>
        <xdr:to>
          <xdr:col>1</xdr:col>
          <xdr:colOff>624840</xdr:colOff>
          <xdr:row>1</xdr:row>
          <xdr:rowOff>312420</xdr:rowOff>
        </xdr:to>
        <xdr:sp macro="" textlink="">
          <xdr:nvSpPr>
            <xdr:cNvPr id="425985" name="Button 1" hidden="1">
              <a:extLst>
                <a:ext uri="{63B3BB69-23CF-44E3-9099-C40C66FF867C}">
                  <a14:compatExt spid="_x0000_s425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381000</xdr:rowOff>
        </xdr:from>
        <xdr:to>
          <xdr:col>1</xdr:col>
          <xdr:colOff>624840</xdr:colOff>
          <xdr:row>1</xdr:row>
          <xdr:rowOff>586740</xdr:rowOff>
        </xdr:to>
        <xdr:sp macro="" textlink="">
          <xdr:nvSpPr>
            <xdr:cNvPr id="425986" name="Button 2" hidden="1">
              <a:extLst>
                <a:ext uri="{63B3BB69-23CF-44E3-9099-C40C66FF867C}">
                  <a14:compatExt spid="_x0000_s425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678180</xdr:rowOff>
        </xdr:from>
        <xdr:to>
          <xdr:col>1</xdr:col>
          <xdr:colOff>739140</xdr:colOff>
          <xdr:row>1</xdr:row>
          <xdr:rowOff>883920</xdr:rowOff>
        </xdr:to>
        <xdr:sp macro="" textlink="">
          <xdr:nvSpPr>
            <xdr:cNvPr id="425988" name="Button 4" hidden="1">
              <a:extLst>
                <a:ext uri="{63B3BB69-23CF-44E3-9099-C40C66FF867C}">
                  <a14:compatExt spid="_x0000_s425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45720</xdr:rowOff>
        </xdr:from>
        <xdr:to>
          <xdr:col>0</xdr:col>
          <xdr:colOff>861060</xdr:colOff>
          <xdr:row>1</xdr:row>
          <xdr:rowOff>236220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45720</xdr:rowOff>
        </xdr:from>
        <xdr:to>
          <xdr:col>0</xdr:col>
          <xdr:colOff>861060</xdr:colOff>
          <xdr:row>1</xdr:row>
          <xdr:rowOff>236220</xdr:rowOff>
        </xdr:to>
        <xdr:sp macro="" textlink="">
          <xdr:nvSpPr>
            <xdr:cNvPr id="428033" name="Button 1" hidden="1">
              <a:extLst>
                <a:ext uri="{63B3BB69-23CF-44E3-9099-C40C66FF867C}">
                  <a14:compatExt spid="_x0000_s428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9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6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63"/>
  <sheetViews>
    <sheetView zoomScale="70" zoomScaleNormal="70" workbookViewId="0"/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2" width="3.6640625" bestFit="1" customWidth="1"/>
    <col min="13" max="13" width="3.5546875" customWidth="1"/>
    <col min="14" max="14" width="3.6640625" bestFit="1" customWidth="1"/>
    <col min="15" max="17" width="3.5546875" bestFit="1" customWidth="1"/>
    <col min="18" max="18" width="4" bestFit="1" customWidth="1"/>
    <col min="19" max="22" width="3.33203125" bestFit="1" customWidth="1"/>
    <col min="23" max="23" width="4" bestFit="1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46</v>
      </c>
      <c r="F2" s="110">
        <f ca="1">AVERAGE(INDIRECT("R8C4:R"&amp;8+playercnt-1&amp;"C4",FALSE))</f>
        <v>64.035714285714292</v>
      </c>
      <c r="G2" s="111"/>
      <c r="I2" s="112">
        <f ca="1">SUM(INDIRECT("R8C4:R"&amp;8+playercnt-1&amp;"C4",FALSE))/((playercnt)*games_completed)</f>
        <v>0.49258241758241761</v>
      </c>
      <c r="J2" s="112"/>
      <c r="L2" s="113">
        <f ca="1">SUM(INDIRECT("R8C4:R"&amp;8+playercnt-1&amp;"C4",FALSE))-(playercnt*games_completed/2)</f>
        <v>-54</v>
      </c>
      <c r="M2" s="113"/>
      <c r="O2" s="28" t="s">
        <v>47</v>
      </c>
      <c r="R2">
        <f ca="1">MEDIAN(INDIRECT("R8C4:R"&amp;8+playercnt-1&amp;"C4",FALSE))</f>
        <v>65</v>
      </c>
      <c r="U2" s="28" t="s">
        <v>48</v>
      </c>
      <c r="W2">
        <f ca="1">MODE(INDIRECT("R8C4:R"&amp;8+playercnt-1&amp;"C4",FALSE))</f>
        <v>65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67</v>
      </c>
      <c r="E4" s="25">
        <f t="shared" ref="E4:E7" si="0">D4/games_completed</f>
        <v>0.51538461538461533</v>
      </c>
      <c r="F4" s="11"/>
      <c r="G4" s="16"/>
      <c r="H4" s="20"/>
      <c r="I4" s="17">
        <f t="shared" ref="I4:I7" ca="1" si="1">MAX(K4:W4)</f>
        <v>7</v>
      </c>
      <c r="J4" s="17">
        <f t="shared" ref="J4:J7" ca="1" si="2">MIN(K4:W4)</f>
        <v>3</v>
      </c>
      <c r="K4" s="13">
        <f ca="1">IF($D$2&gt;=(COLUMN()-10),INDIRECT(ADDRESS(25,7,1,,K$3)),"")</f>
        <v>7</v>
      </c>
      <c r="L4" s="13">
        <f t="shared" ref="L4:W4" ca="1" si="3">IF($D$2&gt;=(COLUMN()-10),INDIRECT(ADDRESS(25,7,1,,L$3)),"")</f>
        <v>4</v>
      </c>
      <c r="M4" s="13">
        <f t="shared" ca="1" si="3"/>
        <v>5</v>
      </c>
      <c r="N4" s="13">
        <f t="shared" ca="1" si="3"/>
        <v>6</v>
      </c>
      <c r="O4" s="13">
        <f t="shared" ca="1" si="3"/>
        <v>4</v>
      </c>
      <c r="P4" s="13">
        <f t="shared" ca="1" si="3"/>
        <v>5</v>
      </c>
      <c r="Q4" s="13">
        <f t="shared" ca="1" si="3"/>
        <v>4</v>
      </c>
      <c r="R4" s="13">
        <f t="shared" ca="1" si="3"/>
        <v>6</v>
      </c>
      <c r="S4" s="13">
        <f t="shared" ca="1" si="3"/>
        <v>6</v>
      </c>
      <c r="T4" s="13">
        <f t="shared" ca="1" si="3"/>
        <v>6</v>
      </c>
      <c r="U4" s="13">
        <f t="shared" ca="1" si="3"/>
        <v>3</v>
      </c>
      <c r="V4" s="13">
        <f t="shared" ca="1" si="3"/>
        <v>6</v>
      </c>
      <c r="W4" s="13">
        <f t="shared" ca="1" si="3"/>
        <v>5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67</v>
      </c>
      <c r="E5" s="25">
        <f t="shared" si="0"/>
        <v>0.51538461538461533</v>
      </c>
      <c r="F5" s="11"/>
      <c r="G5" s="16"/>
      <c r="H5" s="20"/>
      <c r="I5" s="17">
        <f t="shared" ca="1" si="1"/>
        <v>8</v>
      </c>
      <c r="J5" s="17">
        <f t="shared" ca="1" si="2"/>
        <v>3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3</v>
      </c>
      <c r="M5" s="13">
        <f t="shared" ca="1" si="4"/>
        <v>7</v>
      </c>
      <c r="N5" s="13">
        <f t="shared" ca="1" si="4"/>
        <v>6</v>
      </c>
      <c r="O5" s="13">
        <f t="shared" ca="1" si="4"/>
        <v>3</v>
      </c>
      <c r="P5" s="13">
        <f t="shared" ca="1" si="4"/>
        <v>6</v>
      </c>
      <c r="Q5" s="13">
        <f t="shared" ca="1" si="4"/>
        <v>5</v>
      </c>
      <c r="R5" s="13">
        <f t="shared" ca="1" si="4"/>
        <v>6</v>
      </c>
      <c r="S5" s="13">
        <f t="shared" ca="1" si="4"/>
        <v>6</v>
      </c>
      <c r="T5" s="13">
        <f t="shared" ca="1" si="4"/>
        <v>5</v>
      </c>
      <c r="U5" s="13">
        <f t="shared" ca="1" si="4"/>
        <v>4</v>
      </c>
      <c r="V5" s="13">
        <f t="shared" ca="1" si="4"/>
        <v>4</v>
      </c>
      <c r="W5" s="13">
        <f t="shared" ca="1" si="4"/>
        <v>8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59</v>
      </c>
      <c r="E6" s="25">
        <f t="shared" ca="1" si="0"/>
        <v>0.45384615384615384</v>
      </c>
      <c r="F6" s="11"/>
      <c r="G6" s="16"/>
      <c r="H6" s="20"/>
      <c r="I6" s="17">
        <f t="shared" ca="1" si="1"/>
        <v>7</v>
      </c>
      <c r="J6" s="17">
        <f t="shared" ca="1" si="2"/>
        <v>2.5</v>
      </c>
      <c r="K6" s="13">
        <f ca="1">IF($D$2&gt;=(COLUMN()-10),INDIRECT(ADDRESS(25,9,1,,K$3)),"")</f>
        <v>3</v>
      </c>
      <c r="L6" s="13">
        <f t="shared" ref="L6:W6" ca="1" si="5">IF($D$2&gt;=(COLUMN()-10),INDIRECT(ADDRESS(25,9,1,,L$3)),"")</f>
        <v>5</v>
      </c>
      <c r="M6" s="13">
        <f t="shared" ca="1" si="5"/>
        <v>5</v>
      </c>
      <c r="N6" s="13">
        <f t="shared" ca="1" si="5"/>
        <v>5</v>
      </c>
      <c r="O6" s="13">
        <f t="shared" ca="1" si="5"/>
        <v>4.5</v>
      </c>
      <c r="P6" s="13">
        <f t="shared" ca="1" si="5"/>
        <v>7</v>
      </c>
      <c r="Q6" s="13">
        <f t="shared" ca="1" si="5"/>
        <v>6</v>
      </c>
      <c r="R6" s="13">
        <f t="shared" ca="1" si="5"/>
        <v>4</v>
      </c>
      <c r="S6" s="13">
        <f t="shared" ca="1" si="5"/>
        <v>2.5</v>
      </c>
      <c r="T6" s="13">
        <f t="shared" ca="1" si="5"/>
        <v>6</v>
      </c>
      <c r="U6" s="13">
        <f t="shared" ca="1" si="5"/>
        <v>3</v>
      </c>
      <c r="V6" s="13">
        <f t="shared" ca="1" si="5"/>
        <v>4</v>
      </c>
      <c r="W6" s="13">
        <f t="shared" ca="1" si="5"/>
        <v>4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64</v>
      </c>
      <c r="E7" s="49">
        <f t="shared" si="0"/>
        <v>0.49230769230769234</v>
      </c>
      <c r="F7" s="50"/>
      <c r="G7" s="51"/>
      <c r="H7" s="52"/>
      <c r="I7" s="53">
        <f t="shared" ca="1" si="1"/>
        <v>8</v>
      </c>
      <c r="J7" s="53">
        <f t="shared" ca="1" si="2"/>
        <v>2</v>
      </c>
      <c r="K7" s="54">
        <f ca="1">IF($D$2&gt;=(COLUMN()-10),INDIRECT(ADDRESS(25,10,1,,K$3)),"")</f>
        <v>5</v>
      </c>
      <c r="L7" s="54">
        <f t="shared" ref="L7:W7" ca="1" si="6">IF($D$2&gt;=(COLUMN()-10),INDIRECT(ADDRESS(25,10,1,,L$3)),"")</f>
        <v>6</v>
      </c>
      <c r="M7" s="54">
        <f t="shared" ca="1" si="6"/>
        <v>7</v>
      </c>
      <c r="N7" s="54">
        <f t="shared" ca="1" si="6"/>
        <v>5</v>
      </c>
      <c r="O7" s="54">
        <f t="shared" ca="1" si="6"/>
        <v>2</v>
      </c>
      <c r="P7" s="54">
        <f t="shared" ca="1" si="6"/>
        <v>3</v>
      </c>
      <c r="Q7" s="54">
        <f t="shared" ca="1" si="6"/>
        <v>4</v>
      </c>
      <c r="R7" s="54">
        <f t="shared" ca="1" si="6"/>
        <v>8</v>
      </c>
      <c r="S7" s="54">
        <f t="shared" ca="1" si="6"/>
        <v>3</v>
      </c>
      <c r="T7" s="54">
        <f t="shared" ca="1" si="6"/>
        <v>5</v>
      </c>
      <c r="U7" s="54">
        <f t="shared" ca="1" si="6"/>
        <v>7</v>
      </c>
      <c r="V7" s="54">
        <f t="shared" ca="1" si="6"/>
        <v>5</v>
      </c>
      <c r="W7" s="54">
        <f t="shared" ca="1" si="6"/>
        <v>4</v>
      </c>
      <c r="X7" s="55"/>
      <c r="Y7" s="55"/>
    </row>
    <row r="8" spans="1:29" x14ac:dyDescent="0.25">
      <c r="A8" s="83">
        <f t="shared" ref="A8:A39" si="7">IF(D8=D7,A7,Y8)</f>
        <v>1</v>
      </c>
      <c r="B8" s="39" t="str">
        <f t="shared" ref="B8:B39" ca="1" si="8">INDIRECT(ADDRESS(2,10+INDIRECT(ADDRESS(ROW(),24)),,,"Chart"))</f>
        <v>Martin, Douglas C</v>
      </c>
      <c r="C8" s="40">
        <f t="shared" ref="C8:C39" si="9">sumAcrossWkSheets(28,10,X8)</f>
        <v>0</v>
      </c>
      <c r="D8" s="40">
        <f t="shared" ref="D8:D39" si="10">sumAcrossWkSheets(25,10,X8)</f>
        <v>73</v>
      </c>
      <c r="E8" s="41">
        <f t="shared" ref="E8:E39" si="11">D8/games_completed</f>
        <v>0.56153846153846154</v>
      </c>
      <c r="F8" s="42">
        <f t="shared" ref="F8:F39" si="12">$D$8-D8</f>
        <v>0</v>
      </c>
      <c r="G8" s="43">
        <v>3</v>
      </c>
      <c r="H8" s="44">
        <f t="shared" ref="H8:H39" si="13">G8-A8</f>
        <v>2</v>
      </c>
      <c r="I8" s="45">
        <f t="shared" ref="I8:I39" ca="1" si="14">MAX(K8:W8)</f>
        <v>7</v>
      </c>
      <c r="J8" s="45">
        <f t="shared" ref="J8:J39" ca="1" si="15">MIN(K8:W8)</f>
        <v>3</v>
      </c>
      <c r="K8" s="46">
        <f ca="1">IF($D$2&gt;=(COLUMN()-10),HLOOKUP($B8,INDIRECT(ADDRESS(2,11,1,,K$3)):INDIRECT(ADDRESS(25,playercnt+10,1,,K$3)),24),"")</f>
        <v>3</v>
      </c>
      <c r="L8" s="46">
        <f ca="1">IF($D$2&gt;=(COLUMN()-10),HLOOKUP($B8,INDIRECT(ADDRESS(2,11,1,,L$3)):INDIRECT(ADDRESS(25,playercnt+10,1,,L$3)),24),"")</f>
        <v>7</v>
      </c>
      <c r="M8" s="46">
        <f ca="1">IF($D$2&gt;=(COLUMN()-10),HLOOKUP($B8,INDIRECT(ADDRESS(2,11,1,,M$3)):INDIRECT(ADDRESS(25,playercnt+10,1,,M$3)),24),"")</f>
        <v>6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6</v>
      </c>
      <c r="P8" s="46">
        <f ca="1">IF($D$2&gt;=(COLUMN()-10),HLOOKUP($B8,INDIRECT(ADDRESS(2,11,1,,P$3)):INDIRECT(ADDRESS(25,playercnt+10,1,,P$3)),24),"")</f>
        <v>5</v>
      </c>
      <c r="Q8" s="46">
        <f ca="1">IF($D$2&gt;=(COLUMN()-10),HLOOKUP($B8,INDIRECT(ADDRESS(2,11,1,,Q$3)):INDIRECT(ADDRESS(25,playercnt+10,1,,Q$3)),24),"")</f>
        <v>7</v>
      </c>
      <c r="R8" s="46">
        <f ca="1">IF($D$2&gt;=(COLUMN()-10),HLOOKUP($B8,INDIRECT(ADDRESS(2,11,1,,R$3)):INDIRECT(ADDRESS(25,playercnt+10,1,,R$3)),24),"")</f>
        <v>5</v>
      </c>
      <c r="S8" s="46">
        <f ca="1">IF($D$2&gt;=(COLUMN()-10),HLOOKUP($B8,INDIRECT(ADDRESS(2,11,1,,S$3)):INDIRECT(ADDRESS(25,playercnt+10,1,,S$3)),24),"")</f>
        <v>6</v>
      </c>
      <c r="T8" s="46">
        <f ca="1">IF($D$2&gt;=(COLUMN()-10),HLOOKUP($B8,INDIRECT(ADDRESS(2,11,1,,T$3)):INDIRECT(ADDRESS(25,playercnt+10,1,,T$3)),24),"")</f>
        <v>6</v>
      </c>
      <c r="U8" s="46">
        <f ca="1">IF($D$2&gt;=(COLUMN()-10),HLOOKUP($B8,INDIRECT(ADDRESS(2,11,1,,U$3)):INDIRECT(ADDRESS(25,playercnt+10,1,,U$3)),24),"")</f>
        <v>4</v>
      </c>
      <c r="V8" s="46">
        <f ca="1">IF($D$2&gt;=(COLUMN()-10),HLOOKUP($B8,INDIRECT(ADDRESS(2,11,1,,V$3)):INDIRECT(ADDRESS(25,playercnt+10,1,,V$3)),24),"")</f>
        <v>5</v>
      </c>
      <c r="W8" s="46">
        <f ca="1">IF($D$2&gt;=(COLUMN()-10),HLOOKUP($B8,INDIRECT(ADDRESS(2,11,1,,W$3)):INDIRECT(ADDRESS(25,playercnt+10,1,,W$3)),24),"")</f>
        <v>7</v>
      </c>
      <c r="X8" s="47">
        <v>29</v>
      </c>
      <c r="Y8" s="47">
        <f>Y7+1</f>
        <v>1</v>
      </c>
      <c r="AC8" s="24"/>
    </row>
    <row r="9" spans="1:29" x14ac:dyDescent="0.25">
      <c r="A9" s="83">
        <f t="shared" si="7"/>
        <v>1</v>
      </c>
      <c r="B9" s="39" t="str">
        <f t="shared" ca="1" si="8"/>
        <v>Penrose, Tim Remote</v>
      </c>
      <c r="C9" s="40">
        <f t="shared" si="9"/>
        <v>0</v>
      </c>
      <c r="D9" s="40">
        <f t="shared" si="10"/>
        <v>73</v>
      </c>
      <c r="E9" s="25">
        <f t="shared" si="11"/>
        <v>0.56153846153846154</v>
      </c>
      <c r="F9" s="11">
        <f t="shared" si="12"/>
        <v>0</v>
      </c>
      <c r="G9" s="16">
        <v>2</v>
      </c>
      <c r="H9" s="20">
        <f t="shared" si="13"/>
        <v>1</v>
      </c>
      <c r="I9" s="17">
        <f t="shared" ca="1" si="14"/>
        <v>8</v>
      </c>
      <c r="J9" s="17">
        <f t="shared" ca="1" si="15"/>
        <v>2</v>
      </c>
      <c r="K9" s="46">
        <f ca="1">IF($D$2&gt;=(COLUMN()-10),HLOOKUP($B9,INDIRECT(ADDRESS(2,11,1,,K$3)):INDIRECT(ADDRESS(25,playercnt+10,1,,K$3)),24),"")</f>
        <v>4</v>
      </c>
      <c r="L9" s="46">
        <f ca="1">IF($D$2&gt;=(COLUMN()-10),HLOOKUP($B9,INDIRECT(ADDRESS(2,11,1,,L$3)):INDIRECT(ADDRESS(25,playercnt+10,1,,L$3)),24),"")</f>
        <v>5</v>
      </c>
      <c r="M9" s="46">
        <f ca="1">IF($D$2&gt;=(COLUMN()-10),HLOOKUP($B9,INDIRECT(ADDRESS(2,11,1,,M$3)):INDIRECT(ADDRESS(25,playercnt+10,1,,M$3)),24),"")</f>
        <v>4</v>
      </c>
      <c r="N9" s="46">
        <f ca="1">IF($D$2&gt;=(COLUMN()-10),HLOOKUP($B9,INDIRECT(ADDRESS(2,11,1,,N$3)):INDIRECT(ADDRESS(25,playercnt+10,1,,N$3)),24),"")</f>
        <v>6</v>
      </c>
      <c r="O9" s="46">
        <f ca="1">IF($D$2&gt;=(COLUMN()-10),HLOOKUP($B9,INDIRECT(ADDRESS(2,11,1,,O$3)):INDIRECT(ADDRESS(25,playercnt+10,1,,O$3)),24),"")</f>
        <v>8</v>
      </c>
      <c r="P9" s="46">
        <f ca="1">IF($D$2&gt;=(COLUMN()-10),HLOOKUP($B9,INDIRECT(ADDRESS(2,11,1,,P$3)):INDIRECT(ADDRESS(25,playercnt+10,1,,P$3)),24),"")</f>
        <v>7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5</v>
      </c>
      <c r="S9" s="46">
        <f ca="1">IF($D$2&gt;=(COLUMN()-10),HLOOKUP($B9,INDIRECT(ADDRESS(2,11,1,,S$3)):INDIRECT(ADDRESS(25,playercnt+10,1,,S$3)),24),"")</f>
        <v>7</v>
      </c>
      <c r="T9" s="46">
        <f ca="1">IF($D$2&gt;=(COLUMN()-10),HLOOKUP($B9,INDIRECT(ADDRESS(2,11,1,,T$3)):INDIRECT(ADDRESS(25,playercnt+10,1,,T$3)),24),"")</f>
        <v>2</v>
      </c>
      <c r="U9" s="46">
        <f ca="1">IF($D$2&gt;=(COLUMN()-10),HLOOKUP($B9,INDIRECT(ADDRESS(2,11,1,,U$3)):INDIRECT(ADDRESS(25,playercnt+10,1,,U$3)),24),"")</f>
        <v>6</v>
      </c>
      <c r="V9" s="46">
        <f ca="1">IF($D$2&gt;=(COLUMN()-10),HLOOKUP($B9,INDIRECT(ADDRESS(2,11,1,,V$3)):INDIRECT(ADDRESS(25,playercnt+10,1,,V$3)),24),"")</f>
        <v>6</v>
      </c>
      <c r="W9" s="46">
        <f ca="1">IF($D$2&gt;=(COLUMN()-10),HLOOKUP($B9,INDIRECT(ADDRESS(2,11,1,,W$3)):INDIRECT(ADDRESS(25,playercnt+10,1,,W$3)),24),"")</f>
        <v>6</v>
      </c>
      <c r="X9" s="14">
        <v>36</v>
      </c>
      <c r="Y9" s="14">
        <f t="shared" ref="Y9:Y25" si="16">Y8+1</f>
        <v>2</v>
      </c>
    </row>
    <row r="10" spans="1:29" x14ac:dyDescent="0.25">
      <c r="A10" s="83">
        <f t="shared" si="7"/>
        <v>1</v>
      </c>
      <c r="B10" s="39" t="str">
        <f t="shared" ca="1" si="8"/>
        <v>Reams, Byron L</v>
      </c>
      <c r="C10" s="40">
        <f t="shared" si="9"/>
        <v>0</v>
      </c>
      <c r="D10" s="40">
        <f t="shared" si="10"/>
        <v>73</v>
      </c>
      <c r="E10" s="25">
        <f t="shared" si="11"/>
        <v>0.56153846153846154</v>
      </c>
      <c r="F10" s="11">
        <f t="shared" si="12"/>
        <v>0</v>
      </c>
      <c r="G10" s="43">
        <v>1</v>
      </c>
      <c r="H10" s="20">
        <f t="shared" si="13"/>
        <v>0</v>
      </c>
      <c r="I10" s="17">
        <f t="shared" ca="1" si="14"/>
        <v>8</v>
      </c>
      <c r="J10" s="17">
        <f t="shared" ca="1" si="15"/>
        <v>1</v>
      </c>
      <c r="K10" s="46">
        <f ca="1">IF($D$2&gt;=(COLUMN()-10),HLOOKUP($B10,INDIRECT(ADDRESS(2,11,1,,K$3)):INDIRECT(ADDRESS(25,playercnt+10,1,,K$3)),24),"")</f>
        <v>3</v>
      </c>
      <c r="L10" s="46">
        <f ca="1">IF($D$2&gt;=(COLUMN()-10),HLOOKUP($B10,INDIRECT(ADDRESS(2,11,1,,L$3)):INDIRECT(ADDRESS(25,playercnt+10,1,,L$3)),24),"")</f>
        <v>8</v>
      </c>
      <c r="M10" s="46">
        <f ca="1">IF($D$2&gt;=(COLUMN()-10),HLOOKUP($B10,INDIRECT(ADDRESS(2,11,1,,M$3)):INDIRECT(ADDRESS(25,playercnt+10,1,,M$3)),24),"")</f>
        <v>7</v>
      </c>
      <c r="N10" s="46">
        <f ca="1">IF($D$2&gt;=(COLUMN()-10),HLOOKUP($B10,INDIRECT(ADDRESS(2,11,1,,N$3)):INDIRECT(ADDRESS(25,playercnt+10,1,,N$3)),24),"")</f>
        <v>6</v>
      </c>
      <c r="O10" s="46">
        <f ca="1">IF($D$2&gt;=(COLUMN()-10),HLOOKUP($B10,INDIRECT(ADDRESS(2,11,1,,O$3)):INDIRECT(ADDRESS(25,playercnt+10,1,,O$3)),24),"")</f>
        <v>6</v>
      </c>
      <c r="P10" s="46">
        <f ca="1">IF($D$2&gt;=(COLUMN()-10),HLOOKUP($B10,INDIRECT(ADDRESS(2,11,1,,P$3)):INDIRECT(ADDRESS(25,playercnt+10,1,,P$3)),24),"")</f>
        <v>8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8</v>
      </c>
      <c r="S10" s="46">
        <f ca="1">IF($D$2&gt;=(COLUMN()-10),HLOOKUP($B10,INDIRECT(ADDRESS(2,11,1,,S$3)):INDIRECT(ADDRESS(25,playercnt+10,1,,S$3)),24),"")</f>
        <v>6</v>
      </c>
      <c r="T10" s="46">
        <f ca="1">IF($D$2&gt;=(COLUMN()-10),HLOOKUP($B10,INDIRECT(ADDRESS(2,11,1,,T$3)):INDIRECT(ADDRESS(25,playercnt+10,1,,T$3)),24),"")</f>
        <v>1</v>
      </c>
      <c r="U10" s="46">
        <f ca="1">IF($D$2&gt;=(COLUMN()-10),HLOOKUP($B10,INDIRECT(ADDRESS(2,11,1,,U$3)):INDIRECT(ADDRESS(25,playercnt+10,1,,U$3)),24),"")</f>
        <v>5</v>
      </c>
      <c r="V10" s="46">
        <f ca="1">IF($D$2&gt;=(COLUMN()-10),HLOOKUP($B10,INDIRECT(ADDRESS(2,11,1,,V$3)):INDIRECT(ADDRESS(25,playercnt+10,1,,V$3)),24),"")</f>
        <v>4</v>
      </c>
      <c r="W10" s="46">
        <f ca="1">IF($D$2&gt;=(COLUMN()-10),HLOOKUP($B10,INDIRECT(ADDRESS(2,11,1,,W$3)):INDIRECT(ADDRESS(25,playercnt+10,1,,W$3)),24),"")</f>
        <v>5</v>
      </c>
      <c r="X10" s="47">
        <v>39</v>
      </c>
      <c r="Y10" s="14">
        <f t="shared" si="16"/>
        <v>3</v>
      </c>
    </row>
    <row r="11" spans="1:29" x14ac:dyDescent="0.25">
      <c r="A11" s="83">
        <f t="shared" si="7"/>
        <v>4</v>
      </c>
      <c r="B11" s="39" t="str">
        <f t="shared" ca="1" si="8"/>
        <v>Ferguson, Scott Remote</v>
      </c>
      <c r="C11" s="40">
        <f t="shared" si="9"/>
        <v>1</v>
      </c>
      <c r="D11" s="40">
        <f t="shared" si="10"/>
        <v>71</v>
      </c>
      <c r="E11" s="25">
        <f t="shared" si="11"/>
        <v>0.5461538461538461</v>
      </c>
      <c r="F11" s="11">
        <f t="shared" si="12"/>
        <v>2</v>
      </c>
      <c r="G11" s="16">
        <v>6</v>
      </c>
      <c r="H11" s="20">
        <f t="shared" si="13"/>
        <v>2</v>
      </c>
      <c r="I11" s="17">
        <f t="shared" ca="1" si="14"/>
        <v>8</v>
      </c>
      <c r="J11" s="17">
        <f t="shared" ca="1" si="15"/>
        <v>2</v>
      </c>
      <c r="K11" s="46">
        <f ca="1">IF($D$2&gt;=(COLUMN()-10),HLOOKUP($B11,INDIRECT(ADDRESS(2,11,1,,K$3)):INDIRECT(ADDRESS(25,playercnt+10,1,,K$3)),24),"")</f>
        <v>3</v>
      </c>
      <c r="L11" s="46">
        <f ca="1">IF($D$2&gt;=(COLUMN()-10),HLOOKUP($B11,INDIRECT(ADDRESS(2,11,1,,L$3)):INDIRECT(ADDRESS(25,playercnt+10,1,,L$3)),24),"")</f>
        <v>5</v>
      </c>
      <c r="M11" s="46">
        <f ca="1">IF($D$2&gt;=(COLUMN()-10),HLOOKUP($B11,INDIRECT(ADDRESS(2,11,1,,M$3)):INDIRECT(ADDRESS(25,playercnt+10,1,,M$3)),24),"")</f>
        <v>6</v>
      </c>
      <c r="N11" s="46">
        <f ca="1">IF($D$2&gt;=(COLUMN()-10),HLOOKUP($B11,INDIRECT(ADDRESS(2,11,1,,N$3)):INDIRECT(ADDRESS(25,playercnt+10,1,,N$3)),24),"")</f>
        <v>6</v>
      </c>
      <c r="O11" s="46">
        <f ca="1">IF($D$2&gt;=(COLUMN()-10),HLOOKUP($B11,INDIRECT(ADDRESS(2,11,1,,O$3)):INDIRECT(ADDRESS(25,playercnt+10,1,,O$3)),24),"")</f>
        <v>8</v>
      </c>
      <c r="P11" s="46">
        <f ca="1">IF($D$2&gt;=(COLUMN()-10),HLOOKUP($B11,INDIRECT(ADDRESS(2,11,1,,P$3)):INDIRECT(ADDRESS(25,playercnt+10,1,,P$3)),24),"")</f>
        <v>6</v>
      </c>
      <c r="Q11" s="46">
        <f ca="1">IF($D$2&gt;=(COLUMN()-10),HLOOKUP($B11,INDIRECT(ADDRESS(2,11,1,,Q$3)):INDIRECT(ADDRESS(25,playercnt+10,1,,Q$3)),24),"")</f>
        <v>8</v>
      </c>
      <c r="R11" s="46">
        <f ca="1">IF($D$2&gt;=(COLUMN()-10),HLOOKUP($B11,INDIRECT(ADDRESS(2,11,1,,R$3)):INDIRECT(ADDRESS(25,playercnt+10,1,,R$3)),24),"")</f>
        <v>6</v>
      </c>
      <c r="S11" s="46">
        <f ca="1">IF($D$2&gt;=(COLUMN()-10),HLOOKUP($B11,INDIRECT(ADDRESS(2,11,1,,S$3)):INDIRECT(ADDRESS(25,playercnt+10,1,,S$3)),24),"")</f>
        <v>5</v>
      </c>
      <c r="T11" s="46">
        <f ca="1">IF($D$2&gt;=(COLUMN()-10),HLOOKUP($B11,INDIRECT(ADDRESS(2,11,1,,T$3)):INDIRECT(ADDRESS(25,playercnt+10,1,,T$3)),24),"")</f>
        <v>4</v>
      </c>
      <c r="U11" s="46">
        <f ca="1">IF($D$2&gt;=(COLUMN()-10),HLOOKUP($B11,INDIRECT(ADDRESS(2,11,1,,U$3)):INDIRECT(ADDRESS(25,playercnt+10,1,,U$3)),24),"")</f>
        <v>6</v>
      </c>
      <c r="V11" s="46">
        <f ca="1">IF($D$2&gt;=(COLUMN()-10),HLOOKUP($B11,INDIRECT(ADDRESS(2,11,1,,V$3)):INDIRECT(ADDRESS(25,playercnt+10,1,,V$3)),24),"")</f>
        <v>2</v>
      </c>
      <c r="W11" s="46">
        <f ca="1">IF($D$2&gt;=(COLUMN()-10),HLOOKUP($B11,INDIRECT(ADDRESS(2,11,1,,W$3)):INDIRECT(ADDRESS(25,playercnt+10,1,,W$3)),24),"")</f>
        <v>6</v>
      </c>
      <c r="X11" s="14">
        <v>13</v>
      </c>
      <c r="Y11" s="14">
        <f t="shared" si="16"/>
        <v>4</v>
      </c>
    </row>
    <row r="12" spans="1:29" x14ac:dyDescent="0.25">
      <c r="A12" s="83">
        <f t="shared" si="7"/>
        <v>4</v>
      </c>
      <c r="B12" s="39" t="str">
        <f t="shared" ca="1" si="8"/>
        <v>Murphy, William A</v>
      </c>
      <c r="C12" s="40">
        <f t="shared" si="9"/>
        <v>0</v>
      </c>
      <c r="D12" s="40">
        <f t="shared" si="10"/>
        <v>71</v>
      </c>
      <c r="E12" s="25">
        <f t="shared" si="11"/>
        <v>0.5461538461538461</v>
      </c>
      <c r="F12" s="11">
        <f t="shared" si="12"/>
        <v>2</v>
      </c>
      <c r="G12" s="43">
        <v>3</v>
      </c>
      <c r="H12" s="20">
        <f t="shared" si="13"/>
        <v>-1</v>
      </c>
      <c r="I12" s="17">
        <f t="shared" ca="1" si="14"/>
        <v>8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3</v>
      </c>
      <c r="L12" s="46">
        <f ca="1">IF($D$2&gt;=(COLUMN()-10),HLOOKUP($B12,INDIRECT(ADDRESS(2,11,1,,L$3)):INDIRECT(ADDRESS(25,playercnt+10,1,,L$3)),24),"")</f>
        <v>8</v>
      </c>
      <c r="M12" s="46">
        <f ca="1">IF($D$2&gt;=(COLUMN()-10),HLOOKUP($B12,INDIRECT(ADDRESS(2,11,1,,M$3)):INDIRECT(ADDRESS(25,playercnt+10,1,,M$3)),24),"")</f>
        <v>5</v>
      </c>
      <c r="N12" s="46">
        <f ca="1">IF($D$2&gt;=(COLUMN()-10),HLOOKUP($B12,INDIRECT(ADDRESS(2,11,1,,N$3)):INDIRECT(ADDRESS(25,playercnt+10,1,,N$3)),24),"")</f>
        <v>7</v>
      </c>
      <c r="O12" s="46">
        <f ca="1">IF($D$2&gt;=(COLUMN()-10),HLOOKUP($B12,INDIRECT(ADDRESS(2,11,1,,O$3)):INDIRECT(ADDRESS(25,playercnt+10,1,,O$3)),24),"")</f>
        <v>5</v>
      </c>
      <c r="P12" s="46">
        <f ca="1">IF($D$2&gt;=(COLUMN()-10),HLOOKUP($B12,INDIRECT(ADDRESS(2,11,1,,P$3)):INDIRECT(ADDRESS(25,playercnt+10,1,,P$3)),24),"")</f>
        <v>7</v>
      </c>
      <c r="Q12" s="46">
        <f ca="1">IF($D$2&gt;=(COLUMN()-10),HLOOKUP($B12,INDIRECT(ADDRESS(2,11,1,,Q$3)):INDIRECT(ADDRESS(25,playercnt+10,1,,Q$3)),24),"")</f>
        <v>6</v>
      </c>
      <c r="R12" s="46">
        <f ca="1">IF($D$2&gt;=(COLUMN()-10),HLOOKUP($B12,INDIRECT(ADDRESS(2,11,1,,R$3)):INDIRECT(ADDRESS(25,playercnt+10,1,,R$3)),24),"")</f>
        <v>6</v>
      </c>
      <c r="S12" s="46">
        <f ca="1">IF($D$2&gt;=(COLUMN()-10),HLOOKUP($B12,INDIRECT(ADDRESS(2,11,1,,S$3)):INDIRECT(ADDRESS(25,playercnt+10,1,,S$3)),24),"")</f>
        <v>5</v>
      </c>
      <c r="T12" s="46">
        <f ca="1">IF($D$2&gt;=(COLUMN()-10),HLOOKUP($B12,INDIRECT(ADDRESS(2,11,1,,T$3)):INDIRECT(ADDRESS(25,playercnt+10,1,,T$3)),24),"")</f>
        <v>4</v>
      </c>
      <c r="U12" s="46">
        <f ca="1">IF($D$2&gt;=(COLUMN()-10),HLOOKUP($B12,INDIRECT(ADDRESS(2,11,1,,U$3)):INDIRECT(ADDRESS(25,playercnt+10,1,,U$3)),24),"")</f>
        <v>5</v>
      </c>
      <c r="V12" s="46">
        <f ca="1">IF($D$2&gt;=(COLUMN()-10),HLOOKUP($B12,INDIRECT(ADDRESS(2,11,1,,V$3)):INDIRECT(ADDRESS(25,playercnt+10,1,,V$3)),24),"")</f>
        <v>5</v>
      </c>
      <c r="W12" s="46">
        <f ca="1">IF($D$2&gt;=(COLUMN()-10),HLOOKUP($B12,INDIRECT(ADDRESS(2,11,1,,W$3)):INDIRECT(ADDRESS(25,playercnt+10,1,,W$3)),24),"")</f>
        <v>5</v>
      </c>
      <c r="X12" s="47">
        <v>32</v>
      </c>
      <c r="Y12" s="14">
        <f t="shared" si="16"/>
        <v>5</v>
      </c>
    </row>
    <row r="13" spans="1:29" x14ac:dyDescent="0.25">
      <c r="A13" s="83">
        <f t="shared" si="7"/>
        <v>6</v>
      </c>
      <c r="B13" s="39" t="str">
        <f t="shared" ca="1" si="8"/>
        <v>James, Larry C</v>
      </c>
      <c r="C13" s="40">
        <f t="shared" si="9"/>
        <v>0</v>
      </c>
      <c r="D13" s="40">
        <f t="shared" si="10"/>
        <v>70</v>
      </c>
      <c r="E13" s="25">
        <f t="shared" si="11"/>
        <v>0.53846153846153844</v>
      </c>
      <c r="F13" s="11">
        <f t="shared" si="12"/>
        <v>3</v>
      </c>
      <c r="G13" s="16">
        <v>3</v>
      </c>
      <c r="H13" s="20">
        <f t="shared" si="13"/>
        <v>-3</v>
      </c>
      <c r="I13" s="17">
        <f t="shared" ca="1" si="14"/>
        <v>7</v>
      </c>
      <c r="J13" s="17">
        <f t="shared" ca="1" si="15"/>
        <v>4</v>
      </c>
      <c r="K13" s="46">
        <f ca="1">IF($D$2&gt;=(COLUMN()-10),HLOOKUP($B13,INDIRECT(ADDRESS(2,11,1,,K$3)):INDIRECT(ADDRESS(25,playercnt+10,1,,K$3)),24),"")</f>
        <v>5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5</v>
      </c>
      <c r="O13" s="46">
        <f ca="1">IF($D$2&gt;=(COLUMN()-10),HLOOKUP($B13,INDIRECT(ADDRESS(2,11,1,,O$3)):INDIRECT(ADDRESS(25,playercnt+10,1,,O$3)),24),"")</f>
        <v>6</v>
      </c>
      <c r="P13" s="46">
        <f ca="1">IF($D$2&gt;=(COLUMN()-10),HLOOKUP($B13,INDIRECT(ADDRESS(2,11,1,,P$3)):INDIRECT(ADDRESS(25,playercnt+10,1,,P$3)),24),"")</f>
        <v>7</v>
      </c>
      <c r="Q13" s="46">
        <f ca="1">IF($D$2&gt;=(COLUMN()-10),HLOOKUP($B13,INDIRECT(ADDRESS(2,11,1,,Q$3)):INDIRECT(ADDRESS(25,playercnt+10,1,,Q$3)),24),"")</f>
        <v>7</v>
      </c>
      <c r="R13" s="46">
        <f ca="1">IF($D$2&gt;=(COLUMN()-10),HLOOKUP($B13,INDIRECT(ADDRESS(2,11,1,,R$3)):INDIRECT(ADDRESS(25,playercnt+10,1,,R$3)),24),"")</f>
        <v>6</v>
      </c>
      <c r="S13" s="46">
        <f ca="1">IF($D$2&gt;=(COLUMN()-10),HLOOKUP($B13,INDIRECT(ADDRESS(2,11,1,,S$3)):INDIRECT(ADDRESS(25,playercnt+10,1,,S$3)),24),"")</f>
        <v>4</v>
      </c>
      <c r="T13" s="46">
        <f ca="1">IF($D$2&gt;=(COLUMN()-10),HLOOKUP($B13,INDIRECT(ADDRESS(2,11,1,,T$3)):INDIRECT(ADDRESS(25,playercnt+10,1,,T$3)),24),"")</f>
        <v>6</v>
      </c>
      <c r="U13" s="46">
        <f ca="1">IF($D$2&gt;=(COLUMN()-10),HLOOKUP($B13,INDIRECT(ADDRESS(2,11,1,,U$3)):INDIRECT(ADDRESS(25,playercnt+10,1,,U$3)),24),"")</f>
        <v>4</v>
      </c>
      <c r="V13" s="46">
        <f ca="1">IF($D$2&gt;=(COLUMN()-10),HLOOKUP($B13,INDIRECT(ADDRESS(2,11,1,,V$3)):INDIRECT(ADDRESS(25,playercnt+10,1,,V$3)),24),"")</f>
        <v>6</v>
      </c>
      <c r="W13" s="46">
        <f ca="1">IF($D$2&gt;=(COLUMN()-10),HLOOKUP($B13,INDIRECT(ADDRESS(2,11,1,,W$3)):INDIRECT(ADDRESS(25,playercnt+10,1,,W$3)),24),"")</f>
        <v>4</v>
      </c>
      <c r="X13" s="14">
        <v>24</v>
      </c>
      <c r="Y13" s="14">
        <f t="shared" si="16"/>
        <v>6</v>
      </c>
    </row>
    <row r="14" spans="1:29" x14ac:dyDescent="0.25">
      <c r="A14" s="83">
        <f t="shared" si="7"/>
        <v>6</v>
      </c>
      <c r="B14" s="39" t="str">
        <f t="shared" ca="1" si="8"/>
        <v>Steel, Van Remote</v>
      </c>
      <c r="C14" s="40">
        <f t="shared" si="9"/>
        <v>0</v>
      </c>
      <c r="D14" s="40">
        <f t="shared" si="10"/>
        <v>70</v>
      </c>
      <c r="E14" s="25">
        <f t="shared" si="11"/>
        <v>0.53846153846153844</v>
      </c>
      <c r="F14" s="11">
        <f t="shared" si="12"/>
        <v>3</v>
      </c>
      <c r="G14" s="43">
        <v>7</v>
      </c>
      <c r="H14" s="20">
        <f t="shared" si="13"/>
        <v>1</v>
      </c>
      <c r="I14" s="17">
        <f t="shared" ca="1" si="14"/>
        <v>8</v>
      </c>
      <c r="J14" s="17">
        <f t="shared" ca="1" si="15"/>
        <v>2</v>
      </c>
      <c r="K14" s="46">
        <f ca="1">IF($D$2&gt;=(COLUMN()-10),HLOOKUP($B14,INDIRECT(ADDRESS(2,11,1,,K$3)):INDIRECT(ADDRESS(25,playercnt+10,1,,K$3)),24),"")</f>
        <v>4</v>
      </c>
      <c r="L14" s="46">
        <f ca="1">IF($D$2&gt;=(COLUMN()-10),HLOOKUP($B14,INDIRECT(ADDRESS(2,11,1,,L$3)):INDIRECT(ADDRESS(25,playercnt+10,1,,L$3)),24),"")</f>
        <v>6</v>
      </c>
      <c r="M14" s="46">
        <f ca="1">IF($D$2&gt;=(COLUMN()-10),HLOOKUP($B14,INDIRECT(ADDRESS(2,11,1,,M$3)):INDIRECT(ADDRESS(25,playercnt+10,1,,M$3)),24),"")</f>
        <v>6</v>
      </c>
      <c r="N14" s="46">
        <f ca="1">IF($D$2&gt;=(COLUMN()-10),HLOOKUP($B14,INDIRECT(ADDRESS(2,11,1,,N$3)):INDIRECT(ADDRESS(25,playercnt+10,1,,N$3)),24),"")</f>
        <v>4</v>
      </c>
      <c r="O14" s="46">
        <f ca="1">IF($D$2&gt;=(COLUMN()-10),HLOOKUP($B14,INDIRECT(ADDRESS(2,11,1,,O$3)):INDIRECT(ADDRESS(25,playercnt+10,1,,O$3)),24),"")</f>
        <v>5</v>
      </c>
      <c r="P14" s="46">
        <f ca="1">IF($D$2&gt;=(COLUMN()-10),HLOOKUP($B14,INDIRECT(ADDRESS(2,11,1,,P$3)):INDIRECT(ADDRESS(25,playercnt+10,1,,P$3)),24),"")</f>
        <v>2</v>
      </c>
      <c r="Q14" s="46">
        <f ca="1">IF($D$2&gt;=(COLUMN()-10),HLOOKUP($B14,INDIRECT(ADDRESS(2,11,1,,Q$3)):INDIRECT(ADDRESS(25,playercnt+10,1,,Q$3)),24),"")</f>
        <v>8</v>
      </c>
      <c r="R14" s="46">
        <f ca="1">IF($D$2&gt;=(COLUMN()-10),HLOOKUP($B14,INDIRECT(ADDRESS(2,11,1,,R$3)):INDIRECT(ADDRESS(25,playercnt+10,1,,R$3)),24),"")</f>
        <v>8</v>
      </c>
      <c r="S14" s="46">
        <f ca="1">IF($D$2&gt;=(COLUMN()-10),HLOOKUP($B14,INDIRECT(ADDRESS(2,11,1,,S$3)):INDIRECT(ADDRESS(25,playercnt+10,1,,S$3)),24),"")</f>
        <v>5</v>
      </c>
      <c r="T14" s="46">
        <f ca="1">IF($D$2&gt;=(COLUMN()-10),HLOOKUP($B14,INDIRECT(ADDRESS(2,11,1,,T$3)):INDIRECT(ADDRESS(25,playercnt+10,1,,T$3)),24),"")</f>
        <v>5</v>
      </c>
      <c r="U14" s="46">
        <f ca="1">IF($D$2&gt;=(COLUMN()-10),HLOOKUP($B14,INDIRECT(ADDRESS(2,11,1,,U$3)):INDIRECT(ADDRESS(25,playercnt+10,1,,U$3)),24),"")</f>
        <v>6</v>
      </c>
      <c r="V14" s="46">
        <f ca="1">IF($D$2&gt;=(COLUMN()-10),HLOOKUP($B14,INDIRECT(ADDRESS(2,11,1,,V$3)):INDIRECT(ADDRESS(25,playercnt+10,1,,V$3)),24),"")</f>
        <v>5</v>
      </c>
      <c r="W14" s="46">
        <f ca="1">IF($D$2&gt;=(COLUMN()-10),HLOOKUP($B14,INDIRECT(ADDRESS(2,11,1,,W$3)):INDIRECT(ADDRESS(25,playercnt+10,1,,W$3)),24),"")</f>
        <v>6</v>
      </c>
      <c r="X14" s="47">
        <v>48</v>
      </c>
      <c r="Y14" s="14">
        <f t="shared" si="16"/>
        <v>7</v>
      </c>
    </row>
    <row r="15" spans="1:29" x14ac:dyDescent="0.25">
      <c r="A15" s="83">
        <f t="shared" si="7"/>
        <v>8</v>
      </c>
      <c r="B15" s="39" t="str">
        <f t="shared" ca="1" si="8"/>
        <v>Gindlesperger, Jeffrey C</v>
      </c>
      <c r="C15" s="40">
        <f t="shared" si="9"/>
        <v>3</v>
      </c>
      <c r="D15" s="40">
        <f t="shared" si="10"/>
        <v>69</v>
      </c>
      <c r="E15" s="25">
        <f t="shared" si="11"/>
        <v>0.53076923076923077</v>
      </c>
      <c r="F15" s="11">
        <f t="shared" si="12"/>
        <v>4</v>
      </c>
      <c r="G15" s="16">
        <v>20</v>
      </c>
      <c r="H15" s="20">
        <f t="shared" si="13"/>
        <v>12</v>
      </c>
      <c r="I15" s="17">
        <f t="shared" ca="1" si="14"/>
        <v>8</v>
      </c>
      <c r="J15" s="17">
        <f t="shared" ca="1" si="15"/>
        <v>3</v>
      </c>
      <c r="K15" s="46">
        <f ca="1">IF($D$2&gt;=(COLUMN()-10),HLOOKUP($B15,INDIRECT(ADDRESS(2,11,1,,K$3)):INDIRECT(ADDRESS(25,playercnt+10,1,,K$3)),24),"")</f>
        <v>6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6</v>
      </c>
      <c r="N15" s="46">
        <f ca="1">IF($D$2&gt;=(COLUMN()-10),HLOOKUP($B15,INDIRECT(ADDRESS(2,11,1,,N$3)):INDIRECT(ADDRESS(25,playercnt+10,1,,N$3)),24),"")</f>
        <v>7</v>
      </c>
      <c r="O15" s="46">
        <f ca="1">IF($D$2&gt;=(COLUMN()-10),HLOOKUP($B15,INDIRECT(ADDRESS(2,11,1,,O$3)):INDIRECT(ADDRESS(25,playercnt+10,1,,O$3)),24),"")</f>
        <v>4</v>
      </c>
      <c r="P15" s="46">
        <f ca="1">IF($D$2&gt;=(COLUMN()-10),HLOOKUP($B15,INDIRECT(ADDRESS(2,11,1,,P$3)):INDIRECT(ADDRESS(25,playercnt+10,1,,P$3)),24),"")</f>
        <v>4</v>
      </c>
      <c r="Q15" s="46">
        <f ca="1">IF($D$2&gt;=(COLUMN()-10),HLOOKUP($B15,INDIRECT(ADDRESS(2,11,1,,Q$3)):INDIRECT(ADDRESS(25,playercnt+10,1,,Q$3)),24),"")</f>
        <v>5</v>
      </c>
      <c r="R15" s="46">
        <f ca="1">IF($D$2&gt;=(COLUMN()-10),HLOOKUP($B15,INDIRECT(ADDRESS(2,11,1,,R$3)):INDIRECT(ADDRESS(25,playercnt+10,1,,R$3)),24),"")</f>
        <v>6</v>
      </c>
      <c r="S15" s="46">
        <f ca="1">IF($D$2&gt;=(COLUMN()-10),HLOOKUP($B15,INDIRECT(ADDRESS(2,11,1,,S$3)):INDIRECT(ADDRESS(25,playercnt+10,1,,S$3)),24),"")</f>
        <v>3</v>
      </c>
      <c r="T15" s="46">
        <f ca="1">IF($D$2&gt;=(COLUMN()-10),HLOOKUP($B15,INDIRECT(ADDRESS(2,11,1,,T$3)):INDIRECT(ADDRESS(25,playercnt+10,1,,T$3)),24),"")</f>
        <v>5</v>
      </c>
      <c r="U15" s="46">
        <f ca="1">IF($D$2&gt;=(COLUMN()-10),HLOOKUP($B15,INDIRECT(ADDRESS(2,11,1,,U$3)):INDIRECT(ADDRESS(25,playercnt+10,1,,U$3)),24),"")</f>
        <v>5</v>
      </c>
      <c r="V15" s="46">
        <f ca="1">IF($D$2&gt;=(COLUMN()-10),HLOOKUP($B15,INDIRECT(ADDRESS(2,11,1,,V$3)):INDIRECT(ADDRESS(25,playercnt+10,1,,V$3)),24),"")</f>
        <v>5</v>
      </c>
      <c r="W15" s="46">
        <f ca="1">IF($D$2&gt;=(COLUMN()-10),HLOOKUP($B15,INDIRECT(ADDRESS(2,11,1,,W$3)):INDIRECT(ADDRESS(25,playercnt+10,1,,W$3)),24),"")</f>
        <v>8</v>
      </c>
      <c r="X15" s="14">
        <v>16</v>
      </c>
      <c r="Y15" s="14">
        <f t="shared" si="16"/>
        <v>8</v>
      </c>
    </row>
    <row r="16" spans="1:29" x14ac:dyDescent="0.25">
      <c r="A16" s="83">
        <f t="shared" si="7"/>
        <v>8</v>
      </c>
      <c r="B16" s="39" t="str">
        <f t="shared" ca="1" si="8"/>
        <v>Staub, Kevin</v>
      </c>
      <c r="C16" s="40">
        <f t="shared" si="9"/>
        <v>0</v>
      </c>
      <c r="D16" s="40">
        <f t="shared" si="10"/>
        <v>69</v>
      </c>
      <c r="E16" s="25">
        <f t="shared" si="11"/>
        <v>0.53076923076923077</v>
      </c>
      <c r="F16" s="11">
        <f t="shared" si="12"/>
        <v>4</v>
      </c>
      <c r="G16" s="43">
        <v>7</v>
      </c>
      <c r="H16" s="20">
        <f t="shared" si="13"/>
        <v>-1</v>
      </c>
      <c r="I16" s="17">
        <f t="shared" ca="1" si="14"/>
        <v>7</v>
      </c>
      <c r="J16" s="17">
        <f t="shared" ca="1" si="15"/>
        <v>2</v>
      </c>
      <c r="K16" s="46">
        <f ca="1">IF($D$2&gt;=(COLUMN()-10),HLOOKUP($B16,INDIRECT(ADDRESS(2,11,1,,K$3)):INDIRECT(ADDRESS(25,playercnt+10,1,,K$3)),24),"")</f>
        <v>5</v>
      </c>
      <c r="L16" s="46">
        <f ca="1">IF($D$2&gt;=(COLUMN()-10),HLOOKUP($B16,INDIRECT(ADDRESS(2,11,1,,L$3)):INDIRECT(ADDRESS(25,playercnt+10,1,,L$3)),24),"")</f>
        <v>7</v>
      </c>
      <c r="M16" s="46">
        <f ca="1">IF($D$2&gt;=(COLUMN()-10),HLOOKUP($B16,INDIRECT(ADDRESS(2,11,1,,M$3)):INDIRECT(ADDRESS(25,playercnt+10,1,,M$3)),24),"")</f>
        <v>5</v>
      </c>
      <c r="N16" s="46">
        <f ca="1">IF($D$2&gt;=(COLUMN()-10),HLOOKUP($B16,INDIRECT(ADDRESS(2,11,1,,N$3)):INDIRECT(ADDRESS(25,playercnt+10,1,,N$3)),24),"")</f>
        <v>6</v>
      </c>
      <c r="O16" s="46">
        <f ca="1">IF($D$2&gt;=(COLUMN()-10),HLOOKUP($B16,INDIRECT(ADDRESS(2,11,1,,O$3)):INDIRECT(ADDRESS(25,playercnt+10,1,,O$3)),24),"")</f>
        <v>6</v>
      </c>
      <c r="P16" s="46">
        <f ca="1">IF($D$2&gt;=(COLUMN()-10),HLOOKUP($B16,INDIRECT(ADDRESS(2,11,1,,P$3)):INDIRECT(ADDRESS(25,playercnt+10,1,,P$3)),24),"")</f>
        <v>7</v>
      </c>
      <c r="Q16" s="46">
        <f ca="1">IF($D$2&gt;=(COLUMN()-10),HLOOKUP($B16,INDIRECT(ADDRESS(2,11,1,,Q$3)):INDIRECT(ADDRESS(25,playercnt+10,1,,Q$3)),24),"")</f>
        <v>6</v>
      </c>
      <c r="R16" s="46">
        <f ca="1">IF($D$2&gt;=(COLUMN()-10),HLOOKUP($B16,INDIRECT(ADDRESS(2,11,1,,R$3)):INDIRECT(ADDRESS(25,playercnt+10,1,,R$3)),24),"")</f>
        <v>6</v>
      </c>
      <c r="S16" s="46">
        <f ca="1">IF($D$2&gt;=(COLUMN()-10),HLOOKUP($B16,INDIRECT(ADDRESS(2,11,1,,S$3)):INDIRECT(ADDRESS(25,playercnt+10,1,,S$3)),24),"")</f>
        <v>2</v>
      </c>
      <c r="T16" s="46">
        <f ca="1">IF($D$2&gt;=(COLUMN()-10),HLOOKUP($B16,INDIRECT(ADDRESS(2,11,1,,T$3)):INDIRECT(ADDRESS(25,playercnt+10,1,,T$3)),24),"")</f>
        <v>5</v>
      </c>
      <c r="U16" s="46">
        <f ca="1">IF($D$2&gt;=(COLUMN()-10),HLOOKUP($B16,INDIRECT(ADDRESS(2,11,1,,U$3)):INDIRECT(ADDRESS(25,playercnt+10,1,,U$3)),24),"")</f>
        <v>3</v>
      </c>
      <c r="V16" s="46">
        <f ca="1">IF($D$2&gt;=(COLUMN()-10),HLOOKUP($B16,INDIRECT(ADDRESS(2,11,1,,V$3)):INDIRECT(ADDRESS(25,playercnt+10,1,,V$3)),24),"")</f>
        <v>6</v>
      </c>
      <c r="W16" s="46">
        <f ca="1">IF($D$2&gt;=(COLUMN()-10),HLOOKUP($B16,INDIRECT(ADDRESS(2,11,1,,W$3)):INDIRECT(ADDRESS(25,playercnt+10,1,,W$3)),24),"")</f>
        <v>5</v>
      </c>
      <c r="X16" s="47">
        <v>47</v>
      </c>
      <c r="Y16" s="14">
        <f t="shared" si="16"/>
        <v>9</v>
      </c>
    </row>
    <row r="17" spans="1:25" x14ac:dyDescent="0.25">
      <c r="A17" s="83">
        <f t="shared" si="7"/>
        <v>8</v>
      </c>
      <c r="B17" s="39" t="str">
        <f t="shared" ca="1" si="8"/>
        <v>Straw, Adam D</v>
      </c>
      <c r="C17" s="40">
        <f t="shared" si="9"/>
        <v>0</v>
      </c>
      <c r="D17" s="40">
        <f t="shared" si="10"/>
        <v>69</v>
      </c>
      <c r="E17" s="25">
        <f t="shared" si="11"/>
        <v>0.53076923076923077</v>
      </c>
      <c r="F17" s="11">
        <f t="shared" si="12"/>
        <v>4</v>
      </c>
      <c r="G17" s="16">
        <v>7</v>
      </c>
      <c r="H17" s="20">
        <f t="shared" si="13"/>
        <v>-1</v>
      </c>
      <c r="I17" s="17">
        <f t="shared" ca="1" si="14"/>
        <v>7</v>
      </c>
      <c r="J17" s="17">
        <f t="shared" ca="1" si="15"/>
        <v>3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7</v>
      </c>
      <c r="M17" s="46">
        <f ca="1">IF($D$2&gt;=(COLUMN()-10),HLOOKUP($B17,INDIRECT(ADDRESS(2,11,1,,M$3)):INDIRECT(ADDRESS(25,playercnt+10,1,,M$3)),24),"")</f>
        <v>7</v>
      </c>
      <c r="N17" s="46">
        <f ca="1">IF($D$2&gt;=(COLUMN()-10),HLOOKUP($B17,INDIRECT(ADDRESS(2,11,1,,N$3)):INDIRECT(ADDRESS(25,playercnt+10,1,,N$3)),24),"")</f>
        <v>3</v>
      </c>
      <c r="O17" s="46">
        <f ca="1">IF($D$2&gt;=(COLUMN()-10),HLOOKUP($B17,INDIRECT(ADDRESS(2,11,1,,O$3)):INDIRECT(ADDRESS(25,playercnt+10,1,,O$3)),24),"")</f>
        <v>7</v>
      </c>
      <c r="P17" s="46">
        <f ca="1">IF($D$2&gt;=(COLUMN()-10),HLOOKUP($B17,INDIRECT(ADDRESS(2,11,1,,P$3)):INDIRECT(ADDRESS(25,playercnt+10,1,,P$3)),24),"")</f>
        <v>7</v>
      </c>
      <c r="Q17" s="46">
        <f ca="1">IF($D$2&gt;=(COLUMN()-10),HLOOKUP($B17,INDIRECT(ADDRESS(2,11,1,,Q$3)):INDIRECT(ADDRESS(25,playercnt+10,1,,Q$3)),24),"")</f>
        <v>4</v>
      </c>
      <c r="R17" s="46">
        <f ca="1">IF($D$2&gt;=(COLUMN()-10),HLOOKUP($B17,INDIRECT(ADDRESS(2,11,1,,R$3)):INDIRECT(ADDRESS(25,playercnt+10,1,,R$3)),24),"")</f>
        <v>5</v>
      </c>
      <c r="S17" s="46">
        <f ca="1">IF($D$2&gt;=(COLUMN()-10),HLOOKUP($B17,INDIRECT(ADDRESS(2,11,1,,S$3)):INDIRECT(ADDRESS(25,playercnt+10,1,,S$3)),24),"")</f>
        <v>4</v>
      </c>
      <c r="T17" s="46">
        <f ca="1">IF($D$2&gt;=(COLUMN()-10),HLOOKUP($B17,INDIRECT(ADDRESS(2,11,1,,T$3)):INDIRECT(ADDRESS(25,playercnt+10,1,,T$3)),24),"")</f>
        <v>5</v>
      </c>
      <c r="U17" s="46">
        <f ca="1">IF($D$2&gt;=(COLUMN()-10),HLOOKUP($B17,INDIRECT(ADDRESS(2,11,1,,U$3)):INDIRECT(ADDRESS(25,playercnt+10,1,,U$3)),24),"")</f>
        <v>4</v>
      </c>
      <c r="V17" s="46">
        <f ca="1">IF($D$2&gt;=(COLUMN()-10),HLOOKUP($B17,INDIRECT(ADDRESS(2,11,1,,V$3)):INDIRECT(ADDRESS(25,playercnt+10,1,,V$3)),24),"")</f>
        <v>7</v>
      </c>
      <c r="W17" s="46">
        <f ca="1">IF($D$2&gt;=(COLUMN()-10),HLOOKUP($B17,INDIRECT(ADDRESS(2,11,1,,W$3)):INDIRECT(ADDRESS(25,playercnt+10,1,,W$3)),24),"")</f>
        <v>5</v>
      </c>
      <c r="X17" s="14">
        <v>50</v>
      </c>
      <c r="Y17" s="14">
        <f t="shared" si="16"/>
        <v>10</v>
      </c>
    </row>
    <row r="18" spans="1:25" x14ac:dyDescent="0.25">
      <c r="A18" s="83">
        <f t="shared" si="7"/>
        <v>8</v>
      </c>
      <c r="B18" s="39" t="str">
        <f t="shared" ca="1" si="8"/>
        <v>Wells, Jennifer</v>
      </c>
      <c r="C18" s="40">
        <f t="shared" si="9"/>
        <v>0</v>
      </c>
      <c r="D18" s="40">
        <f t="shared" si="10"/>
        <v>69</v>
      </c>
      <c r="E18" s="25">
        <f t="shared" si="11"/>
        <v>0.53076923076923077</v>
      </c>
      <c r="F18" s="11">
        <f t="shared" si="12"/>
        <v>4</v>
      </c>
      <c r="G18" s="43">
        <v>13</v>
      </c>
      <c r="H18" s="20">
        <f t="shared" si="13"/>
        <v>5</v>
      </c>
      <c r="I18" s="17">
        <f t="shared" ca="1" si="14"/>
        <v>7</v>
      </c>
      <c r="J18" s="17">
        <f t="shared" ca="1" si="15"/>
        <v>4</v>
      </c>
      <c r="K18" s="46">
        <f ca="1">IF($D$2&gt;=(COLUMN()-10),HLOOKUP($B18,INDIRECT(ADDRESS(2,11,1,,K$3)):INDIRECT(ADDRESS(25,playercnt+10,1,,K$3)),24),"")</f>
        <v>5</v>
      </c>
      <c r="L18" s="46">
        <f ca="1">IF($D$2&gt;=(COLUMN()-10),HLOOKUP($B18,INDIRECT(ADDRESS(2,11,1,,L$3)):INDIRECT(ADDRESS(25,playercnt+10,1,,L$3)),24),"")</f>
        <v>6</v>
      </c>
      <c r="M18" s="46">
        <f ca="1">IF($D$2&gt;=(COLUMN()-10),HLOOKUP($B18,INDIRECT(ADDRESS(2,11,1,,M$3)):INDIRECT(ADDRESS(25,playercnt+10,1,,M$3)),24),"")</f>
        <v>7</v>
      </c>
      <c r="N18" s="46">
        <f ca="1">IF($D$2&gt;=(COLUMN()-10),HLOOKUP($B18,INDIRECT(ADDRESS(2,11,1,,N$3)):INDIRECT(ADDRESS(25,playercnt+10,1,,N$3)),24),"")</f>
        <v>5</v>
      </c>
      <c r="O18" s="46">
        <f ca="1">IF($D$2&gt;=(COLUMN()-10),HLOOKUP($B18,INDIRECT(ADDRESS(2,11,1,,O$3)):INDIRECT(ADDRESS(25,playercnt+10,1,,O$3)),24),"")</f>
        <v>4</v>
      </c>
      <c r="P18" s="46">
        <f ca="1">IF($D$2&gt;=(COLUMN()-10),HLOOKUP($B18,INDIRECT(ADDRESS(2,11,1,,P$3)):INDIRECT(ADDRESS(25,playercnt+10,1,,P$3)),24),"")</f>
        <v>4</v>
      </c>
      <c r="Q18" s="46">
        <f ca="1">IF($D$2&gt;=(COLUMN()-10),HLOOKUP($B18,INDIRECT(ADDRESS(2,11,1,,Q$3)):INDIRECT(ADDRESS(25,playercnt+10,1,,Q$3)),24),"")</f>
        <v>5</v>
      </c>
      <c r="R18" s="46">
        <f ca="1">IF($D$2&gt;=(COLUMN()-10),HLOOKUP($B18,INDIRECT(ADDRESS(2,11,1,,R$3)):INDIRECT(ADDRESS(25,playercnt+10,1,,R$3)),24),"")</f>
        <v>6</v>
      </c>
      <c r="S18" s="46">
        <f ca="1">IF($D$2&gt;=(COLUMN()-10),HLOOKUP($B18,INDIRECT(ADDRESS(2,11,1,,S$3)):INDIRECT(ADDRESS(25,playercnt+10,1,,S$3)),24),"")</f>
        <v>6</v>
      </c>
      <c r="T18" s="46">
        <f ca="1">IF($D$2&gt;=(COLUMN()-10),HLOOKUP($B18,INDIRECT(ADDRESS(2,11,1,,T$3)):INDIRECT(ADDRESS(25,playercnt+10,1,,T$3)),24),"")</f>
        <v>5</v>
      </c>
      <c r="U18" s="46">
        <f ca="1">IF($D$2&gt;=(COLUMN()-10),HLOOKUP($B18,INDIRECT(ADDRESS(2,11,1,,U$3)):INDIRECT(ADDRESS(25,playercnt+10,1,,U$3)),24),"")</f>
        <v>5</v>
      </c>
      <c r="V18" s="46">
        <f ca="1">IF($D$2&gt;=(COLUMN()-10),HLOOKUP($B18,INDIRECT(ADDRESS(2,11,1,,V$3)):INDIRECT(ADDRESS(25,playercnt+10,1,,V$3)),24),"")</f>
        <v>4</v>
      </c>
      <c r="W18" s="46">
        <f ca="1">IF($D$2&gt;=(COLUMN()-10),HLOOKUP($B18,INDIRECT(ADDRESS(2,11,1,,W$3)):INDIRECT(ADDRESS(25,playercnt+10,1,,W$3)),24),"")</f>
        <v>7</v>
      </c>
      <c r="X18" s="47">
        <v>54</v>
      </c>
      <c r="Y18" s="14">
        <f t="shared" si="16"/>
        <v>11</v>
      </c>
    </row>
    <row r="19" spans="1:25" x14ac:dyDescent="0.25">
      <c r="A19" s="83">
        <f t="shared" si="7"/>
        <v>12</v>
      </c>
      <c r="B19" s="39" t="str">
        <f t="shared" ca="1" si="8"/>
        <v>Farren, Kevin M</v>
      </c>
      <c r="C19" s="40">
        <f t="shared" si="9"/>
        <v>0</v>
      </c>
      <c r="D19" s="40">
        <f t="shared" si="10"/>
        <v>68</v>
      </c>
      <c r="E19" s="25">
        <f t="shared" si="11"/>
        <v>0.52307692307692311</v>
      </c>
      <c r="F19" s="11">
        <f t="shared" si="12"/>
        <v>5</v>
      </c>
      <c r="G19" s="16">
        <v>7</v>
      </c>
      <c r="H19" s="20">
        <f t="shared" si="13"/>
        <v>-5</v>
      </c>
      <c r="I19" s="17">
        <f t="shared" ca="1" si="14"/>
        <v>8</v>
      </c>
      <c r="J19" s="17">
        <f t="shared" ca="1" si="15"/>
        <v>3</v>
      </c>
      <c r="K19" s="46">
        <f ca="1">IF($D$2&gt;=(COLUMN()-10),HLOOKUP($B19,INDIRECT(ADDRESS(2,11,1,,K$3)):INDIRECT(ADDRESS(25,playercnt+10,1,,K$3)),24),"")</f>
        <v>4</v>
      </c>
      <c r="L19" s="46">
        <f ca="1">IF($D$2&gt;=(COLUMN()-10),HLOOKUP($B19,INDIRECT(ADDRESS(2,11,1,,L$3)):INDIRECT(ADDRESS(25,playercnt+10,1,,L$3)),24),"")</f>
        <v>6</v>
      </c>
      <c r="M19" s="46">
        <f ca="1">IF($D$2&gt;=(COLUMN()-10),HLOOKUP($B19,INDIRECT(ADDRESS(2,11,1,,M$3)):INDIRECT(ADDRESS(25,playercnt+10,1,,M$3)),24),"")</f>
        <v>4</v>
      </c>
      <c r="N19" s="46">
        <f ca="1">IF($D$2&gt;=(COLUMN()-10),HLOOKUP($B19,INDIRECT(ADDRESS(2,11,1,,N$3)):INDIRECT(ADDRESS(25,playercnt+10,1,,N$3)),24),"")</f>
        <v>6</v>
      </c>
      <c r="O19" s="46">
        <f ca="1">IF($D$2&gt;=(COLUMN()-10),HLOOKUP($B19,INDIRECT(ADDRESS(2,11,1,,O$3)):INDIRECT(ADDRESS(25,playercnt+10,1,,O$3)),24),"")</f>
        <v>6</v>
      </c>
      <c r="P19" s="46">
        <f ca="1">IF($D$2&gt;=(COLUMN()-10),HLOOKUP($B19,INDIRECT(ADDRESS(2,11,1,,P$3)):INDIRECT(ADDRESS(25,playercnt+10,1,,P$3)),24),"")</f>
        <v>6</v>
      </c>
      <c r="Q19" s="46">
        <f ca="1">IF($D$2&gt;=(COLUMN()-10),HLOOKUP($B19,INDIRECT(ADDRESS(2,11,1,,Q$3)):INDIRECT(ADDRESS(25,playercnt+10,1,,Q$3)),24),"")</f>
        <v>6</v>
      </c>
      <c r="R19" s="46">
        <f ca="1">IF($D$2&gt;=(COLUMN()-10),HLOOKUP($B19,INDIRECT(ADDRESS(2,11,1,,R$3)):INDIRECT(ADDRESS(25,playercnt+10,1,,R$3)),24),"")</f>
        <v>3</v>
      </c>
      <c r="S19" s="46">
        <f ca="1">IF($D$2&gt;=(COLUMN()-10),HLOOKUP($B19,INDIRECT(ADDRESS(2,11,1,,S$3)):INDIRECT(ADDRESS(25,playercnt+10,1,,S$3)),24),"")</f>
        <v>5</v>
      </c>
      <c r="T19" s="46">
        <f ca="1">IF($D$2&gt;=(COLUMN()-10),HLOOKUP($B19,INDIRECT(ADDRESS(2,11,1,,T$3)):INDIRECT(ADDRESS(25,playercnt+10,1,,T$3)),24),"")</f>
        <v>8</v>
      </c>
      <c r="U19" s="46">
        <f ca="1">IF($D$2&gt;=(COLUMN()-10),HLOOKUP($B19,INDIRECT(ADDRESS(2,11,1,,U$3)):INDIRECT(ADDRESS(25,playercnt+10,1,,U$3)),24),"")</f>
        <v>4</v>
      </c>
      <c r="V19" s="46">
        <f ca="1">IF($D$2&gt;=(COLUMN()-10),HLOOKUP($B19,INDIRECT(ADDRESS(2,11,1,,V$3)):INDIRECT(ADDRESS(25,playercnt+10,1,,V$3)),24),"")</f>
        <v>6</v>
      </c>
      <c r="W19" s="46">
        <f ca="1">IF($D$2&gt;=(COLUMN()-10),HLOOKUP($B19,INDIRECT(ADDRESS(2,11,1,,W$3)):INDIRECT(ADDRESS(25,playercnt+10,1,,W$3)),24),"")</f>
        <v>4</v>
      </c>
      <c r="X19" s="14">
        <v>11</v>
      </c>
      <c r="Y19" s="14">
        <f t="shared" si="16"/>
        <v>12</v>
      </c>
    </row>
    <row r="20" spans="1:25" x14ac:dyDescent="0.25">
      <c r="A20" s="83">
        <f t="shared" si="7"/>
        <v>12</v>
      </c>
      <c r="B20" s="39" t="str">
        <f t="shared" ca="1" si="8"/>
        <v>Farren, Leslie Remote</v>
      </c>
      <c r="C20" s="40">
        <f t="shared" si="9"/>
        <v>0</v>
      </c>
      <c r="D20" s="40">
        <f t="shared" si="10"/>
        <v>68</v>
      </c>
      <c r="E20" s="25">
        <f t="shared" si="11"/>
        <v>0.52307692307692311</v>
      </c>
      <c r="F20" s="11">
        <f t="shared" si="12"/>
        <v>5</v>
      </c>
      <c r="G20" s="43">
        <v>20</v>
      </c>
      <c r="H20" s="20">
        <f t="shared" si="13"/>
        <v>8</v>
      </c>
      <c r="I20" s="17">
        <f t="shared" ca="1" si="14"/>
        <v>8</v>
      </c>
      <c r="J20" s="17">
        <f t="shared" ca="1" si="15"/>
        <v>4</v>
      </c>
      <c r="K20" s="46">
        <f ca="1">IF($D$2&gt;=(COLUMN()-10),HLOOKUP($B20,INDIRECT(ADDRESS(2,11,1,,K$3)):INDIRECT(ADDRESS(25,playercnt+10,1,,K$3)),24),"")</f>
        <v>4</v>
      </c>
      <c r="L20" s="46">
        <f ca="1">IF($D$2&gt;=(COLUMN()-10),HLOOKUP($B20,INDIRECT(ADDRESS(2,11,1,,L$3)):INDIRECT(ADDRESS(25,playercnt+10,1,,L$3)),24),"")</f>
        <v>5</v>
      </c>
      <c r="M20" s="46">
        <f ca="1">IF($D$2&gt;=(COLUMN()-10),HLOOKUP($B20,INDIRECT(ADDRESS(2,11,1,,M$3)):INDIRECT(ADDRESS(25,playercnt+10,1,,M$3)),24),"")</f>
        <v>8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5</v>
      </c>
      <c r="P20" s="46">
        <f ca="1">IF($D$2&gt;=(COLUMN()-10),HLOOKUP($B20,INDIRECT(ADDRESS(2,11,1,,P$3)):INDIRECT(ADDRESS(25,playercnt+10,1,,P$3)),24),"")</f>
        <v>4</v>
      </c>
      <c r="Q20" s="46">
        <f ca="1">IF($D$2&gt;=(COLUMN()-10),HLOOKUP($B20,INDIRECT(ADDRESS(2,11,1,,Q$3)):INDIRECT(ADDRESS(25,playercnt+10,1,,Q$3)),24),"")</f>
        <v>6</v>
      </c>
      <c r="R20" s="46">
        <f ca="1">IF($D$2&gt;=(COLUMN()-10),HLOOKUP($B20,INDIRECT(ADDRESS(2,11,1,,R$3)):INDIRECT(ADDRESS(25,playercnt+10,1,,R$3)),24),"")</f>
        <v>4</v>
      </c>
      <c r="S20" s="46">
        <f ca="1">IF($D$2&gt;=(COLUMN()-10),HLOOKUP($B20,INDIRECT(ADDRESS(2,11,1,,S$3)):INDIRECT(ADDRESS(25,playercnt+10,1,,S$3)),24),"")</f>
        <v>8</v>
      </c>
      <c r="T20" s="46">
        <f ca="1">IF($D$2&gt;=(COLUMN()-10),HLOOKUP($B20,INDIRECT(ADDRESS(2,11,1,,T$3)):INDIRECT(ADDRESS(25,playercnt+10,1,,T$3)),24),"")</f>
        <v>4</v>
      </c>
      <c r="U20" s="46">
        <f ca="1">IF($D$2&gt;=(COLUMN()-10),HLOOKUP($B20,INDIRECT(ADDRESS(2,11,1,,U$3)):INDIRECT(ADDRESS(25,playercnt+10,1,,U$3)),24),"")</f>
        <v>4</v>
      </c>
      <c r="V20" s="46">
        <f ca="1">IF($D$2&gt;=(COLUMN()-10),HLOOKUP($B20,INDIRECT(ADDRESS(2,11,1,,V$3)):INDIRECT(ADDRESS(25,playercnt+10,1,,V$3)),24),"")</f>
        <v>4</v>
      </c>
      <c r="W20" s="46">
        <f ca="1">IF($D$2&gt;=(COLUMN()-10),HLOOKUP($B20,INDIRECT(ADDRESS(2,11,1,,W$3)):INDIRECT(ADDRESS(25,playercnt+10,1,,W$3)),24),"")</f>
        <v>7</v>
      </c>
      <c r="X20" s="47">
        <v>12</v>
      </c>
      <c r="Y20" s="14">
        <f t="shared" si="16"/>
        <v>13</v>
      </c>
    </row>
    <row r="21" spans="1:25" x14ac:dyDescent="0.25">
      <c r="A21" s="83">
        <f t="shared" si="7"/>
        <v>12</v>
      </c>
      <c r="B21" s="39" t="str">
        <f t="shared" ca="1" si="8"/>
        <v>Inabinet, Greg</v>
      </c>
      <c r="C21" s="40">
        <f t="shared" si="9"/>
        <v>0</v>
      </c>
      <c r="D21" s="40">
        <f t="shared" si="10"/>
        <v>68</v>
      </c>
      <c r="E21" s="25">
        <f t="shared" si="11"/>
        <v>0.52307692307692311</v>
      </c>
      <c r="F21" s="11">
        <f t="shared" si="12"/>
        <v>5</v>
      </c>
      <c r="G21" s="16">
        <v>13</v>
      </c>
      <c r="H21" s="20">
        <f t="shared" si="13"/>
        <v>1</v>
      </c>
      <c r="I21" s="17">
        <f t="shared" ca="1" si="14"/>
        <v>7</v>
      </c>
      <c r="J21" s="17">
        <f t="shared" ca="1" si="15"/>
        <v>3</v>
      </c>
      <c r="K21" s="46">
        <f ca="1">IF($D$2&gt;=(COLUMN()-10),HLOOKUP($B21,INDIRECT(ADDRESS(2,11,1,,K$3)):INDIRECT(ADDRESS(25,playercnt+10,1,,K$3)),24),"")</f>
        <v>6</v>
      </c>
      <c r="L21" s="46">
        <f ca="1">IF($D$2&gt;=(COLUMN()-10),HLOOKUP($B21,INDIRECT(ADDRESS(2,11,1,,L$3)):INDIRECT(ADDRESS(25,playercnt+10,1,,L$3)),24),"")</f>
        <v>6</v>
      </c>
      <c r="M21" s="46">
        <f ca="1">IF($D$2&gt;=(COLUMN()-10),HLOOKUP($B21,INDIRECT(ADDRESS(2,11,1,,M$3)):INDIRECT(ADDRESS(25,playercnt+10,1,,M$3)),24),"")</f>
        <v>5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5</v>
      </c>
      <c r="P21" s="46">
        <f ca="1">IF($D$2&gt;=(COLUMN()-10),HLOOKUP($B21,INDIRECT(ADDRESS(2,11,1,,P$3)):INDIRECT(ADDRESS(25,playercnt+10,1,,P$3)),24),"")</f>
        <v>6</v>
      </c>
      <c r="Q21" s="46">
        <f ca="1">IF($D$2&gt;=(COLUMN()-10),HLOOKUP($B21,INDIRECT(ADDRESS(2,11,1,,Q$3)):INDIRECT(ADDRESS(25,playercnt+10,1,,Q$3)),24),"")</f>
        <v>5</v>
      </c>
      <c r="R21" s="46">
        <f ca="1">IF($D$2&gt;=(COLUMN()-10),HLOOKUP($B21,INDIRECT(ADDRESS(2,11,1,,R$3)):INDIRECT(ADDRESS(25,playercnt+10,1,,R$3)),24),"")</f>
        <v>7</v>
      </c>
      <c r="S21" s="46">
        <f ca="1">IF($D$2&gt;=(COLUMN()-10),HLOOKUP($B21,INDIRECT(ADDRESS(2,11,1,,S$3)):INDIRECT(ADDRESS(25,playercnt+10,1,,S$3)),24),"")</f>
        <v>4</v>
      </c>
      <c r="T21" s="46">
        <f ca="1">IF($D$2&gt;=(COLUMN()-10),HLOOKUP($B21,INDIRECT(ADDRESS(2,11,1,,T$3)):INDIRECT(ADDRESS(25,playercnt+10,1,,T$3)),24),"")</f>
        <v>3</v>
      </c>
      <c r="U21" s="46">
        <f ca="1">IF($D$2&gt;=(COLUMN()-10),HLOOKUP($B21,INDIRECT(ADDRESS(2,11,1,,U$3)):INDIRECT(ADDRESS(25,playercnt+10,1,,U$3)),24),"")</f>
        <v>5</v>
      </c>
      <c r="V21" s="46">
        <f ca="1">IF($D$2&gt;=(COLUMN()-10),HLOOKUP($B21,INDIRECT(ADDRESS(2,11,1,,V$3)):INDIRECT(ADDRESS(25,playercnt+10,1,,V$3)),24),"")</f>
        <v>6</v>
      </c>
      <c r="W21" s="46">
        <f ca="1">IF($D$2&gt;=(COLUMN()-10),HLOOKUP($B21,INDIRECT(ADDRESS(2,11,1,,W$3)):INDIRECT(ADDRESS(25,playercnt+10,1,,W$3)),24),"")</f>
        <v>6</v>
      </c>
      <c r="X21" s="14">
        <v>23</v>
      </c>
      <c r="Y21" s="14">
        <f t="shared" si="16"/>
        <v>14</v>
      </c>
    </row>
    <row r="22" spans="1:25" x14ac:dyDescent="0.25">
      <c r="A22" s="83">
        <f t="shared" si="7"/>
        <v>15</v>
      </c>
      <c r="B22" s="39" t="str">
        <f t="shared" ca="1" si="8"/>
        <v>Boykin, Jerome W</v>
      </c>
      <c r="C22" s="40">
        <f t="shared" si="9"/>
        <v>0</v>
      </c>
      <c r="D22" s="40">
        <f t="shared" si="10"/>
        <v>67</v>
      </c>
      <c r="E22" s="25">
        <f t="shared" si="11"/>
        <v>0.51538461538461533</v>
      </c>
      <c r="F22" s="11">
        <f t="shared" si="12"/>
        <v>6</v>
      </c>
      <c r="G22" s="43">
        <v>13</v>
      </c>
      <c r="H22" s="20">
        <f t="shared" si="13"/>
        <v>-2</v>
      </c>
      <c r="I22" s="17">
        <f t="shared" ca="1" si="14"/>
        <v>7</v>
      </c>
      <c r="J22" s="17">
        <f t="shared" ca="1" si="15"/>
        <v>3</v>
      </c>
      <c r="K22" s="46">
        <f ca="1">IF($D$2&gt;=(COLUMN()-10),HLOOKUP($B22,INDIRECT(ADDRESS(2,11,1,,K$3)):INDIRECT(ADDRESS(25,playercnt+10,1,,K$3)),24),"")</f>
        <v>7</v>
      </c>
      <c r="L22" s="46">
        <f ca="1">IF($D$2&gt;=(COLUMN()-10),HLOOKUP($B22,INDIRECT(ADDRESS(2,11,1,,L$3)):INDIRECT(ADDRESS(25,playercnt+10,1,,L$3)),24),"")</f>
        <v>4</v>
      </c>
      <c r="M22" s="46">
        <f ca="1">IF($D$2&gt;=(COLUMN()-10),HLOOKUP($B22,INDIRECT(ADDRESS(2,11,1,,M$3)):INDIRECT(ADDRESS(25,playercnt+10,1,,M$3)),24),"")</f>
        <v>5</v>
      </c>
      <c r="N22" s="46">
        <f ca="1">IF($D$2&gt;=(COLUMN()-10),HLOOKUP($B22,INDIRECT(ADDRESS(2,11,1,,N$3)):INDIRECT(ADDRESS(25,playercnt+10,1,,N$3)),24),"")</f>
        <v>5</v>
      </c>
      <c r="O22" s="46">
        <f ca="1">IF($D$2&gt;=(COLUMN()-10),HLOOKUP($B22,INDIRECT(ADDRESS(2,11,1,,O$3)):INDIRECT(ADDRESS(25,playercnt+10,1,,O$3)),24),"")</f>
        <v>5</v>
      </c>
      <c r="P22" s="46">
        <f ca="1">IF($D$2&gt;=(COLUMN()-10),HLOOKUP($B22,INDIRECT(ADDRESS(2,11,1,,P$3)):INDIRECT(ADDRESS(25,playercnt+10,1,,P$3)),24),"")</f>
        <v>5</v>
      </c>
      <c r="Q22" s="46">
        <f ca="1">IF($D$2&gt;=(COLUMN()-10),HLOOKUP($B22,INDIRECT(ADDRESS(2,11,1,,Q$3)):INDIRECT(ADDRESS(25,playercnt+10,1,,Q$3)),24),"")</f>
        <v>7</v>
      </c>
      <c r="R22" s="46">
        <f ca="1">IF($D$2&gt;=(COLUMN()-10),HLOOKUP($B22,INDIRECT(ADDRESS(2,11,1,,R$3)):INDIRECT(ADDRESS(25,playercnt+10,1,,R$3)),24),"")</f>
        <v>6</v>
      </c>
      <c r="S22" s="46">
        <f ca="1">IF($D$2&gt;=(COLUMN()-10),HLOOKUP($B22,INDIRECT(ADDRESS(2,11,1,,S$3)):INDIRECT(ADDRESS(25,playercnt+10,1,,S$3)),24),"")</f>
        <v>4</v>
      </c>
      <c r="T22" s="46">
        <f ca="1">IF($D$2&gt;=(COLUMN()-10),HLOOKUP($B22,INDIRECT(ADDRESS(2,11,1,,T$3)):INDIRECT(ADDRESS(25,playercnt+10,1,,T$3)),24),"")</f>
        <v>3</v>
      </c>
      <c r="U22" s="46">
        <f ca="1">IF($D$2&gt;=(COLUMN()-10),HLOOKUP($B22,INDIRECT(ADDRESS(2,11,1,,U$3)):INDIRECT(ADDRESS(25,playercnt+10,1,,U$3)),24),"")</f>
        <v>6</v>
      </c>
      <c r="V22" s="46">
        <f ca="1">IF($D$2&gt;=(COLUMN()-10),HLOOKUP($B22,INDIRECT(ADDRESS(2,11,1,,V$3)):INDIRECT(ADDRESS(25,playercnt+10,1,,V$3)),24),"")</f>
        <v>5</v>
      </c>
      <c r="W22" s="46">
        <f ca="1">IF($D$2&gt;=(COLUMN()-10),HLOOKUP($B22,INDIRECT(ADDRESS(2,11,1,,W$3)):INDIRECT(ADDRESS(25,playercnt+10,1,,W$3)),24),"")</f>
        <v>5</v>
      </c>
      <c r="X22" s="47">
        <v>4</v>
      </c>
      <c r="Y22" s="14">
        <f t="shared" si="16"/>
        <v>15</v>
      </c>
    </row>
    <row r="23" spans="1:25" x14ac:dyDescent="0.25">
      <c r="A23" s="83">
        <f t="shared" si="7"/>
        <v>15</v>
      </c>
      <c r="B23" s="39" t="str">
        <f t="shared" ca="1" si="8"/>
        <v>Robbins, Thomas D</v>
      </c>
      <c r="C23" s="40">
        <f t="shared" si="9"/>
        <v>0</v>
      </c>
      <c r="D23" s="40">
        <f t="shared" si="10"/>
        <v>67</v>
      </c>
      <c r="E23" s="25">
        <f t="shared" si="11"/>
        <v>0.51538461538461533</v>
      </c>
      <c r="F23" s="11">
        <f t="shared" si="12"/>
        <v>6</v>
      </c>
      <c r="G23" s="16">
        <v>20</v>
      </c>
      <c r="H23" s="20">
        <f t="shared" si="13"/>
        <v>5</v>
      </c>
      <c r="I23" s="17">
        <f t="shared" ca="1" si="14"/>
        <v>7</v>
      </c>
      <c r="J23" s="17">
        <f t="shared" ca="1" si="15"/>
        <v>3</v>
      </c>
      <c r="K23" s="46">
        <f ca="1">IF($D$2&gt;=(COLUMN()-10),HLOOKUP($B23,INDIRECT(ADDRESS(2,11,1,,K$3)):INDIRECT(ADDRESS(25,playercnt+10,1,,K$3)),24),"")</f>
        <v>3</v>
      </c>
      <c r="L23" s="46">
        <f ca="1">IF($D$2&gt;=(COLUMN()-10),HLOOKUP($B23,INDIRECT(ADDRESS(2,11,1,,L$3)):INDIRECT(ADDRESS(25,playercnt+10,1,,L$3)),24),"")</f>
        <v>5</v>
      </c>
      <c r="M23" s="46">
        <f ca="1">IF($D$2&gt;=(COLUMN()-10),HLOOKUP($B23,INDIRECT(ADDRESS(2,11,1,,M$3)):INDIRECT(ADDRESS(25,playercnt+10,1,,M$3)),24),"")</f>
        <v>5</v>
      </c>
      <c r="N23" s="46">
        <f ca="1">IF($D$2&gt;=(COLUMN()-10),HLOOKUP($B23,INDIRECT(ADDRESS(2,11,1,,N$3)):INDIRECT(ADDRESS(25,playercnt+10,1,,N$3)),24),"")</f>
        <v>4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6</v>
      </c>
      <c r="Q23" s="46">
        <f ca="1">IF($D$2&gt;=(COLUMN()-10),HLOOKUP($B23,INDIRECT(ADDRESS(2,11,1,,Q$3)):INDIRECT(ADDRESS(25,playercnt+10,1,,Q$3)),24),"")</f>
        <v>5</v>
      </c>
      <c r="R23" s="46">
        <f ca="1">IF($D$2&gt;=(COLUMN()-10),HLOOKUP($B23,INDIRECT(ADDRESS(2,11,1,,R$3)):INDIRECT(ADDRESS(25,playercnt+10,1,,R$3)),24),"")</f>
        <v>7</v>
      </c>
      <c r="S23" s="46">
        <f ca="1">IF($D$2&gt;=(COLUMN()-10),HLOOKUP($B23,INDIRECT(ADDRESS(2,11,1,,S$3)):INDIRECT(ADDRESS(25,playercnt+10,1,,S$3)),24),"")</f>
        <v>3</v>
      </c>
      <c r="T23" s="46">
        <f ca="1">IF($D$2&gt;=(COLUMN()-10),HLOOKUP($B23,INDIRECT(ADDRESS(2,11,1,,T$3)):INDIRECT(ADDRESS(25,playercnt+10,1,,T$3)),24),"")</f>
        <v>6</v>
      </c>
      <c r="U23" s="46">
        <f ca="1">IF($D$2&gt;=(COLUMN()-10),HLOOKUP($B23,INDIRECT(ADDRESS(2,11,1,,U$3)):INDIRECT(ADDRESS(25,playercnt+10,1,,U$3)),24),"")</f>
        <v>6</v>
      </c>
      <c r="V23" s="46">
        <f ca="1">IF($D$2&gt;=(COLUMN()-10),HLOOKUP($B23,INDIRECT(ADDRESS(2,11,1,,V$3)):INDIRECT(ADDRESS(25,playercnt+10,1,,V$3)),24),"")</f>
        <v>6</v>
      </c>
      <c r="W23" s="46">
        <f ca="1">IF($D$2&gt;=(COLUMN()-10),HLOOKUP($B23,INDIRECT(ADDRESS(2,11,1,,W$3)):INDIRECT(ADDRESS(25,playercnt+10,1,,W$3)),24),"")</f>
        <v>6</v>
      </c>
      <c r="X23" s="14">
        <v>42</v>
      </c>
      <c r="Y23" s="14">
        <f t="shared" si="16"/>
        <v>16</v>
      </c>
    </row>
    <row r="24" spans="1:25" x14ac:dyDescent="0.25">
      <c r="A24" s="83">
        <f t="shared" si="7"/>
        <v>15</v>
      </c>
      <c r="B24" s="39" t="str">
        <f t="shared" ca="1" si="8"/>
        <v>Warren, Todd Remote</v>
      </c>
      <c r="C24" s="40">
        <f t="shared" si="9"/>
        <v>0</v>
      </c>
      <c r="D24" s="40">
        <f t="shared" si="10"/>
        <v>67</v>
      </c>
      <c r="E24" s="25">
        <f t="shared" si="11"/>
        <v>0.51538461538461533</v>
      </c>
      <c r="F24" s="11">
        <f t="shared" si="12"/>
        <v>6</v>
      </c>
      <c r="G24" s="43">
        <v>29</v>
      </c>
      <c r="H24" s="20">
        <f t="shared" si="13"/>
        <v>14</v>
      </c>
      <c r="I24" s="17">
        <f t="shared" ca="1" si="14"/>
        <v>8</v>
      </c>
      <c r="J24" s="17">
        <f t="shared" ca="1" si="15"/>
        <v>3</v>
      </c>
      <c r="K24" s="46">
        <f ca="1">IF($D$2&gt;=(COLUMN()-10),HLOOKUP($B24,INDIRECT(ADDRESS(2,11,1,,K$3)):INDIRECT(ADDRESS(25,playercnt+10,1,,K$3)),24),"")</f>
        <v>3</v>
      </c>
      <c r="L24" s="46">
        <f ca="1">IF($D$2&gt;=(COLUMN()-10),HLOOKUP($B24,INDIRECT(ADDRESS(2,11,1,,L$3)):INDIRECT(ADDRESS(25,playercnt+10,1,,L$3)),24),"")</f>
        <v>6</v>
      </c>
      <c r="M24" s="46">
        <f ca="1">IF($D$2&gt;=(COLUMN()-10),HLOOKUP($B24,INDIRECT(ADDRESS(2,11,1,,M$3)):INDIRECT(ADDRESS(25,playercnt+10,1,,M$3)),24),"")</f>
        <v>5</v>
      </c>
      <c r="N24" s="46">
        <f ca="1">IF($D$2&gt;=(COLUMN()-10),HLOOKUP($B24,INDIRECT(ADDRESS(2,11,1,,N$3)):INDIRECT(ADDRESS(25,playercnt+10,1,,N$3)),24),"")</f>
        <v>4</v>
      </c>
      <c r="O24" s="46">
        <f ca="1">IF($D$2&gt;=(COLUMN()-10),HLOOKUP($B24,INDIRECT(ADDRESS(2,11,1,,O$3)):INDIRECT(ADDRESS(25,playercnt+10,1,,O$3)),24),"")</f>
        <v>3</v>
      </c>
      <c r="P24" s="46">
        <f ca="1">IF($D$2&gt;=(COLUMN()-10),HLOOKUP($B24,INDIRECT(ADDRESS(2,11,1,,P$3)):INDIRECT(ADDRESS(25,playercnt+10,1,,P$3)),24),"")</f>
        <v>4</v>
      </c>
      <c r="Q24" s="46">
        <f ca="1">IF($D$2&gt;=(COLUMN()-10),HLOOKUP($B24,INDIRECT(ADDRESS(2,11,1,,Q$3)):INDIRECT(ADDRESS(25,playercnt+10,1,,Q$3)),24),"")</f>
        <v>6</v>
      </c>
      <c r="R24" s="46">
        <f ca="1">IF($D$2&gt;=(COLUMN()-10),HLOOKUP($B24,INDIRECT(ADDRESS(2,11,1,,R$3)):INDIRECT(ADDRESS(25,playercnt+10,1,,R$3)),24),"")</f>
        <v>5</v>
      </c>
      <c r="S24" s="46">
        <f ca="1">IF($D$2&gt;=(COLUMN()-10),HLOOKUP($B24,INDIRECT(ADDRESS(2,11,1,,S$3)):INDIRECT(ADDRESS(25,playercnt+10,1,,S$3)),24),"")</f>
        <v>4</v>
      </c>
      <c r="T24" s="46">
        <f ca="1">IF($D$2&gt;=(COLUMN()-10),HLOOKUP($B24,INDIRECT(ADDRESS(2,11,1,,T$3)):INDIRECT(ADDRESS(25,playercnt+10,1,,T$3)),24),"")</f>
        <v>7</v>
      </c>
      <c r="U24" s="46">
        <f ca="1">IF($D$2&gt;=(COLUMN()-10),HLOOKUP($B24,INDIRECT(ADDRESS(2,11,1,,U$3)):INDIRECT(ADDRESS(25,playercnt+10,1,,U$3)),24),"")</f>
        <v>8</v>
      </c>
      <c r="V24" s="46">
        <f ca="1">IF($D$2&gt;=(COLUMN()-10),HLOOKUP($B24,INDIRECT(ADDRESS(2,11,1,,V$3)):INDIRECT(ADDRESS(25,playercnt+10,1,,V$3)),24),"")</f>
        <v>5</v>
      </c>
      <c r="W24" s="46">
        <f ca="1">IF($D$2&gt;=(COLUMN()-10),HLOOKUP($B24,INDIRECT(ADDRESS(2,11,1,,W$3)):INDIRECT(ADDRESS(25,playercnt+10,1,,W$3)),24),"")</f>
        <v>7</v>
      </c>
      <c r="X24" s="47">
        <v>53</v>
      </c>
      <c r="Y24" s="14">
        <f t="shared" si="16"/>
        <v>17</v>
      </c>
    </row>
    <row r="25" spans="1:25" x14ac:dyDescent="0.25">
      <c r="A25" s="83">
        <f t="shared" si="7"/>
        <v>18</v>
      </c>
      <c r="B25" s="39" t="str">
        <f t="shared" ca="1" si="8"/>
        <v>Edwards, Christopher S</v>
      </c>
      <c r="C25" s="40">
        <f t="shared" si="9"/>
        <v>0</v>
      </c>
      <c r="D25" s="40">
        <f t="shared" si="10"/>
        <v>66</v>
      </c>
      <c r="E25" s="25">
        <f t="shared" si="11"/>
        <v>0.50769230769230766</v>
      </c>
      <c r="F25" s="11">
        <f t="shared" si="12"/>
        <v>7</v>
      </c>
      <c r="G25" s="16">
        <v>13</v>
      </c>
      <c r="H25" s="20">
        <f t="shared" si="13"/>
        <v>-5</v>
      </c>
      <c r="I25" s="17">
        <f t="shared" ca="1" si="14"/>
        <v>9</v>
      </c>
      <c r="J25" s="17">
        <f t="shared" ca="1" si="15"/>
        <v>3</v>
      </c>
      <c r="K25" s="46">
        <f ca="1">IF($D$2&gt;=(COLUMN()-10),HLOOKUP($B25,INDIRECT(ADDRESS(2,11,1,,K$3)):INDIRECT(ADDRESS(25,playercnt+10,1,,K$3)),24),"")</f>
        <v>6</v>
      </c>
      <c r="L25" s="46">
        <f ca="1">IF($D$2&gt;=(COLUMN()-10),HLOOKUP($B25,INDIRECT(ADDRESS(2,11,1,,L$3)):INDIRECT(ADDRESS(25,playercnt+10,1,,L$3)),24),"")</f>
        <v>4</v>
      </c>
      <c r="M25" s="46">
        <f ca="1">IF($D$2&gt;=(COLUMN()-10),HLOOKUP($B25,INDIRECT(ADDRESS(2,11,1,,M$3)):INDIRECT(ADDRESS(25,playercnt+10,1,,M$3)),24),"")</f>
        <v>5</v>
      </c>
      <c r="N25" s="46">
        <f ca="1">IF($D$2&gt;=(COLUMN()-10),HLOOKUP($B25,INDIRECT(ADDRESS(2,11,1,,N$3)):INDIRECT(ADDRESS(25,playercnt+10,1,,N$3)),24),"")</f>
        <v>5</v>
      </c>
      <c r="O25" s="46">
        <f ca="1">IF($D$2&gt;=(COLUMN()-10),HLOOKUP($B25,INDIRECT(ADDRESS(2,11,1,,O$3)):INDIRECT(ADDRESS(25,playercnt+10,1,,O$3)),24),"")</f>
        <v>5</v>
      </c>
      <c r="P25" s="46">
        <f ca="1">IF($D$2&gt;=(COLUMN()-10),HLOOKUP($B25,INDIRECT(ADDRESS(2,11,1,,P$3)):INDIRECT(ADDRESS(25,playercnt+10,1,,P$3)),24),"")</f>
        <v>6</v>
      </c>
      <c r="Q25" s="46">
        <f ca="1">IF($D$2&gt;=(COLUMN()-10),HLOOKUP($B25,INDIRECT(ADDRESS(2,11,1,,Q$3)):INDIRECT(ADDRESS(25,playercnt+10,1,,Q$3)),24),"")</f>
        <v>9</v>
      </c>
      <c r="R25" s="46">
        <f ca="1">IF($D$2&gt;=(COLUMN()-10),HLOOKUP($B25,INDIRECT(ADDRESS(2,11,1,,R$3)):INDIRECT(ADDRESS(25,playercnt+10,1,,R$3)),24),"")</f>
        <v>7</v>
      </c>
      <c r="S25" s="46">
        <f ca="1">IF($D$2&gt;=(COLUMN()-10),HLOOKUP($B25,INDIRECT(ADDRESS(2,11,1,,S$3)):INDIRECT(ADDRESS(25,playercnt+10,1,,S$3)),24),"")</f>
        <v>3</v>
      </c>
      <c r="T25" s="46">
        <f ca="1">IF($D$2&gt;=(COLUMN()-10),HLOOKUP($B25,INDIRECT(ADDRESS(2,11,1,,T$3)):INDIRECT(ADDRESS(25,playercnt+10,1,,T$3)),24),"")</f>
        <v>4</v>
      </c>
      <c r="U25" s="46">
        <f ca="1">IF($D$2&gt;=(COLUMN()-10),HLOOKUP($B25,INDIRECT(ADDRESS(2,11,1,,U$3)):INDIRECT(ADDRESS(25,playercnt+10,1,,U$3)),24),"")</f>
        <v>4</v>
      </c>
      <c r="V25" s="46">
        <f ca="1">IF($D$2&gt;=(COLUMN()-10),HLOOKUP($B25,INDIRECT(ADDRESS(2,11,1,,V$3)):INDIRECT(ADDRESS(25,playercnt+10,1,,V$3)),24),"")</f>
        <v>4</v>
      </c>
      <c r="W25" s="46">
        <f ca="1">IF($D$2&gt;=(COLUMN()-10),HLOOKUP($B25,INDIRECT(ADDRESS(2,11,1,,W$3)):INDIRECT(ADDRESS(25,playercnt+10,1,,W$3)),24),"")</f>
        <v>4</v>
      </c>
      <c r="X25" s="14">
        <v>9</v>
      </c>
      <c r="Y25" s="14">
        <f t="shared" si="16"/>
        <v>18</v>
      </c>
    </row>
    <row r="26" spans="1:25" x14ac:dyDescent="0.25">
      <c r="A26" s="83">
        <f t="shared" si="7"/>
        <v>18</v>
      </c>
      <c r="B26" s="39" t="str">
        <f t="shared" ca="1" si="8"/>
        <v>Kandela, Marwan</v>
      </c>
      <c r="C26" s="40">
        <f t="shared" si="9"/>
        <v>0</v>
      </c>
      <c r="D26" s="40">
        <f t="shared" si="10"/>
        <v>66</v>
      </c>
      <c r="E26" s="25">
        <f t="shared" si="11"/>
        <v>0.50769230769230766</v>
      </c>
      <c r="F26" s="11">
        <f t="shared" si="12"/>
        <v>7</v>
      </c>
      <c r="G26" s="43">
        <v>7</v>
      </c>
      <c r="H26" s="20">
        <f t="shared" si="13"/>
        <v>-11</v>
      </c>
      <c r="I26" s="17">
        <f t="shared" ca="1" si="14"/>
        <v>8</v>
      </c>
      <c r="J26" s="17">
        <f t="shared" ca="1" si="15"/>
        <v>2</v>
      </c>
      <c r="K26" s="46">
        <f ca="1">IF($D$2&gt;=(COLUMN()-10),HLOOKUP($B26,INDIRECT(ADDRESS(2,11,1,,K$3)):INDIRECT(ADDRESS(25,playercnt+10,1,,K$3)),24),"")</f>
        <v>4</v>
      </c>
      <c r="L26" s="46">
        <f ca="1">IF($D$2&gt;=(COLUMN()-10),HLOOKUP($B26,INDIRECT(ADDRESS(2,11,1,,L$3)):INDIRECT(ADDRESS(25,playercnt+10,1,,L$3)),24),"")</f>
        <v>4</v>
      </c>
      <c r="M26" s="46">
        <f ca="1">IF($D$2&gt;=(COLUMN()-10),HLOOKUP($B26,INDIRECT(ADDRESS(2,11,1,,M$3)):INDIRECT(ADDRESS(25,playercnt+10,1,,M$3)),24),"")</f>
        <v>5</v>
      </c>
      <c r="N26" s="46">
        <f ca="1">IF($D$2&gt;=(COLUMN()-10),HLOOKUP($B26,INDIRECT(ADDRESS(2,11,1,,N$3)):INDIRECT(ADDRESS(25,playercnt+10,1,,N$3)),24),"")</f>
        <v>6</v>
      </c>
      <c r="O26" s="46">
        <f ca="1">IF($D$2&gt;=(COLUMN()-10),HLOOKUP($B26,INDIRECT(ADDRESS(2,11,1,,O$3)):INDIRECT(ADDRESS(25,playercnt+10,1,,O$3)),24),"")</f>
        <v>4</v>
      </c>
      <c r="P26" s="46">
        <f ca="1">IF($D$2&gt;=(COLUMN()-10),HLOOKUP($B26,INDIRECT(ADDRESS(2,11,1,,P$3)):INDIRECT(ADDRESS(25,playercnt+10,1,,P$3)),24),"")</f>
        <v>7</v>
      </c>
      <c r="Q26" s="46">
        <f ca="1">IF($D$2&gt;=(COLUMN()-10),HLOOKUP($B26,INDIRECT(ADDRESS(2,11,1,,Q$3)):INDIRECT(ADDRESS(25,playercnt+10,1,,Q$3)),24),"")</f>
        <v>4</v>
      </c>
      <c r="R26" s="46">
        <f ca="1">IF($D$2&gt;=(COLUMN()-10),HLOOKUP($B26,INDIRECT(ADDRESS(2,11,1,,R$3)):INDIRECT(ADDRESS(25,playercnt+10,1,,R$3)),24),"")</f>
        <v>5</v>
      </c>
      <c r="S26" s="46">
        <f ca="1">IF($D$2&gt;=(COLUMN()-10),HLOOKUP($B26,INDIRECT(ADDRESS(2,11,1,,S$3)):INDIRECT(ADDRESS(25,playercnt+10,1,,S$3)),24),"")</f>
        <v>5</v>
      </c>
      <c r="T26" s="46">
        <f ca="1">IF($D$2&gt;=(COLUMN()-10),HLOOKUP($B26,INDIRECT(ADDRESS(2,11,1,,T$3)):INDIRECT(ADDRESS(25,playercnt+10,1,,T$3)),24),"")</f>
        <v>5</v>
      </c>
      <c r="U26" s="46">
        <f ca="1">IF($D$2&gt;=(COLUMN()-10),HLOOKUP($B26,INDIRECT(ADDRESS(2,11,1,,U$3)):INDIRECT(ADDRESS(25,playercnt+10,1,,U$3)),24),"")</f>
        <v>8</v>
      </c>
      <c r="V26" s="46">
        <f ca="1">IF($D$2&gt;=(COLUMN()-10),HLOOKUP($B26,INDIRECT(ADDRESS(2,11,1,,V$3)):INDIRECT(ADDRESS(25,playercnt+10,1,,V$3)),24),"")</f>
        <v>7</v>
      </c>
      <c r="W26" s="46">
        <f ca="1">IF($D$2&gt;=(COLUMN()-10),HLOOKUP($B26,INDIRECT(ADDRESS(2,11,1,,W$3)):INDIRECT(ADDRESS(25,playercnt+10,1,,W$3)),24),"")</f>
        <v>2</v>
      </c>
      <c r="X26" s="47">
        <v>26</v>
      </c>
      <c r="Y26" s="14">
        <f t="shared" ref="Y26:Y36" si="17">Y25+1</f>
        <v>19</v>
      </c>
    </row>
    <row r="27" spans="1:25" x14ac:dyDescent="0.25">
      <c r="A27" s="83">
        <f t="shared" si="7"/>
        <v>18</v>
      </c>
      <c r="B27" s="39" t="str">
        <f t="shared" ca="1" si="8"/>
        <v>Locklear, Dave Remote</v>
      </c>
      <c r="C27" s="40">
        <f t="shared" si="9"/>
        <v>0</v>
      </c>
      <c r="D27" s="40">
        <f t="shared" si="10"/>
        <v>66</v>
      </c>
      <c r="E27" s="25">
        <f t="shared" si="11"/>
        <v>0.50769230769230766</v>
      </c>
      <c r="F27" s="11">
        <f t="shared" si="12"/>
        <v>7</v>
      </c>
      <c r="G27" s="16">
        <v>29</v>
      </c>
      <c r="H27" s="20">
        <f t="shared" si="13"/>
        <v>11</v>
      </c>
      <c r="I27" s="17">
        <f t="shared" ca="1" si="14"/>
        <v>7</v>
      </c>
      <c r="J27" s="17">
        <f t="shared" ca="1" si="15"/>
        <v>3</v>
      </c>
      <c r="K27" s="46">
        <f ca="1">IF($D$2&gt;=(COLUMN()-10),HLOOKUP($B27,INDIRECT(ADDRESS(2,11,1,,K$3)):INDIRECT(ADDRESS(25,playercnt+10,1,,K$3)),24),"")</f>
        <v>5</v>
      </c>
      <c r="L27" s="46">
        <f ca="1">IF($D$2&gt;=(COLUMN()-10),HLOOKUP($B27,INDIRECT(ADDRESS(2,11,1,,L$3)):INDIRECT(ADDRESS(25,playercnt+10,1,,L$3)),24),"")</f>
        <v>7</v>
      </c>
      <c r="M27" s="46">
        <f ca="1">IF($D$2&gt;=(COLUMN()-10),HLOOKUP($B27,INDIRECT(ADDRESS(2,11,1,,M$3)):INDIRECT(ADDRESS(25,playercnt+10,1,,M$3)),24),"")</f>
        <v>3</v>
      </c>
      <c r="N27" s="46">
        <f ca="1">IF($D$2&gt;=(COLUMN()-10),HLOOKUP($B27,INDIRECT(ADDRESS(2,11,1,,N$3)):INDIRECT(ADDRESS(25,playercnt+10,1,,N$3)),24),"")</f>
        <v>6</v>
      </c>
      <c r="O27" s="46">
        <f ca="1">IF($D$2&gt;=(COLUMN()-10),HLOOKUP($B27,INDIRECT(ADDRESS(2,11,1,,O$3)):INDIRECT(ADDRESS(25,playercnt+10,1,,O$3)),24),"")</f>
        <v>6</v>
      </c>
      <c r="P27" s="46">
        <f ca="1">IF($D$2&gt;=(COLUMN()-10),HLOOKUP($B27,INDIRECT(ADDRESS(2,11,1,,P$3)):INDIRECT(ADDRESS(25,playercnt+10,1,,P$3)),24),"")</f>
        <v>5</v>
      </c>
      <c r="Q27" s="46">
        <f ca="1">IF($D$2&gt;=(COLUMN()-10),HLOOKUP($B27,INDIRECT(ADDRESS(2,11,1,,Q$3)):INDIRECT(ADDRESS(25,playercnt+10,1,,Q$3)),24),"")</f>
        <v>4</v>
      </c>
      <c r="R27" s="46">
        <f ca="1">IF($D$2&gt;=(COLUMN()-10),HLOOKUP($B27,INDIRECT(ADDRESS(2,11,1,,R$3)):INDIRECT(ADDRESS(25,playercnt+10,1,,R$3)),24),"")</f>
        <v>4</v>
      </c>
      <c r="S27" s="46">
        <f ca="1">IF($D$2&gt;=(COLUMN()-10),HLOOKUP($B27,INDIRECT(ADDRESS(2,11,1,,S$3)):INDIRECT(ADDRESS(25,playercnt+10,1,,S$3)),24),"")</f>
        <v>6</v>
      </c>
      <c r="T27" s="46">
        <f ca="1">IF($D$2&gt;=(COLUMN()-10),HLOOKUP($B27,INDIRECT(ADDRESS(2,11,1,,T$3)):INDIRECT(ADDRESS(25,playercnt+10,1,,T$3)),24),"")</f>
        <v>7</v>
      </c>
      <c r="U27" s="46">
        <f ca="1">IF($D$2&gt;=(COLUMN()-10),HLOOKUP($B27,INDIRECT(ADDRESS(2,11,1,,U$3)):INDIRECT(ADDRESS(25,playercnt+10,1,,U$3)),24),"")</f>
        <v>4</v>
      </c>
      <c r="V27" s="46">
        <f ca="1">IF($D$2&gt;=(COLUMN()-10),HLOOKUP($B27,INDIRECT(ADDRESS(2,11,1,,V$3)):INDIRECT(ADDRESS(25,playercnt+10,1,,V$3)),24),"")</f>
        <v>3</v>
      </c>
      <c r="W27" s="46">
        <f ca="1">IF($D$2&gt;=(COLUMN()-10),HLOOKUP($B27,INDIRECT(ADDRESS(2,11,1,,W$3)):INDIRECT(ADDRESS(25,playercnt+10,1,,W$3)),24),"")</f>
        <v>6</v>
      </c>
      <c r="X27" s="14">
        <v>27</v>
      </c>
      <c r="Y27" s="14">
        <f t="shared" si="17"/>
        <v>20</v>
      </c>
    </row>
    <row r="28" spans="1:25" x14ac:dyDescent="0.25">
      <c r="A28" s="83">
        <f t="shared" si="7"/>
        <v>18</v>
      </c>
      <c r="B28" s="39" t="str">
        <f t="shared" ca="1" si="8"/>
        <v>Marsh, Alexander Remote</v>
      </c>
      <c r="C28" s="40">
        <f t="shared" si="9"/>
        <v>0</v>
      </c>
      <c r="D28" s="40">
        <f t="shared" si="10"/>
        <v>66</v>
      </c>
      <c r="E28" s="25">
        <f t="shared" si="11"/>
        <v>0.50769230769230766</v>
      </c>
      <c r="F28" s="11">
        <f t="shared" si="12"/>
        <v>7</v>
      </c>
      <c r="G28" s="43">
        <v>20</v>
      </c>
      <c r="H28" s="20">
        <f t="shared" si="13"/>
        <v>2</v>
      </c>
      <c r="I28" s="17">
        <f t="shared" ca="1" si="14"/>
        <v>8</v>
      </c>
      <c r="J28" s="17">
        <f t="shared" ca="1" si="15"/>
        <v>3</v>
      </c>
      <c r="K28" s="46">
        <f ca="1">IF($D$2&gt;=(COLUMN()-10),HLOOKUP($B28,INDIRECT(ADDRESS(2,11,1,,K$3)):INDIRECT(ADDRESS(25,playercnt+10,1,,K$3)),24),"")</f>
        <v>4</v>
      </c>
      <c r="L28" s="46">
        <f ca="1">IF($D$2&gt;=(COLUMN()-10),HLOOKUP($B28,INDIRECT(ADDRESS(2,11,1,,L$3)):INDIRECT(ADDRESS(25,playercnt+10,1,,L$3)),24),"")</f>
        <v>5</v>
      </c>
      <c r="M28" s="46">
        <f ca="1">IF($D$2&gt;=(COLUMN()-10),HLOOKUP($B28,INDIRECT(ADDRESS(2,11,1,,M$3)):INDIRECT(ADDRESS(25,playercnt+10,1,,M$3)),24),"")</f>
        <v>6</v>
      </c>
      <c r="N28" s="46">
        <f ca="1">IF($D$2&gt;=(COLUMN()-10),HLOOKUP($B28,INDIRECT(ADDRESS(2,11,1,,N$3)):INDIRECT(ADDRESS(25,playercnt+10,1,,N$3)),24),"")</f>
        <v>7</v>
      </c>
      <c r="O28" s="46">
        <f ca="1">IF($D$2&gt;=(COLUMN()-10),HLOOKUP($B28,INDIRECT(ADDRESS(2,11,1,,O$3)):INDIRECT(ADDRESS(25,playercnt+10,1,,O$3)),24),"")</f>
        <v>5</v>
      </c>
      <c r="P28" s="46">
        <f ca="1">IF($D$2&gt;=(COLUMN()-10),HLOOKUP($B28,INDIRECT(ADDRESS(2,11,1,,P$3)):INDIRECT(ADDRESS(25,playercnt+10,1,,P$3)),24),"")</f>
        <v>5</v>
      </c>
      <c r="Q28" s="46">
        <f ca="1">IF($D$2&gt;=(COLUMN()-10),HLOOKUP($B28,INDIRECT(ADDRESS(2,11,1,,Q$3)):INDIRECT(ADDRESS(25,playercnt+10,1,,Q$3)),24),"")</f>
        <v>5</v>
      </c>
      <c r="R28" s="46">
        <f ca="1">IF($D$2&gt;=(COLUMN()-10),HLOOKUP($B28,INDIRECT(ADDRESS(2,11,1,,R$3)):INDIRECT(ADDRESS(25,playercnt+10,1,,R$3)),24),"")</f>
        <v>8</v>
      </c>
      <c r="S28" s="46">
        <f ca="1">IF($D$2&gt;=(COLUMN()-10),HLOOKUP($B28,INDIRECT(ADDRESS(2,11,1,,S$3)):INDIRECT(ADDRESS(25,playercnt+10,1,,S$3)),24),"")</f>
        <v>4</v>
      </c>
      <c r="T28" s="46">
        <f ca="1">IF($D$2&gt;=(COLUMN()-10),HLOOKUP($B28,INDIRECT(ADDRESS(2,11,1,,T$3)):INDIRECT(ADDRESS(25,playercnt+10,1,,T$3)),24),"")</f>
        <v>6</v>
      </c>
      <c r="U28" s="46">
        <f ca="1">IF($D$2&gt;=(COLUMN()-10),HLOOKUP($B28,INDIRECT(ADDRESS(2,11,1,,U$3)):INDIRECT(ADDRESS(25,playercnt+10,1,,U$3)),24),"")</f>
        <v>3</v>
      </c>
      <c r="V28" s="46">
        <f ca="1">IF($D$2&gt;=(COLUMN()-10),HLOOKUP($B28,INDIRECT(ADDRESS(2,11,1,,V$3)):INDIRECT(ADDRESS(25,playercnt+10,1,,V$3)),24),"")</f>
        <v>3</v>
      </c>
      <c r="W28" s="46">
        <f ca="1">IF($D$2&gt;=(COLUMN()-10),HLOOKUP($B28,INDIRECT(ADDRESS(2,11,1,,W$3)):INDIRECT(ADDRESS(25,playercnt+10,1,,W$3)),24),"")</f>
        <v>5</v>
      </c>
      <c r="X28" s="47">
        <v>28</v>
      </c>
      <c r="Y28" s="14">
        <f t="shared" si="17"/>
        <v>21</v>
      </c>
    </row>
    <row r="29" spans="1:25" x14ac:dyDescent="0.25">
      <c r="A29" s="83">
        <f t="shared" si="7"/>
        <v>18</v>
      </c>
      <c r="B29" s="39" t="str">
        <f t="shared" ca="1" si="8"/>
        <v>McGee, Steve</v>
      </c>
      <c r="C29" s="40">
        <f t="shared" si="9"/>
        <v>0</v>
      </c>
      <c r="D29" s="40">
        <f t="shared" si="10"/>
        <v>66</v>
      </c>
      <c r="E29" s="25">
        <f t="shared" si="11"/>
        <v>0.50769230769230766</v>
      </c>
      <c r="F29" s="11">
        <f t="shared" si="12"/>
        <v>7</v>
      </c>
      <c r="G29" s="16">
        <v>13</v>
      </c>
      <c r="H29" s="20">
        <f t="shared" si="13"/>
        <v>-5</v>
      </c>
      <c r="I29" s="17">
        <f t="shared" ca="1" si="14"/>
        <v>7</v>
      </c>
      <c r="J29" s="17">
        <f t="shared" ca="1" si="15"/>
        <v>2</v>
      </c>
      <c r="K29" s="46">
        <f ca="1">IF($D$2&gt;=(COLUMN()-10),HLOOKUP($B29,INDIRECT(ADDRESS(2,11,1,,K$3)):INDIRECT(ADDRESS(25,playercnt+10,1,,K$3)),24),"")</f>
        <v>4</v>
      </c>
      <c r="L29" s="46">
        <f ca="1">IF($D$2&gt;=(COLUMN()-10),HLOOKUP($B29,INDIRECT(ADDRESS(2,11,1,,L$3)):INDIRECT(ADDRESS(25,playercnt+10,1,,L$3)),24),"")</f>
        <v>4</v>
      </c>
      <c r="M29" s="46">
        <f ca="1">IF($D$2&gt;=(COLUMN()-10),HLOOKUP($B29,INDIRECT(ADDRESS(2,11,1,,M$3)):INDIRECT(ADDRESS(25,playercnt+10,1,,M$3)),24),"")</f>
        <v>6</v>
      </c>
      <c r="N29" s="46">
        <f ca="1">IF($D$2&gt;=(COLUMN()-10),HLOOKUP($B29,INDIRECT(ADDRESS(2,11,1,,N$3)):INDIRECT(ADDRESS(25,playercnt+10,1,,N$3)),24),"")</f>
        <v>5</v>
      </c>
      <c r="O29" s="46">
        <f ca="1">IF($D$2&gt;=(COLUMN()-10),HLOOKUP($B29,INDIRECT(ADDRESS(2,11,1,,O$3)):INDIRECT(ADDRESS(25,playercnt+10,1,,O$3)),24),"")</f>
        <v>6</v>
      </c>
      <c r="P29" s="46">
        <f ca="1">IF($D$2&gt;=(COLUMN()-10),HLOOKUP($B29,INDIRECT(ADDRESS(2,11,1,,P$3)):INDIRECT(ADDRESS(25,playercnt+10,1,,P$3)),24),"")</f>
        <v>7</v>
      </c>
      <c r="Q29" s="46">
        <f ca="1">IF($D$2&gt;=(COLUMN()-10),HLOOKUP($B29,INDIRECT(ADDRESS(2,11,1,,Q$3)):INDIRECT(ADDRESS(25,playercnt+10,1,,Q$3)),24),"")</f>
        <v>6</v>
      </c>
      <c r="R29" s="46">
        <f ca="1">IF($D$2&gt;=(COLUMN()-10),HLOOKUP($B29,INDIRECT(ADDRESS(2,11,1,,R$3)):INDIRECT(ADDRESS(25,playercnt+10,1,,R$3)),24),"")</f>
        <v>7</v>
      </c>
      <c r="S29" s="46">
        <f ca="1">IF($D$2&gt;=(COLUMN()-10),HLOOKUP($B29,INDIRECT(ADDRESS(2,11,1,,S$3)):INDIRECT(ADDRESS(25,playercnt+10,1,,S$3)),24),"")</f>
        <v>4</v>
      </c>
      <c r="T29" s="46">
        <f ca="1">IF($D$2&gt;=(COLUMN()-10),HLOOKUP($B29,INDIRECT(ADDRESS(2,11,1,,T$3)):INDIRECT(ADDRESS(25,playercnt+10,1,,T$3)),24),"")</f>
        <v>5</v>
      </c>
      <c r="U29" s="46">
        <f ca="1">IF($D$2&gt;=(COLUMN()-10),HLOOKUP($B29,INDIRECT(ADDRESS(2,11,1,,U$3)):INDIRECT(ADDRESS(25,playercnt+10,1,,U$3)),24),"")</f>
        <v>2</v>
      </c>
      <c r="V29" s="46">
        <f ca="1">IF($D$2&gt;=(COLUMN()-10),HLOOKUP($B29,INDIRECT(ADDRESS(2,11,1,,V$3)):INDIRECT(ADDRESS(25,playercnt+10,1,,V$3)),24),"")</f>
        <v>6</v>
      </c>
      <c r="W29" s="46">
        <f ca="1">IF($D$2&gt;=(COLUMN()-10),HLOOKUP($B29,INDIRECT(ADDRESS(2,11,1,,W$3)):INDIRECT(ADDRESS(25,playercnt+10,1,,W$3)),24),"")</f>
        <v>4</v>
      </c>
      <c r="X29" s="14">
        <v>30</v>
      </c>
      <c r="Y29" s="14">
        <f t="shared" si="17"/>
        <v>22</v>
      </c>
    </row>
    <row r="30" spans="1:25" x14ac:dyDescent="0.25">
      <c r="A30" s="83">
        <f t="shared" si="7"/>
        <v>23</v>
      </c>
      <c r="B30" s="39" t="str">
        <f t="shared" ca="1" si="8"/>
        <v>Adams, Daniel O</v>
      </c>
      <c r="C30" s="40">
        <f t="shared" si="9"/>
        <v>1</v>
      </c>
      <c r="D30" s="40">
        <f t="shared" si="10"/>
        <v>65</v>
      </c>
      <c r="E30" s="25">
        <f t="shared" si="11"/>
        <v>0.5</v>
      </c>
      <c r="F30" s="11">
        <f t="shared" si="12"/>
        <v>8</v>
      </c>
      <c r="G30" s="43">
        <v>20</v>
      </c>
      <c r="H30" s="20">
        <f t="shared" si="13"/>
        <v>-3</v>
      </c>
      <c r="I30" s="17">
        <f t="shared" ca="1" si="14"/>
        <v>8</v>
      </c>
      <c r="J30" s="17">
        <f t="shared" ca="1" si="15"/>
        <v>1</v>
      </c>
      <c r="K30" s="46">
        <f ca="1">IF($D$2&gt;=(COLUMN()-10),HLOOKUP($B30,INDIRECT(ADDRESS(2,11,1,,K$3)):INDIRECT(ADDRESS(25,playercnt+10,1,,K$3)),24),"")</f>
        <v>6</v>
      </c>
      <c r="L30" s="46">
        <f ca="1">IF($D$2&gt;=(COLUMN()-10),HLOOKUP($B30,INDIRECT(ADDRESS(2,11,1,,L$3)):INDIRECT(ADDRESS(25,playercnt+10,1,,L$3)),24),"")</f>
        <v>6</v>
      </c>
      <c r="M30" s="46">
        <f ca="1">IF($D$2&gt;=(COLUMN()-10),HLOOKUP($B30,INDIRECT(ADDRESS(2,11,1,,M$3)):INDIRECT(ADDRESS(25,playercnt+10,1,,M$3)),24),"")</f>
        <v>5</v>
      </c>
      <c r="N30" s="46">
        <f ca="1">IF($D$2&gt;=(COLUMN()-10),HLOOKUP($B30,INDIRECT(ADDRESS(2,11,1,,N$3)):INDIRECT(ADDRESS(25,playercnt+10,1,,N$3)),24),"")</f>
        <v>6</v>
      </c>
      <c r="O30" s="46">
        <f ca="1">IF($D$2&gt;=(COLUMN()-10),HLOOKUP($B30,INDIRECT(ADDRESS(2,11,1,,O$3)):INDIRECT(ADDRESS(25,playercnt+10,1,,O$3)),24),"")</f>
        <v>5</v>
      </c>
      <c r="P30" s="46">
        <f ca="1">IF($D$2&gt;=(COLUMN()-10),HLOOKUP($B30,INDIRECT(ADDRESS(2,11,1,,P$3)):INDIRECT(ADDRESS(25,playercnt+10,1,,P$3)),24),"")</f>
        <v>6</v>
      </c>
      <c r="Q30" s="46">
        <f ca="1">IF($D$2&gt;=(COLUMN()-10),HLOOKUP($B30,INDIRECT(ADDRESS(2,11,1,,Q$3)):INDIRECT(ADDRESS(25,playercnt+10,1,,Q$3)),24),"")</f>
        <v>8</v>
      </c>
      <c r="R30" s="46">
        <f ca="1">IF($D$2&gt;=(COLUMN()-10),HLOOKUP($B30,INDIRECT(ADDRESS(2,11,1,,R$3)):INDIRECT(ADDRESS(25,playercnt+10,1,,R$3)),24),"")</f>
        <v>4</v>
      </c>
      <c r="S30" s="46">
        <f ca="1">IF($D$2&gt;=(COLUMN()-10),HLOOKUP($B30,INDIRECT(ADDRESS(2,11,1,,S$3)):INDIRECT(ADDRESS(25,playercnt+10,1,,S$3)),24),"")</f>
        <v>4</v>
      </c>
      <c r="T30" s="46">
        <f ca="1">IF($D$2&gt;=(COLUMN()-10),HLOOKUP($B30,INDIRECT(ADDRESS(2,11,1,,T$3)):INDIRECT(ADDRESS(25,playercnt+10,1,,T$3)),24),"")</f>
        <v>6</v>
      </c>
      <c r="U30" s="46">
        <f ca="1">IF($D$2&gt;=(COLUMN()-10),HLOOKUP($B30,INDIRECT(ADDRESS(2,11,1,,U$3)):INDIRECT(ADDRESS(25,playercnt+10,1,,U$3)),24),"")</f>
        <v>4</v>
      </c>
      <c r="V30" s="46">
        <f ca="1">IF($D$2&gt;=(COLUMN()-10),HLOOKUP($B30,INDIRECT(ADDRESS(2,11,1,,V$3)):INDIRECT(ADDRESS(25,playercnt+10,1,,V$3)),24),"")</f>
        <v>1</v>
      </c>
      <c r="W30" s="46">
        <f ca="1">IF($D$2&gt;=(COLUMN()-10),HLOOKUP($B30,INDIRECT(ADDRESS(2,11,1,,W$3)):INDIRECT(ADDRESS(25,playercnt+10,1,,W$3)),24),"")</f>
        <v>4</v>
      </c>
      <c r="X30" s="47">
        <v>2</v>
      </c>
      <c r="Y30" s="14">
        <f t="shared" si="17"/>
        <v>23</v>
      </c>
    </row>
    <row r="31" spans="1:25" x14ac:dyDescent="0.25">
      <c r="A31" s="83">
        <f t="shared" si="7"/>
        <v>23</v>
      </c>
      <c r="B31" s="39" t="str">
        <f t="shared" ca="1" si="8"/>
        <v>Brokaw, Brantley A</v>
      </c>
      <c r="C31" s="40">
        <f t="shared" si="9"/>
        <v>1</v>
      </c>
      <c r="D31" s="40">
        <f t="shared" si="10"/>
        <v>65</v>
      </c>
      <c r="E31" s="25">
        <f t="shared" si="11"/>
        <v>0.5</v>
      </c>
      <c r="F31" s="11">
        <f t="shared" si="12"/>
        <v>8</v>
      </c>
      <c r="G31" s="16">
        <v>20</v>
      </c>
      <c r="H31" s="20">
        <f t="shared" si="13"/>
        <v>-3</v>
      </c>
      <c r="I31" s="17">
        <f t="shared" ca="1" si="14"/>
        <v>8</v>
      </c>
      <c r="J31" s="17">
        <f t="shared" ca="1" si="15"/>
        <v>3</v>
      </c>
      <c r="K31" s="46">
        <f ca="1">IF($D$2&gt;=(COLUMN()-10),HLOOKUP($B31,INDIRECT(ADDRESS(2,11,1,,K$3)):INDIRECT(ADDRESS(25,playercnt+10,1,,K$3)),24),"")</f>
        <v>5</v>
      </c>
      <c r="L31" s="46">
        <f ca="1">IF($D$2&gt;=(COLUMN()-10),HLOOKUP($B31,INDIRECT(ADDRESS(2,11,1,,L$3)):INDIRECT(ADDRESS(25,playercnt+10,1,,L$3)),24),"")</f>
        <v>5</v>
      </c>
      <c r="M31" s="46">
        <f ca="1">IF($D$2&gt;=(COLUMN()-10),HLOOKUP($B31,INDIRECT(ADDRESS(2,11,1,,M$3)):INDIRECT(ADDRESS(25,playercnt+10,1,,M$3)),24),"")</f>
        <v>5</v>
      </c>
      <c r="N31" s="46">
        <f ca="1">IF($D$2&gt;=(COLUMN()-10),HLOOKUP($B31,INDIRECT(ADDRESS(2,11,1,,N$3)):INDIRECT(ADDRESS(25,playercnt+10,1,,N$3)),24),"")</f>
        <v>8</v>
      </c>
      <c r="O31" s="46">
        <f ca="1">IF($D$2&gt;=(COLUMN()-10),HLOOKUP($B31,INDIRECT(ADDRESS(2,11,1,,O$3)):INDIRECT(ADDRESS(25,playercnt+10,1,,O$3)),24),"")</f>
        <v>6</v>
      </c>
      <c r="P31" s="46">
        <f ca="1">IF($D$2&gt;=(COLUMN()-10),HLOOKUP($B31,INDIRECT(ADDRESS(2,11,1,,P$3)):INDIRECT(ADDRESS(25,playercnt+10,1,,P$3)),24),"")</f>
        <v>5</v>
      </c>
      <c r="Q31" s="46">
        <f ca="1">IF($D$2&gt;=(COLUMN()-10),HLOOKUP($B31,INDIRECT(ADDRESS(2,11,1,,Q$3)):INDIRECT(ADDRESS(25,playercnt+10,1,,Q$3)),24),"")</f>
        <v>5</v>
      </c>
      <c r="R31" s="46">
        <f ca="1">IF($D$2&gt;=(COLUMN()-10),HLOOKUP($B31,INDIRECT(ADDRESS(2,11,1,,R$3)):INDIRECT(ADDRESS(25,playercnt+10,1,,R$3)),24),"")</f>
        <v>3</v>
      </c>
      <c r="S31" s="46">
        <f ca="1">IF($D$2&gt;=(COLUMN()-10),HLOOKUP($B31,INDIRECT(ADDRESS(2,11,1,,S$3)):INDIRECT(ADDRESS(25,playercnt+10,1,,S$3)),24),"")</f>
        <v>5</v>
      </c>
      <c r="T31" s="46">
        <f ca="1">IF($D$2&gt;=(COLUMN()-10),HLOOKUP($B31,INDIRECT(ADDRESS(2,11,1,,T$3)):INDIRECT(ADDRESS(25,playercnt+10,1,,T$3)),24),"")</f>
        <v>7</v>
      </c>
      <c r="U31" s="46">
        <f ca="1">IF($D$2&gt;=(COLUMN()-10),HLOOKUP($B31,INDIRECT(ADDRESS(2,11,1,,U$3)):INDIRECT(ADDRESS(25,playercnt+10,1,,U$3)),24),"")</f>
        <v>4</v>
      </c>
      <c r="V31" s="46">
        <f ca="1">IF($D$2&gt;=(COLUMN()-10),HLOOKUP($B31,INDIRECT(ADDRESS(2,11,1,,V$3)):INDIRECT(ADDRESS(25,playercnt+10,1,,V$3)),24),"")</f>
        <v>3</v>
      </c>
      <c r="W31" s="46">
        <f ca="1">IF($D$2&gt;=(COLUMN()-10),HLOOKUP($B31,INDIRECT(ADDRESS(2,11,1,,W$3)):INDIRECT(ADDRESS(25,playercnt+10,1,,W$3)),24),"")</f>
        <v>4</v>
      </c>
      <c r="X31" s="14">
        <v>5</v>
      </c>
      <c r="Y31" s="14">
        <f t="shared" si="17"/>
        <v>24</v>
      </c>
    </row>
    <row r="32" spans="1:25" x14ac:dyDescent="0.25">
      <c r="A32" s="83">
        <f t="shared" si="7"/>
        <v>23</v>
      </c>
      <c r="B32" s="39" t="str">
        <f t="shared" ca="1" si="8"/>
        <v>Emptage, Nick</v>
      </c>
      <c r="C32" s="40">
        <f t="shared" si="9"/>
        <v>1</v>
      </c>
      <c r="D32" s="40">
        <f t="shared" si="10"/>
        <v>65</v>
      </c>
      <c r="E32" s="25">
        <f t="shared" si="11"/>
        <v>0.5</v>
      </c>
      <c r="F32" s="11">
        <f t="shared" si="12"/>
        <v>8</v>
      </c>
      <c r="G32" s="43">
        <v>39</v>
      </c>
      <c r="H32" s="20">
        <f t="shared" si="13"/>
        <v>16</v>
      </c>
      <c r="I32" s="17">
        <f t="shared" ca="1" si="14"/>
        <v>8</v>
      </c>
      <c r="J32" s="17">
        <f t="shared" ca="1" si="15"/>
        <v>1</v>
      </c>
      <c r="K32" s="46">
        <f ca="1">IF($D$2&gt;=(COLUMN()-10),HLOOKUP($B32,INDIRECT(ADDRESS(2,11,1,,K$3)):INDIRECT(ADDRESS(25,playercnt+10,1,,K$3)),24),"")</f>
        <v>1</v>
      </c>
      <c r="L32" s="46">
        <f ca="1">IF($D$2&gt;=(COLUMN()-10),HLOOKUP($B32,INDIRECT(ADDRESS(2,11,1,,L$3)):INDIRECT(ADDRESS(25,playercnt+10,1,,L$3)),24),"")</f>
        <v>5</v>
      </c>
      <c r="M32" s="46">
        <f ca="1">IF($D$2&gt;=(COLUMN()-10),HLOOKUP($B32,INDIRECT(ADDRESS(2,11,1,,M$3)):INDIRECT(ADDRESS(25,playercnt+10,1,,M$3)),24),"")</f>
        <v>6</v>
      </c>
      <c r="N32" s="46">
        <f ca="1">IF($D$2&gt;=(COLUMN()-10),HLOOKUP($B32,INDIRECT(ADDRESS(2,11,1,,N$3)):INDIRECT(ADDRESS(25,playercnt+10,1,,N$3)),24),"")</f>
        <v>6</v>
      </c>
      <c r="O32" s="46">
        <f ca="1">IF($D$2&gt;=(COLUMN()-10),HLOOKUP($B32,INDIRECT(ADDRESS(2,11,1,,O$3)):INDIRECT(ADDRESS(25,playercnt+10,1,,O$3)),24),"")</f>
        <v>8</v>
      </c>
      <c r="P32" s="46">
        <f ca="1">IF($D$2&gt;=(COLUMN()-10),HLOOKUP($B32,INDIRECT(ADDRESS(2,11,1,,P$3)):INDIRECT(ADDRESS(25,playercnt+10,1,,P$3)),24),"")</f>
        <v>4</v>
      </c>
      <c r="Q32" s="46">
        <f ca="1">IF($D$2&gt;=(COLUMN()-10),HLOOKUP($B32,INDIRECT(ADDRESS(2,11,1,,Q$3)):INDIRECT(ADDRESS(25,playercnt+10,1,,Q$3)),24),"")</f>
        <v>5</v>
      </c>
      <c r="R32" s="46">
        <f ca="1">IF($D$2&gt;=(COLUMN()-10),HLOOKUP($B32,INDIRECT(ADDRESS(2,11,1,,R$3)):INDIRECT(ADDRESS(25,playercnt+10,1,,R$3)),24),"")</f>
        <v>5</v>
      </c>
      <c r="S32" s="46">
        <f ca="1">IF($D$2&gt;=(COLUMN()-10),HLOOKUP($B32,INDIRECT(ADDRESS(2,11,1,,S$3)):INDIRECT(ADDRESS(25,playercnt+10,1,,S$3)),24),"")</f>
        <v>4</v>
      </c>
      <c r="T32" s="46">
        <f ca="1">IF($D$2&gt;=(COLUMN()-10),HLOOKUP($B32,INDIRECT(ADDRESS(2,11,1,,T$3)):INDIRECT(ADDRESS(25,playercnt+10,1,,T$3)),24),"")</f>
        <v>4</v>
      </c>
      <c r="U32" s="46">
        <f ca="1">IF($D$2&gt;=(COLUMN()-10),HLOOKUP($B32,INDIRECT(ADDRESS(2,11,1,,U$3)):INDIRECT(ADDRESS(25,playercnt+10,1,,U$3)),24),"")</f>
        <v>5</v>
      </c>
      <c r="V32" s="46">
        <f ca="1">IF($D$2&gt;=(COLUMN()-10),HLOOKUP($B32,INDIRECT(ADDRESS(2,11,1,,V$3)):INDIRECT(ADDRESS(25,playercnt+10,1,,V$3)),24),"")</f>
        <v>5</v>
      </c>
      <c r="W32" s="46">
        <f ca="1">IF($D$2&gt;=(COLUMN()-10),HLOOKUP($B32,INDIRECT(ADDRESS(2,11,1,,W$3)):INDIRECT(ADDRESS(25,playercnt+10,1,,W$3)),24),"")</f>
        <v>7</v>
      </c>
      <c r="X32" s="47">
        <v>10</v>
      </c>
      <c r="Y32" s="14">
        <f t="shared" si="17"/>
        <v>25</v>
      </c>
    </row>
    <row r="33" spans="1:25" x14ac:dyDescent="0.25">
      <c r="A33" s="83">
        <f t="shared" si="7"/>
        <v>23</v>
      </c>
      <c r="B33" s="39" t="str">
        <f t="shared" ca="1" si="8"/>
        <v>Fonville, Chris</v>
      </c>
      <c r="C33" s="40">
        <f t="shared" si="9"/>
        <v>0</v>
      </c>
      <c r="D33" s="40">
        <f t="shared" si="10"/>
        <v>65</v>
      </c>
      <c r="E33" s="25">
        <f t="shared" si="11"/>
        <v>0.5</v>
      </c>
      <c r="F33" s="11">
        <f t="shared" si="12"/>
        <v>8</v>
      </c>
      <c r="G33" s="16">
        <v>13</v>
      </c>
      <c r="H33" s="20">
        <f t="shared" si="13"/>
        <v>-10</v>
      </c>
      <c r="I33" s="17">
        <f t="shared" ca="1" si="14"/>
        <v>8</v>
      </c>
      <c r="J33" s="17">
        <f t="shared" ca="1" si="15"/>
        <v>3</v>
      </c>
      <c r="K33" s="46">
        <f ca="1">IF($D$2&gt;=(COLUMN()-10),HLOOKUP($B33,INDIRECT(ADDRESS(2,11,1,,K$3)):INDIRECT(ADDRESS(25,playercnt+10,1,,K$3)),24),"")</f>
        <v>5</v>
      </c>
      <c r="L33" s="46">
        <f ca="1">IF($D$2&gt;=(COLUMN()-10),HLOOKUP($B33,INDIRECT(ADDRESS(2,11,1,,L$3)):INDIRECT(ADDRESS(25,playercnt+10,1,,L$3)),24),"")</f>
        <v>6</v>
      </c>
      <c r="M33" s="46">
        <f ca="1">IF($D$2&gt;=(COLUMN()-10),HLOOKUP($B33,INDIRECT(ADDRESS(2,11,1,,M$3)):INDIRECT(ADDRESS(25,playercnt+10,1,,M$3)),24),"")</f>
        <v>4</v>
      </c>
      <c r="N33" s="46">
        <f ca="1">IF($D$2&gt;=(COLUMN()-10),HLOOKUP($B33,INDIRECT(ADDRESS(2,11,1,,N$3)):INDIRECT(ADDRESS(25,playercnt+10,1,,N$3)),24),"")</f>
        <v>5</v>
      </c>
      <c r="O33" s="46">
        <f ca="1">IF($D$2&gt;=(COLUMN()-10),HLOOKUP($B33,INDIRECT(ADDRESS(2,11,1,,O$3)):INDIRECT(ADDRESS(25,playercnt+10,1,,O$3)),24),"")</f>
        <v>6</v>
      </c>
      <c r="P33" s="46">
        <f ca="1">IF($D$2&gt;=(COLUMN()-10),HLOOKUP($B33,INDIRECT(ADDRESS(2,11,1,,P$3)):INDIRECT(ADDRESS(25,playercnt+10,1,,P$3)),24),"")</f>
        <v>4</v>
      </c>
      <c r="Q33" s="46">
        <f ca="1">IF($D$2&gt;=(COLUMN()-10),HLOOKUP($B33,INDIRECT(ADDRESS(2,11,1,,Q$3)):INDIRECT(ADDRESS(25,playercnt+10,1,,Q$3)),24),"")</f>
        <v>4</v>
      </c>
      <c r="R33" s="46">
        <f ca="1">IF($D$2&gt;=(COLUMN()-10),HLOOKUP($B33,INDIRECT(ADDRESS(2,11,1,,R$3)):INDIRECT(ADDRESS(25,playercnt+10,1,,R$3)),24),"")</f>
        <v>5</v>
      </c>
      <c r="S33" s="46">
        <f ca="1">IF($D$2&gt;=(COLUMN()-10),HLOOKUP($B33,INDIRECT(ADDRESS(2,11,1,,S$3)):INDIRECT(ADDRESS(25,playercnt+10,1,,S$3)),24),"")</f>
        <v>3</v>
      </c>
      <c r="T33" s="46">
        <f ca="1">IF($D$2&gt;=(COLUMN()-10),HLOOKUP($B33,INDIRECT(ADDRESS(2,11,1,,T$3)):INDIRECT(ADDRESS(25,playercnt+10,1,,T$3)),24),"")</f>
        <v>7</v>
      </c>
      <c r="U33" s="46">
        <f ca="1">IF($D$2&gt;=(COLUMN()-10),HLOOKUP($B33,INDIRECT(ADDRESS(2,11,1,,U$3)):INDIRECT(ADDRESS(25,playercnt+10,1,,U$3)),24),"")</f>
        <v>5</v>
      </c>
      <c r="V33" s="46">
        <f ca="1">IF($D$2&gt;=(COLUMN()-10),HLOOKUP($B33,INDIRECT(ADDRESS(2,11,1,,V$3)):INDIRECT(ADDRESS(25,playercnt+10,1,,V$3)),24),"")</f>
        <v>8</v>
      </c>
      <c r="W33" s="46">
        <f ca="1">IF($D$2&gt;=(COLUMN()-10),HLOOKUP($B33,INDIRECT(ADDRESS(2,11,1,,W$3)):INDIRECT(ADDRESS(25,playercnt+10,1,,W$3)),24),"")</f>
        <v>3</v>
      </c>
      <c r="X33" s="14">
        <v>14</v>
      </c>
      <c r="Y33" s="14">
        <f t="shared" si="17"/>
        <v>26</v>
      </c>
    </row>
    <row r="34" spans="1:25" x14ac:dyDescent="0.25">
      <c r="A34" s="83">
        <f t="shared" si="7"/>
        <v>23</v>
      </c>
      <c r="B34" s="39" t="str">
        <f t="shared" ca="1" si="8"/>
        <v>Ruffin, Chris</v>
      </c>
      <c r="C34" s="40">
        <f t="shared" si="9"/>
        <v>0</v>
      </c>
      <c r="D34" s="40">
        <f t="shared" si="10"/>
        <v>65</v>
      </c>
      <c r="E34" s="25">
        <f t="shared" si="11"/>
        <v>0.5</v>
      </c>
      <c r="F34" s="11">
        <f t="shared" si="12"/>
        <v>8</v>
      </c>
      <c r="G34" s="43">
        <v>35</v>
      </c>
      <c r="H34" s="20">
        <f t="shared" si="13"/>
        <v>12</v>
      </c>
      <c r="I34" s="17">
        <f t="shared" ca="1" si="14"/>
        <v>7</v>
      </c>
      <c r="J34" s="17">
        <f t="shared" ca="1" si="15"/>
        <v>3</v>
      </c>
      <c r="K34" s="46">
        <f ca="1">IF($D$2&gt;=(COLUMN()-10),HLOOKUP($B34,INDIRECT(ADDRESS(2,11,1,,K$3)):INDIRECT(ADDRESS(25,playercnt+10,1,,K$3)),24),"")</f>
        <v>4</v>
      </c>
      <c r="L34" s="46">
        <f ca="1">IF($D$2&gt;=(COLUMN()-10),HLOOKUP($B34,INDIRECT(ADDRESS(2,11,1,,L$3)):INDIRECT(ADDRESS(25,playercnt+10,1,,L$3)),24),"")</f>
        <v>5</v>
      </c>
      <c r="M34" s="46">
        <f ca="1">IF($D$2&gt;=(COLUMN()-10),HLOOKUP($B34,INDIRECT(ADDRESS(2,11,1,,M$3)):INDIRECT(ADDRESS(25,playercnt+10,1,,M$3)),24),"")</f>
        <v>3</v>
      </c>
      <c r="N34" s="46">
        <f ca="1">IF($D$2&gt;=(COLUMN()-10),HLOOKUP($B34,INDIRECT(ADDRESS(2,11,1,,N$3)):INDIRECT(ADDRESS(25,playercnt+10,1,,N$3)),24),"")</f>
        <v>7</v>
      </c>
      <c r="O34" s="46">
        <f ca="1">IF($D$2&gt;=(COLUMN()-10),HLOOKUP($B34,INDIRECT(ADDRESS(2,11,1,,O$3)):INDIRECT(ADDRESS(25,playercnt+10,1,,O$3)),24),"")</f>
        <v>4</v>
      </c>
      <c r="P34" s="46">
        <f ca="1">IF($D$2&gt;=(COLUMN()-10),HLOOKUP($B34,INDIRECT(ADDRESS(2,11,1,,P$3)):INDIRECT(ADDRESS(25,playercnt+10,1,,P$3)),24),"")</f>
        <v>7</v>
      </c>
      <c r="Q34" s="46">
        <f ca="1">IF($D$2&gt;=(COLUMN()-10),HLOOKUP($B34,INDIRECT(ADDRESS(2,11,1,,Q$3)):INDIRECT(ADDRESS(25,playercnt+10,1,,Q$3)),24),"")</f>
        <v>5</v>
      </c>
      <c r="R34" s="46">
        <f ca="1">IF($D$2&gt;=(COLUMN()-10),HLOOKUP($B34,INDIRECT(ADDRESS(2,11,1,,R$3)):INDIRECT(ADDRESS(25,playercnt+10,1,,R$3)),24),"")</f>
        <v>4</v>
      </c>
      <c r="S34" s="46">
        <f ca="1">IF($D$2&gt;=(COLUMN()-10),HLOOKUP($B34,INDIRECT(ADDRESS(2,11,1,,S$3)):INDIRECT(ADDRESS(25,playercnt+10,1,,S$3)),24),"")</f>
        <v>4</v>
      </c>
      <c r="T34" s="46">
        <f ca="1">IF($D$2&gt;=(COLUMN()-10),HLOOKUP($B34,INDIRECT(ADDRESS(2,11,1,,T$3)):INDIRECT(ADDRESS(25,playercnt+10,1,,T$3)),24),"")</f>
        <v>6</v>
      </c>
      <c r="U34" s="46">
        <f ca="1">IF($D$2&gt;=(COLUMN()-10),HLOOKUP($B34,INDIRECT(ADDRESS(2,11,1,,U$3)):INDIRECT(ADDRESS(25,playercnt+10,1,,U$3)),24),"")</f>
        <v>6</v>
      </c>
      <c r="V34" s="46">
        <f ca="1">IF($D$2&gt;=(COLUMN()-10),HLOOKUP($B34,INDIRECT(ADDRESS(2,11,1,,V$3)):INDIRECT(ADDRESS(25,playercnt+10,1,,V$3)),24),"")</f>
        <v>4</v>
      </c>
      <c r="W34" s="46">
        <f ca="1">IF($D$2&gt;=(COLUMN()-10),HLOOKUP($B34,INDIRECT(ADDRESS(2,11,1,,W$3)):INDIRECT(ADDRESS(25,playercnt+10,1,,W$3)),24),"")</f>
        <v>6</v>
      </c>
      <c r="X34" s="47">
        <v>43</v>
      </c>
      <c r="Y34" s="14">
        <f t="shared" si="17"/>
        <v>27</v>
      </c>
    </row>
    <row r="35" spans="1:25" x14ac:dyDescent="0.25">
      <c r="A35" s="83">
        <f t="shared" si="7"/>
        <v>23</v>
      </c>
      <c r="B35" s="39" t="str">
        <f t="shared" ca="1" si="8"/>
        <v>Strom, Brooker</v>
      </c>
      <c r="C35" s="40">
        <f t="shared" si="9"/>
        <v>0</v>
      </c>
      <c r="D35" s="40">
        <f t="shared" si="10"/>
        <v>65</v>
      </c>
      <c r="E35" s="25">
        <f t="shared" si="11"/>
        <v>0.5</v>
      </c>
      <c r="F35" s="11">
        <f t="shared" si="12"/>
        <v>8</v>
      </c>
      <c r="G35" s="16">
        <v>12</v>
      </c>
      <c r="H35" s="20">
        <f t="shared" si="13"/>
        <v>-11</v>
      </c>
      <c r="I35" s="17">
        <f t="shared" ca="1" si="14"/>
        <v>7</v>
      </c>
      <c r="J35" s="17">
        <f t="shared" ca="1" si="15"/>
        <v>2</v>
      </c>
      <c r="K35" s="46">
        <f ca="1">IF($D$2&gt;=(COLUMN()-10),HLOOKUP($B35,INDIRECT(ADDRESS(2,11,1,,K$3)):INDIRECT(ADDRESS(25,playercnt+10,1,,K$3)),24),"")</f>
        <v>6</v>
      </c>
      <c r="L35" s="46">
        <f ca="1">IF($D$2&gt;=(COLUMN()-10),HLOOKUP($B35,INDIRECT(ADDRESS(2,11,1,,L$3)):INDIRECT(ADDRESS(25,playercnt+10,1,,L$3)),24),"")</f>
        <v>6</v>
      </c>
      <c r="M35" s="46">
        <f ca="1">IF($D$2&gt;=(COLUMN()-10),HLOOKUP($B35,INDIRECT(ADDRESS(2,11,1,,M$3)):INDIRECT(ADDRESS(25,playercnt+10,1,,M$3)),24),"")</f>
        <v>4</v>
      </c>
      <c r="N35" s="46">
        <f ca="1">IF($D$2&gt;=(COLUMN()-10),HLOOKUP($B35,INDIRECT(ADDRESS(2,11,1,,N$3)):INDIRECT(ADDRESS(25,playercnt+10,1,,N$3)),24),"")</f>
        <v>5</v>
      </c>
      <c r="O35" s="46">
        <f ca="1">IF($D$2&gt;=(COLUMN()-10),HLOOKUP($B35,INDIRECT(ADDRESS(2,11,1,,O$3)):INDIRECT(ADDRESS(25,playercnt+10,1,,O$3)),24),"")</f>
        <v>6</v>
      </c>
      <c r="P35" s="46">
        <f ca="1">IF($D$2&gt;=(COLUMN()-10),HLOOKUP($B35,INDIRECT(ADDRESS(2,11,1,,P$3)):INDIRECT(ADDRESS(25,playercnt+10,1,,P$3)),24),"")</f>
        <v>7</v>
      </c>
      <c r="Q35" s="46">
        <f ca="1">IF($D$2&gt;=(COLUMN()-10),HLOOKUP($B35,INDIRECT(ADDRESS(2,11,1,,Q$3)):INDIRECT(ADDRESS(25,playercnt+10,1,,Q$3)),24),"")</f>
        <v>4</v>
      </c>
      <c r="R35" s="46">
        <f ca="1">IF($D$2&gt;=(COLUMN()-10),HLOOKUP($B35,INDIRECT(ADDRESS(2,11,1,,R$3)):INDIRECT(ADDRESS(25,playercnt+10,1,,R$3)),24),"")</f>
        <v>5</v>
      </c>
      <c r="S35" s="46">
        <f ca="1">IF($D$2&gt;=(COLUMN()-10),HLOOKUP($B35,INDIRECT(ADDRESS(2,11,1,,S$3)):INDIRECT(ADDRESS(25,playercnt+10,1,,S$3)),24),"")</f>
        <v>2</v>
      </c>
      <c r="T35" s="46">
        <f ca="1">IF($D$2&gt;=(COLUMN()-10),HLOOKUP($B35,INDIRECT(ADDRESS(2,11,1,,T$3)):INDIRECT(ADDRESS(25,playercnt+10,1,,T$3)),24),"")</f>
        <v>5</v>
      </c>
      <c r="U35" s="46">
        <f ca="1">IF($D$2&gt;=(COLUMN()-10),HLOOKUP($B35,INDIRECT(ADDRESS(2,11,1,,U$3)):INDIRECT(ADDRESS(25,playercnt+10,1,,U$3)),24),"")</f>
        <v>7</v>
      </c>
      <c r="V35" s="46">
        <f ca="1">IF($D$2&gt;=(COLUMN()-10),HLOOKUP($B35,INDIRECT(ADDRESS(2,11,1,,V$3)):INDIRECT(ADDRESS(25,playercnt+10,1,,V$3)),24),"")</f>
        <v>6</v>
      </c>
      <c r="W35" s="46">
        <f ca="1">IF($D$2&gt;=(COLUMN()-10),HLOOKUP($B35,INDIRECT(ADDRESS(2,11,1,,W$3)):INDIRECT(ADDRESS(25,playercnt+10,1,,W$3)),24),"")</f>
        <v>2</v>
      </c>
      <c r="X35" s="14">
        <v>51</v>
      </c>
      <c r="Y35" s="14">
        <f t="shared" si="17"/>
        <v>28</v>
      </c>
    </row>
    <row r="36" spans="1:25" x14ac:dyDescent="0.25">
      <c r="A36" s="83">
        <f t="shared" si="7"/>
        <v>23</v>
      </c>
      <c r="B36" s="39" t="str">
        <f t="shared" ca="1" si="8"/>
        <v>Wells, Seth Remote</v>
      </c>
      <c r="C36" s="40">
        <f t="shared" si="9"/>
        <v>0</v>
      </c>
      <c r="D36" s="40">
        <f t="shared" si="10"/>
        <v>65</v>
      </c>
      <c r="E36" s="25">
        <f t="shared" si="11"/>
        <v>0.5</v>
      </c>
      <c r="F36" s="11">
        <f t="shared" si="12"/>
        <v>8</v>
      </c>
      <c r="G36" s="43">
        <v>29</v>
      </c>
      <c r="H36" s="20">
        <f t="shared" si="13"/>
        <v>6</v>
      </c>
      <c r="I36" s="17">
        <f t="shared" ca="1" si="14"/>
        <v>7</v>
      </c>
      <c r="J36" s="17">
        <f t="shared" ca="1" si="15"/>
        <v>3</v>
      </c>
      <c r="K36" s="46">
        <f ca="1">IF($D$2&gt;=(COLUMN()-10),HLOOKUP($B36,INDIRECT(ADDRESS(2,11,1,,K$3)):INDIRECT(ADDRESS(25,playercnt+10,1,,K$3)),24),"")</f>
        <v>6</v>
      </c>
      <c r="L36" s="46">
        <f ca="1">IF($D$2&gt;=(COLUMN()-10),HLOOKUP($B36,INDIRECT(ADDRESS(2,11,1,,L$3)):INDIRECT(ADDRESS(25,playercnt+10,1,,L$3)),24),"")</f>
        <v>6</v>
      </c>
      <c r="M36" s="46">
        <f ca="1">IF($D$2&gt;=(COLUMN()-10),HLOOKUP($B36,INDIRECT(ADDRESS(2,11,1,,M$3)):INDIRECT(ADDRESS(25,playercnt+10,1,,M$3)),24),"")</f>
        <v>5</v>
      </c>
      <c r="N36" s="46">
        <f ca="1">IF($D$2&gt;=(COLUMN()-10),HLOOKUP($B36,INDIRECT(ADDRESS(2,11,1,,N$3)):INDIRECT(ADDRESS(25,playercnt+10,1,,N$3)),24),"")</f>
        <v>7</v>
      </c>
      <c r="O36" s="46">
        <f ca="1">IF($D$2&gt;=(COLUMN()-10),HLOOKUP($B36,INDIRECT(ADDRESS(2,11,1,,O$3)):INDIRECT(ADDRESS(25,playercnt+10,1,,O$3)),24),"")</f>
        <v>4</v>
      </c>
      <c r="P36" s="46">
        <f ca="1">IF($D$2&gt;=(COLUMN()-10),HLOOKUP($B36,INDIRECT(ADDRESS(2,11,1,,P$3)):INDIRECT(ADDRESS(25,playercnt+10,1,,P$3)),24),"")</f>
        <v>7</v>
      </c>
      <c r="Q36" s="46">
        <f ca="1">IF($D$2&gt;=(COLUMN()-10),HLOOKUP($B36,INDIRECT(ADDRESS(2,11,1,,Q$3)):INDIRECT(ADDRESS(25,playercnt+10,1,,Q$3)),24),"")</f>
        <v>6</v>
      </c>
      <c r="R36" s="46">
        <f ca="1">IF($D$2&gt;=(COLUMN()-10),HLOOKUP($B36,INDIRECT(ADDRESS(2,11,1,,R$3)):INDIRECT(ADDRESS(25,playercnt+10,1,,R$3)),24),"")</f>
        <v>3</v>
      </c>
      <c r="S36" s="46">
        <f ca="1">IF($D$2&gt;=(COLUMN()-10),HLOOKUP($B36,INDIRECT(ADDRESS(2,11,1,,S$3)):INDIRECT(ADDRESS(25,playercnt+10,1,,S$3)),24),"")</f>
        <v>4</v>
      </c>
      <c r="T36" s="46">
        <f ca="1">IF($D$2&gt;=(COLUMN()-10),HLOOKUP($B36,INDIRECT(ADDRESS(2,11,1,,T$3)):INDIRECT(ADDRESS(25,playercnt+10,1,,T$3)),24),"")</f>
        <v>4</v>
      </c>
      <c r="U36" s="46">
        <f ca="1">IF($D$2&gt;=(COLUMN()-10),HLOOKUP($B36,INDIRECT(ADDRESS(2,11,1,,U$3)):INDIRECT(ADDRESS(25,playercnt+10,1,,U$3)),24),"")</f>
        <v>4</v>
      </c>
      <c r="V36" s="46">
        <f ca="1">IF($D$2&gt;=(COLUMN()-10),HLOOKUP($B36,INDIRECT(ADDRESS(2,11,1,,V$3)):INDIRECT(ADDRESS(25,playercnt+10,1,,V$3)),24),"")</f>
        <v>4</v>
      </c>
      <c r="W36" s="46">
        <f ca="1">IF($D$2&gt;=(COLUMN()-10),HLOOKUP($B36,INDIRECT(ADDRESS(2,11,1,,W$3)):INDIRECT(ADDRESS(25,playercnt+10,1,,W$3)),24),"")</f>
        <v>5</v>
      </c>
      <c r="X36" s="47">
        <v>55</v>
      </c>
      <c r="Y36" s="14">
        <f t="shared" si="17"/>
        <v>29</v>
      </c>
    </row>
    <row r="37" spans="1:25" x14ac:dyDescent="0.25">
      <c r="A37" s="83">
        <f t="shared" si="7"/>
        <v>30</v>
      </c>
      <c r="B37" s="39" t="str">
        <f t="shared" ca="1" si="8"/>
        <v>Hendrick, Matt R</v>
      </c>
      <c r="C37" s="40">
        <f t="shared" si="9"/>
        <v>0</v>
      </c>
      <c r="D37" s="40">
        <f t="shared" si="10"/>
        <v>64</v>
      </c>
      <c r="E37" s="25">
        <f t="shared" si="11"/>
        <v>0.49230769230769234</v>
      </c>
      <c r="F37" s="11">
        <f t="shared" si="12"/>
        <v>9</v>
      </c>
      <c r="G37" s="16">
        <v>13</v>
      </c>
      <c r="H37" s="20">
        <f t="shared" si="13"/>
        <v>-17</v>
      </c>
      <c r="I37" s="17">
        <f t="shared" ca="1" si="14"/>
        <v>7</v>
      </c>
      <c r="J37" s="17">
        <f t="shared" ca="1" si="15"/>
        <v>2</v>
      </c>
      <c r="K37" s="46">
        <f ca="1">IF($D$2&gt;=(COLUMN()-10),HLOOKUP($B37,INDIRECT(ADDRESS(2,11,1,,K$3)):INDIRECT(ADDRESS(25,playercnt+10,1,,K$3)),24),"")</f>
        <v>5</v>
      </c>
      <c r="L37" s="46">
        <f ca="1">IF($D$2&gt;=(COLUMN()-10),HLOOKUP($B37,INDIRECT(ADDRESS(2,11,1,,L$3)):INDIRECT(ADDRESS(25,playercnt+10,1,,L$3)),24),"")</f>
        <v>6</v>
      </c>
      <c r="M37" s="46">
        <f ca="1">IF($D$2&gt;=(COLUMN()-10),HLOOKUP($B37,INDIRECT(ADDRESS(2,11,1,,M$3)):INDIRECT(ADDRESS(25,playercnt+10,1,,M$3)),24),"")</f>
        <v>4</v>
      </c>
      <c r="N37" s="46">
        <f ca="1">IF($D$2&gt;=(COLUMN()-10),HLOOKUP($B37,INDIRECT(ADDRESS(2,11,1,,N$3)):INDIRECT(ADDRESS(25,playercnt+10,1,,N$3)),24),"")</f>
        <v>7</v>
      </c>
      <c r="O37" s="46">
        <f ca="1">IF($D$2&gt;=(COLUMN()-10),HLOOKUP($B37,INDIRECT(ADDRESS(2,11,1,,O$3)):INDIRECT(ADDRESS(25,playercnt+10,1,,O$3)),24),"")</f>
        <v>5</v>
      </c>
      <c r="P37" s="46">
        <f ca="1">IF($D$2&gt;=(COLUMN()-10),HLOOKUP($B37,INDIRECT(ADDRESS(2,11,1,,P$3)):INDIRECT(ADDRESS(25,playercnt+10,1,,P$3)),24),"")</f>
        <v>6</v>
      </c>
      <c r="Q37" s="46">
        <f ca="1">IF($D$2&gt;=(COLUMN()-10),HLOOKUP($B37,INDIRECT(ADDRESS(2,11,1,,Q$3)):INDIRECT(ADDRESS(25,playercnt+10,1,,Q$3)),24),"")</f>
        <v>7</v>
      </c>
      <c r="R37" s="46">
        <f ca="1">IF($D$2&gt;=(COLUMN()-10),HLOOKUP($B37,INDIRECT(ADDRESS(2,11,1,,R$3)):INDIRECT(ADDRESS(25,playercnt+10,1,,R$3)),24),"")</f>
        <v>3</v>
      </c>
      <c r="S37" s="46">
        <f ca="1">IF($D$2&gt;=(COLUMN()-10),HLOOKUP($B37,INDIRECT(ADDRESS(2,11,1,,S$3)):INDIRECT(ADDRESS(25,playercnt+10,1,,S$3)),24),"")</f>
        <v>3</v>
      </c>
      <c r="T37" s="46">
        <f ca="1">IF($D$2&gt;=(COLUMN()-10),HLOOKUP($B37,INDIRECT(ADDRESS(2,11,1,,T$3)):INDIRECT(ADDRESS(25,playercnt+10,1,,T$3)),24),"")</f>
        <v>4</v>
      </c>
      <c r="U37" s="46">
        <f ca="1">IF($D$2&gt;=(COLUMN()-10),HLOOKUP($B37,INDIRECT(ADDRESS(2,11,1,,U$3)):INDIRECT(ADDRESS(25,playercnt+10,1,,U$3)),24),"")</f>
        <v>6</v>
      </c>
      <c r="V37" s="46">
        <f ca="1">IF($D$2&gt;=(COLUMN()-10),HLOOKUP($B37,INDIRECT(ADDRESS(2,11,1,,V$3)):INDIRECT(ADDRESS(25,playercnt+10,1,,V$3)),24),"")</f>
        <v>6</v>
      </c>
      <c r="W37" s="46">
        <f ca="1">IF($D$2&gt;=(COLUMN()-10),HLOOKUP($B37,INDIRECT(ADDRESS(2,11,1,,W$3)):INDIRECT(ADDRESS(25,playercnt+10,1,,W$3)),24),"")</f>
        <v>2</v>
      </c>
      <c r="X37" s="14">
        <v>19</v>
      </c>
      <c r="Y37" s="14">
        <f>Y36+1</f>
        <v>30</v>
      </c>
    </row>
    <row r="38" spans="1:25" x14ac:dyDescent="0.25">
      <c r="A38" s="83">
        <f t="shared" si="7"/>
        <v>30</v>
      </c>
      <c r="B38" s="39" t="str">
        <f t="shared" ca="1" si="8"/>
        <v>Nguyen, Thai</v>
      </c>
      <c r="C38" s="40">
        <f t="shared" si="9"/>
        <v>0</v>
      </c>
      <c r="D38" s="40">
        <f t="shared" si="10"/>
        <v>64</v>
      </c>
      <c r="E38" s="25">
        <f t="shared" si="11"/>
        <v>0.49230769230769234</v>
      </c>
      <c r="F38" s="11">
        <f t="shared" si="12"/>
        <v>9</v>
      </c>
      <c r="G38" s="43">
        <v>20</v>
      </c>
      <c r="H38" s="20">
        <f t="shared" si="13"/>
        <v>-10</v>
      </c>
      <c r="I38" s="17">
        <f t="shared" ca="1" si="14"/>
        <v>8</v>
      </c>
      <c r="J38" s="17">
        <f t="shared" ca="1" si="15"/>
        <v>3</v>
      </c>
      <c r="K38" s="46">
        <f ca="1">IF($D$2&gt;=(COLUMN()-10),HLOOKUP($B38,INDIRECT(ADDRESS(2,11,1,,K$3)):INDIRECT(ADDRESS(25,playercnt+10,1,,K$3)),24),"")</f>
        <v>3</v>
      </c>
      <c r="L38" s="46">
        <f ca="1">IF($D$2&gt;=(COLUMN()-10),HLOOKUP($B38,INDIRECT(ADDRESS(2,11,1,,L$3)):INDIRECT(ADDRESS(25,playercnt+10,1,,L$3)),24),"")</f>
        <v>5</v>
      </c>
      <c r="M38" s="46">
        <f ca="1">IF($D$2&gt;=(COLUMN()-10),HLOOKUP($B38,INDIRECT(ADDRESS(2,11,1,,M$3)):INDIRECT(ADDRESS(25,playercnt+10,1,,M$3)),24),"")</f>
        <v>4</v>
      </c>
      <c r="N38" s="46">
        <f ca="1">IF($D$2&gt;=(COLUMN()-10),HLOOKUP($B38,INDIRECT(ADDRESS(2,11,1,,N$3)):INDIRECT(ADDRESS(25,playercnt+10,1,,N$3)),24),"")</f>
        <v>4</v>
      </c>
      <c r="O38" s="46">
        <f ca="1">IF($D$2&gt;=(COLUMN()-10),HLOOKUP($B38,INDIRECT(ADDRESS(2,11,1,,O$3)):INDIRECT(ADDRESS(25,playercnt+10,1,,O$3)),24),"")</f>
        <v>4</v>
      </c>
      <c r="P38" s="46">
        <f ca="1">IF($D$2&gt;=(COLUMN()-10),HLOOKUP($B38,INDIRECT(ADDRESS(2,11,1,,P$3)):INDIRECT(ADDRESS(25,playercnt+10,1,,P$3)),24),"")</f>
        <v>8</v>
      </c>
      <c r="Q38" s="46">
        <f ca="1">IF($D$2&gt;=(COLUMN()-10),HLOOKUP($B38,INDIRECT(ADDRESS(2,11,1,,Q$3)):INDIRECT(ADDRESS(25,playercnt+10,1,,Q$3)),24),"")</f>
        <v>4</v>
      </c>
      <c r="R38" s="46">
        <f ca="1">IF($D$2&gt;=(COLUMN()-10),HLOOKUP($B38,INDIRECT(ADDRESS(2,11,1,,R$3)):INDIRECT(ADDRESS(25,playercnt+10,1,,R$3)),24),"")</f>
        <v>7</v>
      </c>
      <c r="S38" s="46">
        <f ca="1">IF($D$2&gt;=(COLUMN()-10),HLOOKUP($B38,INDIRECT(ADDRESS(2,11,1,,S$3)):INDIRECT(ADDRESS(25,playercnt+10,1,,S$3)),24),"")</f>
        <v>3</v>
      </c>
      <c r="T38" s="46">
        <f ca="1">IF($D$2&gt;=(COLUMN()-10),HLOOKUP($B38,INDIRECT(ADDRESS(2,11,1,,T$3)):INDIRECT(ADDRESS(25,playercnt+10,1,,T$3)),24),"")</f>
        <v>5</v>
      </c>
      <c r="U38" s="46">
        <f ca="1">IF($D$2&gt;=(COLUMN()-10),HLOOKUP($B38,INDIRECT(ADDRESS(2,11,1,,U$3)):INDIRECT(ADDRESS(25,playercnt+10,1,,U$3)),24),"")</f>
        <v>8</v>
      </c>
      <c r="V38" s="46">
        <f ca="1">IF($D$2&gt;=(COLUMN()-10),HLOOKUP($B38,INDIRECT(ADDRESS(2,11,1,,V$3)):INDIRECT(ADDRESS(25,playercnt+10,1,,V$3)),24),"")</f>
        <v>6</v>
      </c>
      <c r="W38" s="46">
        <f ca="1">IF($D$2&gt;=(COLUMN()-10),HLOOKUP($B38,INDIRECT(ADDRESS(2,11,1,,W$3)):INDIRECT(ADDRESS(25,playercnt+10,1,,W$3)),24),"")</f>
        <v>3</v>
      </c>
      <c r="X38" s="47">
        <v>35</v>
      </c>
      <c r="Y38" s="14">
        <f>Y37+1</f>
        <v>31</v>
      </c>
    </row>
    <row r="39" spans="1:25" x14ac:dyDescent="0.25">
      <c r="A39" s="83">
        <f t="shared" si="7"/>
        <v>30</v>
      </c>
      <c r="B39" s="39" t="str">
        <f t="shared" ca="1" si="8"/>
        <v>Teasdell, Brian K</v>
      </c>
      <c r="C39" s="40">
        <f t="shared" si="9"/>
        <v>0</v>
      </c>
      <c r="D39" s="40">
        <f t="shared" si="10"/>
        <v>64</v>
      </c>
      <c r="E39" s="25">
        <f t="shared" si="11"/>
        <v>0.49230769230769234</v>
      </c>
      <c r="F39" s="11">
        <f t="shared" si="12"/>
        <v>9</v>
      </c>
      <c r="G39" s="16">
        <v>35</v>
      </c>
      <c r="H39" s="20">
        <f t="shared" si="13"/>
        <v>5</v>
      </c>
      <c r="I39" s="17">
        <f t="shared" ca="1" si="14"/>
        <v>8</v>
      </c>
      <c r="J39" s="17">
        <f t="shared" ca="1" si="15"/>
        <v>2</v>
      </c>
      <c r="K39" s="46">
        <f ca="1">IF($D$2&gt;=(COLUMN()-10),HLOOKUP($B39,INDIRECT(ADDRESS(2,11,1,,K$3)):INDIRECT(ADDRESS(25,playercnt+10,1,,K$3)),24),"")</f>
        <v>6</v>
      </c>
      <c r="L39" s="46">
        <f ca="1">IF($D$2&gt;=(COLUMN()-10),HLOOKUP($B39,INDIRECT(ADDRESS(2,11,1,,L$3)):INDIRECT(ADDRESS(25,playercnt+10,1,,L$3)),24),"")</f>
        <v>8</v>
      </c>
      <c r="M39" s="46">
        <f ca="1">IF($D$2&gt;=(COLUMN()-10),HLOOKUP($B39,INDIRECT(ADDRESS(2,11,1,,M$3)):INDIRECT(ADDRESS(25,playercnt+10,1,,M$3)),24),"")</f>
        <v>3</v>
      </c>
      <c r="N39" s="46">
        <f ca="1">IF($D$2&gt;=(COLUMN()-10),HLOOKUP($B39,INDIRECT(ADDRESS(2,11,1,,N$3)):INDIRECT(ADDRESS(25,playercnt+10,1,,N$3)),24),"")</f>
        <v>4</v>
      </c>
      <c r="O39" s="46">
        <f ca="1">IF($D$2&gt;=(COLUMN()-10),HLOOKUP($B39,INDIRECT(ADDRESS(2,11,1,,O$3)):INDIRECT(ADDRESS(25,playercnt+10,1,,O$3)),24),"")</f>
        <v>4</v>
      </c>
      <c r="P39" s="46">
        <f ca="1">IF($D$2&gt;=(COLUMN()-10),HLOOKUP($B39,INDIRECT(ADDRESS(2,11,1,,P$3)):INDIRECT(ADDRESS(25,playercnt+10,1,,P$3)),24),"")</f>
        <v>7</v>
      </c>
      <c r="Q39" s="46">
        <f ca="1">IF($D$2&gt;=(COLUMN()-10),HLOOKUP($B39,INDIRECT(ADDRESS(2,11,1,,Q$3)):INDIRECT(ADDRESS(25,playercnt+10,1,,Q$3)),24),"")</f>
        <v>5</v>
      </c>
      <c r="R39" s="46">
        <f ca="1">IF($D$2&gt;=(COLUMN()-10),HLOOKUP($B39,INDIRECT(ADDRESS(2,11,1,,R$3)):INDIRECT(ADDRESS(25,playercnt+10,1,,R$3)),24),"")</f>
        <v>3</v>
      </c>
      <c r="S39" s="46">
        <f ca="1">IF($D$2&gt;=(COLUMN()-10),HLOOKUP($B39,INDIRECT(ADDRESS(2,11,1,,S$3)):INDIRECT(ADDRESS(25,playercnt+10,1,,S$3)),24),"")</f>
        <v>2</v>
      </c>
      <c r="T39" s="46">
        <f ca="1">IF($D$2&gt;=(COLUMN()-10),HLOOKUP($B39,INDIRECT(ADDRESS(2,11,1,,T$3)):INDIRECT(ADDRESS(25,playercnt+10,1,,T$3)),24),"")</f>
        <v>7</v>
      </c>
      <c r="U39" s="46">
        <f ca="1">IF($D$2&gt;=(COLUMN()-10),HLOOKUP($B39,INDIRECT(ADDRESS(2,11,1,,U$3)):INDIRECT(ADDRESS(25,playercnt+10,1,,U$3)),24),"")</f>
        <v>4</v>
      </c>
      <c r="V39" s="46">
        <f ca="1">IF($D$2&gt;=(COLUMN()-10),HLOOKUP($B39,INDIRECT(ADDRESS(2,11,1,,V$3)):INDIRECT(ADDRESS(25,playercnt+10,1,,V$3)),24),"")</f>
        <v>6</v>
      </c>
      <c r="W39" s="46">
        <f ca="1">IF($D$2&gt;=(COLUMN()-10),HLOOKUP($B39,INDIRECT(ADDRESS(2,11,1,,W$3)):INDIRECT(ADDRESS(25,playercnt+10,1,,W$3)),24),"")</f>
        <v>5</v>
      </c>
      <c r="X39" s="14">
        <v>52</v>
      </c>
      <c r="Y39" s="14">
        <f t="shared" ref="Y39:Y44" si="18">Y38+1</f>
        <v>32</v>
      </c>
    </row>
    <row r="40" spans="1:25" x14ac:dyDescent="0.25">
      <c r="A40" s="83">
        <f t="shared" ref="A40:A63" si="19">IF(D40=D39,A39,Y40)</f>
        <v>33</v>
      </c>
      <c r="B40" s="39" t="str">
        <f t="shared" ref="B40:B63" ca="1" si="20">INDIRECT(ADDRESS(2,10+INDIRECT(ADDRESS(ROW(),24)),,,"Chart"))</f>
        <v>Powell, LaMar</v>
      </c>
      <c r="C40" s="40">
        <f t="shared" ref="C40:C63" si="21">sumAcrossWkSheets(28,10,X40)</f>
        <v>0</v>
      </c>
      <c r="D40" s="40">
        <f t="shared" ref="D40:D63" si="22">sumAcrossWkSheets(25,10,X40)</f>
        <v>63</v>
      </c>
      <c r="E40" s="25">
        <f t="shared" ref="E40:E71" si="23">D40/games_completed</f>
        <v>0.48461538461538461</v>
      </c>
      <c r="F40" s="11">
        <f t="shared" ref="F40:F63" si="24">$D$8-D40</f>
        <v>10</v>
      </c>
      <c r="G40" s="43">
        <v>20</v>
      </c>
      <c r="H40" s="20">
        <f t="shared" ref="H40:H71" si="25">G40-A40</f>
        <v>-13</v>
      </c>
      <c r="I40" s="17">
        <f t="shared" ref="I40:I63" ca="1" si="26">MAX(K40:W40)</f>
        <v>8</v>
      </c>
      <c r="J40" s="17">
        <f t="shared" ref="J40:J71" ca="1" si="27">MIN(K40:W40)</f>
        <v>1</v>
      </c>
      <c r="K40" s="46">
        <f ca="1">IF($D$2&gt;=(COLUMN()-10),HLOOKUP($B40,INDIRECT(ADDRESS(2,11,1,,K$3)):INDIRECT(ADDRESS(25,playercnt+10,1,,K$3)),24),"")</f>
        <v>5</v>
      </c>
      <c r="L40" s="46">
        <f ca="1">IF($D$2&gt;=(COLUMN()-10),HLOOKUP($B40,INDIRECT(ADDRESS(2,11,1,,L$3)):INDIRECT(ADDRESS(25,playercnt+10,1,,L$3)),24),"")</f>
        <v>4</v>
      </c>
      <c r="M40" s="46">
        <f ca="1">IF($D$2&gt;=(COLUMN()-10),HLOOKUP($B40,INDIRECT(ADDRESS(2,11,1,,M$3)):INDIRECT(ADDRESS(25,playercnt+10,1,,M$3)),24),"")</f>
        <v>7</v>
      </c>
      <c r="N40" s="46">
        <f ca="1">IF($D$2&gt;=(COLUMN()-10),HLOOKUP($B40,INDIRECT(ADDRESS(2,11,1,,N$3)):INDIRECT(ADDRESS(25,playercnt+10,1,,N$3)),24),"")</f>
        <v>8</v>
      </c>
      <c r="O40" s="46">
        <f ca="1">IF($D$2&gt;=(COLUMN()-10),HLOOKUP($B40,INDIRECT(ADDRESS(2,11,1,,O$3)):INDIRECT(ADDRESS(25,playercnt+10,1,,O$3)),24),"")</f>
        <v>4</v>
      </c>
      <c r="P40" s="46">
        <f ca="1">IF($D$2&gt;=(COLUMN()-10),HLOOKUP($B40,INDIRECT(ADDRESS(2,11,1,,P$3)):INDIRECT(ADDRESS(25,playercnt+10,1,,P$3)),24),"")</f>
        <v>5</v>
      </c>
      <c r="Q40" s="46">
        <f ca="1">IF($D$2&gt;=(COLUMN()-10),HLOOKUP($B40,INDIRECT(ADDRESS(2,11,1,,Q$3)):INDIRECT(ADDRESS(25,playercnt+10,1,,Q$3)),24),"")</f>
        <v>6</v>
      </c>
      <c r="R40" s="46">
        <f ca="1">IF($D$2&gt;=(COLUMN()-10),HLOOKUP($B40,INDIRECT(ADDRESS(2,11,1,,R$3)):INDIRECT(ADDRESS(25,playercnt+10,1,,R$3)),24),"")</f>
        <v>5</v>
      </c>
      <c r="S40" s="46">
        <f ca="1">IF($D$2&gt;=(COLUMN()-10),HLOOKUP($B40,INDIRECT(ADDRESS(2,11,1,,S$3)):INDIRECT(ADDRESS(25,playercnt+10,1,,S$3)),24),"")</f>
        <v>5</v>
      </c>
      <c r="T40" s="46">
        <f ca="1">IF($D$2&gt;=(COLUMN()-10),HLOOKUP($B40,INDIRECT(ADDRESS(2,11,1,,T$3)):INDIRECT(ADDRESS(25,playercnt+10,1,,T$3)),24),"")</f>
        <v>6</v>
      </c>
      <c r="U40" s="46">
        <f ca="1">IF($D$2&gt;=(COLUMN()-10),HLOOKUP($B40,INDIRECT(ADDRESS(2,11,1,,U$3)):INDIRECT(ADDRESS(25,playercnt+10,1,,U$3)),24),"")</f>
        <v>5</v>
      </c>
      <c r="V40" s="46">
        <f ca="1">IF($D$2&gt;=(COLUMN()-10),HLOOKUP($B40,INDIRECT(ADDRESS(2,11,1,,V$3)):INDIRECT(ADDRESS(25,playercnt+10,1,,V$3)),24),"")</f>
        <v>1</v>
      </c>
      <c r="W40" s="46">
        <f ca="1">IF($D$2&gt;=(COLUMN()-10),HLOOKUP($B40,INDIRECT(ADDRESS(2,11,1,,W$3)):INDIRECT(ADDRESS(25,playercnt+10,1,,W$3)),24),"")</f>
        <v>2</v>
      </c>
      <c r="X40" s="47">
        <v>37</v>
      </c>
      <c r="Y40" s="14">
        <f t="shared" si="18"/>
        <v>33</v>
      </c>
    </row>
    <row r="41" spans="1:25" x14ac:dyDescent="0.25">
      <c r="A41" s="83">
        <f t="shared" si="19"/>
        <v>33</v>
      </c>
      <c r="B41" s="39" t="str">
        <f t="shared" ca="1" si="20"/>
        <v>Robbins, Dale</v>
      </c>
      <c r="C41" s="40">
        <f t="shared" si="21"/>
        <v>0</v>
      </c>
      <c r="D41" s="40">
        <f t="shared" si="22"/>
        <v>63</v>
      </c>
      <c r="E41" s="25">
        <f t="shared" si="23"/>
        <v>0.48461538461538461</v>
      </c>
      <c r="F41" s="11">
        <f t="shared" si="24"/>
        <v>10</v>
      </c>
      <c r="G41" s="16">
        <v>43</v>
      </c>
      <c r="H41" s="20">
        <f t="shared" si="25"/>
        <v>10</v>
      </c>
      <c r="I41" s="17">
        <f t="shared" ca="1" si="26"/>
        <v>6</v>
      </c>
      <c r="J41" s="17">
        <f t="shared" ca="1" si="27"/>
        <v>2</v>
      </c>
      <c r="K41" s="46">
        <f ca="1">IF($D$2&gt;=(COLUMN()-10),HLOOKUP($B41,INDIRECT(ADDRESS(2,11,1,,K$3)):INDIRECT(ADDRESS(25,playercnt+10,1,,K$3)),24),"")</f>
        <v>4</v>
      </c>
      <c r="L41" s="46">
        <f ca="1">IF($D$2&gt;=(COLUMN()-10),HLOOKUP($B41,INDIRECT(ADDRESS(2,11,1,,L$3)):INDIRECT(ADDRESS(25,playercnt+10,1,,L$3)),24),"")</f>
        <v>5</v>
      </c>
      <c r="M41" s="46">
        <f ca="1">IF($D$2&gt;=(COLUMN()-10),HLOOKUP($B41,INDIRECT(ADDRESS(2,11,1,,M$3)):INDIRECT(ADDRESS(25,playercnt+10,1,,M$3)),24),"")</f>
        <v>6</v>
      </c>
      <c r="N41" s="46">
        <f ca="1">IF($D$2&gt;=(COLUMN()-10),HLOOKUP($B41,INDIRECT(ADDRESS(2,11,1,,N$3)):INDIRECT(ADDRESS(25,playercnt+10,1,,N$3)),24),"")</f>
        <v>5</v>
      </c>
      <c r="O41" s="46">
        <f ca="1">IF($D$2&gt;=(COLUMN()-10),HLOOKUP($B41,INDIRECT(ADDRESS(2,11,1,,O$3)):INDIRECT(ADDRESS(25,playercnt+10,1,,O$3)),24),"")</f>
        <v>5</v>
      </c>
      <c r="P41" s="46">
        <f ca="1">IF($D$2&gt;=(COLUMN()-10),HLOOKUP($B41,INDIRECT(ADDRESS(2,11,1,,P$3)):INDIRECT(ADDRESS(25,playercnt+10,1,,P$3)),24),"")</f>
        <v>6</v>
      </c>
      <c r="Q41" s="46">
        <f ca="1">IF($D$2&gt;=(COLUMN()-10),HLOOKUP($B41,INDIRECT(ADDRESS(2,11,1,,Q$3)):INDIRECT(ADDRESS(25,playercnt+10,1,,Q$3)),24),"")</f>
        <v>6</v>
      </c>
      <c r="R41" s="46">
        <f ca="1">IF($D$2&gt;=(COLUMN()-10),HLOOKUP($B41,INDIRECT(ADDRESS(2,11,1,,R$3)):INDIRECT(ADDRESS(25,playercnt+10,1,,R$3)),24),"")</f>
        <v>4</v>
      </c>
      <c r="S41" s="46">
        <f ca="1">IF($D$2&gt;=(COLUMN()-10),HLOOKUP($B41,INDIRECT(ADDRESS(2,11,1,,S$3)):INDIRECT(ADDRESS(25,playercnt+10,1,,S$3)),24),"")</f>
        <v>2</v>
      </c>
      <c r="T41" s="46">
        <f ca="1">IF($D$2&gt;=(COLUMN()-10),HLOOKUP($B41,INDIRECT(ADDRESS(2,11,1,,T$3)):INDIRECT(ADDRESS(25,playercnt+10,1,,T$3)),24),"")</f>
        <v>5</v>
      </c>
      <c r="U41" s="46">
        <f ca="1">IF($D$2&gt;=(COLUMN()-10),HLOOKUP($B41,INDIRECT(ADDRESS(2,11,1,,U$3)):INDIRECT(ADDRESS(25,playercnt+10,1,,U$3)),24),"")</f>
        <v>4</v>
      </c>
      <c r="V41" s="46">
        <f ca="1">IF($D$2&gt;=(COLUMN()-10),HLOOKUP($B41,INDIRECT(ADDRESS(2,11,1,,V$3)):INDIRECT(ADDRESS(25,playercnt+10,1,,V$3)),24),"")</f>
        <v>5</v>
      </c>
      <c r="W41" s="46">
        <f ca="1">IF($D$2&gt;=(COLUMN()-10),HLOOKUP($B41,INDIRECT(ADDRESS(2,11,1,,W$3)):INDIRECT(ADDRESS(25,playercnt+10,1,,W$3)),24),"")</f>
        <v>6</v>
      </c>
      <c r="X41" s="14">
        <v>41</v>
      </c>
      <c r="Y41" s="14">
        <f t="shared" si="18"/>
        <v>34</v>
      </c>
    </row>
    <row r="42" spans="1:25" x14ac:dyDescent="0.25">
      <c r="A42" s="83">
        <f t="shared" si="19"/>
        <v>33</v>
      </c>
      <c r="B42" s="39" t="str">
        <f t="shared" ca="1" si="20"/>
        <v>Sapp, Carl G</v>
      </c>
      <c r="C42" s="40">
        <f t="shared" si="21"/>
        <v>0</v>
      </c>
      <c r="D42" s="40">
        <f t="shared" si="22"/>
        <v>63</v>
      </c>
      <c r="E42" s="25">
        <f t="shared" si="23"/>
        <v>0.48461538461538461</v>
      </c>
      <c r="F42" s="11">
        <f t="shared" si="24"/>
        <v>10</v>
      </c>
      <c r="G42" s="43">
        <v>35</v>
      </c>
      <c r="H42" s="20">
        <f t="shared" si="25"/>
        <v>2</v>
      </c>
      <c r="I42" s="17">
        <f t="shared" ca="1" si="26"/>
        <v>7</v>
      </c>
      <c r="J42" s="17">
        <f t="shared" ca="1" si="27"/>
        <v>2</v>
      </c>
      <c r="K42" s="46">
        <f ca="1">IF($D$2&gt;=(COLUMN()-10),HLOOKUP($B42,INDIRECT(ADDRESS(2,11,1,,K$3)):INDIRECT(ADDRESS(25,playercnt+10,1,,K$3)),24),"")</f>
        <v>4</v>
      </c>
      <c r="L42" s="46">
        <f ca="1">IF($D$2&gt;=(COLUMN()-10),HLOOKUP($B42,INDIRECT(ADDRESS(2,11,1,,L$3)):INDIRECT(ADDRESS(25,playercnt+10,1,,L$3)),24),"")</f>
        <v>6</v>
      </c>
      <c r="M42" s="46">
        <f ca="1">IF($D$2&gt;=(COLUMN()-10),HLOOKUP($B42,INDIRECT(ADDRESS(2,11,1,,M$3)):INDIRECT(ADDRESS(25,playercnt+10,1,,M$3)),24),"")</f>
        <v>6</v>
      </c>
      <c r="N42" s="46">
        <f ca="1">IF($D$2&gt;=(COLUMN()-10),HLOOKUP($B42,INDIRECT(ADDRESS(2,11,1,,N$3)):INDIRECT(ADDRESS(25,playercnt+10,1,,N$3)),24),"")</f>
        <v>4</v>
      </c>
      <c r="O42" s="46">
        <f ca="1">IF($D$2&gt;=(COLUMN()-10),HLOOKUP($B42,INDIRECT(ADDRESS(2,11,1,,O$3)):INDIRECT(ADDRESS(25,playercnt+10,1,,O$3)),24),"")</f>
        <v>3</v>
      </c>
      <c r="P42" s="46">
        <f ca="1">IF($D$2&gt;=(COLUMN()-10),HLOOKUP($B42,INDIRECT(ADDRESS(2,11,1,,P$3)):INDIRECT(ADDRESS(25,playercnt+10,1,,P$3)),24),"")</f>
        <v>5</v>
      </c>
      <c r="Q42" s="46">
        <f ca="1">IF($D$2&gt;=(COLUMN()-10),HLOOKUP($B42,INDIRECT(ADDRESS(2,11,1,,Q$3)):INDIRECT(ADDRESS(25,playercnt+10,1,,Q$3)),24),"")</f>
        <v>5</v>
      </c>
      <c r="R42" s="46">
        <f ca="1">IF($D$2&gt;=(COLUMN()-10),HLOOKUP($B42,INDIRECT(ADDRESS(2,11,1,,R$3)):INDIRECT(ADDRESS(25,playercnt+10,1,,R$3)),24),"")</f>
        <v>7</v>
      </c>
      <c r="S42" s="46">
        <f ca="1">IF($D$2&gt;=(COLUMN()-10),HLOOKUP($B42,INDIRECT(ADDRESS(2,11,1,,S$3)):INDIRECT(ADDRESS(25,playercnt+10,1,,S$3)),24),"")</f>
        <v>2</v>
      </c>
      <c r="T42" s="46">
        <f ca="1">IF($D$2&gt;=(COLUMN()-10),HLOOKUP($B42,INDIRECT(ADDRESS(2,11,1,,T$3)):INDIRECT(ADDRESS(25,playercnt+10,1,,T$3)),24),"")</f>
        <v>6</v>
      </c>
      <c r="U42" s="46">
        <f ca="1">IF($D$2&gt;=(COLUMN()-10),HLOOKUP($B42,INDIRECT(ADDRESS(2,11,1,,U$3)):INDIRECT(ADDRESS(25,playercnt+10,1,,U$3)),24),"")</f>
        <v>4</v>
      </c>
      <c r="V42" s="46">
        <f ca="1">IF($D$2&gt;=(COLUMN()-10),HLOOKUP($B42,INDIRECT(ADDRESS(2,11,1,,V$3)):INDIRECT(ADDRESS(25,playercnt+10,1,,V$3)),24),"")</f>
        <v>7</v>
      </c>
      <c r="W42" s="46">
        <f ca="1">IF($D$2&gt;=(COLUMN()-10),HLOOKUP($B42,INDIRECT(ADDRESS(2,11,1,,W$3)):INDIRECT(ADDRESS(25,playercnt+10,1,,W$3)),24),"")</f>
        <v>4</v>
      </c>
      <c r="X42" s="47">
        <v>45</v>
      </c>
      <c r="Y42" s="14">
        <f t="shared" si="18"/>
        <v>35</v>
      </c>
    </row>
    <row r="43" spans="1:25" x14ac:dyDescent="0.25">
      <c r="A43" s="83">
        <f t="shared" si="19"/>
        <v>33</v>
      </c>
      <c r="B43" s="39" t="str">
        <f t="shared" ca="1" si="20"/>
        <v>Steele, David L</v>
      </c>
      <c r="C43" s="40">
        <f t="shared" si="21"/>
        <v>0</v>
      </c>
      <c r="D43" s="40">
        <f t="shared" si="22"/>
        <v>63</v>
      </c>
      <c r="E43" s="25">
        <f t="shared" si="23"/>
        <v>0.48461538461538461</v>
      </c>
      <c r="F43" s="11">
        <f t="shared" si="24"/>
        <v>10</v>
      </c>
      <c r="G43" s="16">
        <v>45</v>
      </c>
      <c r="H43" s="20">
        <f t="shared" si="25"/>
        <v>12</v>
      </c>
      <c r="I43" s="17">
        <f t="shared" ca="1" si="26"/>
        <v>8</v>
      </c>
      <c r="J43" s="17">
        <f t="shared" ca="1" si="27"/>
        <v>1</v>
      </c>
      <c r="K43" s="46">
        <f ca="1">IF($D$2&gt;=(COLUMN()-10),HLOOKUP($B43,INDIRECT(ADDRESS(2,11,1,,K$3)):INDIRECT(ADDRESS(25,playercnt+10,1,,K$3)),24),"")</f>
        <v>5</v>
      </c>
      <c r="L43" s="46">
        <f ca="1">IF($D$2&gt;=(COLUMN()-10),HLOOKUP($B43,INDIRECT(ADDRESS(2,11,1,,L$3)):INDIRECT(ADDRESS(25,playercnt+10,1,,L$3)),24),"")</f>
        <v>5</v>
      </c>
      <c r="M43" s="46">
        <f ca="1">IF($D$2&gt;=(COLUMN()-10),HLOOKUP($B43,INDIRECT(ADDRESS(2,11,1,,M$3)):INDIRECT(ADDRESS(25,playercnt+10,1,,M$3)),24),"")</f>
        <v>3</v>
      </c>
      <c r="N43" s="46">
        <f ca="1">IF($D$2&gt;=(COLUMN()-10),HLOOKUP($B43,INDIRECT(ADDRESS(2,11,1,,N$3)):INDIRECT(ADDRESS(25,playercnt+10,1,,N$3)),24),"")</f>
        <v>3</v>
      </c>
      <c r="O43" s="46">
        <f ca="1">IF($D$2&gt;=(COLUMN()-10),HLOOKUP($B43,INDIRECT(ADDRESS(2,11,1,,O$3)):INDIRECT(ADDRESS(25,playercnt+10,1,,O$3)),24),"")</f>
        <v>1</v>
      </c>
      <c r="P43" s="46">
        <f ca="1">IF($D$2&gt;=(COLUMN()-10),HLOOKUP($B43,INDIRECT(ADDRESS(2,11,1,,P$3)):INDIRECT(ADDRESS(25,playercnt+10,1,,P$3)),24),"")</f>
        <v>2</v>
      </c>
      <c r="Q43" s="46">
        <f ca="1">IF($D$2&gt;=(COLUMN()-10),HLOOKUP($B43,INDIRECT(ADDRESS(2,11,1,,Q$3)):INDIRECT(ADDRESS(25,playercnt+10,1,,Q$3)),24),"")</f>
        <v>4</v>
      </c>
      <c r="R43" s="46">
        <f ca="1">IF($D$2&gt;=(COLUMN()-10),HLOOKUP($B43,INDIRECT(ADDRESS(2,11,1,,R$3)):INDIRECT(ADDRESS(25,playercnt+10,1,,R$3)),24),"")</f>
        <v>7</v>
      </c>
      <c r="S43" s="46">
        <f ca="1">IF($D$2&gt;=(COLUMN()-10),HLOOKUP($B43,INDIRECT(ADDRESS(2,11,1,,S$3)):INDIRECT(ADDRESS(25,playercnt+10,1,,S$3)),24),"")</f>
        <v>6</v>
      </c>
      <c r="T43" s="46">
        <f ca="1">IF($D$2&gt;=(COLUMN()-10),HLOOKUP($B43,INDIRECT(ADDRESS(2,11,1,,T$3)):INDIRECT(ADDRESS(25,playercnt+10,1,,T$3)),24),"")</f>
        <v>7</v>
      </c>
      <c r="U43" s="46">
        <f ca="1">IF($D$2&gt;=(COLUMN()-10),HLOOKUP($B43,INDIRECT(ADDRESS(2,11,1,,U$3)):INDIRECT(ADDRESS(25,playercnt+10,1,,U$3)),24),"")</f>
        <v>8</v>
      </c>
      <c r="V43" s="46">
        <f ca="1">IF($D$2&gt;=(COLUMN()-10),HLOOKUP($B43,INDIRECT(ADDRESS(2,11,1,,V$3)):INDIRECT(ADDRESS(25,playercnt+10,1,,V$3)),24),"")</f>
        <v>5</v>
      </c>
      <c r="W43" s="46">
        <f ca="1">IF($D$2&gt;=(COLUMN()-10),HLOOKUP($B43,INDIRECT(ADDRESS(2,11,1,,W$3)):INDIRECT(ADDRESS(25,playercnt+10,1,,W$3)),24),"")</f>
        <v>7</v>
      </c>
      <c r="X43" s="14">
        <v>49</v>
      </c>
      <c r="Y43" s="14">
        <f t="shared" si="18"/>
        <v>36</v>
      </c>
    </row>
    <row r="44" spans="1:25" x14ac:dyDescent="0.25">
      <c r="A44" s="83">
        <f t="shared" si="19"/>
        <v>33</v>
      </c>
      <c r="B44" s="39" t="str">
        <f t="shared" ca="1" si="20"/>
        <v>White, Jarred</v>
      </c>
      <c r="C44" s="40">
        <f t="shared" si="21"/>
        <v>0</v>
      </c>
      <c r="D44" s="40">
        <f t="shared" si="22"/>
        <v>63</v>
      </c>
      <c r="E44" s="25">
        <f t="shared" si="23"/>
        <v>0.48461538461538461</v>
      </c>
      <c r="F44" s="11">
        <f t="shared" si="24"/>
        <v>10</v>
      </c>
      <c r="G44" s="43">
        <v>20</v>
      </c>
      <c r="H44" s="20">
        <f t="shared" si="25"/>
        <v>-13</v>
      </c>
      <c r="I44" s="17">
        <f t="shared" ca="1" si="26"/>
        <v>7</v>
      </c>
      <c r="J44" s="17">
        <f t="shared" ca="1" si="27"/>
        <v>2</v>
      </c>
      <c r="K44" s="46">
        <f ca="1">IF($D$2&gt;=(COLUMN()-10),HLOOKUP($B44,INDIRECT(ADDRESS(2,11,1,,K$3)):INDIRECT(ADDRESS(25,playercnt+10,1,,K$3)),24),"")</f>
        <v>7</v>
      </c>
      <c r="L44" s="46">
        <f ca="1">IF($D$2&gt;=(COLUMN()-10),HLOOKUP($B44,INDIRECT(ADDRESS(2,11,1,,L$3)):INDIRECT(ADDRESS(25,playercnt+10,1,,L$3)),24),"")</f>
        <v>7</v>
      </c>
      <c r="M44" s="46">
        <f ca="1">IF($D$2&gt;=(COLUMN()-10),HLOOKUP($B44,INDIRECT(ADDRESS(2,11,1,,M$3)):INDIRECT(ADDRESS(25,playercnt+10,1,,M$3)),24),"")</f>
        <v>6</v>
      </c>
      <c r="N44" s="46">
        <f ca="1">IF($D$2&gt;=(COLUMN()-10),HLOOKUP($B44,INDIRECT(ADDRESS(2,11,1,,N$3)):INDIRECT(ADDRESS(25,playercnt+10,1,,N$3)),24),"")</f>
        <v>7</v>
      </c>
      <c r="O44" s="46">
        <f ca="1">IF($D$2&gt;=(COLUMN()-10),HLOOKUP($B44,INDIRECT(ADDRESS(2,11,1,,O$3)):INDIRECT(ADDRESS(25,playercnt+10,1,,O$3)),24),"")</f>
        <v>5</v>
      </c>
      <c r="P44" s="46">
        <f ca="1">IF($D$2&gt;=(COLUMN()-10),HLOOKUP($B44,INDIRECT(ADDRESS(2,11,1,,P$3)):INDIRECT(ADDRESS(25,playercnt+10,1,,P$3)),24),"")</f>
        <v>4</v>
      </c>
      <c r="Q44" s="46">
        <f ca="1">IF($D$2&gt;=(COLUMN()-10),HLOOKUP($B44,INDIRECT(ADDRESS(2,11,1,,Q$3)):INDIRECT(ADDRESS(25,playercnt+10,1,,Q$3)),24),"")</f>
        <v>4</v>
      </c>
      <c r="R44" s="46">
        <f ca="1">IF($D$2&gt;=(COLUMN()-10),HLOOKUP($B44,INDIRECT(ADDRESS(2,11,1,,R$3)):INDIRECT(ADDRESS(25,playercnt+10,1,,R$3)),24),"")</f>
        <v>6</v>
      </c>
      <c r="S44" s="46">
        <f ca="1">IF($D$2&gt;=(COLUMN()-10),HLOOKUP($B44,INDIRECT(ADDRESS(2,11,1,,S$3)):INDIRECT(ADDRESS(25,playercnt+10,1,,S$3)),24),"")</f>
        <v>2</v>
      </c>
      <c r="T44" s="46">
        <f ca="1">IF($D$2&gt;=(COLUMN()-10),HLOOKUP($B44,INDIRECT(ADDRESS(2,11,1,,T$3)):INDIRECT(ADDRESS(25,playercnt+10,1,,T$3)),24),"")</f>
        <v>4</v>
      </c>
      <c r="U44" s="46">
        <f ca="1">IF($D$2&gt;=(COLUMN()-10),HLOOKUP($B44,INDIRECT(ADDRESS(2,11,1,,U$3)):INDIRECT(ADDRESS(25,playercnt+10,1,,U$3)),24),"")</f>
        <v>4</v>
      </c>
      <c r="V44" s="46">
        <f ca="1">IF($D$2&gt;=(COLUMN()-10),HLOOKUP($B44,INDIRECT(ADDRESS(2,11,1,,V$3)):INDIRECT(ADDRESS(25,playercnt+10,1,,V$3)),24),"")</f>
        <v>5</v>
      </c>
      <c r="W44" s="46">
        <f ca="1">IF($D$2&gt;=(COLUMN()-10),HLOOKUP($B44,INDIRECT(ADDRESS(2,11,1,,W$3)):INDIRECT(ADDRESS(25,playercnt+10,1,,W$3)),24),"")</f>
        <v>2</v>
      </c>
      <c r="X44" s="47">
        <v>56</v>
      </c>
      <c r="Y44" s="14">
        <f t="shared" si="18"/>
        <v>37</v>
      </c>
    </row>
    <row r="45" spans="1:25" x14ac:dyDescent="0.25">
      <c r="A45" s="83">
        <f t="shared" si="19"/>
        <v>38</v>
      </c>
      <c r="B45" s="39" t="str">
        <f t="shared" ca="1" si="20"/>
        <v>Aaron, Chip</v>
      </c>
      <c r="C45" s="40">
        <f t="shared" si="21"/>
        <v>2</v>
      </c>
      <c r="D45" s="40">
        <f t="shared" si="22"/>
        <v>62</v>
      </c>
      <c r="E45" s="25">
        <f t="shared" si="23"/>
        <v>0.47692307692307695</v>
      </c>
      <c r="F45" s="11">
        <f t="shared" si="24"/>
        <v>11</v>
      </c>
      <c r="G45" s="16">
        <v>29</v>
      </c>
      <c r="H45" s="20">
        <f t="shared" si="25"/>
        <v>-9</v>
      </c>
      <c r="I45" s="17">
        <f t="shared" ca="1" si="26"/>
        <v>7</v>
      </c>
      <c r="J45" s="17">
        <f t="shared" ca="1" si="27"/>
        <v>2</v>
      </c>
      <c r="K45" s="46">
        <f ca="1">IF($D$2&gt;=(COLUMN()-10),HLOOKUP($B45,INDIRECT(ADDRESS(2,11,1,,K$3)):INDIRECT(ADDRESS(25,playercnt+10,1,,K$3)),24),"")</f>
        <v>5</v>
      </c>
      <c r="L45" s="46">
        <f ca="1">IF($D$2&gt;=(COLUMN()-10),HLOOKUP($B45,INDIRECT(ADDRESS(2,11,1,,L$3)):INDIRECT(ADDRESS(25,playercnt+10,1,,L$3)),24),"")</f>
        <v>3</v>
      </c>
      <c r="M45" s="46">
        <f ca="1">IF($D$2&gt;=(COLUMN()-10),HLOOKUP($B45,INDIRECT(ADDRESS(2,11,1,,M$3)):INDIRECT(ADDRESS(25,playercnt+10,1,,M$3)),24),"")</f>
        <v>5</v>
      </c>
      <c r="N45" s="46">
        <f ca="1">IF($D$2&gt;=(COLUMN()-10),HLOOKUP($B45,INDIRECT(ADDRESS(2,11,1,,N$3)):INDIRECT(ADDRESS(25,playercnt+10,1,,N$3)),24),"")</f>
        <v>5</v>
      </c>
      <c r="O45" s="46">
        <f ca="1">IF($D$2&gt;=(COLUMN()-10),HLOOKUP($B45,INDIRECT(ADDRESS(2,11,1,,O$3)):INDIRECT(ADDRESS(25,playercnt+10,1,,O$3)),24),"")</f>
        <v>7</v>
      </c>
      <c r="P45" s="46">
        <f ca="1">IF($D$2&gt;=(COLUMN()-10),HLOOKUP($B45,INDIRECT(ADDRESS(2,11,1,,P$3)):INDIRECT(ADDRESS(25,playercnt+10,1,,P$3)),24),"")</f>
        <v>4</v>
      </c>
      <c r="Q45" s="46">
        <f ca="1">IF($D$2&gt;=(COLUMN()-10),HLOOKUP($B45,INDIRECT(ADDRESS(2,11,1,,Q$3)):INDIRECT(ADDRESS(25,playercnt+10,1,,Q$3)),24),"")</f>
        <v>3</v>
      </c>
      <c r="R45" s="46">
        <f ca="1">IF($D$2&gt;=(COLUMN()-10),HLOOKUP($B45,INDIRECT(ADDRESS(2,11,1,,R$3)):INDIRECT(ADDRESS(25,playercnt+10,1,,R$3)),24),"")</f>
        <v>6</v>
      </c>
      <c r="S45" s="46">
        <f ca="1">IF($D$2&gt;=(COLUMN()-10),HLOOKUP($B45,INDIRECT(ADDRESS(2,11,1,,S$3)):INDIRECT(ADDRESS(25,playercnt+10,1,,S$3)),24),"")</f>
        <v>7</v>
      </c>
      <c r="T45" s="46">
        <f ca="1">IF($D$2&gt;=(COLUMN()-10),HLOOKUP($B45,INDIRECT(ADDRESS(2,11,1,,T$3)):INDIRECT(ADDRESS(25,playercnt+10,1,,T$3)),24),"")</f>
        <v>5</v>
      </c>
      <c r="U45" s="46">
        <f ca="1">IF($D$2&gt;=(COLUMN()-10),HLOOKUP($B45,INDIRECT(ADDRESS(2,11,1,,U$3)):INDIRECT(ADDRESS(25,playercnt+10,1,,U$3)),24),"")</f>
        <v>6</v>
      </c>
      <c r="V45" s="46">
        <f ca="1">IF($D$2&gt;=(COLUMN()-10),HLOOKUP($B45,INDIRECT(ADDRESS(2,11,1,,V$3)):INDIRECT(ADDRESS(25,playercnt+10,1,,V$3)),24),"")</f>
        <v>4</v>
      </c>
      <c r="W45" s="46">
        <f ca="1">IF($D$2&gt;=(COLUMN()-10),HLOOKUP($B45,INDIRECT(ADDRESS(2,11,1,,W$3)):INDIRECT(ADDRESS(25,playercnt+10,1,,W$3)),24),"")</f>
        <v>2</v>
      </c>
      <c r="X45" s="14">
        <v>1</v>
      </c>
      <c r="Y45" s="14">
        <f t="shared" ref="Y45:Y50" si="28">Y44+1</f>
        <v>38</v>
      </c>
    </row>
    <row r="46" spans="1:25" x14ac:dyDescent="0.25">
      <c r="A46" s="83">
        <f t="shared" si="19"/>
        <v>38</v>
      </c>
      <c r="B46" s="39" t="str">
        <f t="shared" ca="1" si="20"/>
        <v>Chan, Simon</v>
      </c>
      <c r="C46" s="40">
        <f t="shared" si="21"/>
        <v>0</v>
      </c>
      <c r="D46" s="40">
        <f t="shared" si="22"/>
        <v>62</v>
      </c>
      <c r="E46" s="25">
        <f t="shared" si="23"/>
        <v>0.47692307692307695</v>
      </c>
      <c r="F46" s="11">
        <f t="shared" si="24"/>
        <v>11</v>
      </c>
      <c r="G46" s="43">
        <v>29</v>
      </c>
      <c r="H46" s="20">
        <f t="shared" si="25"/>
        <v>-9</v>
      </c>
      <c r="I46" s="17">
        <f t="shared" ca="1" si="26"/>
        <v>9</v>
      </c>
      <c r="J46" s="17">
        <f t="shared" ca="1" si="27"/>
        <v>2</v>
      </c>
      <c r="K46" s="46">
        <f ca="1">IF($D$2&gt;=(COLUMN()-10),HLOOKUP($B46,INDIRECT(ADDRESS(2,11,1,,K$3)):INDIRECT(ADDRESS(25,playercnt+10,1,,K$3)),24),"")</f>
        <v>4</v>
      </c>
      <c r="L46" s="46">
        <f ca="1">IF($D$2&gt;=(COLUMN()-10),HLOOKUP($B46,INDIRECT(ADDRESS(2,11,1,,L$3)):INDIRECT(ADDRESS(25,playercnt+10,1,,L$3)),24),"")</f>
        <v>9</v>
      </c>
      <c r="M46" s="46">
        <f ca="1">IF($D$2&gt;=(COLUMN()-10),HLOOKUP($B46,INDIRECT(ADDRESS(2,11,1,,M$3)):INDIRECT(ADDRESS(25,playercnt+10,1,,M$3)),24),"")</f>
        <v>3</v>
      </c>
      <c r="N46" s="46">
        <f ca="1">IF($D$2&gt;=(COLUMN()-10),HLOOKUP($B46,INDIRECT(ADDRESS(2,11,1,,N$3)):INDIRECT(ADDRESS(25,playercnt+10,1,,N$3)),24),"")</f>
        <v>6</v>
      </c>
      <c r="O46" s="46">
        <f ca="1">IF($D$2&gt;=(COLUMN()-10),HLOOKUP($B46,INDIRECT(ADDRESS(2,11,1,,O$3)):INDIRECT(ADDRESS(25,playercnt+10,1,,O$3)),24),"")</f>
        <v>3</v>
      </c>
      <c r="P46" s="46">
        <f ca="1">IF($D$2&gt;=(COLUMN()-10),HLOOKUP($B46,INDIRECT(ADDRESS(2,11,1,,P$3)):INDIRECT(ADDRESS(25,playercnt+10,1,,P$3)),24),"")</f>
        <v>6</v>
      </c>
      <c r="Q46" s="46">
        <f ca="1">IF($D$2&gt;=(COLUMN()-10),HLOOKUP($B46,INDIRECT(ADDRESS(2,11,1,,Q$3)):INDIRECT(ADDRESS(25,playercnt+10,1,,Q$3)),24),"")</f>
        <v>5</v>
      </c>
      <c r="R46" s="46">
        <f ca="1">IF($D$2&gt;=(COLUMN()-10),HLOOKUP($B46,INDIRECT(ADDRESS(2,11,1,,R$3)):INDIRECT(ADDRESS(25,playercnt+10,1,,R$3)),24),"")</f>
        <v>4</v>
      </c>
      <c r="S46" s="46">
        <f ca="1">IF($D$2&gt;=(COLUMN()-10),HLOOKUP($B46,INDIRECT(ADDRESS(2,11,1,,S$3)):INDIRECT(ADDRESS(25,playercnt+10,1,,S$3)),24),"")</f>
        <v>2</v>
      </c>
      <c r="T46" s="46">
        <f ca="1">IF($D$2&gt;=(COLUMN()-10),HLOOKUP($B46,INDIRECT(ADDRESS(2,11,1,,T$3)):INDIRECT(ADDRESS(25,playercnt+10,1,,T$3)),24),"")</f>
        <v>8</v>
      </c>
      <c r="U46" s="46">
        <f ca="1">IF($D$2&gt;=(COLUMN()-10),HLOOKUP($B46,INDIRECT(ADDRESS(2,11,1,,U$3)):INDIRECT(ADDRESS(25,playercnt+10,1,,U$3)),24),"")</f>
        <v>5</v>
      </c>
      <c r="V46" s="46">
        <f ca="1">IF($D$2&gt;=(COLUMN()-10),HLOOKUP($B46,INDIRECT(ADDRESS(2,11,1,,V$3)):INDIRECT(ADDRESS(25,playercnt+10,1,,V$3)),24),"")</f>
        <v>5</v>
      </c>
      <c r="W46" s="46">
        <f ca="1">IF($D$2&gt;=(COLUMN()-10),HLOOKUP($B46,INDIRECT(ADDRESS(2,11,1,,W$3)):INDIRECT(ADDRESS(25,playercnt+10,1,,W$3)),24),"")</f>
        <v>2</v>
      </c>
      <c r="X46" s="47">
        <v>7</v>
      </c>
      <c r="Y46" s="14">
        <f t="shared" si="28"/>
        <v>39</v>
      </c>
    </row>
    <row r="47" spans="1:25" x14ac:dyDescent="0.25">
      <c r="A47" s="83">
        <f t="shared" si="19"/>
        <v>38</v>
      </c>
      <c r="B47" s="39" t="str">
        <f t="shared" ca="1" si="20"/>
        <v>Gregory, Adam J</v>
      </c>
      <c r="C47" s="40">
        <f t="shared" si="21"/>
        <v>0</v>
      </c>
      <c r="D47" s="40">
        <f t="shared" si="22"/>
        <v>62</v>
      </c>
      <c r="E47" s="25">
        <f t="shared" si="23"/>
        <v>0.47692307692307695</v>
      </c>
      <c r="F47" s="11">
        <f t="shared" si="24"/>
        <v>11</v>
      </c>
      <c r="G47" s="16">
        <v>39</v>
      </c>
      <c r="H47" s="20">
        <f t="shared" si="25"/>
        <v>1</v>
      </c>
      <c r="I47" s="17">
        <f t="shared" ca="1" si="26"/>
        <v>8</v>
      </c>
      <c r="J47" s="17">
        <f t="shared" ca="1" si="27"/>
        <v>3</v>
      </c>
      <c r="K47" s="46">
        <f ca="1">IF($D$2&gt;=(COLUMN()-10),HLOOKUP($B47,INDIRECT(ADDRESS(2,11,1,,K$3)):INDIRECT(ADDRESS(25,playercnt+10,1,,K$3)),24),"")</f>
        <v>5</v>
      </c>
      <c r="L47" s="46">
        <f ca="1">IF($D$2&gt;=(COLUMN()-10),HLOOKUP($B47,INDIRECT(ADDRESS(2,11,1,,L$3)):INDIRECT(ADDRESS(25,playercnt+10,1,,L$3)),24),"")</f>
        <v>4</v>
      </c>
      <c r="M47" s="46">
        <f ca="1">IF($D$2&gt;=(COLUMN()-10),HLOOKUP($B47,INDIRECT(ADDRESS(2,11,1,,M$3)):INDIRECT(ADDRESS(25,playercnt+10,1,,M$3)),24),"")</f>
        <v>8</v>
      </c>
      <c r="N47" s="46">
        <f ca="1">IF($D$2&gt;=(COLUMN()-10),HLOOKUP($B47,INDIRECT(ADDRESS(2,11,1,,N$3)):INDIRECT(ADDRESS(25,playercnt+10,1,,N$3)),24),"")</f>
        <v>5</v>
      </c>
      <c r="O47" s="46">
        <f ca="1">IF($D$2&gt;=(COLUMN()-10),HLOOKUP($B47,INDIRECT(ADDRESS(2,11,1,,O$3)):INDIRECT(ADDRESS(25,playercnt+10,1,,O$3)),24),"")</f>
        <v>4</v>
      </c>
      <c r="P47" s="46">
        <f ca="1">IF($D$2&gt;=(COLUMN()-10),HLOOKUP($B47,INDIRECT(ADDRESS(2,11,1,,P$3)):INDIRECT(ADDRESS(25,playercnt+10,1,,P$3)),24),"")</f>
        <v>4</v>
      </c>
      <c r="Q47" s="46">
        <f ca="1">IF($D$2&gt;=(COLUMN()-10),HLOOKUP($B47,INDIRECT(ADDRESS(2,11,1,,Q$3)):INDIRECT(ADDRESS(25,playercnt+10,1,,Q$3)),24),"")</f>
        <v>5</v>
      </c>
      <c r="R47" s="46">
        <f ca="1">IF($D$2&gt;=(COLUMN()-10),HLOOKUP($B47,INDIRECT(ADDRESS(2,11,1,,R$3)):INDIRECT(ADDRESS(25,playercnt+10,1,,R$3)),24),"")</f>
        <v>3</v>
      </c>
      <c r="S47" s="46">
        <f ca="1">IF($D$2&gt;=(COLUMN()-10),HLOOKUP($B47,INDIRECT(ADDRESS(2,11,1,,S$3)):INDIRECT(ADDRESS(25,playercnt+10,1,,S$3)),24),"")</f>
        <v>5</v>
      </c>
      <c r="T47" s="46">
        <f ca="1">IF($D$2&gt;=(COLUMN()-10),HLOOKUP($B47,INDIRECT(ADDRESS(2,11,1,,T$3)):INDIRECT(ADDRESS(25,playercnt+10,1,,T$3)),24),"")</f>
        <v>4</v>
      </c>
      <c r="U47" s="46">
        <f ca="1">IF($D$2&gt;=(COLUMN()-10),HLOOKUP($B47,INDIRECT(ADDRESS(2,11,1,,U$3)):INDIRECT(ADDRESS(25,playercnt+10,1,,U$3)),24),"")</f>
        <v>5</v>
      </c>
      <c r="V47" s="46">
        <f ca="1">IF($D$2&gt;=(COLUMN()-10),HLOOKUP($B47,INDIRECT(ADDRESS(2,11,1,,V$3)):INDIRECT(ADDRESS(25,playercnt+10,1,,V$3)),24),"")</f>
        <v>6</v>
      </c>
      <c r="W47" s="46">
        <f ca="1">IF($D$2&gt;=(COLUMN()-10),HLOOKUP($B47,INDIRECT(ADDRESS(2,11,1,,W$3)):INDIRECT(ADDRESS(25,playercnt+10,1,,W$3)),24),"")</f>
        <v>4</v>
      </c>
      <c r="X47" s="14">
        <v>18</v>
      </c>
      <c r="Y47" s="14">
        <f t="shared" si="28"/>
        <v>40</v>
      </c>
    </row>
    <row r="48" spans="1:25" x14ac:dyDescent="0.25">
      <c r="A48" s="83">
        <f t="shared" si="19"/>
        <v>38</v>
      </c>
      <c r="B48" s="39" t="str">
        <f t="shared" ca="1" si="20"/>
        <v>Nance, Rob</v>
      </c>
      <c r="C48" s="40">
        <f t="shared" si="21"/>
        <v>0</v>
      </c>
      <c r="D48" s="40">
        <f t="shared" si="22"/>
        <v>62</v>
      </c>
      <c r="E48" s="25">
        <f t="shared" si="23"/>
        <v>0.47692307692307695</v>
      </c>
      <c r="F48" s="11">
        <f t="shared" si="24"/>
        <v>11</v>
      </c>
      <c r="G48" s="43">
        <v>43</v>
      </c>
      <c r="H48" s="20">
        <f t="shared" si="25"/>
        <v>5</v>
      </c>
      <c r="I48" s="17">
        <f t="shared" ca="1" si="26"/>
        <v>7</v>
      </c>
      <c r="J48" s="17">
        <f t="shared" ca="1" si="27"/>
        <v>1</v>
      </c>
      <c r="K48" s="46">
        <f ca="1">IF($D$2&gt;=(COLUMN()-10),HLOOKUP($B48,INDIRECT(ADDRESS(2,11,1,,K$3)):INDIRECT(ADDRESS(25,playercnt+10,1,,K$3)),24),"")</f>
        <v>5</v>
      </c>
      <c r="L48" s="46">
        <f ca="1">IF($D$2&gt;=(COLUMN()-10),HLOOKUP($B48,INDIRECT(ADDRESS(2,11,1,,L$3)):INDIRECT(ADDRESS(25,playercnt+10,1,,L$3)),24),"")</f>
        <v>3</v>
      </c>
      <c r="M48" s="46">
        <f ca="1">IF($D$2&gt;=(COLUMN()-10),HLOOKUP($B48,INDIRECT(ADDRESS(2,11,1,,M$3)):INDIRECT(ADDRESS(25,playercnt+10,1,,M$3)),24),"")</f>
        <v>3</v>
      </c>
      <c r="N48" s="46">
        <f ca="1">IF($D$2&gt;=(COLUMN()-10),HLOOKUP($B48,INDIRECT(ADDRESS(2,11,1,,N$3)):INDIRECT(ADDRESS(25,playercnt+10,1,,N$3)),24),"")</f>
        <v>4</v>
      </c>
      <c r="O48" s="46">
        <f ca="1">IF($D$2&gt;=(COLUMN()-10),HLOOKUP($B48,INDIRECT(ADDRESS(2,11,1,,O$3)):INDIRECT(ADDRESS(25,playercnt+10,1,,O$3)),24),"")</f>
        <v>7</v>
      </c>
      <c r="P48" s="46">
        <f ca="1">IF($D$2&gt;=(COLUMN()-10),HLOOKUP($B48,INDIRECT(ADDRESS(2,11,1,,P$3)):INDIRECT(ADDRESS(25,playercnt+10,1,,P$3)),24),"")</f>
        <v>6</v>
      </c>
      <c r="Q48" s="46">
        <f ca="1">IF($D$2&gt;=(COLUMN()-10),HLOOKUP($B48,INDIRECT(ADDRESS(2,11,1,,Q$3)):INDIRECT(ADDRESS(25,playercnt+10,1,,Q$3)),24),"")</f>
        <v>7</v>
      </c>
      <c r="R48" s="46">
        <f ca="1">IF($D$2&gt;=(COLUMN()-10),HLOOKUP($B48,INDIRECT(ADDRESS(2,11,1,,R$3)):INDIRECT(ADDRESS(25,playercnt+10,1,,R$3)),24),"")</f>
        <v>5</v>
      </c>
      <c r="S48" s="46">
        <f ca="1">IF($D$2&gt;=(COLUMN()-10),HLOOKUP($B48,INDIRECT(ADDRESS(2,11,1,,S$3)):INDIRECT(ADDRESS(25,playercnt+10,1,,S$3)),24),"")</f>
        <v>5</v>
      </c>
      <c r="T48" s="46">
        <f ca="1">IF($D$2&gt;=(COLUMN()-10),HLOOKUP($B48,INDIRECT(ADDRESS(2,11,1,,T$3)):INDIRECT(ADDRESS(25,playercnt+10,1,,T$3)),24),"")</f>
        <v>6</v>
      </c>
      <c r="U48" s="46">
        <f ca="1">IF($D$2&gt;=(COLUMN()-10),HLOOKUP($B48,INDIRECT(ADDRESS(2,11,1,,U$3)):INDIRECT(ADDRESS(25,playercnt+10,1,,U$3)),24),"")</f>
        <v>5</v>
      </c>
      <c r="V48" s="46">
        <f ca="1">IF($D$2&gt;=(COLUMN()-10),HLOOKUP($B48,INDIRECT(ADDRESS(2,11,1,,V$3)):INDIRECT(ADDRESS(25,playercnt+10,1,,V$3)),24),"")</f>
        <v>1</v>
      </c>
      <c r="W48" s="46">
        <f ca="1">IF($D$2&gt;=(COLUMN()-10),HLOOKUP($B48,INDIRECT(ADDRESS(2,11,1,,W$3)):INDIRECT(ADDRESS(25,playercnt+10,1,,W$3)),24),"")</f>
        <v>5</v>
      </c>
      <c r="X48" s="47">
        <v>34</v>
      </c>
      <c r="Y48" s="14">
        <f t="shared" si="28"/>
        <v>41</v>
      </c>
    </row>
    <row r="49" spans="1:25" x14ac:dyDescent="0.25">
      <c r="A49" s="83">
        <f t="shared" si="19"/>
        <v>38</v>
      </c>
      <c r="B49" s="39" t="str">
        <f t="shared" ca="1" si="20"/>
        <v>Sams, David</v>
      </c>
      <c r="C49" s="40">
        <f t="shared" si="21"/>
        <v>0</v>
      </c>
      <c r="D49" s="40">
        <f t="shared" si="22"/>
        <v>62</v>
      </c>
      <c r="E49" s="25">
        <f t="shared" si="23"/>
        <v>0.47692307692307695</v>
      </c>
      <c r="F49" s="11">
        <f t="shared" si="24"/>
        <v>11</v>
      </c>
      <c r="G49" s="16">
        <v>29</v>
      </c>
      <c r="H49" s="20">
        <f t="shared" si="25"/>
        <v>-9</v>
      </c>
      <c r="I49" s="17">
        <f t="shared" ca="1" si="26"/>
        <v>9</v>
      </c>
      <c r="J49" s="17">
        <f t="shared" ca="1" si="27"/>
        <v>2</v>
      </c>
      <c r="K49" s="46">
        <f ca="1">IF($D$2&gt;=(COLUMN()-10),HLOOKUP($B49,INDIRECT(ADDRESS(2,11,1,,K$3)):INDIRECT(ADDRESS(25,playercnt+10,1,,K$3)),24),"")</f>
        <v>3</v>
      </c>
      <c r="L49" s="46">
        <f ca="1">IF($D$2&gt;=(COLUMN()-10),HLOOKUP($B49,INDIRECT(ADDRESS(2,11,1,,L$3)):INDIRECT(ADDRESS(25,playercnt+10,1,,L$3)),24),"")</f>
        <v>5</v>
      </c>
      <c r="M49" s="46">
        <f ca="1">IF($D$2&gt;=(COLUMN()-10),HLOOKUP($B49,INDIRECT(ADDRESS(2,11,1,,M$3)):INDIRECT(ADDRESS(25,playercnt+10,1,,M$3)),24),"")</f>
        <v>6</v>
      </c>
      <c r="N49" s="46">
        <f ca="1">IF($D$2&gt;=(COLUMN()-10),HLOOKUP($B49,INDIRECT(ADDRESS(2,11,1,,N$3)):INDIRECT(ADDRESS(25,playercnt+10,1,,N$3)),24),"")</f>
        <v>6</v>
      </c>
      <c r="O49" s="46">
        <f ca="1">IF($D$2&gt;=(COLUMN()-10),HLOOKUP($B49,INDIRECT(ADDRESS(2,11,1,,O$3)):INDIRECT(ADDRESS(25,playercnt+10,1,,O$3)),24),"")</f>
        <v>4</v>
      </c>
      <c r="P49" s="46">
        <f ca="1">IF($D$2&gt;=(COLUMN()-10),HLOOKUP($B49,INDIRECT(ADDRESS(2,11,1,,P$3)):INDIRECT(ADDRESS(25,playercnt+10,1,,P$3)),24),"")</f>
        <v>6</v>
      </c>
      <c r="Q49" s="46">
        <f ca="1">IF($D$2&gt;=(COLUMN()-10),HLOOKUP($B49,INDIRECT(ADDRESS(2,11,1,,Q$3)):INDIRECT(ADDRESS(25,playercnt+10,1,,Q$3)),24),"")</f>
        <v>6</v>
      </c>
      <c r="R49" s="46">
        <f ca="1">IF($D$2&gt;=(COLUMN()-10),HLOOKUP($B49,INDIRECT(ADDRESS(2,11,1,,R$3)):INDIRECT(ADDRESS(25,playercnt+10,1,,R$3)),24),"")</f>
        <v>9</v>
      </c>
      <c r="S49" s="46">
        <f ca="1">IF($D$2&gt;=(COLUMN()-10),HLOOKUP($B49,INDIRECT(ADDRESS(2,11,1,,S$3)):INDIRECT(ADDRESS(25,playercnt+10,1,,S$3)),24),"")</f>
        <v>4</v>
      </c>
      <c r="T49" s="46">
        <f ca="1">IF($D$2&gt;=(COLUMN()-10),HLOOKUP($B49,INDIRECT(ADDRESS(2,11,1,,T$3)):INDIRECT(ADDRESS(25,playercnt+10,1,,T$3)),24),"")</f>
        <v>5</v>
      </c>
      <c r="U49" s="46">
        <f ca="1">IF($D$2&gt;=(COLUMN()-10),HLOOKUP($B49,INDIRECT(ADDRESS(2,11,1,,U$3)):INDIRECT(ADDRESS(25,playercnt+10,1,,U$3)),24),"")</f>
        <v>3</v>
      </c>
      <c r="V49" s="46">
        <f ca="1">IF($D$2&gt;=(COLUMN()-10),HLOOKUP($B49,INDIRECT(ADDRESS(2,11,1,,V$3)):INDIRECT(ADDRESS(25,playercnt+10,1,,V$3)),24),"")</f>
        <v>3</v>
      </c>
      <c r="W49" s="46">
        <f ca="1">IF($D$2&gt;=(COLUMN()-10),HLOOKUP($B49,INDIRECT(ADDRESS(2,11,1,,W$3)):INDIRECT(ADDRESS(25,playercnt+10,1,,W$3)),24),"")</f>
        <v>2</v>
      </c>
      <c r="X49" s="47">
        <v>44</v>
      </c>
      <c r="Y49" s="14">
        <f t="shared" si="28"/>
        <v>42</v>
      </c>
    </row>
    <row r="50" spans="1:25" x14ac:dyDescent="0.25">
      <c r="A50" s="83">
        <f t="shared" si="19"/>
        <v>43</v>
      </c>
      <c r="B50" s="39" t="str">
        <f t="shared" ca="1" si="20"/>
        <v>Bowers, Martin L</v>
      </c>
      <c r="C50" s="40">
        <f t="shared" si="21"/>
        <v>0</v>
      </c>
      <c r="D50" s="40">
        <f t="shared" si="22"/>
        <v>61</v>
      </c>
      <c r="E50" s="25">
        <f t="shared" si="23"/>
        <v>0.46923076923076923</v>
      </c>
      <c r="F50" s="11">
        <f t="shared" si="24"/>
        <v>12</v>
      </c>
      <c r="G50" s="43">
        <v>45</v>
      </c>
      <c r="H50" s="20">
        <f t="shared" si="25"/>
        <v>2</v>
      </c>
      <c r="I50" s="17">
        <f t="shared" ca="1" si="26"/>
        <v>7</v>
      </c>
      <c r="J50" s="17">
        <f t="shared" ca="1" si="27"/>
        <v>3</v>
      </c>
      <c r="K50" s="46">
        <f ca="1">IF($D$2&gt;=(COLUMN()-10),HLOOKUP($B50,INDIRECT(ADDRESS(2,11,1,,K$3)):INDIRECT(ADDRESS(25,playercnt+10,1,,K$3)),24),"")</f>
        <v>3</v>
      </c>
      <c r="L50" s="46">
        <f ca="1">IF($D$2&gt;=(COLUMN()-10),HLOOKUP($B50,INDIRECT(ADDRESS(2,11,1,,L$3)):INDIRECT(ADDRESS(25,playercnt+10,1,,L$3)),24),"")</f>
        <v>6</v>
      </c>
      <c r="M50" s="46">
        <f ca="1">IF($D$2&gt;=(COLUMN()-10),HLOOKUP($B50,INDIRECT(ADDRESS(2,11,1,,M$3)):INDIRECT(ADDRESS(25,playercnt+10,1,,M$3)),24),"")</f>
        <v>5</v>
      </c>
      <c r="N50" s="46">
        <f ca="1">IF($D$2&gt;=(COLUMN()-10),HLOOKUP($B50,INDIRECT(ADDRESS(2,11,1,,N$3)):INDIRECT(ADDRESS(25,playercnt+10,1,,N$3)),24),"")</f>
        <v>5</v>
      </c>
      <c r="O50" s="46">
        <f ca="1">IF($D$2&gt;=(COLUMN()-10),HLOOKUP($B50,INDIRECT(ADDRESS(2,11,1,,O$3)):INDIRECT(ADDRESS(25,playercnt+10,1,,O$3)),24),"")</f>
        <v>4</v>
      </c>
      <c r="P50" s="46">
        <f ca="1">IF($D$2&gt;=(COLUMN()-10),HLOOKUP($B50,INDIRECT(ADDRESS(2,11,1,,P$3)):INDIRECT(ADDRESS(25,playercnt+10,1,,P$3)),24),"")</f>
        <v>3</v>
      </c>
      <c r="Q50" s="46">
        <f ca="1">IF($D$2&gt;=(COLUMN()-10),HLOOKUP($B50,INDIRECT(ADDRESS(2,11,1,,Q$3)):INDIRECT(ADDRESS(25,playercnt+10,1,,Q$3)),24),"")</f>
        <v>6</v>
      </c>
      <c r="R50" s="46">
        <f ca="1">IF($D$2&gt;=(COLUMN()-10),HLOOKUP($B50,INDIRECT(ADDRESS(2,11,1,,R$3)):INDIRECT(ADDRESS(25,playercnt+10,1,,R$3)),24),"")</f>
        <v>4</v>
      </c>
      <c r="S50" s="46">
        <f ca="1">IF($D$2&gt;=(COLUMN()-10),HLOOKUP($B50,INDIRECT(ADDRESS(2,11,1,,S$3)):INDIRECT(ADDRESS(25,playercnt+10,1,,S$3)),24),"")</f>
        <v>4</v>
      </c>
      <c r="T50" s="46">
        <f ca="1">IF($D$2&gt;=(COLUMN()-10),HLOOKUP($B50,INDIRECT(ADDRESS(2,11,1,,T$3)):INDIRECT(ADDRESS(25,playercnt+10,1,,T$3)),24),"")</f>
        <v>4</v>
      </c>
      <c r="U50" s="46">
        <f ca="1">IF($D$2&gt;=(COLUMN()-10),HLOOKUP($B50,INDIRECT(ADDRESS(2,11,1,,U$3)):INDIRECT(ADDRESS(25,playercnt+10,1,,U$3)),24),"")</f>
        <v>7</v>
      </c>
      <c r="V50" s="46">
        <f ca="1">IF($D$2&gt;=(COLUMN()-10),HLOOKUP($B50,INDIRECT(ADDRESS(2,11,1,,V$3)):INDIRECT(ADDRESS(25,playercnt+10,1,,V$3)),24),"")</f>
        <v>5</v>
      </c>
      <c r="W50" s="46">
        <f ca="1">IF($D$2&gt;=(COLUMN()-10),HLOOKUP($B50,INDIRECT(ADDRESS(2,11,1,,W$3)):INDIRECT(ADDRESS(25,playercnt+10,1,,W$3)),24),"")</f>
        <v>5</v>
      </c>
      <c r="X50" s="47">
        <v>3</v>
      </c>
      <c r="Y50" s="14">
        <f t="shared" si="28"/>
        <v>43</v>
      </c>
    </row>
    <row r="51" spans="1:25" x14ac:dyDescent="0.25">
      <c r="A51" s="83">
        <f t="shared" si="19"/>
        <v>43</v>
      </c>
      <c r="B51" s="39" t="str">
        <f t="shared" ca="1" si="20"/>
        <v>Holden, Brent</v>
      </c>
      <c r="C51" s="40">
        <f t="shared" si="21"/>
        <v>0</v>
      </c>
      <c r="D51" s="40">
        <f t="shared" si="22"/>
        <v>61</v>
      </c>
      <c r="E51" s="25">
        <f t="shared" si="23"/>
        <v>0.46923076923076923</v>
      </c>
      <c r="F51" s="11">
        <f t="shared" si="24"/>
        <v>12</v>
      </c>
      <c r="G51" s="16">
        <v>35</v>
      </c>
      <c r="H51" s="20">
        <f t="shared" si="25"/>
        <v>-8</v>
      </c>
      <c r="I51" s="17">
        <f t="shared" ca="1" si="26"/>
        <v>8</v>
      </c>
      <c r="J51" s="17">
        <f t="shared" ca="1" si="27"/>
        <v>2</v>
      </c>
      <c r="K51" s="46">
        <f ca="1">IF($D$2&gt;=(COLUMN()-10),HLOOKUP($B51,INDIRECT(ADDRESS(2,11,1,,K$3)):INDIRECT(ADDRESS(25,playercnt+10,1,,K$3)),24),"")</f>
        <v>5</v>
      </c>
      <c r="L51" s="46">
        <f ca="1">IF($D$2&gt;=(COLUMN()-10),HLOOKUP($B51,INDIRECT(ADDRESS(2,11,1,,L$3)):INDIRECT(ADDRESS(25,playercnt+10,1,,L$3)),24),"")</f>
        <v>4</v>
      </c>
      <c r="M51" s="46">
        <f ca="1">IF($D$2&gt;=(COLUMN()-10),HLOOKUP($B51,INDIRECT(ADDRESS(2,11,1,,M$3)):INDIRECT(ADDRESS(25,playercnt+10,1,,M$3)),24),"")</f>
        <v>4</v>
      </c>
      <c r="N51" s="46">
        <f ca="1">IF($D$2&gt;=(COLUMN()-10),HLOOKUP($B51,INDIRECT(ADDRESS(2,11,1,,N$3)):INDIRECT(ADDRESS(25,playercnt+10,1,,N$3)),24),"")</f>
        <v>7</v>
      </c>
      <c r="O51" s="46">
        <f ca="1">IF($D$2&gt;=(COLUMN()-10),HLOOKUP($B51,INDIRECT(ADDRESS(2,11,1,,O$3)):INDIRECT(ADDRESS(25,playercnt+10,1,,O$3)),24),"")</f>
        <v>8</v>
      </c>
      <c r="P51" s="46">
        <f ca="1">IF($D$2&gt;=(COLUMN()-10),HLOOKUP($B51,INDIRECT(ADDRESS(2,11,1,,P$3)):INDIRECT(ADDRESS(25,playercnt+10,1,,P$3)),24),"")</f>
        <v>2</v>
      </c>
      <c r="Q51" s="46">
        <f ca="1">IF($D$2&gt;=(COLUMN()-10),HLOOKUP($B51,INDIRECT(ADDRESS(2,11,1,,Q$3)):INDIRECT(ADDRESS(25,playercnt+10,1,,Q$3)),24),"")</f>
        <v>5</v>
      </c>
      <c r="R51" s="46">
        <f ca="1">IF($D$2&gt;=(COLUMN()-10),HLOOKUP($B51,INDIRECT(ADDRESS(2,11,1,,R$3)):INDIRECT(ADDRESS(25,playercnt+10,1,,R$3)),24),"")</f>
        <v>5</v>
      </c>
      <c r="S51" s="46">
        <f ca="1">IF($D$2&gt;=(COLUMN()-10),HLOOKUP($B51,INDIRECT(ADDRESS(2,11,1,,S$3)):INDIRECT(ADDRESS(25,playercnt+10,1,,S$3)),24),"")</f>
        <v>4</v>
      </c>
      <c r="T51" s="46">
        <f ca="1">IF($D$2&gt;=(COLUMN()-10),HLOOKUP($B51,INDIRECT(ADDRESS(2,11,1,,T$3)):INDIRECT(ADDRESS(25,playercnt+10,1,,T$3)),24),"")</f>
        <v>4</v>
      </c>
      <c r="U51" s="46">
        <f ca="1">IF($D$2&gt;=(COLUMN()-10),HLOOKUP($B51,INDIRECT(ADDRESS(2,11,1,,U$3)):INDIRECT(ADDRESS(25,playercnt+10,1,,U$3)),24),"")</f>
        <v>5</v>
      </c>
      <c r="V51" s="46">
        <f ca="1">IF($D$2&gt;=(COLUMN()-10),HLOOKUP($B51,INDIRECT(ADDRESS(2,11,1,,V$3)):INDIRECT(ADDRESS(25,playercnt+10,1,,V$3)),24),"")</f>
        <v>6</v>
      </c>
      <c r="W51" s="46">
        <f ca="1">IF($D$2&gt;=(COLUMN()-10),HLOOKUP($B51,INDIRECT(ADDRESS(2,11,1,,W$3)):INDIRECT(ADDRESS(25,playercnt+10,1,,W$3)),24),"")</f>
        <v>2</v>
      </c>
      <c r="X51" s="47">
        <v>20</v>
      </c>
      <c r="Y51" s="14">
        <f t="shared" ref="Y51:Y56" si="29">Y50+1</f>
        <v>44</v>
      </c>
    </row>
    <row r="52" spans="1:25" x14ac:dyDescent="0.25">
      <c r="A52" s="83">
        <f t="shared" si="19"/>
        <v>43</v>
      </c>
      <c r="B52" s="39" t="str">
        <f t="shared" ca="1" si="20"/>
        <v>Moore, Kevin B</v>
      </c>
      <c r="C52" s="40">
        <f t="shared" si="21"/>
        <v>0</v>
      </c>
      <c r="D52" s="40">
        <f t="shared" si="22"/>
        <v>61</v>
      </c>
      <c r="E52" s="25">
        <f t="shared" si="23"/>
        <v>0.46923076923076923</v>
      </c>
      <c r="F52" s="11">
        <f t="shared" si="24"/>
        <v>12</v>
      </c>
      <c r="G52" s="43">
        <v>39</v>
      </c>
      <c r="H52" s="20">
        <f t="shared" si="25"/>
        <v>-4</v>
      </c>
      <c r="I52" s="17">
        <f t="shared" ca="1" si="26"/>
        <v>8</v>
      </c>
      <c r="J52" s="17">
        <f t="shared" ca="1" si="27"/>
        <v>2</v>
      </c>
      <c r="K52" s="46">
        <f ca="1">IF($D$2&gt;=(COLUMN()-10),HLOOKUP($B52,INDIRECT(ADDRESS(2,11,1,,K$3)):INDIRECT(ADDRESS(25,playercnt+10,1,,K$3)),24),"")</f>
        <v>4</v>
      </c>
      <c r="L52" s="46">
        <f ca="1">IF($D$2&gt;=(COLUMN()-10),HLOOKUP($B52,INDIRECT(ADDRESS(2,11,1,,L$3)):INDIRECT(ADDRESS(25,playercnt+10,1,,L$3)),24),"")</f>
        <v>5</v>
      </c>
      <c r="M52" s="46">
        <f ca="1">IF($D$2&gt;=(COLUMN()-10),HLOOKUP($B52,INDIRECT(ADDRESS(2,11,1,,M$3)):INDIRECT(ADDRESS(25,playercnt+10,1,,M$3)),24),"")</f>
        <v>5</v>
      </c>
      <c r="N52" s="46">
        <f ca="1">IF($D$2&gt;=(COLUMN()-10),HLOOKUP($B52,INDIRECT(ADDRESS(2,11,1,,N$3)):INDIRECT(ADDRESS(25,playercnt+10,1,,N$3)),24),"")</f>
        <v>8</v>
      </c>
      <c r="O52" s="46">
        <f ca="1">IF($D$2&gt;=(COLUMN()-10),HLOOKUP($B52,INDIRECT(ADDRESS(2,11,1,,O$3)):INDIRECT(ADDRESS(25,playercnt+10,1,,O$3)),24),"")</f>
        <v>5</v>
      </c>
      <c r="P52" s="46">
        <f ca="1">IF($D$2&gt;=(COLUMN()-10),HLOOKUP($B52,INDIRECT(ADDRESS(2,11,1,,P$3)):INDIRECT(ADDRESS(25,playercnt+10,1,,P$3)),24),"")</f>
        <v>7</v>
      </c>
      <c r="Q52" s="46">
        <f ca="1">IF($D$2&gt;=(COLUMN()-10),HLOOKUP($B52,INDIRECT(ADDRESS(2,11,1,,Q$3)):INDIRECT(ADDRESS(25,playercnt+10,1,,Q$3)),24),"")</f>
        <v>2</v>
      </c>
      <c r="R52" s="46">
        <f ca="1">IF($D$2&gt;=(COLUMN()-10),HLOOKUP($B52,INDIRECT(ADDRESS(2,11,1,,R$3)):INDIRECT(ADDRESS(25,playercnt+10,1,,R$3)),24),"")</f>
        <v>4</v>
      </c>
      <c r="S52" s="46">
        <f ca="1">IF($D$2&gt;=(COLUMN()-10),HLOOKUP($B52,INDIRECT(ADDRESS(2,11,1,,S$3)):INDIRECT(ADDRESS(25,playercnt+10,1,,S$3)),24),"")</f>
        <v>6</v>
      </c>
      <c r="T52" s="46">
        <f ca="1">IF($D$2&gt;=(COLUMN()-10),HLOOKUP($B52,INDIRECT(ADDRESS(2,11,1,,T$3)):INDIRECT(ADDRESS(25,playercnt+10,1,,T$3)),24),"")</f>
        <v>3</v>
      </c>
      <c r="U52" s="46">
        <f ca="1">IF($D$2&gt;=(COLUMN()-10),HLOOKUP($B52,INDIRECT(ADDRESS(2,11,1,,U$3)):INDIRECT(ADDRESS(25,playercnt+10,1,,U$3)),24),"")</f>
        <v>3</v>
      </c>
      <c r="V52" s="46">
        <f ca="1">IF($D$2&gt;=(COLUMN()-10),HLOOKUP($B52,INDIRECT(ADDRESS(2,11,1,,V$3)):INDIRECT(ADDRESS(25,playercnt+10,1,,V$3)),24),"")</f>
        <v>6</v>
      </c>
      <c r="W52" s="46">
        <f ca="1">IF($D$2&gt;=(COLUMN()-10),HLOOKUP($B52,INDIRECT(ADDRESS(2,11,1,,W$3)):INDIRECT(ADDRESS(25,playercnt+10,1,,W$3)),24),"")</f>
        <v>3</v>
      </c>
      <c r="X52" s="47">
        <v>31</v>
      </c>
      <c r="Y52" s="14">
        <f t="shared" si="29"/>
        <v>45</v>
      </c>
    </row>
    <row r="53" spans="1:25" x14ac:dyDescent="0.25">
      <c r="A53" s="83">
        <f t="shared" si="19"/>
        <v>46</v>
      </c>
      <c r="B53" s="39" t="str">
        <f t="shared" ca="1" si="20"/>
        <v>Gore, Brandon</v>
      </c>
      <c r="C53" s="40">
        <f t="shared" si="21"/>
        <v>0</v>
      </c>
      <c r="D53" s="40">
        <f t="shared" si="22"/>
        <v>60</v>
      </c>
      <c r="E53" s="25">
        <f t="shared" si="23"/>
        <v>0.46153846153846156</v>
      </c>
      <c r="F53" s="11">
        <f t="shared" si="24"/>
        <v>13</v>
      </c>
      <c r="G53" s="16">
        <v>45</v>
      </c>
      <c r="H53" s="20">
        <f t="shared" si="25"/>
        <v>-1</v>
      </c>
      <c r="I53" s="17">
        <f t="shared" ca="1" si="26"/>
        <v>7</v>
      </c>
      <c r="J53" s="17">
        <f t="shared" ca="1" si="27"/>
        <v>3</v>
      </c>
      <c r="K53" s="46">
        <f ca="1">IF($D$2&gt;=(COLUMN()-10),HLOOKUP($B53,INDIRECT(ADDRESS(2,11,1,,K$3)):INDIRECT(ADDRESS(25,playercnt+10,1,,K$3)),24),"")</f>
        <v>3</v>
      </c>
      <c r="L53" s="46">
        <f ca="1">IF($D$2&gt;=(COLUMN()-10),HLOOKUP($B53,INDIRECT(ADDRESS(2,11,1,,L$3)):INDIRECT(ADDRESS(25,playercnt+10,1,,L$3)),24),"")</f>
        <v>6</v>
      </c>
      <c r="M53" s="46">
        <f ca="1">IF($D$2&gt;=(COLUMN()-10),HLOOKUP($B53,INDIRECT(ADDRESS(2,11,1,,M$3)):INDIRECT(ADDRESS(25,playercnt+10,1,,M$3)),24),"")</f>
        <v>3</v>
      </c>
      <c r="N53" s="46">
        <f ca="1">IF($D$2&gt;=(COLUMN()-10),HLOOKUP($B53,INDIRECT(ADDRESS(2,11,1,,N$3)):INDIRECT(ADDRESS(25,playercnt+10,1,,N$3)),24),"")</f>
        <v>4</v>
      </c>
      <c r="O53" s="46">
        <f ca="1">IF($D$2&gt;=(COLUMN()-10),HLOOKUP($B53,INDIRECT(ADDRESS(2,11,1,,O$3)):INDIRECT(ADDRESS(25,playercnt+10,1,,O$3)),24),"")</f>
        <v>7</v>
      </c>
      <c r="P53" s="46">
        <f ca="1">IF($D$2&gt;=(COLUMN()-10),HLOOKUP($B53,INDIRECT(ADDRESS(2,11,1,,P$3)):INDIRECT(ADDRESS(25,playercnt+10,1,,P$3)),24),"")</f>
        <v>5</v>
      </c>
      <c r="Q53" s="46">
        <f ca="1">IF($D$2&gt;=(COLUMN()-10),HLOOKUP($B53,INDIRECT(ADDRESS(2,11,1,,Q$3)):INDIRECT(ADDRESS(25,playercnt+10,1,,Q$3)),24),"")</f>
        <v>4</v>
      </c>
      <c r="R53" s="46">
        <f ca="1">IF($D$2&gt;=(COLUMN()-10),HLOOKUP($B53,INDIRECT(ADDRESS(2,11,1,,R$3)):INDIRECT(ADDRESS(25,playercnt+10,1,,R$3)),24),"")</f>
        <v>4</v>
      </c>
      <c r="S53" s="46">
        <f ca="1">IF($D$2&gt;=(COLUMN()-10),HLOOKUP($B53,INDIRECT(ADDRESS(2,11,1,,S$3)):INDIRECT(ADDRESS(25,playercnt+10,1,,S$3)),24),"")</f>
        <v>3</v>
      </c>
      <c r="T53" s="46">
        <f ca="1">IF($D$2&gt;=(COLUMN()-10),HLOOKUP($B53,INDIRECT(ADDRESS(2,11,1,,T$3)):INDIRECT(ADDRESS(25,playercnt+10,1,,T$3)),24),"")</f>
        <v>6</v>
      </c>
      <c r="U53" s="46">
        <f ca="1">IF($D$2&gt;=(COLUMN()-10),HLOOKUP($B53,INDIRECT(ADDRESS(2,11,1,,U$3)):INDIRECT(ADDRESS(25,playercnt+10,1,,U$3)),24),"")</f>
        <v>6</v>
      </c>
      <c r="V53" s="46">
        <f ca="1">IF($D$2&gt;=(COLUMN()-10),HLOOKUP($B53,INDIRECT(ADDRESS(2,11,1,,V$3)):INDIRECT(ADDRESS(25,playercnt+10,1,,V$3)),24),"")</f>
        <v>5</v>
      </c>
      <c r="W53" s="46">
        <f ca="1">IF($D$2&gt;=(COLUMN()-10),HLOOKUP($B53,INDIRECT(ADDRESS(2,11,1,,W$3)):INDIRECT(ADDRESS(25,playercnt+10,1,,W$3)),24),"")</f>
        <v>4</v>
      </c>
      <c r="X53" s="47">
        <v>17</v>
      </c>
      <c r="Y53" s="14">
        <f t="shared" si="29"/>
        <v>46</v>
      </c>
    </row>
    <row r="54" spans="1:25" x14ac:dyDescent="0.25">
      <c r="A54" s="83">
        <f t="shared" si="19"/>
        <v>46</v>
      </c>
      <c r="B54" s="39" t="str">
        <f t="shared" ca="1" si="20"/>
        <v>Hucks, Jason</v>
      </c>
      <c r="C54" s="40">
        <f t="shared" si="21"/>
        <v>0</v>
      </c>
      <c r="D54" s="40">
        <f t="shared" si="22"/>
        <v>60</v>
      </c>
      <c r="E54" s="25">
        <f t="shared" si="23"/>
        <v>0.46153846153846156</v>
      </c>
      <c r="F54" s="11">
        <f t="shared" si="24"/>
        <v>13</v>
      </c>
      <c r="G54" s="43">
        <v>39</v>
      </c>
      <c r="H54" s="20">
        <f t="shared" si="25"/>
        <v>-7</v>
      </c>
      <c r="I54" s="17">
        <f t="shared" ca="1" si="26"/>
        <v>8</v>
      </c>
      <c r="J54" s="17">
        <f t="shared" ca="1" si="27"/>
        <v>2</v>
      </c>
      <c r="K54" s="46">
        <f ca="1">IF($D$2&gt;=(COLUMN()-10),HLOOKUP($B54,INDIRECT(ADDRESS(2,11,1,,K$3)):INDIRECT(ADDRESS(25,playercnt+10,1,,K$3)),24),"")</f>
        <v>4</v>
      </c>
      <c r="L54" s="46">
        <f ca="1">IF($D$2&gt;=(COLUMN()-10),HLOOKUP($B54,INDIRECT(ADDRESS(2,11,1,,L$3)):INDIRECT(ADDRESS(25,playercnt+10,1,,L$3)),24),"")</f>
        <v>7</v>
      </c>
      <c r="M54" s="46">
        <f ca="1">IF($D$2&gt;=(COLUMN()-10),HLOOKUP($B54,INDIRECT(ADDRESS(2,11,1,,M$3)):INDIRECT(ADDRESS(25,playercnt+10,1,,M$3)),24),"")</f>
        <v>3</v>
      </c>
      <c r="N54" s="46">
        <f ca="1">IF($D$2&gt;=(COLUMN()-10),HLOOKUP($B54,INDIRECT(ADDRESS(2,11,1,,N$3)):INDIRECT(ADDRESS(25,playercnt+10,1,,N$3)),24),"")</f>
        <v>2</v>
      </c>
      <c r="O54" s="46">
        <f ca="1">IF($D$2&gt;=(COLUMN()-10),HLOOKUP($B54,INDIRECT(ADDRESS(2,11,1,,O$3)):INDIRECT(ADDRESS(25,playercnt+10,1,,O$3)),24),"")</f>
        <v>5</v>
      </c>
      <c r="P54" s="46">
        <f ca="1">IF($D$2&gt;=(COLUMN()-10),HLOOKUP($B54,INDIRECT(ADDRESS(2,11,1,,P$3)):INDIRECT(ADDRESS(25,playercnt+10,1,,P$3)),24),"")</f>
        <v>5</v>
      </c>
      <c r="Q54" s="46">
        <f ca="1">IF($D$2&gt;=(COLUMN()-10),HLOOKUP($B54,INDIRECT(ADDRESS(2,11,1,,Q$3)):INDIRECT(ADDRESS(25,playercnt+10,1,,Q$3)),24),"")</f>
        <v>5</v>
      </c>
      <c r="R54" s="46">
        <f ca="1">IF($D$2&gt;=(COLUMN()-10),HLOOKUP($B54,INDIRECT(ADDRESS(2,11,1,,R$3)):INDIRECT(ADDRESS(25,playercnt+10,1,,R$3)),24),"")</f>
        <v>3</v>
      </c>
      <c r="S54" s="46">
        <f ca="1">IF($D$2&gt;=(COLUMN()-10),HLOOKUP($B54,INDIRECT(ADDRESS(2,11,1,,S$3)):INDIRECT(ADDRESS(25,playercnt+10,1,,S$3)),24),"")</f>
        <v>8</v>
      </c>
      <c r="T54" s="46">
        <f ca="1">IF($D$2&gt;=(COLUMN()-10),HLOOKUP($B54,INDIRECT(ADDRESS(2,11,1,,T$3)):INDIRECT(ADDRESS(25,playercnt+10,1,,T$3)),24),"")</f>
        <v>3</v>
      </c>
      <c r="U54" s="46">
        <f ca="1">IF($D$2&gt;=(COLUMN()-10),HLOOKUP($B54,INDIRECT(ADDRESS(2,11,1,,U$3)):INDIRECT(ADDRESS(25,playercnt+10,1,,U$3)),24),"")</f>
        <v>7</v>
      </c>
      <c r="V54" s="46">
        <f ca="1">IF($D$2&gt;=(COLUMN()-10),HLOOKUP($B54,INDIRECT(ADDRESS(2,11,1,,V$3)):INDIRECT(ADDRESS(25,playercnt+10,1,,V$3)),24),"")</f>
        <v>6</v>
      </c>
      <c r="W54" s="46">
        <f ca="1">IF($D$2&gt;=(COLUMN()-10),HLOOKUP($B54,INDIRECT(ADDRESS(2,11,1,,W$3)):INDIRECT(ADDRESS(25,playercnt+10,1,,W$3)),24),"")</f>
        <v>2</v>
      </c>
      <c r="X54" s="47">
        <v>22</v>
      </c>
      <c r="Y54" s="14">
        <f t="shared" si="29"/>
        <v>47</v>
      </c>
    </row>
    <row r="55" spans="1:25" x14ac:dyDescent="0.25">
      <c r="A55" s="83">
        <f t="shared" si="19"/>
        <v>48</v>
      </c>
      <c r="B55" s="39" t="str">
        <f t="shared" ca="1" si="20"/>
        <v>Carter, Chris</v>
      </c>
      <c r="C55" s="40">
        <f t="shared" si="21"/>
        <v>0</v>
      </c>
      <c r="D55" s="40">
        <f t="shared" si="22"/>
        <v>58</v>
      </c>
      <c r="E55" s="25">
        <f t="shared" si="23"/>
        <v>0.44615384615384618</v>
      </c>
      <c r="F55" s="11">
        <f t="shared" si="24"/>
        <v>15</v>
      </c>
      <c r="G55" s="16">
        <v>49</v>
      </c>
      <c r="H55" s="20">
        <f t="shared" si="25"/>
        <v>1</v>
      </c>
      <c r="I55" s="17">
        <f t="shared" ca="1" si="26"/>
        <v>8</v>
      </c>
      <c r="J55" s="17">
        <f t="shared" ca="1" si="27"/>
        <v>2</v>
      </c>
      <c r="K55" s="46">
        <f ca="1">IF($D$2&gt;=(COLUMN()-10),HLOOKUP($B55,INDIRECT(ADDRESS(2,11,1,,K$3)):INDIRECT(ADDRESS(25,playercnt+10,1,,K$3)),24),"")</f>
        <v>3</v>
      </c>
      <c r="L55" s="46">
        <f ca="1">IF($D$2&gt;=(COLUMN()-10),HLOOKUP($B55,INDIRECT(ADDRESS(2,11,1,,L$3)):INDIRECT(ADDRESS(25,playercnt+10,1,,L$3)),24),"")</f>
        <v>8</v>
      </c>
      <c r="M55" s="46">
        <f ca="1">IF($D$2&gt;=(COLUMN()-10),HLOOKUP($B55,INDIRECT(ADDRESS(2,11,1,,M$3)):INDIRECT(ADDRESS(25,playercnt+10,1,,M$3)),24),"")</f>
        <v>3</v>
      </c>
      <c r="N55" s="46">
        <f ca="1">IF($D$2&gt;=(COLUMN()-10),HLOOKUP($B55,INDIRECT(ADDRESS(2,11,1,,N$3)):INDIRECT(ADDRESS(25,playercnt+10,1,,N$3)),24),"")</f>
        <v>5</v>
      </c>
      <c r="O55" s="46">
        <f ca="1">IF($D$2&gt;=(COLUMN()-10),HLOOKUP($B55,INDIRECT(ADDRESS(2,11,1,,O$3)):INDIRECT(ADDRESS(25,playercnt+10,1,,O$3)),24),"")</f>
        <v>4</v>
      </c>
      <c r="P55" s="46">
        <f ca="1">IF($D$2&gt;=(COLUMN()-10),HLOOKUP($B55,INDIRECT(ADDRESS(2,11,1,,P$3)):INDIRECT(ADDRESS(25,playercnt+10,1,,P$3)),24),"")</f>
        <v>6</v>
      </c>
      <c r="Q55" s="46">
        <f ca="1">IF($D$2&gt;=(COLUMN()-10),HLOOKUP($B55,INDIRECT(ADDRESS(2,11,1,,Q$3)):INDIRECT(ADDRESS(25,playercnt+10,1,,Q$3)),24),"")</f>
        <v>5</v>
      </c>
      <c r="R55" s="46">
        <f ca="1">IF($D$2&gt;=(COLUMN()-10),HLOOKUP($B55,INDIRECT(ADDRESS(2,11,1,,R$3)):INDIRECT(ADDRESS(25,playercnt+10,1,,R$3)),24),"")</f>
        <v>3</v>
      </c>
      <c r="S55" s="46">
        <f ca="1">IF($D$2&gt;=(COLUMN()-10),HLOOKUP($B55,INDIRECT(ADDRESS(2,11,1,,S$3)):INDIRECT(ADDRESS(25,playercnt+10,1,,S$3)),24),"")</f>
        <v>4</v>
      </c>
      <c r="T55" s="46">
        <f ca="1">IF($D$2&gt;=(COLUMN()-10),HLOOKUP($B55,INDIRECT(ADDRESS(2,11,1,,T$3)):INDIRECT(ADDRESS(25,playercnt+10,1,,T$3)),24),"")</f>
        <v>5</v>
      </c>
      <c r="U55" s="46">
        <f ca="1">IF($D$2&gt;=(COLUMN()-10),HLOOKUP($B55,INDIRECT(ADDRESS(2,11,1,,U$3)):INDIRECT(ADDRESS(25,playercnt+10,1,,U$3)),24),"")</f>
        <v>2</v>
      </c>
      <c r="V55" s="46">
        <f ca="1">IF($D$2&gt;=(COLUMN()-10),HLOOKUP($B55,INDIRECT(ADDRESS(2,11,1,,V$3)):INDIRECT(ADDRESS(25,playercnt+10,1,,V$3)),24),"")</f>
        <v>5</v>
      </c>
      <c r="W55" s="46">
        <f ca="1">IF($D$2&gt;=(COLUMN()-10),HLOOKUP($B55,INDIRECT(ADDRESS(2,11,1,,W$3)):INDIRECT(ADDRESS(25,playercnt+10,1,,W$3)),24),"")</f>
        <v>5</v>
      </c>
      <c r="X55" s="47">
        <v>6</v>
      </c>
      <c r="Y55" s="14">
        <f t="shared" si="29"/>
        <v>48</v>
      </c>
    </row>
    <row r="56" spans="1:25" x14ac:dyDescent="0.25">
      <c r="A56" s="83">
        <f t="shared" si="19"/>
        <v>49</v>
      </c>
      <c r="B56" s="39" t="str">
        <f t="shared" ca="1" si="20"/>
        <v>Desetto, Daniel</v>
      </c>
      <c r="C56" s="40">
        <f t="shared" si="21"/>
        <v>0</v>
      </c>
      <c r="D56" s="40">
        <f t="shared" si="22"/>
        <v>57</v>
      </c>
      <c r="E56" s="25">
        <f t="shared" si="23"/>
        <v>0.43846153846153846</v>
      </c>
      <c r="F56" s="11">
        <f t="shared" si="24"/>
        <v>16</v>
      </c>
      <c r="G56" s="43">
        <v>49</v>
      </c>
      <c r="H56" s="20">
        <f t="shared" si="25"/>
        <v>0</v>
      </c>
      <c r="I56" s="17">
        <f t="shared" ca="1" si="26"/>
        <v>7</v>
      </c>
      <c r="J56" s="17">
        <f t="shared" ca="1" si="27"/>
        <v>3</v>
      </c>
      <c r="K56" s="46">
        <f ca="1">IF($D$2&gt;=(COLUMN()-10),HLOOKUP($B56,INDIRECT(ADDRESS(2,11,1,,K$3)):INDIRECT(ADDRESS(25,playercnt+10,1,,K$3)),24),"")</f>
        <v>5</v>
      </c>
      <c r="L56" s="46">
        <f ca="1">IF($D$2&gt;=(COLUMN()-10),HLOOKUP($B56,INDIRECT(ADDRESS(2,11,1,,L$3)):INDIRECT(ADDRESS(25,playercnt+10,1,,L$3)),24),"")</f>
        <v>4</v>
      </c>
      <c r="M56" s="46">
        <f ca="1">IF($D$2&gt;=(COLUMN()-10),HLOOKUP($B56,INDIRECT(ADDRESS(2,11,1,,M$3)):INDIRECT(ADDRESS(25,playercnt+10,1,,M$3)),24),"")</f>
        <v>7</v>
      </c>
      <c r="N56" s="46">
        <f ca="1">IF($D$2&gt;=(COLUMN()-10),HLOOKUP($B56,INDIRECT(ADDRESS(2,11,1,,N$3)):INDIRECT(ADDRESS(25,playercnt+10,1,,N$3)),24),"")</f>
        <v>4</v>
      </c>
      <c r="O56" s="46">
        <f ca="1">IF($D$2&gt;=(COLUMN()-10),HLOOKUP($B56,INDIRECT(ADDRESS(2,11,1,,O$3)):INDIRECT(ADDRESS(25,playercnt+10,1,,O$3)),24),"")</f>
        <v>3</v>
      </c>
      <c r="P56" s="46">
        <f ca="1">IF($D$2&gt;=(COLUMN()-10),HLOOKUP($B56,INDIRECT(ADDRESS(2,11,1,,P$3)):INDIRECT(ADDRESS(25,playercnt+10,1,,P$3)),24),"")</f>
        <v>4</v>
      </c>
      <c r="Q56" s="46">
        <f ca="1">IF($D$2&gt;=(COLUMN()-10),HLOOKUP($B56,INDIRECT(ADDRESS(2,11,1,,Q$3)):INDIRECT(ADDRESS(25,playercnt+10,1,,Q$3)),24),"")</f>
        <v>5</v>
      </c>
      <c r="R56" s="46">
        <f ca="1">IF($D$2&gt;=(COLUMN()-10),HLOOKUP($B56,INDIRECT(ADDRESS(2,11,1,,R$3)):INDIRECT(ADDRESS(25,playercnt+10,1,,R$3)),24),"")</f>
        <v>5</v>
      </c>
      <c r="S56" s="46">
        <f ca="1">IF($D$2&gt;=(COLUMN()-10),HLOOKUP($B56,INDIRECT(ADDRESS(2,11,1,,S$3)):INDIRECT(ADDRESS(25,playercnt+10,1,,S$3)),24),"")</f>
        <v>3</v>
      </c>
      <c r="T56" s="46">
        <f ca="1">IF($D$2&gt;=(COLUMN()-10),HLOOKUP($B56,INDIRECT(ADDRESS(2,11,1,,T$3)):INDIRECT(ADDRESS(25,playercnt+10,1,,T$3)),24),"")</f>
        <v>5</v>
      </c>
      <c r="U56" s="46">
        <f ca="1">IF($D$2&gt;=(COLUMN()-10),HLOOKUP($B56,INDIRECT(ADDRESS(2,11,1,,U$3)):INDIRECT(ADDRESS(25,playercnt+10,1,,U$3)),24),"")</f>
        <v>5</v>
      </c>
      <c r="V56" s="46">
        <f ca="1">IF($D$2&gt;=(COLUMN()-10),HLOOKUP($B56,INDIRECT(ADDRESS(2,11,1,,V$3)):INDIRECT(ADDRESS(25,playercnt+10,1,,V$3)),24),"")</f>
        <v>3</v>
      </c>
      <c r="W56" s="46">
        <f ca="1">IF($D$2&gt;=(COLUMN()-10),HLOOKUP($B56,INDIRECT(ADDRESS(2,11,1,,W$3)):INDIRECT(ADDRESS(25,playercnt+10,1,,W$3)),24),"")</f>
        <v>4</v>
      </c>
      <c r="X56" s="47">
        <v>8</v>
      </c>
      <c r="Y56" s="14">
        <f t="shared" si="29"/>
        <v>49</v>
      </c>
    </row>
    <row r="57" spans="1:25" x14ac:dyDescent="0.25">
      <c r="A57" s="83">
        <f t="shared" si="19"/>
        <v>49</v>
      </c>
      <c r="B57" s="39" t="str">
        <f t="shared" ca="1" si="20"/>
        <v>Gilmer, Justin T</v>
      </c>
      <c r="C57" s="40">
        <f t="shared" si="21"/>
        <v>0</v>
      </c>
      <c r="D57" s="40">
        <f t="shared" si="22"/>
        <v>57</v>
      </c>
      <c r="E57" s="25">
        <f t="shared" si="23"/>
        <v>0.43846153846153846</v>
      </c>
      <c r="F57" s="11">
        <f t="shared" si="24"/>
        <v>16</v>
      </c>
      <c r="G57" s="16">
        <v>49</v>
      </c>
      <c r="H57" s="20">
        <f t="shared" si="25"/>
        <v>0</v>
      </c>
      <c r="I57" s="17">
        <f t="shared" ca="1" si="26"/>
        <v>7</v>
      </c>
      <c r="J57" s="17">
        <f t="shared" ca="1" si="27"/>
        <v>1</v>
      </c>
      <c r="K57" s="46">
        <f ca="1">IF($D$2&gt;=(COLUMN()-10),HLOOKUP($B57,INDIRECT(ADDRESS(2,11,1,,K$3)):INDIRECT(ADDRESS(25,playercnt+10,1,,K$3)),24),"")</f>
        <v>3</v>
      </c>
      <c r="L57" s="46">
        <f ca="1">IF($D$2&gt;=(COLUMN()-10),HLOOKUP($B57,INDIRECT(ADDRESS(2,11,1,,L$3)):INDIRECT(ADDRESS(25,playercnt+10,1,,L$3)),24),"")</f>
        <v>2</v>
      </c>
      <c r="M57" s="46">
        <f ca="1">IF($D$2&gt;=(COLUMN()-10),HLOOKUP($B57,INDIRECT(ADDRESS(2,11,1,,M$3)):INDIRECT(ADDRESS(25,playercnt+10,1,,M$3)),24),"")</f>
        <v>5</v>
      </c>
      <c r="N57" s="46">
        <f ca="1">IF($D$2&gt;=(COLUMN()-10),HLOOKUP($B57,INDIRECT(ADDRESS(2,11,1,,N$3)):INDIRECT(ADDRESS(25,playercnt+10,1,,N$3)),24),"")</f>
        <v>7</v>
      </c>
      <c r="O57" s="46">
        <f ca="1">IF($D$2&gt;=(COLUMN()-10),HLOOKUP($B57,INDIRECT(ADDRESS(2,11,1,,O$3)):INDIRECT(ADDRESS(25,playercnt+10,1,,O$3)),24),"")</f>
        <v>4</v>
      </c>
      <c r="P57" s="46">
        <f ca="1">IF($D$2&gt;=(COLUMN()-10),HLOOKUP($B57,INDIRECT(ADDRESS(2,11,1,,P$3)):INDIRECT(ADDRESS(25,playercnt+10,1,,P$3)),24),"")</f>
        <v>7</v>
      </c>
      <c r="Q57" s="46">
        <f ca="1">IF($D$2&gt;=(COLUMN()-10),HLOOKUP($B57,INDIRECT(ADDRESS(2,11,1,,Q$3)):INDIRECT(ADDRESS(25,playercnt+10,1,,Q$3)),24),"")</f>
        <v>6</v>
      </c>
      <c r="R57" s="46">
        <f ca="1">IF($D$2&gt;=(COLUMN()-10),HLOOKUP($B57,INDIRECT(ADDRESS(2,11,1,,R$3)):INDIRECT(ADDRESS(25,playercnt+10,1,,R$3)),24),"")</f>
        <v>6</v>
      </c>
      <c r="S57" s="46">
        <f ca="1">IF($D$2&gt;=(COLUMN()-10),HLOOKUP($B57,INDIRECT(ADDRESS(2,11,1,,S$3)):INDIRECT(ADDRESS(25,playercnt+10,1,,S$3)),24),"")</f>
        <v>3</v>
      </c>
      <c r="T57" s="46">
        <f ca="1">IF($D$2&gt;=(COLUMN()-10),HLOOKUP($B57,INDIRECT(ADDRESS(2,11,1,,T$3)):INDIRECT(ADDRESS(25,playercnt+10,1,,T$3)),24),"")</f>
        <v>5</v>
      </c>
      <c r="U57" s="46">
        <f ca="1">IF($D$2&gt;=(COLUMN()-10),HLOOKUP($B57,INDIRECT(ADDRESS(2,11,1,,U$3)):INDIRECT(ADDRESS(25,playercnt+10,1,,U$3)),24),"")</f>
        <v>1</v>
      </c>
      <c r="V57" s="46">
        <f ca="1">IF($D$2&gt;=(COLUMN()-10),HLOOKUP($B57,INDIRECT(ADDRESS(2,11,1,,V$3)):INDIRECT(ADDRESS(25,playercnt+10,1,,V$3)),24),"")</f>
        <v>4</v>
      </c>
      <c r="W57" s="46">
        <f ca="1">IF($D$2&gt;=(COLUMN()-10),HLOOKUP($B57,INDIRECT(ADDRESS(2,11,1,,W$3)):INDIRECT(ADDRESS(25,playercnt+10,1,,W$3)),24),"")</f>
        <v>4</v>
      </c>
      <c r="X57" s="47">
        <v>15</v>
      </c>
      <c r="Y57" s="14">
        <f t="shared" ref="Y57:Y63" si="30">Y56+1</f>
        <v>50</v>
      </c>
    </row>
    <row r="58" spans="1:25" x14ac:dyDescent="0.25">
      <c r="A58" s="83">
        <f t="shared" si="19"/>
        <v>49</v>
      </c>
      <c r="B58" s="39" t="str">
        <f t="shared" ca="1" si="20"/>
        <v>Puga, Moises</v>
      </c>
      <c r="C58" s="40">
        <f t="shared" si="21"/>
        <v>0</v>
      </c>
      <c r="D58" s="40">
        <f t="shared" si="22"/>
        <v>57</v>
      </c>
      <c r="E58" s="25">
        <f t="shared" si="23"/>
        <v>0.43846153846153846</v>
      </c>
      <c r="F58" s="11">
        <f t="shared" si="24"/>
        <v>16</v>
      </c>
      <c r="G58" s="43">
        <v>48</v>
      </c>
      <c r="H58" s="20">
        <f t="shared" si="25"/>
        <v>-1</v>
      </c>
      <c r="I58" s="17">
        <f t="shared" ca="1" si="26"/>
        <v>8</v>
      </c>
      <c r="J58" s="17">
        <f t="shared" ca="1" si="27"/>
        <v>2</v>
      </c>
      <c r="K58" s="46">
        <f ca="1">IF($D$2&gt;=(COLUMN()-10),HLOOKUP($B58,INDIRECT(ADDRESS(2,11,1,,K$3)):INDIRECT(ADDRESS(25,playercnt+10,1,,K$3)),24),"")</f>
        <v>4</v>
      </c>
      <c r="L58" s="46">
        <f ca="1">IF($D$2&gt;=(COLUMN()-10),HLOOKUP($B58,INDIRECT(ADDRESS(2,11,1,,L$3)):INDIRECT(ADDRESS(25,playercnt+10,1,,L$3)),24),"")</f>
        <v>3</v>
      </c>
      <c r="M58" s="46">
        <f ca="1">IF($D$2&gt;=(COLUMN()-10),HLOOKUP($B58,INDIRECT(ADDRESS(2,11,1,,M$3)):INDIRECT(ADDRESS(25,playercnt+10,1,,M$3)),24),"")</f>
        <v>8</v>
      </c>
      <c r="N58" s="46">
        <f ca="1">IF($D$2&gt;=(COLUMN()-10),HLOOKUP($B58,INDIRECT(ADDRESS(2,11,1,,N$3)):INDIRECT(ADDRESS(25,playercnt+10,1,,N$3)),24),"")</f>
        <v>4</v>
      </c>
      <c r="O58" s="46">
        <f ca="1">IF($D$2&gt;=(COLUMN()-10),HLOOKUP($B58,INDIRECT(ADDRESS(2,11,1,,O$3)):INDIRECT(ADDRESS(25,playercnt+10,1,,O$3)),24),"")</f>
        <v>3</v>
      </c>
      <c r="P58" s="46">
        <f ca="1">IF($D$2&gt;=(COLUMN()-10),HLOOKUP($B58,INDIRECT(ADDRESS(2,11,1,,P$3)):INDIRECT(ADDRESS(25,playercnt+10,1,,P$3)),24),"")</f>
        <v>6</v>
      </c>
      <c r="Q58" s="46">
        <f ca="1">IF($D$2&gt;=(COLUMN()-10),HLOOKUP($B58,INDIRECT(ADDRESS(2,11,1,,Q$3)):INDIRECT(ADDRESS(25,playercnt+10,1,,Q$3)),24),"")</f>
        <v>4</v>
      </c>
      <c r="R58" s="46">
        <f ca="1">IF($D$2&gt;=(COLUMN()-10),HLOOKUP($B58,INDIRECT(ADDRESS(2,11,1,,R$3)):INDIRECT(ADDRESS(25,playercnt+10,1,,R$3)),24),"")</f>
        <v>4</v>
      </c>
      <c r="S58" s="46">
        <f ca="1">IF($D$2&gt;=(COLUMN()-10),HLOOKUP($B58,INDIRECT(ADDRESS(2,11,1,,S$3)):INDIRECT(ADDRESS(25,playercnt+10,1,,S$3)),24),"")</f>
        <v>5</v>
      </c>
      <c r="T58" s="46">
        <f ca="1">IF($D$2&gt;=(COLUMN()-10),HLOOKUP($B58,INDIRECT(ADDRESS(2,11,1,,T$3)):INDIRECT(ADDRESS(25,playercnt+10,1,,T$3)),24),"")</f>
        <v>7</v>
      </c>
      <c r="U58" s="46">
        <f ca="1">IF($D$2&gt;=(COLUMN()-10),HLOOKUP($B58,INDIRECT(ADDRESS(2,11,1,,U$3)):INDIRECT(ADDRESS(25,playercnt+10,1,,U$3)),24),"")</f>
        <v>3</v>
      </c>
      <c r="V58" s="46">
        <f ca="1">IF($D$2&gt;=(COLUMN()-10),HLOOKUP($B58,INDIRECT(ADDRESS(2,11,1,,V$3)):INDIRECT(ADDRESS(25,playercnt+10,1,,V$3)),24),"")</f>
        <v>4</v>
      </c>
      <c r="W58" s="46">
        <f ca="1">IF($D$2&gt;=(COLUMN()-10),HLOOKUP($B58,INDIRECT(ADDRESS(2,11,1,,W$3)):INDIRECT(ADDRESS(25,playercnt+10,1,,W$3)),24),"")</f>
        <v>2</v>
      </c>
      <c r="X58" s="47">
        <v>38</v>
      </c>
      <c r="Y58" s="14">
        <f t="shared" si="30"/>
        <v>51</v>
      </c>
    </row>
    <row r="59" spans="1:25" x14ac:dyDescent="0.25">
      <c r="A59" s="83">
        <f t="shared" si="19"/>
        <v>52</v>
      </c>
      <c r="B59" s="39" t="str">
        <f t="shared" ca="1" si="20"/>
        <v>Nagorniak, Kristen M</v>
      </c>
      <c r="C59" s="40">
        <f t="shared" si="21"/>
        <v>0</v>
      </c>
      <c r="D59" s="40">
        <f t="shared" si="22"/>
        <v>56</v>
      </c>
      <c r="E59" s="25">
        <f t="shared" si="23"/>
        <v>0.43076923076923079</v>
      </c>
      <c r="F59" s="11">
        <f t="shared" si="24"/>
        <v>17</v>
      </c>
      <c r="G59" s="16">
        <v>53</v>
      </c>
      <c r="H59" s="20">
        <f t="shared" si="25"/>
        <v>1</v>
      </c>
      <c r="I59" s="17">
        <f t="shared" ca="1" si="26"/>
        <v>7</v>
      </c>
      <c r="J59" s="17">
        <f t="shared" ca="1" si="27"/>
        <v>1</v>
      </c>
      <c r="K59" s="46">
        <f ca="1">IF($D$2&gt;=(COLUMN()-10),HLOOKUP($B59,INDIRECT(ADDRESS(2,11,1,,K$3)):INDIRECT(ADDRESS(25,playercnt+10,1,,K$3)),24),"")</f>
        <v>6</v>
      </c>
      <c r="L59" s="46">
        <f ca="1">IF($D$2&gt;=(COLUMN()-10),HLOOKUP($B59,INDIRECT(ADDRESS(2,11,1,,L$3)):INDIRECT(ADDRESS(25,playercnt+10,1,,L$3)),24),"")</f>
        <v>7</v>
      </c>
      <c r="M59" s="46">
        <f ca="1">IF($D$2&gt;=(COLUMN()-10),HLOOKUP($B59,INDIRECT(ADDRESS(2,11,1,,M$3)):INDIRECT(ADDRESS(25,playercnt+10,1,,M$3)),24),"")</f>
        <v>5</v>
      </c>
      <c r="N59" s="46">
        <f ca="1">IF($D$2&gt;=(COLUMN()-10),HLOOKUP($B59,INDIRECT(ADDRESS(2,11,1,,N$3)):INDIRECT(ADDRESS(25,playercnt+10,1,,N$3)),24),"")</f>
        <v>5</v>
      </c>
      <c r="O59" s="46">
        <f ca="1">IF($D$2&gt;=(COLUMN()-10),HLOOKUP($B59,INDIRECT(ADDRESS(2,11,1,,O$3)):INDIRECT(ADDRESS(25,playercnt+10,1,,O$3)),24),"")</f>
        <v>4</v>
      </c>
      <c r="P59" s="46">
        <f ca="1">IF($D$2&gt;=(COLUMN()-10),HLOOKUP($B59,INDIRECT(ADDRESS(2,11,1,,P$3)):INDIRECT(ADDRESS(25,playercnt+10,1,,P$3)),24),"")</f>
        <v>4</v>
      </c>
      <c r="Q59" s="46">
        <f ca="1">IF($D$2&gt;=(COLUMN()-10),HLOOKUP($B59,INDIRECT(ADDRESS(2,11,1,,Q$3)):INDIRECT(ADDRESS(25,playercnt+10,1,,Q$3)),24),"")</f>
        <v>2</v>
      </c>
      <c r="R59" s="46">
        <f ca="1">IF($D$2&gt;=(COLUMN()-10),HLOOKUP($B59,INDIRECT(ADDRESS(2,11,1,,R$3)):INDIRECT(ADDRESS(25,playercnt+10,1,,R$3)),24),"")</f>
        <v>3</v>
      </c>
      <c r="S59" s="46">
        <f ca="1">IF($D$2&gt;=(COLUMN()-10),HLOOKUP($B59,INDIRECT(ADDRESS(2,11,1,,S$3)):INDIRECT(ADDRESS(25,playercnt+10,1,,S$3)),24),"")</f>
        <v>2</v>
      </c>
      <c r="T59" s="46">
        <f ca="1">IF($D$2&gt;=(COLUMN()-10),HLOOKUP($B59,INDIRECT(ADDRESS(2,11,1,,T$3)):INDIRECT(ADDRESS(25,playercnt+10,1,,T$3)),24),"")</f>
        <v>6</v>
      </c>
      <c r="U59" s="46">
        <f ca="1">IF($D$2&gt;=(COLUMN()-10),HLOOKUP($B59,INDIRECT(ADDRESS(2,11,1,,U$3)):INDIRECT(ADDRESS(25,playercnt+10,1,,U$3)),24),"")</f>
        <v>1</v>
      </c>
      <c r="V59" s="46">
        <f ca="1">IF($D$2&gt;=(COLUMN()-10),HLOOKUP($B59,INDIRECT(ADDRESS(2,11,1,,V$3)):INDIRECT(ADDRESS(25,playercnt+10,1,,V$3)),24),"")</f>
        <v>7</v>
      </c>
      <c r="W59" s="46">
        <f ca="1">IF($D$2&gt;=(COLUMN()-10),HLOOKUP($B59,INDIRECT(ADDRESS(2,11,1,,W$3)):INDIRECT(ADDRESS(25,playercnt+10,1,,W$3)),24),"")</f>
        <v>4</v>
      </c>
      <c r="X59" s="47">
        <v>33</v>
      </c>
      <c r="Y59" s="14">
        <f t="shared" si="30"/>
        <v>52</v>
      </c>
    </row>
    <row r="60" spans="1:25" x14ac:dyDescent="0.25">
      <c r="A60" s="83">
        <f t="shared" si="19"/>
        <v>53</v>
      </c>
      <c r="B60" s="39" t="str">
        <f t="shared" ca="1" si="20"/>
        <v>Holley, Jeremy Remote</v>
      </c>
      <c r="C60" s="40">
        <f t="shared" si="21"/>
        <v>0</v>
      </c>
      <c r="D60" s="40">
        <f t="shared" si="22"/>
        <v>55</v>
      </c>
      <c r="E60" s="25">
        <f t="shared" si="23"/>
        <v>0.42307692307692307</v>
      </c>
      <c r="F60" s="11">
        <f t="shared" si="24"/>
        <v>18</v>
      </c>
      <c r="G60" s="43">
        <v>55</v>
      </c>
      <c r="H60" s="20">
        <f t="shared" si="25"/>
        <v>2</v>
      </c>
      <c r="I60" s="17">
        <f t="shared" ca="1" si="26"/>
        <v>6</v>
      </c>
      <c r="J60" s="17">
        <f t="shared" ca="1" si="27"/>
        <v>1</v>
      </c>
      <c r="K60" s="46">
        <f ca="1">IF($D$2&gt;=(COLUMN()-10),HLOOKUP($B60,INDIRECT(ADDRESS(2,11,1,,K$3)):INDIRECT(ADDRESS(25,playercnt+10,1,,K$3)),24),"")</f>
        <v>5</v>
      </c>
      <c r="L60" s="46">
        <f ca="1">IF($D$2&gt;=(COLUMN()-10),HLOOKUP($B60,INDIRECT(ADDRESS(2,11,1,,L$3)):INDIRECT(ADDRESS(25,playercnt+10,1,,L$3)),24),"")</f>
        <v>6</v>
      </c>
      <c r="M60" s="46">
        <f ca="1">IF($D$2&gt;=(COLUMN()-10),HLOOKUP($B60,INDIRECT(ADDRESS(2,11,1,,M$3)):INDIRECT(ADDRESS(25,playercnt+10,1,,M$3)),24),"")</f>
        <v>6</v>
      </c>
      <c r="N60" s="46">
        <f ca="1">IF($D$2&gt;=(COLUMN()-10),HLOOKUP($B60,INDIRECT(ADDRESS(2,11,1,,N$3)):INDIRECT(ADDRESS(25,playercnt+10,1,,N$3)),24),"")</f>
        <v>5</v>
      </c>
      <c r="O60" s="46">
        <f ca="1">IF($D$2&gt;=(COLUMN()-10),HLOOKUP($B60,INDIRECT(ADDRESS(2,11,1,,O$3)):INDIRECT(ADDRESS(25,playercnt+10,1,,O$3)),24),"")</f>
        <v>1</v>
      </c>
      <c r="P60" s="46">
        <f ca="1">IF($D$2&gt;=(COLUMN()-10),HLOOKUP($B60,INDIRECT(ADDRESS(2,11,1,,P$3)):INDIRECT(ADDRESS(25,playercnt+10,1,,P$3)),24),"")</f>
        <v>5</v>
      </c>
      <c r="Q60" s="46">
        <f ca="1">IF($D$2&gt;=(COLUMN()-10),HLOOKUP($B60,INDIRECT(ADDRESS(2,11,1,,Q$3)):INDIRECT(ADDRESS(25,playercnt+10,1,,Q$3)),24),"")</f>
        <v>4</v>
      </c>
      <c r="R60" s="46">
        <f ca="1">IF($D$2&gt;=(COLUMN()-10),HLOOKUP($B60,INDIRECT(ADDRESS(2,11,1,,R$3)):INDIRECT(ADDRESS(25,playercnt+10,1,,R$3)),24),"")</f>
        <v>6</v>
      </c>
      <c r="S60" s="46">
        <f ca="1">IF($D$2&gt;=(COLUMN()-10),HLOOKUP($B60,INDIRECT(ADDRESS(2,11,1,,S$3)):INDIRECT(ADDRESS(25,playercnt+10,1,,S$3)),24),"")</f>
        <v>4</v>
      </c>
      <c r="T60" s="46">
        <f ca="1">IF($D$2&gt;=(COLUMN()-10),HLOOKUP($B60,INDIRECT(ADDRESS(2,11,1,,T$3)):INDIRECT(ADDRESS(25,playercnt+10,1,,T$3)),24),"")</f>
        <v>3</v>
      </c>
      <c r="U60" s="46">
        <f ca="1">IF($D$2&gt;=(COLUMN()-10),HLOOKUP($B60,INDIRECT(ADDRESS(2,11,1,,U$3)):INDIRECT(ADDRESS(25,playercnt+10,1,,U$3)),24),"")</f>
        <v>4</v>
      </c>
      <c r="V60" s="46">
        <f ca="1">IF($D$2&gt;=(COLUMN()-10),HLOOKUP($B60,INDIRECT(ADDRESS(2,11,1,,V$3)):INDIRECT(ADDRESS(25,playercnt+10,1,,V$3)),24),"")</f>
        <v>1</v>
      </c>
      <c r="W60" s="46">
        <f ca="1">IF($D$2&gt;=(COLUMN()-10),HLOOKUP($B60,INDIRECT(ADDRESS(2,11,1,,W$3)):INDIRECT(ADDRESS(25,playercnt+10,1,,W$3)),24),"")</f>
        <v>5</v>
      </c>
      <c r="X60" s="47">
        <v>21</v>
      </c>
      <c r="Y60" s="14">
        <f t="shared" si="30"/>
        <v>53</v>
      </c>
    </row>
    <row r="61" spans="1:25" x14ac:dyDescent="0.25">
      <c r="A61" s="83">
        <f t="shared" si="19"/>
        <v>53</v>
      </c>
      <c r="B61" s="39" t="str">
        <f t="shared" ca="1" si="20"/>
        <v>Johnson, Robert J</v>
      </c>
      <c r="C61" s="40">
        <f t="shared" si="21"/>
        <v>0</v>
      </c>
      <c r="D61" s="40">
        <f t="shared" si="22"/>
        <v>55</v>
      </c>
      <c r="E61" s="25">
        <f t="shared" si="23"/>
        <v>0.42307692307692307</v>
      </c>
      <c r="F61" s="11">
        <f t="shared" si="24"/>
        <v>18</v>
      </c>
      <c r="G61" s="16">
        <v>49</v>
      </c>
      <c r="H61" s="20">
        <f t="shared" si="25"/>
        <v>-4</v>
      </c>
      <c r="I61" s="17">
        <f t="shared" ca="1" si="26"/>
        <v>7</v>
      </c>
      <c r="J61" s="17">
        <f t="shared" ca="1" si="27"/>
        <v>2</v>
      </c>
      <c r="K61" s="46">
        <f ca="1">IF($D$2&gt;=(COLUMN()-10),HLOOKUP($B61,INDIRECT(ADDRESS(2,11,1,,K$3)):INDIRECT(ADDRESS(25,playercnt+10,1,,K$3)),24),"")</f>
        <v>2</v>
      </c>
      <c r="L61" s="46">
        <f ca="1">IF($D$2&gt;=(COLUMN()-10),HLOOKUP($B61,INDIRECT(ADDRESS(2,11,1,,L$3)):INDIRECT(ADDRESS(25,playercnt+10,1,,L$3)),24),"")</f>
        <v>4</v>
      </c>
      <c r="M61" s="46">
        <f ca="1">IF($D$2&gt;=(COLUMN()-10),HLOOKUP($B61,INDIRECT(ADDRESS(2,11,1,,M$3)):INDIRECT(ADDRESS(25,playercnt+10,1,,M$3)),24),"")</f>
        <v>5</v>
      </c>
      <c r="N61" s="46">
        <f ca="1">IF($D$2&gt;=(COLUMN()-10),HLOOKUP($B61,INDIRECT(ADDRESS(2,11,1,,N$3)):INDIRECT(ADDRESS(25,playercnt+10,1,,N$3)),24),"")</f>
        <v>7</v>
      </c>
      <c r="O61" s="46">
        <f ca="1">IF($D$2&gt;=(COLUMN()-10),HLOOKUP($B61,INDIRECT(ADDRESS(2,11,1,,O$3)):INDIRECT(ADDRESS(25,playercnt+10,1,,O$3)),24),"")</f>
        <v>5</v>
      </c>
      <c r="P61" s="46">
        <f ca="1">IF($D$2&gt;=(COLUMN()-10),HLOOKUP($B61,INDIRECT(ADDRESS(2,11,1,,P$3)):INDIRECT(ADDRESS(25,playercnt+10,1,,P$3)),24),"")</f>
        <v>3</v>
      </c>
      <c r="Q61" s="46">
        <f ca="1">IF($D$2&gt;=(COLUMN()-10),HLOOKUP($B61,INDIRECT(ADDRESS(2,11,1,,Q$3)):INDIRECT(ADDRESS(25,playercnt+10,1,,Q$3)),24),"")</f>
        <v>4</v>
      </c>
      <c r="R61" s="46">
        <f ca="1">IF($D$2&gt;=(COLUMN()-10),HLOOKUP($B61,INDIRECT(ADDRESS(2,11,1,,R$3)):INDIRECT(ADDRESS(25,playercnt+10,1,,R$3)),24),"")</f>
        <v>4</v>
      </c>
      <c r="S61" s="46">
        <f ca="1">IF($D$2&gt;=(COLUMN()-10),HLOOKUP($B61,INDIRECT(ADDRESS(2,11,1,,S$3)):INDIRECT(ADDRESS(25,playercnt+10,1,,S$3)),24),"")</f>
        <v>4</v>
      </c>
      <c r="T61" s="46">
        <f ca="1">IF($D$2&gt;=(COLUMN()-10),HLOOKUP($B61,INDIRECT(ADDRESS(2,11,1,,T$3)):INDIRECT(ADDRESS(25,playercnt+10,1,,T$3)),24),"")</f>
        <v>5</v>
      </c>
      <c r="U61" s="46">
        <f ca="1">IF($D$2&gt;=(COLUMN()-10),HLOOKUP($B61,INDIRECT(ADDRESS(2,11,1,,U$3)):INDIRECT(ADDRESS(25,playercnt+10,1,,U$3)),24),"")</f>
        <v>5</v>
      </c>
      <c r="V61" s="46">
        <f ca="1">IF($D$2&gt;=(COLUMN()-10),HLOOKUP($B61,INDIRECT(ADDRESS(2,11,1,,V$3)):INDIRECT(ADDRESS(25,playercnt+10,1,,V$3)),24),"")</f>
        <v>5</v>
      </c>
      <c r="W61" s="46">
        <f ca="1">IF($D$2&gt;=(COLUMN()-10),HLOOKUP($B61,INDIRECT(ADDRESS(2,11,1,,W$3)):INDIRECT(ADDRESS(25,playercnt+10,1,,W$3)),24),"")</f>
        <v>2</v>
      </c>
      <c r="X61" s="47">
        <v>25</v>
      </c>
      <c r="Y61" s="14">
        <f t="shared" si="30"/>
        <v>54</v>
      </c>
    </row>
    <row r="62" spans="1:25" x14ac:dyDescent="0.25">
      <c r="A62" s="83">
        <f t="shared" si="19"/>
        <v>55</v>
      </c>
      <c r="B62" s="39" t="str">
        <f t="shared" ca="1" si="20"/>
        <v>Redys, David Remote</v>
      </c>
      <c r="C62" s="40">
        <f t="shared" si="21"/>
        <v>0</v>
      </c>
      <c r="D62" s="40">
        <f t="shared" si="22"/>
        <v>53</v>
      </c>
      <c r="E62" s="25">
        <f t="shared" si="23"/>
        <v>0.40769230769230769</v>
      </c>
      <c r="F62" s="11">
        <f t="shared" si="24"/>
        <v>20</v>
      </c>
      <c r="G62" s="43">
        <v>54</v>
      </c>
      <c r="H62" s="20">
        <f t="shared" si="25"/>
        <v>-1</v>
      </c>
      <c r="I62" s="17">
        <f t="shared" ca="1" si="26"/>
        <v>9</v>
      </c>
      <c r="J62" s="17">
        <f t="shared" ca="1" si="27"/>
        <v>2</v>
      </c>
      <c r="K62" s="46">
        <f ca="1">IF($D$2&gt;=(COLUMN()-10),HLOOKUP($B62,INDIRECT(ADDRESS(2,11,1,,K$3)):INDIRECT(ADDRESS(25,playercnt+10,1,,K$3)),24),"")</f>
        <v>4</v>
      </c>
      <c r="L62" s="46">
        <f ca="1">IF($D$2&gt;=(COLUMN()-10),HLOOKUP($B62,INDIRECT(ADDRESS(2,11,1,,L$3)):INDIRECT(ADDRESS(25,playercnt+10,1,,L$3)),24),"")</f>
        <v>2</v>
      </c>
      <c r="M62" s="46">
        <f ca="1">IF($D$2&gt;=(COLUMN()-10),HLOOKUP($B62,INDIRECT(ADDRESS(2,11,1,,M$3)):INDIRECT(ADDRESS(25,playercnt+10,1,,M$3)),24),"")</f>
        <v>4</v>
      </c>
      <c r="N62" s="46">
        <f ca="1">IF($D$2&gt;=(COLUMN()-10),HLOOKUP($B62,INDIRECT(ADDRESS(2,11,1,,N$3)):INDIRECT(ADDRESS(25,playercnt+10,1,,N$3)),24),"")</f>
        <v>5</v>
      </c>
      <c r="O62" s="46">
        <f ca="1">IF($D$2&gt;=(COLUMN()-10),HLOOKUP($B62,INDIRECT(ADDRESS(2,11,1,,O$3)):INDIRECT(ADDRESS(25,playercnt+10,1,,O$3)),24),"")</f>
        <v>9</v>
      </c>
      <c r="P62" s="46">
        <f ca="1">IF($D$2&gt;=(COLUMN()-10),HLOOKUP($B62,INDIRECT(ADDRESS(2,11,1,,P$3)):INDIRECT(ADDRESS(25,playercnt+10,1,,P$3)),24),"")</f>
        <v>6</v>
      </c>
      <c r="Q62" s="46">
        <f ca="1">IF($D$2&gt;=(COLUMN()-10),HLOOKUP($B62,INDIRECT(ADDRESS(2,11,1,,Q$3)):INDIRECT(ADDRESS(25,playercnt+10,1,,Q$3)),24),"")</f>
        <v>2</v>
      </c>
      <c r="R62" s="46">
        <f ca="1">IF($D$2&gt;=(COLUMN()-10),HLOOKUP($B62,INDIRECT(ADDRESS(2,11,1,,R$3)):INDIRECT(ADDRESS(25,playercnt+10,1,,R$3)),24),"")</f>
        <v>3</v>
      </c>
      <c r="S62" s="46">
        <f ca="1">IF($D$2&gt;=(COLUMN()-10),HLOOKUP($B62,INDIRECT(ADDRESS(2,11,1,,S$3)):INDIRECT(ADDRESS(25,playercnt+10,1,,S$3)),24),"")</f>
        <v>3</v>
      </c>
      <c r="T62" s="46">
        <f ca="1">IF($D$2&gt;=(COLUMN()-10),HLOOKUP($B62,INDIRECT(ADDRESS(2,11,1,,T$3)):INDIRECT(ADDRESS(25,playercnt+10,1,,T$3)),24),"")</f>
        <v>5</v>
      </c>
      <c r="U62" s="46">
        <f ca="1">IF($D$2&gt;=(COLUMN()-10),HLOOKUP($B62,INDIRECT(ADDRESS(2,11,1,,U$3)):INDIRECT(ADDRESS(25,playercnt+10,1,,U$3)),24),"")</f>
        <v>4</v>
      </c>
      <c r="V62" s="46">
        <f ca="1">IF($D$2&gt;=(COLUMN()-10),HLOOKUP($B62,INDIRECT(ADDRESS(2,11,1,,V$3)):INDIRECT(ADDRESS(25,playercnt+10,1,,V$3)),24),"")</f>
        <v>4</v>
      </c>
      <c r="W62" s="46">
        <f ca="1">IF($D$2&gt;=(COLUMN()-10),HLOOKUP($B62,INDIRECT(ADDRESS(2,11,1,,W$3)):INDIRECT(ADDRESS(25,playercnt+10,1,,W$3)),24),"")</f>
        <v>2</v>
      </c>
      <c r="X62" s="47">
        <v>40</v>
      </c>
      <c r="Y62" s="14">
        <f t="shared" si="30"/>
        <v>55</v>
      </c>
    </row>
    <row r="63" spans="1:25" x14ac:dyDescent="0.25">
      <c r="A63" s="83">
        <f t="shared" si="19"/>
        <v>56</v>
      </c>
      <c r="B63" s="39" t="str">
        <f t="shared" ca="1" si="20"/>
        <v>Shuey, Jeffrey M</v>
      </c>
      <c r="C63" s="40">
        <f t="shared" si="21"/>
        <v>0</v>
      </c>
      <c r="D63" s="40">
        <f t="shared" si="22"/>
        <v>51</v>
      </c>
      <c r="E63" s="25">
        <f t="shared" si="23"/>
        <v>0.3923076923076923</v>
      </c>
      <c r="F63" s="11">
        <f t="shared" si="24"/>
        <v>22</v>
      </c>
      <c r="G63" s="16">
        <v>56</v>
      </c>
      <c r="H63" s="20">
        <f t="shared" si="25"/>
        <v>0</v>
      </c>
      <c r="I63" s="17">
        <f t="shared" ca="1" si="26"/>
        <v>6</v>
      </c>
      <c r="J63" s="17">
        <f t="shared" ca="1" si="27"/>
        <v>2</v>
      </c>
      <c r="K63" s="46">
        <f ca="1">IF($D$2&gt;=(COLUMN()-10),HLOOKUP($B63,INDIRECT(ADDRESS(2,11,1,,K$3)):INDIRECT(ADDRESS(25,playercnt+10,1,,K$3)),24),"")</f>
        <v>5</v>
      </c>
      <c r="L63" s="46">
        <f ca="1">IF($D$2&gt;=(COLUMN()-10),HLOOKUP($B63,INDIRECT(ADDRESS(2,11,1,,L$3)):INDIRECT(ADDRESS(25,playercnt+10,1,,L$3)),24),"")</f>
        <v>2</v>
      </c>
      <c r="M63" s="46">
        <f ca="1">IF($D$2&gt;=(COLUMN()-10),HLOOKUP($B63,INDIRECT(ADDRESS(2,11,1,,M$3)):INDIRECT(ADDRESS(25,playercnt+10,1,,M$3)),24),"")</f>
        <v>3</v>
      </c>
      <c r="N63" s="46">
        <f ca="1">IF($D$2&gt;=(COLUMN()-10),HLOOKUP($B63,INDIRECT(ADDRESS(2,11,1,,N$3)):INDIRECT(ADDRESS(25,playercnt+10,1,,N$3)),24),"")</f>
        <v>2</v>
      </c>
      <c r="O63" s="46">
        <f ca="1">IF($D$2&gt;=(COLUMN()-10),HLOOKUP($B63,INDIRECT(ADDRESS(2,11,1,,O$3)):INDIRECT(ADDRESS(25,playercnt+10,1,,O$3)),24),"")</f>
        <v>6</v>
      </c>
      <c r="P63" s="46">
        <f ca="1">IF($D$2&gt;=(COLUMN()-10),HLOOKUP($B63,INDIRECT(ADDRESS(2,11,1,,P$3)):INDIRECT(ADDRESS(25,playercnt+10,1,,P$3)),24),"")</f>
        <v>4</v>
      </c>
      <c r="Q63" s="46">
        <f ca="1">IF($D$2&gt;=(COLUMN()-10),HLOOKUP($B63,INDIRECT(ADDRESS(2,11,1,,Q$3)):INDIRECT(ADDRESS(25,playercnt+10,1,,Q$3)),24),"")</f>
        <v>4</v>
      </c>
      <c r="R63" s="46">
        <f ca="1">IF($D$2&gt;=(COLUMN()-10),HLOOKUP($B63,INDIRECT(ADDRESS(2,11,1,,R$3)):INDIRECT(ADDRESS(25,playercnt+10,1,,R$3)),24),"")</f>
        <v>5</v>
      </c>
      <c r="S63" s="46">
        <f ca="1">IF($D$2&gt;=(COLUMN()-10),HLOOKUP($B63,INDIRECT(ADDRESS(2,11,1,,S$3)):INDIRECT(ADDRESS(25,playercnt+10,1,,S$3)),24),"")</f>
        <v>6</v>
      </c>
      <c r="T63" s="46">
        <f ca="1">IF($D$2&gt;=(COLUMN()-10),HLOOKUP($B63,INDIRECT(ADDRESS(2,11,1,,T$3)):INDIRECT(ADDRESS(25,playercnt+10,1,,T$3)),24),"")</f>
        <v>5</v>
      </c>
      <c r="U63" s="46">
        <f ca="1">IF($D$2&gt;=(COLUMN()-10),HLOOKUP($B63,INDIRECT(ADDRESS(2,11,1,,U$3)):INDIRECT(ADDRESS(25,playercnt+10,1,,U$3)),24),"")</f>
        <v>4</v>
      </c>
      <c r="V63" s="46">
        <f ca="1">IF($D$2&gt;=(COLUMN()-10),HLOOKUP($B63,INDIRECT(ADDRESS(2,11,1,,V$3)):INDIRECT(ADDRESS(25,playercnt+10,1,,V$3)),24),"")</f>
        <v>3</v>
      </c>
      <c r="W63" s="46">
        <f ca="1">IF($D$2&gt;=(COLUMN()-10),HLOOKUP($B63,INDIRECT(ADDRESS(2,11,1,,W$3)):INDIRECT(ADDRESS(25,playercnt+10,1,,W$3)),24),"")</f>
        <v>2</v>
      </c>
      <c r="X63" s="47">
        <v>46</v>
      </c>
      <c r="Y63" s="14">
        <f t="shared" si="30"/>
        <v>56</v>
      </c>
    </row>
  </sheetData>
  <sortState ref="A8:X63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3">
    <cfRule type="expression" dxfId="419" priority="1" stopIfTrue="1">
      <formula>INDIRECT(ADDRESS(28,10+$X8,,,K$3))=1</formula>
    </cfRule>
    <cfRule type="cellIs" dxfId="418" priority="2" stopIfTrue="1" operator="between">
      <formula>10</formula>
      <formula>7</formula>
    </cfRule>
    <cfRule type="cellIs" dxfId="41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15240</xdr:colOff>
                    <xdr:row>0</xdr:row>
                    <xdr:rowOff>15240</xdr:rowOff>
                  </from>
                  <to>
                    <xdr:col>13</xdr:col>
                    <xdr:colOff>91440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15240</xdr:colOff>
                    <xdr:row>0</xdr:row>
                    <xdr:rowOff>22860</xdr:rowOff>
                  </from>
                  <to>
                    <xdr:col>21</xdr:col>
                    <xdr:colOff>7620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91440</xdr:colOff>
                    <xdr:row>0</xdr:row>
                    <xdr:rowOff>15240</xdr:rowOff>
                  </from>
                  <to>
                    <xdr:col>26</xdr:col>
                    <xdr:colOff>472440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O31"/>
  <sheetViews>
    <sheetView tabSelected="1" zoomScale="75" zoomScaleNormal="75" workbookViewId="0">
      <pane ySplit="2736" topLeftCell="A32"/>
      <selection activeCell="AK2" sqref="AK2"/>
      <selection pane="bottomLeft" activeCell="BQ44" sqref="BQ44"/>
    </sheetView>
  </sheetViews>
  <sheetFormatPr defaultRowHeight="13.2" x14ac:dyDescent="0.25"/>
  <cols>
    <col min="1" max="1" width="7.5546875" customWidth="1"/>
    <col min="2" max="4" width="3" customWidth="1"/>
    <col min="5" max="5" width="4.88671875" bestFit="1" customWidth="1"/>
    <col min="6" max="6" width="5.88671875" bestFit="1" customWidth="1"/>
    <col min="7" max="26" width="3.33203125" customWidth="1"/>
    <col min="27" max="29" width="3" customWidth="1"/>
    <col min="30" max="30" width="3.44140625" customWidth="1"/>
    <col min="31" max="34" width="3" customWidth="1"/>
    <col min="35" max="35" width="3.88671875" customWidth="1"/>
    <col min="36" max="51" width="3" customWidth="1"/>
    <col min="52" max="67" width="3.33203125" customWidth="1"/>
  </cols>
  <sheetData>
    <row r="1" spans="1:67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0</v>
      </c>
    </row>
    <row r="2" spans="1:67" ht="138" customHeight="1" x14ac:dyDescent="0.25">
      <c r="A2" s="56">
        <f>weekcnt</f>
        <v>13</v>
      </c>
      <c r="B2" s="56">
        <f>COUNTA(K2:BO2)</f>
        <v>56</v>
      </c>
      <c r="E2" s="23">
        <v>0.55384615384615388</v>
      </c>
      <c r="F2" s="23">
        <f>79/130</f>
        <v>0.60769230769230764</v>
      </c>
      <c r="G2" s="31" t="s">
        <v>53</v>
      </c>
      <c r="H2" s="31" t="s">
        <v>54</v>
      </c>
      <c r="I2" s="31" t="s">
        <v>55</v>
      </c>
      <c r="J2" s="31" t="s">
        <v>38</v>
      </c>
      <c r="K2" s="4" t="s">
        <v>42</v>
      </c>
      <c r="L2" s="4" t="s">
        <v>176</v>
      </c>
      <c r="M2" s="23" t="s">
        <v>146</v>
      </c>
      <c r="N2" s="4" t="s">
        <v>292</v>
      </c>
      <c r="O2" s="4" t="s">
        <v>302</v>
      </c>
      <c r="P2" s="4" t="s">
        <v>134</v>
      </c>
      <c r="Q2" s="4" t="s">
        <v>288</v>
      </c>
      <c r="R2" s="4" t="s">
        <v>295</v>
      </c>
      <c r="S2" s="4" t="s">
        <v>140</v>
      </c>
      <c r="T2" s="4" t="s">
        <v>154</v>
      </c>
      <c r="U2" s="4" t="s">
        <v>49</v>
      </c>
      <c r="V2" s="4" t="s">
        <v>296</v>
      </c>
      <c r="W2" s="4" t="s">
        <v>147</v>
      </c>
      <c r="X2" s="4" t="s">
        <v>303</v>
      </c>
      <c r="Y2" s="4" t="s">
        <v>310</v>
      </c>
      <c r="Z2" s="4" t="s">
        <v>297</v>
      </c>
      <c r="AA2" s="4" t="s">
        <v>148</v>
      </c>
      <c r="AB2" s="4" t="s">
        <v>149</v>
      </c>
      <c r="AC2" s="4" t="s">
        <v>132</v>
      </c>
      <c r="AD2" s="4" t="s">
        <v>492</v>
      </c>
      <c r="AE2" s="4" t="s">
        <v>150</v>
      </c>
      <c r="AF2" s="4" t="s">
        <v>289</v>
      </c>
      <c r="AG2" s="4" t="s">
        <v>304</v>
      </c>
      <c r="AH2" s="4" t="s">
        <v>493</v>
      </c>
      <c r="AI2" s="23" t="s">
        <v>151</v>
      </c>
      <c r="AJ2" s="23" t="s">
        <v>494</v>
      </c>
      <c r="AK2" s="23" t="s">
        <v>142</v>
      </c>
      <c r="AL2" s="23" t="s">
        <v>143</v>
      </c>
      <c r="AM2" s="23" t="s">
        <v>50</v>
      </c>
      <c r="AN2" s="23" t="s">
        <v>293</v>
      </c>
      <c r="AO2" s="23" t="s">
        <v>305</v>
      </c>
      <c r="AP2" s="23" t="s">
        <v>51</v>
      </c>
      <c r="AQ2" s="23" t="s">
        <v>78</v>
      </c>
      <c r="AR2" s="23" t="s">
        <v>141</v>
      </c>
      <c r="AS2" s="23" t="s">
        <v>114</v>
      </c>
      <c r="AT2" s="23" t="s">
        <v>144</v>
      </c>
      <c r="AU2" s="23" t="s">
        <v>298</v>
      </c>
      <c r="AV2" s="23" t="s">
        <v>133</v>
      </c>
      <c r="AW2" s="23" t="s">
        <v>52</v>
      </c>
      <c r="AX2" s="23" t="s">
        <v>145</v>
      </c>
      <c r="AY2" s="23" t="s">
        <v>43</v>
      </c>
      <c r="AZ2" s="23" t="s">
        <v>79</v>
      </c>
      <c r="BA2" s="23" t="s">
        <v>153</v>
      </c>
      <c r="BB2" s="23" t="s">
        <v>309</v>
      </c>
      <c r="BC2" s="23" t="s">
        <v>307</v>
      </c>
      <c r="BD2" s="23" t="s">
        <v>129</v>
      </c>
      <c r="BE2" s="23" t="s">
        <v>44</v>
      </c>
      <c r="BF2" s="23" t="s">
        <v>291</v>
      </c>
      <c r="BG2" s="23" t="s">
        <v>80</v>
      </c>
      <c r="BH2" s="23" t="s">
        <v>135</v>
      </c>
      <c r="BI2" s="23" t="s">
        <v>45</v>
      </c>
      <c r="BJ2" s="23" t="s">
        <v>308</v>
      </c>
      <c r="BK2" s="23" t="s">
        <v>290</v>
      </c>
      <c r="BL2" s="23" t="s">
        <v>155</v>
      </c>
      <c r="BM2" s="23" t="s">
        <v>152</v>
      </c>
      <c r="BN2" s="23" t="s">
        <v>294</v>
      </c>
      <c r="BO2" s="23"/>
    </row>
    <row r="3" spans="1:67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</row>
    <row r="4" spans="1:67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1.0769230769230766</v>
      </c>
      <c r="G4">
        <f ca="1">IF(($A$2)&gt;=(ROW()-3),G$17*(SUM(G$19:G19)-((ROW()-3)*5)),G3)</f>
        <v>2</v>
      </c>
      <c r="H4">
        <f ca="1">IF(($A$2)&gt;=(ROW()-3),H$17*(SUM(H$19:H19)-((ROW()-3)*5)),H3)</f>
        <v>-1</v>
      </c>
      <c r="I4">
        <f ca="1">IF(($A$2)&gt;=(ROW()-3),I$17*(SUM(I$19:I19)-((ROW()-3)*5)),I3)</f>
        <v>-2</v>
      </c>
      <c r="J4">
        <f ca="1">IF(($A$2)&gt;=(ROW()-3),J$17*(SUM(J$19:J19)-((ROW()-3)*5)),J3)</f>
        <v>0</v>
      </c>
      <c r="K4">
        <f ca="1">IF(($A$2)&gt;=(ROW()-3),K$17*(SUM(K$19:K19)-((ROW()-3)*5)),K3)</f>
        <v>0</v>
      </c>
      <c r="L4">
        <f ca="1">IF(($A$2)&gt;=(ROW()-3),L$17*(SUM(L$19:L19)-((ROW()-3)*5)),L3)</f>
        <v>1</v>
      </c>
      <c r="M4">
        <f ca="1">IF(($A$2)&gt;=(ROW()-3),M$17*(SUM(M$19:M19)-((ROW()-3)*5)),M3)</f>
        <v>-2</v>
      </c>
      <c r="N4">
        <f ca="1">IF(($A$2)&gt;=(ROW()-3),N$17*(SUM(N$19:N19)-((ROW()-3)*5)),N3)</f>
        <v>2</v>
      </c>
      <c r="O4">
        <f ca="1">IF(($A$2)&gt;=(ROW()-3),O$17*(SUM(O$19:O19)-((ROW()-3)*5)),O3)</f>
        <v>0</v>
      </c>
      <c r="P4">
        <f ca="1">IF(($A$2)&gt;=(ROW()-3),P$17*(SUM(P$19:P19)-((ROW()-3)*5)),P3)</f>
        <v>-2</v>
      </c>
      <c r="Q4">
        <f ca="1">IF(($A$2)&gt;=(ROW()-3),Q$17*(SUM(Q$19:Q19)-((ROW()-3)*5)),Q3)</f>
        <v>-1</v>
      </c>
      <c r="R4">
        <f ca="1">IF(($A$2)&gt;=(ROW()-3),R$17*(SUM(R$19:R19)-((ROW()-3)*5)),R3)</f>
        <v>0</v>
      </c>
      <c r="S4">
        <f ca="1">IF(($A$2)&gt;=(ROW()-3),S$17*(SUM(S$19:S19)-((ROW()-3)*5)),S3)</f>
        <v>1</v>
      </c>
      <c r="T4">
        <f ca="1">IF(($A$2)&gt;=(ROW()-3),T$17*(SUM(T$19:T19)-((ROW()-3)*5)),T3)</f>
        <v>-4</v>
      </c>
      <c r="U4">
        <f ca="1">IF(($A$2)&gt;=(ROW()-3),U$17*(SUM(U$19:U19)-((ROW()-3)*5)),U3)</f>
        <v>-1</v>
      </c>
      <c r="V4">
        <f ca="1">IF(($A$2)&gt;=(ROW()-3),V$17*(SUM(V$19:V19)-((ROW()-3)*5)),V3)</f>
        <v>-1</v>
      </c>
      <c r="W4">
        <f ca="1">IF(($A$2)&gt;=(ROW()-3),W$17*(SUM(W$19:W19)-((ROW()-3)*5)),W3)</f>
        <v>-2</v>
      </c>
      <c r="X4">
        <f ca="1">IF(($A$2)&gt;=(ROW()-3),X$17*(SUM(X$19:X19)-((ROW()-3)*5)),X3)</f>
        <v>0</v>
      </c>
      <c r="Y4">
        <f ca="1">IF(($A$2)&gt;=(ROW()-3),Y$17*(SUM(Y$19:Y19)-((ROW()-3)*5)),Y3)</f>
        <v>-2</v>
      </c>
      <c r="Z4">
        <f ca="1">IF(($A$2)&gt;=(ROW()-3),Z$17*(SUM(Z$19:Z19)-((ROW()-3)*5)),Z3)</f>
        <v>1</v>
      </c>
      <c r="AA4">
        <f ca="1">IF(($A$2)&gt;=(ROW()-3),AA$17*(SUM(AA$19:AA19)-((ROW()-3)*5)),AA3)</f>
        <v>-2</v>
      </c>
      <c r="AB4">
        <f ca="1">IF(($A$2)&gt;=(ROW()-3),AB$17*(SUM(AB$19:AB19)-((ROW()-3)*5)),AB3)</f>
        <v>0</v>
      </c>
      <c r="AC4">
        <f ca="1">IF(($A$2)&gt;=(ROW()-3),AC$17*(SUM(AC$19:AC19)-((ROW()-3)*5)),AC3)</f>
        <v>0</v>
      </c>
      <c r="AD4">
        <f ca="1">IF(($A$2)&gt;=(ROW()-3),AD$17*(SUM(AD$19:AD19)-((ROW()-3)*5)),AD3)</f>
        <v>0</v>
      </c>
      <c r="AE4">
        <f ca="1">IF(($A$2)&gt;=(ROW()-3),AE$17*(SUM(AE$19:AE19)-((ROW()-3)*5)),AE3)</f>
        <v>0</v>
      </c>
      <c r="AF4">
        <f ca="1">IF(($A$2)&gt;=(ROW()-3),AF$17*(SUM(AF$19:AF19)-((ROW()-3)*5)),AF3)</f>
        <v>-1</v>
      </c>
      <c r="AG4">
        <f ca="1">IF(($A$2)&gt;=(ROW()-3),AG$17*(SUM(AG$19:AG19)-((ROW()-3)*5)),AG3)</f>
        <v>1</v>
      </c>
      <c r="AH4">
        <f ca="1">IF(($A$2)&gt;=(ROW()-3),AH$17*(SUM(AH$19:AH19)-((ROW()-3)*5)),AH3)</f>
        <v>0</v>
      </c>
      <c r="AI4">
        <f ca="1">IF(($A$2)&gt;=(ROW()-3),AI$17*(SUM(AI$19:AI19)-((ROW()-3)*5)),AI3)</f>
        <v>-3</v>
      </c>
      <c r="AJ4">
        <f ca="1">IF(($A$2)&gt;=(ROW()-3),AJ$17*(SUM(AJ$19:AJ19)-((ROW()-3)*5)),AJ3)</f>
        <v>-1</v>
      </c>
      <c r="AK4">
        <f ca="1">IF(($A$2)&gt;=(ROW()-3),AK$17*(SUM(AK$19:AK19)-((ROW()-3)*5)),AK3)</f>
        <v>0</v>
      </c>
      <c r="AL4">
        <f ca="1">IF(($A$2)&gt;=(ROW()-3),AL$17*(SUM(AL$19:AL19)-((ROW()-3)*5)),AL3)</f>
        <v>-1</v>
      </c>
      <c r="AM4">
        <f ca="1">IF(($A$2)&gt;=(ROW()-3),AM$17*(SUM(AM$19:AM19)-((ROW()-3)*5)),AM3)</f>
        <v>-2</v>
      </c>
      <c r="AN4">
        <f ca="1">IF(($A$2)&gt;=(ROW()-3),AN$17*(SUM(AN$19:AN19)-((ROW()-3)*5)),AN3)</f>
        <v>-1</v>
      </c>
      <c r="AO4">
        <f ca="1">IF(($A$2)&gt;=(ROW()-3),AO$17*(SUM(AO$19:AO19)-((ROW()-3)*5)),AO3)</f>
        <v>-1</v>
      </c>
      <c r="AP4">
        <f ca="1">IF(($A$2)&gt;=(ROW()-3),AP$17*(SUM(AP$19:AP19)-((ROW()-3)*5)),AP3)</f>
        <v>-2</v>
      </c>
      <c r="AQ4">
        <f ca="1">IF(($A$2)&gt;=(ROW()-3),AQ$17*(SUM(AQ$19:AQ19)-((ROW()-3)*5)),AQ3)</f>
        <v>1</v>
      </c>
      <c r="AR4">
        <f ca="1">IF(($A$2)&gt;=(ROW()-3),AR$17*(SUM(AR$19:AR19)-((ROW()-3)*5)),AR3)</f>
        <v>0</v>
      </c>
      <c r="AS4">
        <f ca="1">IF(($A$2)&gt;=(ROW()-3),AS$17*(SUM(AS$19:AS19)-((ROW()-3)*5)),AS3)</f>
        <v>-2</v>
      </c>
      <c r="AT4">
        <f ca="1">IF(($A$2)&gt;=(ROW()-3),AT$17*(SUM(AT$19:AT19)-((ROW()-3)*5)),AT3)</f>
        <v>-1</v>
      </c>
      <c r="AU4">
        <f ca="1">IF(($A$2)&gt;=(ROW()-3),AU$17*(SUM(AU$19:AU19)-((ROW()-3)*5)),AU3)</f>
        <v>0</v>
      </c>
      <c r="AV4">
        <f ca="1">IF(($A$2)&gt;=(ROW()-3),AV$17*(SUM(AV$19:AV19)-((ROW()-3)*5)),AV3)</f>
        <v>-1</v>
      </c>
      <c r="AW4">
        <f ca="1">IF(($A$2)&gt;=(ROW()-3),AW$17*(SUM(AW$19:AW19)-((ROW()-3)*5)),AW3)</f>
        <v>-2</v>
      </c>
      <c r="AX4">
        <f ca="1">IF(($A$2)&gt;=(ROW()-3),AX$17*(SUM(AX$19:AX19)-((ROW()-3)*5)),AX3)</f>
        <v>-1</v>
      </c>
      <c r="AY4">
        <f ca="1">IF(($A$2)&gt;=(ROW()-3),AY$17*(SUM(AY$19:AY19)-((ROW()-3)*5)),AY3)</f>
        <v>-1</v>
      </c>
      <c r="AZ4">
        <f ca="1">IF(($A$2)&gt;=(ROW()-3),AZ$17*(SUM(AZ$19:AZ19)-((ROW()-3)*5)),AZ3)</f>
        <v>-2</v>
      </c>
      <c r="BA4">
        <f ca="1">IF(($A$2)&gt;=(ROW()-3),BA$17*(SUM(BA$19:BA19)-((ROW()-3)*5)),BA3)</f>
        <v>-1</v>
      </c>
      <c r="BB4">
        <f ca="1">IF(($A$2)&gt;=(ROW()-3),BB$17*(SUM(BB$19:BB19)-((ROW()-3)*5)),BB3)</f>
        <v>-2</v>
      </c>
      <c r="BC4">
        <f ca="1">IF(($A$2)&gt;=(ROW()-3),BC$17*(SUM(BC$19:BC19)-((ROW()-3)*5)),BC3)</f>
        <v>-1</v>
      </c>
      <c r="BD4">
        <f ca="1">IF(($A$2)&gt;=(ROW()-3),BD$17*(SUM(BD$19:BD19)-((ROW()-3)*5)),BD3)</f>
        <v>0</v>
      </c>
      <c r="BE4">
        <f ca="1">IF(($A$2)&gt;=(ROW()-3),BE$17*(SUM(BE$19:BE19)-((ROW()-3)*5)),BE3)</f>
        <v>0</v>
      </c>
      <c r="BF4">
        <f ca="1">IF(($A$2)&gt;=(ROW()-3),BF$17*(SUM(BF$19:BF19)-((ROW()-3)*5)),BF3)</f>
        <v>-1</v>
      </c>
      <c r="BG4">
        <f ca="1">IF(($A$2)&gt;=(ROW()-3),BG$17*(SUM(BG$19:BG19)-((ROW()-3)*5)),BG3)</f>
        <v>0</v>
      </c>
      <c r="BH4">
        <f ca="1">IF(($A$2)&gt;=(ROW()-3),BH$17*(SUM(BH$19:BH19)-((ROW()-3)*5)),BH3)</f>
        <v>-1</v>
      </c>
      <c r="BI4">
        <f ca="1">IF(($A$2)&gt;=(ROW()-3),BI$17*(SUM(BI$19:BI19)-((ROW()-3)*5)),BI3)</f>
        <v>1</v>
      </c>
      <c r="BJ4">
        <f ca="1">IF(($A$2)&gt;=(ROW()-3),BJ$17*(SUM(BJ$19:BJ19)-((ROW()-3)*5)),BJ3)</f>
        <v>1</v>
      </c>
      <c r="BK4">
        <f ca="1">IF(($A$2)&gt;=(ROW()-3),BK$17*(SUM(BK$19:BK19)-((ROW()-3)*5)),BK3)</f>
        <v>-2</v>
      </c>
      <c r="BL4">
        <f ca="1">IF(($A$2)&gt;=(ROW()-3),BL$17*(SUM(BL$19:BL19)-((ROW()-3)*5)),BL3)</f>
        <v>0</v>
      </c>
      <c r="BM4">
        <f ca="1">IF(($A$2)&gt;=(ROW()-3),BM$17*(SUM(BM$19:BM19)-((ROW()-3)*5)),BM3)</f>
        <v>1</v>
      </c>
      <c r="BN4">
        <f ca="1">IF(($A$2)&gt;=(ROW()-3),BN$17*(SUM(BN$19:BN19)-((ROW()-3)*5)),BN3)</f>
        <v>2</v>
      </c>
      <c r="BO4">
        <f ca="1">IF(($A$2)&gt;=(ROW()-3),BO$17*(SUM(BO$19:BO19)-((ROW()-3)*5)),BO3)</f>
        <v>-5</v>
      </c>
    </row>
    <row r="5" spans="1:67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2.1538461538461533</v>
      </c>
      <c r="G5">
        <f ca="1">IF(($A$2)&gt;=(ROW()-3),G$17*(SUM(G$19:G20)-((ROW()-3)*5)),G4)</f>
        <v>1</v>
      </c>
      <c r="H5">
        <f ca="1">IF(($A$2)&gt;=(ROW()-3),H$17*(SUM(H$19:H20)-((ROW()-3)*5)),H4)</f>
        <v>-3</v>
      </c>
      <c r="I5">
        <f ca="1">IF(($A$2)&gt;=(ROW()-3),I$17*(SUM(I$19:I20)-((ROW()-3)*5)),I4)</f>
        <v>-2</v>
      </c>
      <c r="J5">
        <f ca="1">IF(($A$2)&gt;=(ROW()-3),J$17*(SUM(J$19:J20)-((ROW()-3)*5)),J4)</f>
        <v>1</v>
      </c>
      <c r="K5">
        <f ca="1">IF(($A$2)&gt;=(ROW()-3),K$17*(SUM(K$19:K20)-((ROW()-3)*5)),K4)</f>
        <v>-2</v>
      </c>
      <c r="L5">
        <f ca="1">IF(($A$2)&gt;=(ROW()-3),L$17*(SUM(L$19:L20)-((ROW()-3)*5)),L4)</f>
        <v>2</v>
      </c>
      <c r="M5">
        <f ca="1">IF(($A$2)&gt;=(ROW()-3),M$17*(SUM(M$19:M20)-((ROW()-3)*5)),M4)</f>
        <v>-1</v>
      </c>
      <c r="N5">
        <f ca="1">IF(($A$2)&gt;=(ROW()-3),N$17*(SUM(N$19:N20)-((ROW()-3)*5)),N4)</f>
        <v>1</v>
      </c>
      <c r="O5">
        <f ca="1">IF(($A$2)&gt;=(ROW()-3),O$17*(SUM(O$19:O20)-((ROW()-3)*5)),O4)</f>
        <v>0</v>
      </c>
      <c r="P5">
        <f ca="1">IF(($A$2)&gt;=(ROW()-3),P$17*(SUM(P$19:P20)-((ROW()-3)*5)),P4)</f>
        <v>1</v>
      </c>
      <c r="Q5">
        <f ca="1">IF(($A$2)&gt;=(ROW()-3),Q$17*(SUM(Q$19:Q20)-((ROW()-3)*5)),Q4)</f>
        <v>3</v>
      </c>
      <c r="R5">
        <f ca="1">IF(($A$2)&gt;=(ROW()-3),R$17*(SUM(R$19:R20)-((ROW()-3)*5)),R4)</f>
        <v>-1</v>
      </c>
      <c r="S5">
        <f ca="1">IF(($A$2)&gt;=(ROW()-3),S$17*(SUM(S$19:S20)-((ROW()-3)*5)),S4)</f>
        <v>0</v>
      </c>
      <c r="T5">
        <f ca="1">IF(($A$2)&gt;=(ROW()-3),T$17*(SUM(T$19:T20)-((ROW()-3)*5)),T4)</f>
        <v>-4</v>
      </c>
      <c r="U5">
        <f ca="1">IF(($A$2)&gt;=(ROW()-3),U$17*(SUM(U$19:U20)-((ROW()-3)*5)),U4)</f>
        <v>0</v>
      </c>
      <c r="V5">
        <f ca="1">IF(($A$2)&gt;=(ROW()-3),V$17*(SUM(V$19:V20)-((ROW()-3)*5)),V4)</f>
        <v>-1</v>
      </c>
      <c r="W5">
        <f ca="1">IF(($A$2)&gt;=(ROW()-3),W$17*(SUM(W$19:W20)-((ROW()-3)*5)),W4)</f>
        <v>-2</v>
      </c>
      <c r="X5">
        <f ca="1">IF(($A$2)&gt;=(ROW()-3),X$17*(SUM(X$19:X20)-((ROW()-3)*5)),X4)</f>
        <v>1</v>
      </c>
      <c r="Y5">
        <f ca="1">IF(($A$2)&gt;=(ROW()-3),Y$17*(SUM(Y$19:Y20)-((ROW()-3)*5)),Y4)</f>
        <v>-5</v>
      </c>
      <c r="Z5">
        <f ca="1">IF(($A$2)&gt;=(ROW()-3),Z$17*(SUM(Z$19:Z20)-((ROW()-3)*5)),Z4)</f>
        <v>1</v>
      </c>
      <c r="AA5">
        <f ca="1">IF(($A$2)&gt;=(ROW()-3),AA$17*(SUM(AA$19:AA20)-((ROW()-3)*5)),AA4)</f>
        <v>-1</v>
      </c>
      <c r="AB5">
        <f ca="1">IF(($A$2)&gt;=(ROW()-3),AB$17*(SUM(AB$19:AB20)-((ROW()-3)*5)),AB4)</f>
        <v>-1</v>
      </c>
      <c r="AC5">
        <f ca="1">IF(($A$2)&gt;=(ROW()-3),AC$17*(SUM(AC$19:AC20)-((ROW()-3)*5)),AC4)</f>
        <v>1</v>
      </c>
      <c r="AD5">
        <f ca="1">IF(($A$2)&gt;=(ROW()-3),AD$17*(SUM(AD$19:AD20)-((ROW()-3)*5)),AD4)</f>
        <v>-1</v>
      </c>
      <c r="AE5">
        <f ca="1">IF(($A$2)&gt;=(ROW()-3),AE$17*(SUM(AE$19:AE20)-((ROW()-3)*5)),AE4)</f>
        <v>1</v>
      </c>
      <c r="AF5">
        <f ca="1">IF(($A$2)&gt;=(ROW()-3),AF$17*(SUM(AF$19:AF20)-((ROW()-3)*5)),AF4)</f>
        <v>1</v>
      </c>
      <c r="AG5">
        <f ca="1">IF(($A$2)&gt;=(ROW()-3),AG$17*(SUM(AG$19:AG20)-((ROW()-3)*5)),AG4)</f>
        <v>2</v>
      </c>
      <c r="AH5">
        <f ca="1">IF(($A$2)&gt;=(ROW()-3),AH$17*(SUM(AH$19:AH20)-((ROW()-3)*5)),AH4)</f>
        <v>0</v>
      </c>
      <c r="AI5">
        <f ca="1">IF(($A$2)&gt;=(ROW()-3),AI$17*(SUM(AI$19:AI20)-((ROW()-3)*5)),AI4)</f>
        <v>-4</v>
      </c>
      <c r="AJ5">
        <f ca="1">IF(($A$2)&gt;=(ROW()-3),AJ$17*(SUM(AJ$19:AJ20)-((ROW()-3)*5)),AJ4)</f>
        <v>-2</v>
      </c>
      <c r="AK5">
        <f ca="1">IF(($A$2)&gt;=(ROW()-3),AK$17*(SUM(AK$19:AK20)-((ROW()-3)*5)),AK4)</f>
        <v>2</v>
      </c>
      <c r="AL5">
        <f ca="1">IF(($A$2)&gt;=(ROW()-3),AL$17*(SUM(AL$19:AL20)-((ROW()-3)*5)),AL4)</f>
        <v>-1</v>
      </c>
      <c r="AM5">
        <f ca="1">IF(($A$2)&gt;=(ROW()-3),AM$17*(SUM(AM$19:AM20)-((ROW()-3)*5)),AM4)</f>
        <v>0</v>
      </c>
      <c r="AN5">
        <f ca="1">IF(($A$2)&gt;=(ROW()-3),AN$17*(SUM(AN$19:AN20)-((ROW()-3)*5)),AN4)</f>
        <v>-2</v>
      </c>
      <c r="AO5">
        <f ca="1">IF(($A$2)&gt;=(ROW()-3),AO$17*(SUM(AO$19:AO20)-((ROW()-3)*5)),AO4)</f>
        <v>-1</v>
      </c>
      <c r="AP5">
        <f ca="1">IF(($A$2)&gt;=(ROW()-3),AP$17*(SUM(AP$19:AP20)-((ROW()-3)*5)),AP4)</f>
        <v>1</v>
      </c>
      <c r="AQ5">
        <f ca="1">IF(($A$2)&gt;=(ROW()-3),AQ$17*(SUM(AQ$19:AQ20)-((ROW()-3)*5)),AQ4)</f>
        <v>3</v>
      </c>
      <c r="AR5">
        <f ca="1">IF(($A$2)&gt;=(ROW()-3),AR$17*(SUM(AR$19:AR20)-((ROW()-3)*5)),AR4)</f>
        <v>-2</v>
      </c>
      <c r="AS5">
        <f ca="1">IF(($A$2)&gt;=(ROW()-3),AS$17*(SUM(AS$19:AS20)-((ROW()-3)*5)),AS4)</f>
        <v>-2</v>
      </c>
      <c r="AT5">
        <f ca="1">IF(($A$2)&gt;=(ROW()-3),AT$17*(SUM(AT$19:AT20)-((ROW()-3)*5)),AT4)</f>
        <v>-1</v>
      </c>
      <c r="AU5">
        <f ca="1">IF(($A$2)&gt;=(ROW()-3),AU$17*(SUM(AU$19:AU20)-((ROW()-3)*5)),AU4)</f>
        <v>-1</v>
      </c>
      <c r="AV5">
        <f ca="1">IF(($A$2)&gt;=(ROW()-3),AV$17*(SUM(AV$19:AV20)-((ROW()-3)*5)),AV4)</f>
        <v>-3</v>
      </c>
      <c r="AW5">
        <f ca="1">IF(($A$2)&gt;=(ROW()-3),AW$17*(SUM(AW$19:AW20)-((ROW()-3)*5)),AW4)</f>
        <v>1</v>
      </c>
      <c r="AX5">
        <f ca="1">IF(($A$2)&gt;=(ROW()-3),AX$17*(SUM(AX$19:AX20)-((ROW()-3)*5)),AX4)</f>
        <v>-4</v>
      </c>
      <c r="AY5">
        <f ca="1">IF(($A$2)&gt;=(ROW()-3),AY$17*(SUM(AY$19:AY20)-((ROW()-3)*5)),AY4)</f>
        <v>-1</v>
      </c>
      <c r="AZ5">
        <f ca="1">IF(($A$2)&gt;=(ROW()-3),AZ$17*(SUM(AZ$19:AZ20)-((ROW()-3)*5)),AZ4)</f>
        <v>-2</v>
      </c>
      <c r="BA5">
        <f ca="1">IF(($A$2)&gt;=(ROW()-3),BA$17*(SUM(BA$19:BA20)-((ROW()-3)*5)),BA4)</f>
        <v>-1</v>
      </c>
      <c r="BB5">
        <f ca="1">IF(($A$2)&gt;=(ROW()-3),BB$17*(SUM(BB$19:BB20)-((ROW()-3)*5)),BB4)</f>
        <v>-2</v>
      </c>
      <c r="BC5">
        <f ca="1">IF(($A$2)&gt;=(ROW()-3),BC$17*(SUM(BC$19:BC20)-((ROW()-3)*5)),BC4)</f>
        <v>0</v>
      </c>
      <c r="BD5">
        <f ca="1">IF(($A$2)&gt;=(ROW()-3),BD$17*(SUM(BD$19:BD20)-((ROW()-3)*5)),BD4)</f>
        <v>-3</v>
      </c>
      <c r="BE5">
        <f ca="1">IF(($A$2)&gt;=(ROW()-3),BE$17*(SUM(BE$19:BE20)-((ROW()-3)*5)),BE4)</f>
        <v>2</v>
      </c>
      <c r="BF5">
        <f ca="1">IF(($A$2)&gt;=(ROW()-3),BF$17*(SUM(BF$19:BF20)-((ROW()-3)*5)),BF4)</f>
        <v>0</v>
      </c>
      <c r="BG5">
        <f ca="1">IF(($A$2)&gt;=(ROW()-3),BG$17*(SUM(BG$19:BG20)-((ROW()-3)*5)),BG4)</f>
        <v>0</v>
      </c>
      <c r="BH5">
        <f ca="1">IF(($A$2)&gt;=(ROW()-3),BH$17*(SUM(BH$19:BH20)-((ROW()-3)*5)),BH4)</f>
        <v>1</v>
      </c>
      <c r="BI5">
        <f ca="1">IF(($A$2)&gt;=(ROW()-3),BI$17*(SUM(BI$19:BI20)-((ROW()-3)*5)),BI4)</f>
        <v>2</v>
      </c>
      <c r="BJ5">
        <f ca="1">IF(($A$2)&gt;=(ROW()-3),BJ$17*(SUM(BJ$19:BJ20)-((ROW()-3)*5)),BJ4)</f>
        <v>4</v>
      </c>
      <c r="BK5">
        <f ca="1">IF(($A$2)&gt;=(ROW()-3),BK$17*(SUM(BK$19:BK20)-((ROW()-3)*5)),BK4)</f>
        <v>-1</v>
      </c>
      <c r="BL5">
        <f ca="1">IF(($A$2)&gt;=(ROW()-3),BL$17*(SUM(BL$19:BL20)-((ROW()-3)*5)),BL4)</f>
        <v>1</v>
      </c>
      <c r="BM5">
        <f ca="1">IF(($A$2)&gt;=(ROW()-3),BM$17*(SUM(BM$19:BM20)-((ROW()-3)*5)),BM4)</f>
        <v>2</v>
      </c>
      <c r="BN5">
        <f ca="1">IF(($A$2)&gt;=(ROW()-3),BN$17*(SUM(BN$19:BN20)-((ROW()-3)*5)),BN4)</f>
        <v>4</v>
      </c>
      <c r="BO5">
        <f ca="1">IF(($A$2)&gt;=(ROW()-3),BO$17*(SUM(BO$19:BO20)-((ROW()-3)*5)),BO4)</f>
        <v>-10</v>
      </c>
    </row>
    <row r="6" spans="1:67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3.2307692307692299</v>
      </c>
      <c r="G6">
        <f ca="1">IF(($A$2)&gt;=(ROW()-3),G$17*(SUM(G$19:G21)-((ROW()-3)*5)),G5)</f>
        <v>1</v>
      </c>
      <c r="H6">
        <f ca="1">IF(($A$2)&gt;=(ROW()-3),H$17*(SUM(H$19:H21)-((ROW()-3)*5)),H5)</f>
        <v>-1</v>
      </c>
      <c r="I6">
        <f ca="1">IF(($A$2)&gt;=(ROW()-3),I$17*(SUM(I$19:I21)-((ROW()-3)*5)),I5)</f>
        <v>-2</v>
      </c>
      <c r="J6">
        <f ca="1">IF(($A$2)&gt;=(ROW()-3),J$17*(SUM(J$19:J21)-((ROW()-3)*5)),J5)</f>
        <v>3</v>
      </c>
      <c r="K6">
        <f ca="1">IF(($A$2)&gt;=(ROW()-3),K$17*(SUM(K$19:K21)-((ROW()-3)*5)),K5)</f>
        <v>-2</v>
      </c>
      <c r="L6">
        <f ca="1">IF(($A$2)&gt;=(ROW()-3),L$17*(SUM(L$19:L21)-((ROW()-3)*5)),L5)</f>
        <v>2</v>
      </c>
      <c r="M6">
        <f ca="1">IF(($A$2)&gt;=(ROW()-3),M$17*(SUM(M$19:M21)-((ROW()-3)*5)),M5)</f>
        <v>-1</v>
      </c>
      <c r="N6">
        <f ca="1">IF(($A$2)&gt;=(ROW()-3),N$17*(SUM(N$19:N21)-((ROW()-3)*5)),N5)</f>
        <v>1</v>
      </c>
      <c r="O6">
        <f ca="1">IF(($A$2)&gt;=(ROW()-3),O$17*(SUM(O$19:O21)-((ROW()-3)*5)),O5)</f>
        <v>0</v>
      </c>
      <c r="P6">
        <f ca="1">IF(($A$2)&gt;=(ROW()-3),P$17*(SUM(P$19:P21)-((ROW()-3)*5)),P5)</f>
        <v>-1</v>
      </c>
      <c r="Q6">
        <f ca="1">IF(($A$2)&gt;=(ROW()-3),Q$17*(SUM(Q$19:Q21)-((ROW()-3)*5)),Q5)</f>
        <v>1</v>
      </c>
      <c r="R6">
        <f ca="1">IF(($A$2)&gt;=(ROW()-3),R$17*(SUM(R$19:R21)-((ROW()-3)*5)),R5)</f>
        <v>1</v>
      </c>
      <c r="S6">
        <f ca="1">IF(($A$2)&gt;=(ROW()-3),S$17*(SUM(S$19:S21)-((ROW()-3)*5)),S5)</f>
        <v>0</v>
      </c>
      <c r="T6">
        <f ca="1">IF(($A$2)&gt;=(ROW()-3),T$17*(SUM(T$19:T21)-((ROW()-3)*5)),T5)</f>
        <v>-3</v>
      </c>
      <c r="U6">
        <f ca="1">IF(($A$2)&gt;=(ROW()-3),U$17*(SUM(U$19:U21)-((ROW()-3)*5)),U5)</f>
        <v>-1</v>
      </c>
      <c r="V6">
        <f ca="1">IF(($A$2)&gt;=(ROW()-3),V$17*(SUM(V$19:V21)-((ROW()-3)*5)),V5)</f>
        <v>2</v>
      </c>
      <c r="W6">
        <f ca="1">IF(($A$2)&gt;=(ROW()-3),W$17*(SUM(W$19:W21)-((ROW()-3)*5)),W5)</f>
        <v>-1</v>
      </c>
      <c r="X6">
        <f ca="1">IF(($A$2)&gt;=(ROW()-3),X$17*(SUM(X$19:X21)-((ROW()-3)*5)),X5)</f>
        <v>0</v>
      </c>
      <c r="Y6">
        <f ca="1">IF(($A$2)&gt;=(ROW()-3),Y$17*(SUM(Y$19:Y21)-((ROW()-3)*5)),Y5)</f>
        <v>-5</v>
      </c>
      <c r="Z6">
        <f ca="1">IF(($A$2)&gt;=(ROW()-3),Z$17*(SUM(Z$19:Z21)-((ROW()-3)*5)),Z5)</f>
        <v>2</v>
      </c>
      <c r="AA6">
        <f ca="1">IF(($A$2)&gt;=(ROW()-3),AA$17*(SUM(AA$19:AA21)-((ROW()-3)*5)),AA5)</f>
        <v>-3</v>
      </c>
      <c r="AB6">
        <f ca="1">IF(($A$2)&gt;=(ROW()-3),AB$17*(SUM(AB$19:AB21)-((ROW()-3)*5)),AB5)</f>
        <v>2</v>
      </c>
      <c r="AC6">
        <f ca="1">IF(($A$2)&gt;=(ROW()-3),AC$17*(SUM(AC$19:AC21)-((ROW()-3)*5)),AC5)</f>
        <v>0</v>
      </c>
      <c r="AD6">
        <f ca="1">IF(($A$2)&gt;=(ROW()-3),AD$17*(SUM(AD$19:AD21)-((ROW()-3)*5)),AD5)</f>
        <v>-2</v>
      </c>
      <c r="AE6">
        <f ca="1">IF(($A$2)&gt;=(ROW()-3),AE$17*(SUM(AE$19:AE21)-((ROW()-3)*5)),AE5)</f>
        <v>2</v>
      </c>
      <c r="AF6">
        <f ca="1">IF(($A$2)&gt;=(ROW()-3),AF$17*(SUM(AF$19:AF21)-((ROW()-3)*5)),AF5)</f>
        <v>-1</v>
      </c>
      <c r="AG6">
        <f ca="1">IF(($A$2)&gt;=(ROW()-3),AG$17*(SUM(AG$19:AG21)-((ROW()-3)*5)),AG5)</f>
        <v>2</v>
      </c>
      <c r="AH6">
        <f ca="1">IF(($A$2)&gt;=(ROW()-3),AH$17*(SUM(AH$19:AH21)-((ROW()-3)*5)),AH5)</f>
        <v>0</v>
      </c>
      <c r="AI6">
        <f ca="1">IF(($A$2)&gt;=(ROW()-3),AI$17*(SUM(AI$19:AI21)-((ROW()-3)*5)),AI5)</f>
        <v>-4</v>
      </c>
      <c r="AJ6">
        <f ca="1">IF(($A$2)&gt;=(ROW()-3),AJ$17*(SUM(AJ$19:AJ21)-((ROW()-3)*5)),AJ5)</f>
        <v>-2</v>
      </c>
      <c r="AK6">
        <f ca="1">IF(($A$2)&gt;=(ROW()-3),AK$17*(SUM(AK$19:AK21)-((ROW()-3)*5)),AK5)</f>
        <v>0</v>
      </c>
      <c r="AL6">
        <f ca="1">IF(($A$2)&gt;=(ROW()-3),AL$17*(SUM(AL$19:AL21)-((ROW()-3)*5)),AL5)</f>
        <v>0</v>
      </c>
      <c r="AM6">
        <f ca="1">IF(($A$2)&gt;=(ROW()-3),AM$17*(SUM(AM$19:AM21)-((ROW()-3)*5)),AM5)</f>
        <v>1</v>
      </c>
      <c r="AN6">
        <f ca="1">IF(($A$2)&gt;=(ROW()-3),AN$17*(SUM(AN$19:AN21)-((ROW()-3)*5)),AN5)</f>
        <v>-1</v>
      </c>
      <c r="AO6">
        <f ca="1">IF(($A$2)&gt;=(ROW()-3),AO$17*(SUM(AO$19:AO21)-((ROW()-3)*5)),AO5)</f>
        <v>-1</v>
      </c>
      <c r="AP6">
        <f ca="1">IF(($A$2)&gt;=(ROW()-3),AP$17*(SUM(AP$19:AP21)-((ROW()-3)*5)),AP5)</f>
        <v>1</v>
      </c>
      <c r="AQ6">
        <f ca="1">IF(($A$2)&gt;=(ROW()-3),AQ$17*(SUM(AQ$19:AQ21)-((ROW()-3)*5)),AQ5)</f>
        <v>3</v>
      </c>
      <c r="AR6">
        <f ca="1">IF(($A$2)&gt;=(ROW()-3),AR$17*(SUM(AR$19:AR21)-((ROW()-3)*5)),AR5)</f>
        <v>-4</v>
      </c>
      <c r="AS6">
        <f ca="1">IF(($A$2)&gt;=(ROW()-3),AS$17*(SUM(AS$19:AS21)-((ROW()-3)*5)),AS5)</f>
        <v>-3</v>
      </c>
      <c r="AT6">
        <f ca="1">IF(($A$2)&gt;=(ROW()-3),AT$17*(SUM(AT$19:AT21)-((ROW()-3)*5)),AT5)</f>
        <v>-2</v>
      </c>
      <c r="AU6">
        <f ca="1">IF(($A$2)&gt;=(ROW()-3),AU$17*(SUM(AU$19:AU21)-((ROW()-3)*5)),AU5)</f>
        <v>1</v>
      </c>
      <c r="AV6">
        <f ca="1">IF(($A$2)&gt;=(ROW()-3),AV$17*(SUM(AV$19:AV21)-((ROW()-3)*5)),AV5)</f>
        <v>0</v>
      </c>
      <c r="AW6">
        <f ca="1">IF(($A$2)&gt;=(ROW()-3),AW$17*(SUM(AW$19:AW21)-((ROW()-3)*5)),AW5)</f>
        <v>3</v>
      </c>
      <c r="AX6">
        <f ca="1">IF(($A$2)&gt;=(ROW()-3),AX$17*(SUM(AX$19:AX21)-((ROW()-3)*5)),AX5)</f>
        <v>-5</v>
      </c>
      <c r="AY6">
        <f ca="1">IF(($A$2)&gt;=(ROW()-3),AY$17*(SUM(AY$19:AY21)-((ROW()-3)*5)),AY5)</f>
        <v>0</v>
      </c>
      <c r="AZ6">
        <f ca="1">IF(($A$2)&gt;=(ROW()-3),AZ$17*(SUM(AZ$19:AZ21)-((ROW()-3)*5)),AZ5)</f>
        <v>-2</v>
      </c>
      <c r="BA6">
        <f ca="1">IF(($A$2)&gt;=(ROW()-3),BA$17*(SUM(BA$19:BA21)-((ROW()-3)*5)),BA5)</f>
        <v>-3</v>
      </c>
      <c r="BB6">
        <f ca="1">IF(($A$2)&gt;=(ROW()-3),BB$17*(SUM(BB$19:BB21)-((ROW()-3)*5)),BB5)</f>
        <v>-1</v>
      </c>
      <c r="BC6">
        <f ca="1">IF(($A$2)&gt;=(ROW()-3),BC$17*(SUM(BC$19:BC21)-((ROW()-3)*5)),BC5)</f>
        <v>1</v>
      </c>
      <c r="BD6">
        <f ca="1">IF(($A$2)&gt;=(ROW()-3),BD$17*(SUM(BD$19:BD21)-((ROW()-3)*5)),BD5)</f>
        <v>-5</v>
      </c>
      <c r="BE6">
        <f ca="1">IF(($A$2)&gt;=(ROW()-3),BE$17*(SUM(BE$19:BE21)-((ROW()-3)*5)),BE5)</f>
        <v>2</v>
      </c>
      <c r="BF6">
        <f ca="1">IF(($A$2)&gt;=(ROW()-3),BF$17*(SUM(BF$19:BF21)-((ROW()-3)*5)),BF5)</f>
        <v>1</v>
      </c>
      <c r="BG6">
        <f ca="1">IF(($A$2)&gt;=(ROW()-3),BG$17*(SUM(BG$19:BG21)-((ROW()-3)*5)),BG5)</f>
        <v>-2</v>
      </c>
      <c r="BH6">
        <f ca="1">IF(($A$2)&gt;=(ROW()-3),BH$17*(SUM(BH$19:BH21)-((ROW()-3)*5)),BH5)</f>
        <v>3</v>
      </c>
      <c r="BI6">
        <f ca="1">IF(($A$2)&gt;=(ROW()-3),BI$17*(SUM(BI$19:BI21)-((ROW()-3)*5)),BI5)</f>
        <v>1</v>
      </c>
      <c r="BJ6">
        <f ca="1">IF(($A$2)&gt;=(ROW()-3),BJ$17*(SUM(BJ$19:BJ21)-((ROW()-3)*5)),BJ5)</f>
        <v>2</v>
      </c>
      <c r="BK6">
        <f ca="1">IF(($A$2)&gt;=(ROW()-3),BK$17*(SUM(BK$19:BK21)-((ROW()-3)*5)),BK5)</f>
        <v>-1</v>
      </c>
      <c r="BL6">
        <f ca="1">IF(($A$2)&gt;=(ROW()-3),BL$17*(SUM(BL$19:BL21)-((ROW()-3)*5)),BL5)</f>
        <v>3</v>
      </c>
      <c r="BM6">
        <f ca="1">IF(($A$2)&gt;=(ROW()-3),BM$17*(SUM(BM$19:BM21)-((ROW()-3)*5)),BM5)</f>
        <v>2</v>
      </c>
      <c r="BN6">
        <f ca="1">IF(($A$2)&gt;=(ROW()-3),BN$17*(SUM(BN$19:BN21)-((ROW()-3)*5)),BN5)</f>
        <v>5</v>
      </c>
      <c r="BO6">
        <f ca="1">IF(($A$2)&gt;=(ROW()-3),BO$17*(SUM(BO$19:BO21)-((ROW()-3)*5)),BO5)</f>
        <v>-15</v>
      </c>
    </row>
    <row r="7" spans="1:67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4.3076923076923066</v>
      </c>
      <c r="G7">
        <f ca="1">IF(($A$2)&gt;=(ROW()-3),G$17*(SUM(G$19:G22)-((ROW()-3)*5)),G6)</f>
        <v>2</v>
      </c>
      <c r="H7">
        <f ca="1">IF(($A$2)&gt;=(ROW()-3),H$17*(SUM(H$19:H22)-((ROW()-3)*5)),H6)</f>
        <v>0</v>
      </c>
      <c r="I7">
        <f ca="1">IF(($A$2)&gt;=(ROW()-3),I$17*(SUM(I$19:I22)-((ROW()-3)*5)),I6)</f>
        <v>-2</v>
      </c>
      <c r="J7">
        <f ca="1">IF(($A$2)&gt;=(ROW()-3),J$17*(SUM(J$19:J22)-((ROW()-3)*5)),J6)</f>
        <v>3</v>
      </c>
      <c r="K7">
        <f ca="1">IF(($A$2)&gt;=(ROW()-3),K$17*(SUM(K$19:K22)-((ROW()-3)*5)),K6)</f>
        <v>-2</v>
      </c>
      <c r="L7">
        <f ca="1">IF(($A$2)&gt;=(ROW()-3),L$17*(SUM(L$19:L22)-((ROW()-3)*5)),L6)</f>
        <v>3</v>
      </c>
      <c r="M7">
        <f ca="1">IF(($A$2)&gt;=(ROW()-3),M$17*(SUM(M$19:M22)-((ROW()-3)*5)),M6)</f>
        <v>-1</v>
      </c>
      <c r="N7">
        <f ca="1">IF(($A$2)&gt;=(ROW()-3),N$17*(SUM(N$19:N22)-((ROW()-3)*5)),N6)</f>
        <v>1</v>
      </c>
      <c r="O7">
        <f ca="1">IF(($A$2)&gt;=(ROW()-3),O$17*(SUM(O$19:O22)-((ROW()-3)*5)),O6)</f>
        <v>3</v>
      </c>
      <c r="P7">
        <f ca="1">IF(($A$2)&gt;=(ROW()-3),P$17*(SUM(P$19:P22)-((ROW()-3)*5)),P6)</f>
        <v>-1</v>
      </c>
      <c r="Q7">
        <f ca="1">IF(($A$2)&gt;=(ROW()-3),Q$17*(SUM(Q$19:Q22)-((ROW()-3)*5)),Q6)</f>
        <v>2</v>
      </c>
      <c r="R7">
        <f ca="1">IF(($A$2)&gt;=(ROW()-3),R$17*(SUM(R$19:R22)-((ROW()-3)*5)),R6)</f>
        <v>0</v>
      </c>
      <c r="S7">
        <f ca="1">IF(($A$2)&gt;=(ROW()-3),S$17*(SUM(S$19:S22)-((ROW()-3)*5)),S6)</f>
        <v>0</v>
      </c>
      <c r="T7">
        <f ca="1">IF(($A$2)&gt;=(ROW()-3),T$17*(SUM(T$19:T22)-((ROW()-3)*5)),T6)</f>
        <v>-2</v>
      </c>
      <c r="U7">
        <f ca="1">IF(($A$2)&gt;=(ROW()-3),U$17*(SUM(U$19:U22)-((ROW()-3)*5)),U6)</f>
        <v>0</v>
      </c>
      <c r="V7">
        <f ca="1">IF(($A$2)&gt;=(ROW()-3),V$17*(SUM(V$19:V22)-((ROW()-3)*5)),V6)</f>
        <v>2</v>
      </c>
      <c r="W7">
        <f ca="1">IF(($A$2)&gt;=(ROW()-3),W$17*(SUM(W$19:W22)-((ROW()-3)*5)),W6)</f>
        <v>0</v>
      </c>
      <c r="X7">
        <f ca="1">IF(($A$2)&gt;=(ROW()-3),X$17*(SUM(X$19:X22)-((ROW()-3)*5)),X6)</f>
        <v>0</v>
      </c>
      <c r="Y7">
        <f ca="1">IF(($A$2)&gt;=(ROW()-3),Y$17*(SUM(Y$19:Y22)-((ROW()-3)*5)),Y6)</f>
        <v>-3</v>
      </c>
      <c r="Z7">
        <f ca="1">IF(($A$2)&gt;=(ROW()-3),Z$17*(SUM(Z$19:Z22)-((ROW()-3)*5)),Z6)</f>
        <v>4</v>
      </c>
      <c r="AA7">
        <f ca="1">IF(($A$2)&gt;=(ROW()-3),AA$17*(SUM(AA$19:AA22)-((ROW()-3)*5)),AA6)</f>
        <v>-4</v>
      </c>
      <c r="AB7">
        <f ca="1">IF(($A$2)&gt;=(ROW()-3),AB$17*(SUM(AB$19:AB22)-((ROW()-3)*5)),AB6)</f>
        <v>2</v>
      </c>
      <c r="AC7">
        <f ca="1">IF(($A$2)&gt;=(ROW()-3),AC$17*(SUM(AC$19:AC22)-((ROW()-3)*5)),AC6)</f>
        <v>2</v>
      </c>
      <c r="AD7">
        <f ca="1">IF(($A$2)&gt;=(ROW()-3),AD$17*(SUM(AD$19:AD22)-((ROW()-3)*5)),AD6)</f>
        <v>0</v>
      </c>
      <c r="AE7">
        <f ca="1">IF(($A$2)&gt;=(ROW()-3),AE$17*(SUM(AE$19:AE22)-((ROW()-3)*5)),AE6)</f>
        <v>2</v>
      </c>
      <c r="AF7">
        <f ca="1">IF(($A$2)&gt;=(ROW()-3),AF$17*(SUM(AF$19:AF22)-((ROW()-3)*5)),AF6)</f>
        <v>-4</v>
      </c>
      <c r="AG7">
        <f ca="1">IF(($A$2)&gt;=(ROW()-3),AG$17*(SUM(AG$19:AG22)-((ROW()-3)*5)),AG6)</f>
        <v>1</v>
      </c>
      <c r="AH7">
        <f ca="1">IF(($A$2)&gt;=(ROW()-3),AH$17*(SUM(AH$19:AH22)-((ROW()-3)*5)),AH6)</f>
        <v>0</v>
      </c>
      <c r="AI7">
        <f ca="1">IF(($A$2)&gt;=(ROW()-3),AI$17*(SUM(AI$19:AI22)-((ROW()-3)*5)),AI6)</f>
        <v>-2</v>
      </c>
      <c r="AJ7">
        <f ca="1">IF(($A$2)&gt;=(ROW()-3),AJ$17*(SUM(AJ$19:AJ22)-((ROW()-3)*5)),AJ6)</f>
        <v>-1</v>
      </c>
      <c r="AK7">
        <f ca="1">IF(($A$2)&gt;=(ROW()-3),AK$17*(SUM(AK$19:AK22)-((ROW()-3)*5)),AK6)</f>
        <v>1</v>
      </c>
      <c r="AL7">
        <f ca="1">IF(($A$2)&gt;=(ROW()-3),AL$17*(SUM(AL$19:AL22)-((ROW()-3)*5)),AL6)</f>
        <v>2</v>
      </c>
      <c r="AM7">
        <f ca="1">IF(($A$2)&gt;=(ROW()-3),AM$17*(SUM(AM$19:AM22)-((ROW()-3)*5)),AM6)</f>
        <v>2</v>
      </c>
      <c r="AN7">
        <f ca="1">IF(($A$2)&gt;=(ROW()-3),AN$17*(SUM(AN$19:AN22)-((ROW()-3)*5)),AN6)</f>
        <v>-1</v>
      </c>
      <c r="AO7">
        <f ca="1">IF(($A$2)&gt;=(ROW()-3),AO$17*(SUM(AO$19:AO22)-((ROW()-3)*5)),AO6)</f>
        <v>2</v>
      </c>
      <c r="AP7">
        <f ca="1">IF(($A$2)&gt;=(ROW()-3),AP$17*(SUM(AP$19:AP22)-((ROW()-3)*5)),AP6)</f>
        <v>3</v>
      </c>
      <c r="AQ7">
        <f ca="1">IF(($A$2)&gt;=(ROW()-3),AQ$17*(SUM(AQ$19:AQ22)-((ROW()-3)*5)),AQ6)</f>
        <v>3</v>
      </c>
      <c r="AR7">
        <f ca="1">IF(($A$2)&gt;=(ROW()-3),AR$17*(SUM(AR$19:AR22)-((ROW()-3)*5)),AR6)</f>
        <v>-5</v>
      </c>
      <c r="AS7">
        <f ca="1">IF(($A$2)&gt;=(ROW()-3),AS$17*(SUM(AS$19:AS22)-((ROW()-3)*5)),AS6)</f>
        <v>-4</v>
      </c>
      <c r="AT7">
        <f ca="1">IF(($A$2)&gt;=(ROW()-3),AT$17*(SUM(AT$19:AT22)-((ROW()-3)*5)),AT6)</f>
        <v>-1</v>
      </c>
      <c r="AU7">
        <f ca="1">IF(($A$2)&gt;=(ROW()-3),AU$17*(SUM(AU$19:AU22)-((ROW()-3)*5)),AU6)</f>
        <v>4</v>
      </c>
      <c r="AV7">
        <f ca="1">IF(($A$2)&gt;=(ROW()-3),AV$17*(SUM(AV$19:AV22)-((ROW()-3)*5)),AV6)</f>
        <v>-1</v>
      </c>
      <c r="AW7">
        <f ca="1">IF(($A$2)&gt;=(ROW()-3),AW$17*(SUM(AW$19:AW22)-((ROW()-3)*5)),AW6)</f>
        <v>4</v>
      </c>
      <c r="AX7">
        <f ca="1">IF(($A$2)&gt;=(ROW()-3),AX$17*(SUM(AX$19:AX22)-((ROW()-3)*5)),AX6)</f>
        <v>-5</v>
      </c>
      <c r="AY7">
        <f ca="1">IF(($A$2)&gt;=(ROW()-3),AY$17*(SUM(AY$19:AY22)-((ROW()-3)*5)),AY6)</f>
        <v>0</v>
      </c>
      <c r="AZ7">
        <f ca="1">IF(($A$2)&gt;=(ROW()-3),AZ$17*(SUM(AZ$19:AZ22)-((ROW()-3)*5)),AZ6)</f>
        <v>-3</v>
      </c>
      <c r="BA7">
        <f ca="1">IF(($A$2)&gt;=(ROW()-3),BA$17*(SUM(BA$19:BA22)-((ROW()-3)*5)),BA6)</f>
        <v>-1</v>
      </c>
      <c r="BB7">
        <f ca="1">IF(($A$2)&gt;=(ROW()-3),BB$17*(SUM(BB$19:BB22)-((ROW()-3)*5)),BB6)</f>
        <v>0</v>
      </c>
      <c r="BC7">
        <f ca="1">IF(($A$2)&gt;=(ROW()-3),BC$17*(SUM(BC$19:BC22)-((ROW()-3)*5)),BC6)</f>
        <v>0</v>
      </c>
      <c r="BD7">
        <f ca="1">IF(($A$2)&gt;=(ROW()-3),BD$17*(SUM(BD$19:BD22)-((ROW()-3)*5)),BD6)</f>
        <v>-8</v>
      </c>
      <c r="BE7">
        <f ca="1">IF(($A$2)&gt;=(ROW()-3),BE$17*(SUM(BE$19:BE22)-((ROW()-3)*5)),BE6)</f>
        <v>3</v>
      </c>
      <c r="BF7">
        <f ca="1">IF(($A$2)&gt;=(ROW()-3),BF$17*(SUM(BF$19:BF22)-((ROW()-3)*5)),BF6)</f>
        <v>0</v>
      </c>
      <c r="BG7">
        <f ca="1">IF(($A$2)&gt;=(ROW()-3),BG$17*(SUM(BG$19:BG22)-((ROW()-3)*5)),BG6)</f>
        <v>-4</v>
      </c>
      <c r="BH7">
        <f ca="1">IF(($A$2)&gt;=(ROW()-3),BH$17*(SUM(BH$19:BH22)-((ROW()-3)*5)),BH6)</f>
        <v>1</v>
      </c>
      <c r="BI7">
        <f ca="1">IF(($A$2)&gt;=(ROW()-3),BI$17*(SUM(BI$19:BI22)-((ROW()-3)*5)),BI6)</f>
        <v>1</v>
      </c>
      <c r="BJ7">
        <f ca="1">IF(($A$2)&gt;=(ROW()-3),BJ$17*(SUM(BJ$19:BJ22)-((ROW()-3)*5)),BJ6)</f>
        <v>1</v>
      </c>
      <c r="BK7">
        <f ca="1">IF(($A$2)&gt;=(ROW()-3),BK$17*(SUM(BK$19:BK22)-((ROW()-3)*5)),BK6)</f>
        <v>-2</v>
      </c>
      <c r="BL7">
        <f ca="1">IF(($A$2)&gt;=(ROW()-3),BL$17*(SUM(BL$19:BL22)-((ROW()-3)*5)),BL6)</f>
        <v>3</v>
      </c>
      <c r="BM7">
        <f ca="1">IF(($A$2)&gt;=(ROW()-3),BM$17*(SUM(BM$19:BM22)-((ROW()-3)*5)),BM6)</f>
        <v>4</v>
      </c>
      <c r="BN7">
        <f ca="1">IF(($A$2)&gt;=(ROW()-3),BN$17*(SUM(BN$19:BN22)-((ROW()-3)*5)),BN6)</f>
        <v>7</v>
      </c>
      <c r="BO7">
        <f ca="1">IF(($A$2)&gt;=(ROW()-3),BO$17*(SUM(BO$19:BO22)-((ROW()-3)*5)),BO6)</f>
        <v>-20</v>
      </c>
    </row>
    <row r="8" spans="1:67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5.3846153846153832</v>
      </c>
      <c r="G8">
        <f ca="1">IF(($A$2)&gt;=(ROW()-3),G$17*(SUM(G$19:G23)-((ROW()-3)*5)),G7)</f>
        <v>1</v>
      </c>
      <c r="H8">
        <f ca="1">IF(($A$2)&gt;=(ROW()-3),H$17*(SUM(H$19:H23)-((ROW()-3)*5)),H7)</f>
        <v>-2</v>
      </c>
      <c r="I8">
        <f ca="1">IF(($A$2)&gt;=(ROW()-3),I$17*(SUM(I$19:I23)-((ROW()-3)*5)),I7)</f>
        <v>-2.5</v>
      </c>
      <c r="J8">
        <f ca="1">IF(($A$2)&gt;=(ROW()-3),J$17*(SUM(J$19:J23)-((ROW()-3)*5)),J7)</f>
        <v>0</v>
      </c>
      <c r="K8">
        <f ca="1">IF(($A$2)&gt;=(ROW()-3),K$17*(SUM(K$19:K23)-((ROW()-3)*5)),K7)</f>
        <v>0</v>
      </c>
      <c r="L8">
        <f ca="1">IF(($A$2)&gt;=(ROW()-3),L$17*(SUM(L$19:L23)-((ROW()-3)*5)),L7)</f>
        <v>3</v>
      </c>
      <c r="M8">
        <f ca="1">IF(($A$2)&gt;=(ROW()-3),M$17*(SUM(M$19:M23)-((ROW()-3)*5)),M7)</f>
        <v>-2</v>
      </c>
      <c r="N8">
        <f ca="1">IF(($A$2)&gt;=(ROW()-3),N$17*(SUM(N$19:N23)-((ROW()-3)*5)),N7)</f>
        <v>1</v>
      </c>
      <c r="O8">
        <f ca="1">IF(($A$2)&gt;=(ROW()-3),O$17*(SUM(O$19:O23)-((ROW()-3)*5)),O7)</f>
        <v>4</v>
      </c>
      <c r="P8">
        <f ca="1">IF(($A$2)&gt;=(ROW()-3),P$17*(SUM(P$19:P23)-((ROW()-3)*5)),P7)</f>
        <v>-2</v>
      </c>
      <c r="Q8">
        <f ca="1">IF(($A$2)&gt;=(ROW()-3),Q$17*(SUM(Q$19:Q23)-((ROW()-3)*5)),Q7)</f>
        <v>0</v>
      </c>
      <c r="R8">
        <f ca="1">IF(($A$2)&gt;=(ROW()-3),R$17*(SUM(R$19:R23)-((ROW()-3)*5)),R7)</f>
        <v>-2</v>
      </c>
      <c r="S8">
        <f ca="1">IF(($A$2)&gt;=(ROW()-3),S$17*(SUM(S$19:S23)-((ROW()-3)*5)),S7)</f>
        <v>0</v>
      </c>
      <c r="T8">
        <f ca="1">IF(($A$2)&gt;=(ROW()-3),T$17*(SUM(T$19:T23)-((ROW()-3)*5)),T7)</f>
        <v>1</v>
      </c>
      <c r="U8">
        <f ca="1">IF(($A$2)&gt;=(ROW()-3),U$17*(SUM(U$19:U23)-((ROW()-3)*5)),U7)</f>
        <v>1</v>
      </c>
      <c r="V8">
        <f ca="1">IF(($A$2)&gt;=(ROW()-3),V$17*(SUM(V$19:V23)-((ROW()-3)*5)),V7)</f>
        <v>2</v>
      </c>
      <c r="W8">
        <f ca="1">IF(($A$2)&gt;=(ROW()-3),W$17*(SUM(W$19:W23)-((ROW()-3)*5)),W7)</f>
        <v>3</v>
      </c>
      <c r="X8">
        <f ca="1">IF(($A$2)&gt;=(ROW()-3),X$17*(SUM(X$19:X23)-((ROW()-3)*5)),X7)</f>
        <v>1</v>
      </c>
      <c r="Y8">
        <f ca="1">IF(($A$2)&gt;=(ROW()-3),Y$17*(SUM(Y$19:Y23)-((ROW()-3)*5)),Y7)</f>
        <v>-4</v>
      </c>
      <c r="Z8">
        <f ca="1">IF(($A$2)&gt;=(ROW()-3),Z$17*(SUM(Z$19:Z23)-((ROW()-3)*5)),Z7)</f>
        <v>3</v>
      </c>
      <c r="AA8">
        <f ca="1">IF(($A$2)&gt;=(ROW()-3),AA$17*(SUM(AA$19:AA23)-((ROW()-3)*5)),AA7)</f>
        <v>-2</v>
      </c>
      <c r="AB8">
        <f ca="1">IF(($A$2)&gt;=(ROW()-3),AB$17*(SUM(AB$19:AB23)-((ROW()-3)*5)),AB7)</f>
        <v>1</v>
      </c>
      <c r="AC8">
        <f ca="1">IF(($A$2)&gt;=(ROW()-3),AC$17*(SUM(AC$19:AC23)-((ROW()-3)*5)),AC7)</f>
        <v>2</v>
      </c>
      <c r="AD8">
        <f ca="1">IF(($A$2)&gt;=(ROW()-3),AD$17*(SUM(AD$19:AD23)-((ROW()-3)*5)),AD7)</f>
        <v>3</v>
      </c>
      <c r="AE8">
        <f ca="1">IF(($A$2)&gt;=(ROW()-3),AE$17*(SUM(AE$19:AE23)-((ROW()-3)*5)),AE7)</f>
        <v>-2</v>
      </c>
      <c r="AF8">
        <f ca="1">IF(($A$2)&gt;=(ROW()-3),AF$17*(SUM(AF$19:AF23)-((ROW()-3)*5)),AF7)</f>
        <v>-4</v>
      </c>
      <c r="AG8">
        <f ca="1">IF(($A$2)&gt;=(ROW()-3),AG$17*(SUM(AG$19:AG23)-((ROW()-3)*5)),AG7)</f>
        <v>1</v>
      </c>
      <c r="AH8">
        <f ca="1">IF(($A$2)&gt;=(ROW()-3),AH$17*(SUM(AH$19:AH23)-((ROW()-3)*5)),AH7)</f>
        <v>1</v>
      </c>
      <c r="AI8">
        <f ca="1">IF(($A$2)&gt;=(ROW()-3),AI$17*(SUM(AI$19:AI23)-((ROW()-3)*5)),AI7)</f>
        <v>-2</v>
      </c>
      <c r="AJ8">
        <f ca="1">IF(($A$2)&gt;=(ROW()-3),AJ$17*(SUM(AJ$19:AJ23)-((ROW()-3)*5)),AJ7)</f>
        <v>-2</v>
      </c>
      <c r="AK8">
        <f ca="1">IF(($A$2)&gt;=(ROW()-3),AK$17*(SUM(AK$19:AK23)-((ROW()-3)*5)),AK7)</f>
        <v>2</v>
      </c>
      <c r="AL8">
        <f ca="1">IF(($A$2)&gt;=(ROW()-3),AL$17*(SUM(AL$19:AL23)-((ROW()-3)*5)),AL7)</f>
        <v>2</v>
      </c>
      <c r="AM8">
        <f ca="1">IF(($A$2)&gt;=(ROW()-3),AM$17*(SUM(AM$19:AM23)-((ROW()-3)*5)),AM7)</f>
        <v>3</v>
      </c>
      <c r="AN8">
        <f ca="1">IF(($A$2)&gt;=(ROW()-3),AN$17*(SUM(AN$19:AN23)-((ROW()-3)*5)),AN7)</f>
        <v>0</v>
      </c>
      <c r="AO8">
        <f ca="1">IF(($A$2)&gt;=(ROW()-3),AO$17*(SUM(AO$19:AO23)-((ROW()-3)*5)),AO7)</f>
        <v>2</v>
      </c>
      <c r="AP8">
        <f ca="1">IF(($A$2)&gt;=(ROW()-3),AP$17*(SUM(AP$19:AP23)-((ROW()-3)*5)),AP7)</f>
        <v>3</v>
      </c>
      <c r="AQ8">
        <f ca="1">IF(($A$2)&gt;=(ROW()-3),AQ$17*(SUM(AQ$19:AQ23)-((ROW()-3)*5)),AQ7)</f>
        <v>2</v>
      </c>
      <c r="AR8">
        <f ca="1">IF(($A$2)&gt;=(ROW()-3),AR$17*(SUM(AR$19:AR23)-((ROW()-3)*5)),AR7)</f>
        <v>-3</v>
      </c>
      <c r="AS8">
        <f ca="1">IF(($A$2)&gt;=(ROW()-3),AS$17*(SUM(AS$19:AS23)-((ROW()-3)*5)),AS7)</f>
        <v>-5</v>
      </c>
      <c r="AT8">
        <f ca="1">IF(($A$2)&gt;=(ROW()-3),AT$17*(SUM(AT$19:AT23)-((ROW()-3)*5)),AT7)</f>
        <v>2</v>
      </c>
      <c r="AU8">
        <f ca="1">IF(($A$2)&gt;=(ROW()-3),AU$17*(SUM(AU$19:AU23)-((ROW()-3)*5)),AU7)</f>
        <v>3</v>
      </c>
      <c r="AV8">
        <f ca="1">IF(($A$2)&gt;=(ROW()-3),AV$17*(SUM(AV$19:AV23)-((ROW()-3)*5)),AV7)</f>
        <v>-3</v>
      </c>
      <c r="AW8">
        <f ca="1">IF(($A$2)&gt;=(ROW()-3),AW$17*(SUM(AW$19:AW23)-((ROW()-3)*5)),AW7)</f>
        <v>5</v>
      </c>
      <c r="AX8">
        <f ca="1">IF(($A$2)&gt;=(ROW()-3),AX$17*(SUM(AX$19:AX23)-((ROW()-3)*5)),AX7)</f>
        <v>-1</v>
      </c>
      <c r="AY8">
        <f ca="1">IF(($A$2)&gt;=(ROW()-3),AY$17*(SUM(AY$19:AY23)-((ROW()-3)*5)),AY7)</f>
        <v>0</v>
      </c>
      <c r="AZ8">
        <f ca="1">IF(($A$2)&gt;=(ROW()-3),AZ$17*(SUM(AZ$19:AZ23)-((ROW()-3)*5)),AZ7)</f>
        <v>-3</v>
      </c>
      <c r="BA8">
        <f ca="1">IF(($A$2)&gt;=(ROW()-3),BA$17*(SUM(BA$19:BA23)-((ROW()-3)*5)),BA7)</f>
        <v>-2</v>
      </c>
      <c r="BB8">
        <f ca="1">IF(($A$2)&gt;=(ROW()-3),BB$17*(SUM(BB$19:BB23)-((ROW()-3)*5)),BB7)</f>
        <v>-1</v>
      </c>
      <c r="BC8">
        <f ca="1">IF(($A$2)&gt;=(ROW()-3),BC$17*(SUM(BC$19:BC23)-((ROW()-3)*5)),BC7)</f>
        <v>-2</v>
      </c>
      <c r="BD8">
        <f ca="1">IF(($A$2)&gt;=(ROW()-3),BD$17*(SUM(BD$19:BD23)-((ROW()-3)*5)),BD7)</f>
        <v>-7</v>
      </c>
      <c r="BE8">
        <f ca="1">IF(($A$2)&gt;=(ROW()-3),BE$17*(SUM(BE$19:BE23)-((ROW()-3)*5)),BE7)</f>
        <v>4</v>
      </c>
      <c r="BF8">
        <f ca="1">IF(($A$2)&gt;=(ROW()-3),BF$17*(SUM(BF$19:BF23)-((ROW()-3)*5)),BF7)</f>
        <v>0</v>
      </c>
      <c r="BG8">
        <f ca="1">IF(($A$2)&gt;=(ROW()-3),BG$17*(SUM(BG$19:BG23)-((ROW()-3)*5)),BG7)</f>
        <v>-8</v>
      </c>
      <c r="BH8">
        <f ca="1">IF(($A$2)&gt;=(ROW()-3),BH$17*(SUM(BH$19:BH23)-((ROW()-3)*5)),BH7)</f>
        <v>3</v>
      </c>
      <c r="BI8">
        <f ca="1">IF(($A$2)&gt;=(ROW()-3),BI$17*(SUM(BI$19:BI23)-((ROW()-3)*5)),BI7)</f>
        <v>2</v>
      </c>
      <c r="BJ8">
        <f ca="1">IF(($A$2)&gt;=(ROW()-3),BJ$17*(SUM(BJ$19:BJ23)-((ROW()-3)*5)),BJ7)</f>
        <v>0</v>
      </c>
      <c r="BK8">
        <f ca="1">IF(($A$2)&gt;=(ROW()-3),BK$17*(SUM(BK$19:BK23)-((ROW()-3)*5)),BK7)</f>
        <v>-4</v>
      </c>
      <c r="BL8">
        <f ca="1">IF(($A$2)&gt;=(ROW()-3),BL$17*(SUM(BL$19:BL23)-((ROW()-3)*5)),BL7)</f>
        <v>2</v>
      </c>
      <c r="BM8">
        <f ca="1">IF(($A$2)&gt;=(ROW()-3),BM$17*(SUM(BM$19:BM23)-((ROW()-3)*5)),BM7)</f>
        <v>3</v>
      </c>
      <c r="BN8">
        <f ca="1">IF(($A$2)&gt;=(ROW()-3),BN$17*(SUM(BN$19:BN23)-((ROW()-3)*5)),BN7)</f>
        <v>7</v>
      </c>
      <c r="BO8">
        <f ca="1">IF(($A$2)&gt;=(ROW()-3),BO$17*(SUM(BO$19:BO23)-((ROW()-3)*5)),BO7)</f>
        <v>-25</v>
      </c>
    </row>
    <row r="9" spans="1:67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6.4615384615384599</v>
      </c>
      <c r="G9">
        <f ca="1">IF(($A$2)&gt;=(ROW()-3),G$17*(SUM(G$19:G24)-((ROW()-3)*5)),G8)</f>
        <v>1</v>
      </c>
      <c r="H9">
        <f ca="1">IF(($A$2)&gt;=(ROW()-3),H$17*(SUM(H$19:H24)-((ROW()-3)*5)),H8)</f>
        <v>-1</v>
      </c>
      <c r="I9">
        <f ca="1">IF(($A$2)&gt;=(ROW()-3),I$17*(SUM(I$19:I24)-((ROW()-3)*5)),I8)</f>
        <v>-0.5</v>
      </c>
      <c r="J9">
        <f ca="1">IF(($A$2)&gt;=(ROW()-3),J$17*(SUM(J$19:J24)-((ROW()-3)*5)),J8)</f>
        <v>-2</v>
      </c>
      <c r="K9">
        <f ca="1">IF(($A$2)&gt;=(ROW()-3),K$17*(SUM(K$19:K24)-((ROW()-3)*5)),K8)</f>
        <v>-1</v>
      </c>
      <c r="L9">
        <f ca="1">IF(($A$2)&gt;=(ROW()-3),L$17*(SUM(L$19:L24)-((ROW()-3)*5)),L8)</f>
        <v>4</v>
      </c>
      <c r="M9">
        <f ca="1">IF(($A$2)&gt;=(ROW()-3),M$17*(SUM(M$19:M24)-((ROW()-3)*5)),M8)</f>
        <v>-4</v>
      </c>
      <c r="N9">
        <f ca="1">IF(($A$2)&gt;=(ROW()-3),N$17*(SUM(N$19:N24)-((ROW()-3)*5)),N8)</f>
        <v>1</v>
      </c>
      <c r="O9">
        <f ca="1">IF(($A$2)&gt;=(ROW()-3),O$17*(SUM(O$19:O24)-((ROW()-3)*5)),O8)</f>
        <v>4</v>
      </c>
      <c r="P9">
        <f ca="1">IF(($A$2)&gt;=(ROW()-3),P$17*(SUM(P$19:P24)-((ROW()-3)*5)),P8)</f>
        <v>-1</v>
      </c>
      <c r="Q9">
        <f ca="1">IF(($A$2)&gt;=(ROW()-3),Q$17*(SUM(Q$19:Q24)-((ROW()-3)*5)),Q8)</f>
        <v>1</v>
      </c>
      <c r="R9">
        <f ca="1">IF(($A$2)&gt;=(ROW()-3),R$17*(SUM(R$19:R24)-((ROW()-3)*5)),R8)</f>
        <v>-3</v>
      </c>
      <c r="S9">
        <f ca="1">IF(($A$2)&gt;=(ROW()-3),S$17*(SUM(S$19:S24)-((ROW()-3)*5)),S8)</f>
        <v>1</v>
      </c>
      <c r="T9">
        <f ca="1">IF(($A$2)&gt;=(ROW()-3),T$17*(SUM(T$19:T24)-((ROW()-3)*5)),T8)</f>
        <v>0</v>
      </c>
      <c r="U9">
        <f ca="1">IF(($A$2)&gt;=(ROW()-3),U$17*(SUM(U$19:U24)-((ROW()-3)*5)),U8)</f>
        <v>2</v>
      </c>
      <c r="V9">
        <f ca="1">IF(($A$2)&gt;=(ROW()-3),V$17*(SUM(V$19:V24)-((ROW()-3)*5)),V8)</f>
        <v>1</v>
      </c>
      <c r="W9">
        <f ca="1">IF(($A$2)&gt;=(ROW()-3),W$17*(SUM(W$19:W24)-((ROW()-3)*5)),W8)</f>
        <v>4</v>
      </c>
      <c r="X9">
        <f ca="1">IF(($A$2)&gt;=(ROW()-3),X$17*(SUM(X$19:X24)-((ROW()-3)*5)),X8)</f>
        <v>0</v>
      </c>
      <c r="Y9">
        <f ca="1">IF(($A$2)&gt;=(ROW()-3),Y$17*(SUM(Y$19:Y24)-((ROW()-3)*5)),Y8)</f>
        <v>-2</v>
      </c>
      <c r="Z9">
        <f ca="1">IF(($A$2)&gt;=(ROW()-3),Z$17*(SUM(Z$19:Z24)-((ROW()-3)*5)),Z8)</f>
        <v>2</v>
      </c>
      <c r="AA9">
        <f ca="1">IF(($A$2)&gt;=(ROW()-3),AA$17*(SUM(AA$19:AA24)-((ROW()-3)*5)),AA8)</f>
        <v>-2</v>
      </c>
      <c r="AB9">
        <f ca="1">IF(($A$2)&gt;=(ROW()-3),AB$17*(SUM(AB$19:AB24)-((ROW()-3)*5)),AB8)</f>
        <v>0</v>
      </c>
      <c r="AC9">
        <f ca="1">IF(($A$2)&gt;=(ROW()-3),AC$17*(SUM(AC$19:AC24)-((ROW()-3)*5)),AC8)</f>
        <v>3</v>
      </c>
      <c r="AD9">
        <f ca="1">IF(($A$2)&gt;=(ROW()-3),AD$17*(SUM(AD$19:AD24)-((ROW()-3)*5)),AD8)</f>
        <v>0</v>
      </c>
      <c r="AE9">
        <f ca="1">IF(($A$2)&gt;=(ROW()-3),AE$17*(SUM(AE$19:AE24)-((ROW()-3)*5)),AE8)</f>
        <v>-2</v>
      </c>
      <c r="AF9">
        <f ca="1">IF(($A$2)&gt;=(ROW()-3),AF$17*(SUM(AF$19:AF24)-((ROW()-3)*5)),AF8)</f>
        <v>-4</v>
      </c>
      <c r="AG9">
        <f ca="1">IF(($A$2)&gt;=(ROW()-3),AG$17*(SUM(AG$19:AG24)-((ROW()-3)*5)),AG8)</f>
        <v>2</v>
      </c>
      <c r="AH9">
        <f ca="1">IF(($A$2)&gt;=(ROW()-3),AH$17*(SUM(AH$19:AH24)-((ROW()-3)*5)),AH8)</f>
        <v>3</v>
      </c>
      <c r="AI9">
        <f ca="1">IF(($A$2)&gt;=(ROW()-3),AI$17*(SUM(AI$19:AI24)-((ROW()-3)*5)),AI8)</f>
        <v>-4</v>
      </c>
      <c r="AJ9">
        <f ca="1">IF(($A$2)&gt;=(ROW()-3),AJ$17*(SUM(AJ$19:AJ24)-((ROW()-3)*5)),AJ8)</f>
        <v>0</v>
      </c>
      <c r="AK9">
        <f ca="1">IF(($A$2)&gt;=(ROW()-3),AK$17*(SUM(AK$19:AK24)-((ROW()-3)*5)),AK8)</f>
        <v>2</v>
      </c>
      <c r="AL9">
        <f ca="1">IF(($A$2)&gt;=(ROW()-3),AL$17*(SUM(AL$19:AL24)-((ROW()-3)*5)),AL8)</f>
        <v>2</v>
      </c>
      <c r="AM9">
        <f ca="1">IF(($A$2)&gt;=(ROW()-3),AM$17*(SUM(AM$19:AM24)-((ROW()-3)*5)),AM8)</f>
        <v>3</v>
      </c>
      <c r="AN9">
        <f ca="1">IF(($A$2)&gt;=(ROW()-3),AN$17*(SUM(AN$19:AN24)-((ROW()-3)*5)),AN8)</f>
        <v>2</v>
      </c>
      <c r="AO9">
        <f ca="1">IF(($A$2)&gt;=(ROW()-3),AO$17*(SUM(AO$19:AO24)-((ROW()-3)*5)),AO8)</f>
        <v>4</v>
      </c>
      <c r="AP9">
        <f ca="1">IF(($A$2)&gt;=(ROW()-3),AP$17*(SUM(AP$19:AP24)-((ROW()-3)*5)),AP8)</f>
        <v>5</v>
      </c>
      <c r="AQ9">
        <f ca="1">IF(($A$2)&gt;=(ROW()-3),AQ$17*(SUM(AQ$19:AQ24)-((ROW()-3)*5)),AQ8)</f>
        <v>1</v>
      </c>
      <c r="AR9">
        <f ca="1">IF(($A$2)&gt;=(ROW()-3),AR$17*(SUM(AR$19:AR24)-((ROW()-3)*5)),AR8)</f>
        <v>-2</v>
      </c>
      <c r="AS9">
        <f ca="1">IF(($A$2)&gt;=(ROW()-3),AS$17*(SUM(AS$19:AS24)-((ROW()-3)*5)),AS8)</f>
        <v>-2</v>
      </c>
      <c r="AT9">
        <f ca="1">IF(($A$2)&gt;=(ROW()-3),AT$17*(SUM(AT$19:AT24)-((ROW()-3)*5)),AT8)</f>
        <v>4</v>
      </c>
      <c r="AU9">
        <f ca="1">IF(($A$2)&gt;=(ROW()-3),AU$17*(SUM(AU$19:AU24)-((ROW()-3)*5)),AU8)</f>
        <v>3</v>
      </c>
      <c r="AV9">
        <f ca="1">IF(($A$2)&gt;=(ROW()-3),AV$17*(SUM(AV$19:AV24)-((ROW()-3)*5)),AV8)</f>
        <v>-2</v>
      </c>
      <c r="AW9">
        <f ca="1">IF(($A$2)&gt;=(ROW()-3),AW$17*(SUM(AW$19:AW24)-((ROW()-3)*5)),AW8)</f>
        <v>8</v>
      </c>
      <c r="AX9">
        <f ca="1">IF(($A$2)&gt;=(ROW()-3),AX$17*(SUM(AX$19:AX24)-((ROW()-3)*5)),AX8)</f>
        <v>0</v>
      </c>
      <c r="AY9">
        <f ca="1">IF(($A$2)&gt;=(ROW()-3),AY$17*(SUM(AY$19:AY24)-((ROW()-3)*5)),AY8)</f>
        <v>1</v>
      </c>
      <c r="AZ9">
        <f ca="1">IF(($A$2)&gt;=(ROW()-3),AZ$17*(SUM(AZ$19:AZ24)-((ROW()-3)*5)),AZ8)</f>
        <v>-2</v>
      </c>
      <c r="BA9">
        <f ca="1">IF(($A$2)&gt;=(ROW()-3),BA$17*(SUM(BA$19:BA24)-((ROW()-3)*5)),BA8)</f>
        <v>0</v>
      </c>
      <c r="BB9">
        <f ca="1">IF(($A$2)&gt;=(ROW()-3),BB$17*(SUM(BB$19:BB24)-((ROW()-3)*5)),BB8)</f>
        <v>0</v>
      </c>
      <c r="BC9">
        <f ca="1">IF(($A$2)&gt;=(ROW()-3),BC$17*(SUM(BC$19:BC24)-((ROW()-3)*5)),BC8)</f>
        <v>-2</v>
      </c>
      <c r="BD9">
        <f ca="1">IF(($A$2)&gt;=(ROW()-3),BD$17*(SUM(BD$19:BD24)-((ROW()-3)*5)),BD8)</f>
        <v>-8</v>
      </c>
      <c r="BE9">
        <f ca="1">IF(($A$2)&gt;=(ROW()-3),BE$17*(SUM(BE$19:BE24)-((ROW()-3)*5)),BE8)</f>
        <v>6</v>
      </c>
      <c r="BF9">
        <f ca="1">IF(($A$2)&gt;=(ROW()-3),BF$17*(SUM(BF$19:BF24)-((ROW()-3)*5)),BF8)</f>
        <v>-3</v>
      </c>
      <c r="BG9">
        <f ca="1">IF(($A$2)&gt;=(ROW()-3),BG$17*(SUM(BG$19:BG24)-((ROW()-3)*5)),BG8)</f>
        <v>-11</v>
      </c>
      <c r="BH9">
        <f ca="1">IF(($A$2)&gt;=(ROW()-3),BH$17*(SUM(BH$19:BH24)-((ROW()-3)*5)),BH8)</f>
        <v>5</v>
      </c>
      <c r="BI9">
        <f ca="1">IF(($A$2)&gt;=(ROW()-3),BI$17*(SUM(BI$19:BI24)-((ROW()-3)*5)),BI8)</f>
        <v>4</v>
      </c>
      <c r="BJ9">
        <f ca="1">IF(($A$2)&gt;=(ROW()-3),BJ$17*(SUM(BJ$19:BJ24)-((ROW()-3)*5)),BJ8)</f>
        <v>2</v>
      </c>
      <c r="BK9">
        <f ca="1">IF(($A$2)&gt;=(ROW()-3),BK$17*(SUM(BK$19:BK24)-((ROW()-3)*5)),BK8)</f>
        <v>-5</v>
      </c>
      <c r="BL9">
        <f ca="1">IF(($A$2)&gt;=(ROW()-3),BL$17*(SUM(BL$19:BL24)-((ROW()-3)*5)),BL8)</f>
        <v>1</v>
      </c>
      <c r="BM9">
        <f ca="1">IF(($A$2)&gt;=(ROW()-3),BM$17*(SUM(BM$19:BM24)-((ROW()-3)*5)),BM8)</f>
        <v>5</v>
      </c>
      <c r="BN9">
        <f ca="1">IF(($A$2)&gt;=(ROW()-3),BN$17*(SUM(BN$19:BN24)-((ROW()-3)*5)),BN8)</f>
        <v>6</v>
      </c>
      <c r="BO9">
        <f ca="1">IF(($A$2)&gt;=(ROW()-3),BO$17*(SUM(BO$19:BO24)-((ROW()-3)*5)),BO8)</f>
        <v>-30</v>
      </c>
    </row>
    <row r="10" spans="1:67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7.538461538461533</v>
      </c>
      <c r="G10">
        <f ca="1">IF(($A$2)&gt;=(ROW()-3),G$17*(SUM(G$19:G25)-((ROW()-3)*5)),G9)</f>
        <v>0</v>
      </c>
      <c r="H10">
        <f ca="1">IF(($A$2)&gt;=(ROW()-3),H$17*(SUM(H$19:H25)-((ROW()-3)*5)),H9)</f>
        <v>-1</v>
      </c>
      <c r="I10">
        <f ca="1">IF(($A$2)&gt;=(ROW()-3),I$17*(SUM(I$19:I25)-((ROW()-3)*5)),I9)</f>
        <v>0.5</v>
      </c>
      <c r="J10">
        <f ca="1">IF(($A$2)&gt;=(ROW()-3),J$17*(SUM(J$19:J25)-((ROW()-3)*5)),J9)</f>
        <v>-3</v>
      </c>
      <c r="K10">
        <f ca="1">IF(($A$2)&gt;=(ROW()-3),K$17*(SUM(K$19:K25)-((ROW()-3)*5)),K9)</f>
        <v>-3</v>
      </c>
      <c r="L10">
        <f ca="1">IF(($A$2)&gt;=(ROW()-3),L$17*(SUM(L$19:L25)-((ROW()-3)*5)),L9)</f>
        <v>7</v>
      </c>
      <c r="M10">
        <f ca="1">IF(($A$2)&gt;=(ROW()-3),M$17*(SUM(M$19:M25)-((ROW()-3)*5)),M9)</f>
        <v>-3</v>
      </c>
      <c r="N10">
        <f ca="1">IF(($A$2)&gt;=(ROW()-3),N$17*(SUM(N$19:N25)-((ROW()-3)*5)),N9)</f>
        <v>3</v>
      </c>
      <c r="O10">
        <f ca="1">IF(($A$2)&gt;=(ROW()-3),O$17*(SUM(O$19:O25)-((ROW()-3)*5)),O9)</f>
        <v>4</v>
      </c>
      <c r="P10">
        <f ca="1">IF(($A$2)&gt;=(ROW()-3),P$17*(SUM(P$19:P25)-((ROW()-3)*5)),P9)</f>
        <v>-1</v>
      </c>
      <c r="Q10">
        <f ca="1">IF(($A$2)&gt;=(ROW()-3),Q$17*(SUM(Q$19:Q25)-((ROW()-3)*5)),Q9)</f>
        <v>1</v>
      </c>
      <c r="R10">
        <f ca="1">IF(($A$2)&gt;=(ROW()-3),R$17*(SUM(R$19:R25)-((ROW()-3)*5)),R9)</f>
        <v>-3</v>
      </c>
      <c r="S10">
        <f ca="1">IF(($A$2)&gt;=(ROW()-3),S$17*(SUM(S$19:S25)-((ROW()-3)*5)),S9)</f>
        <v>5</v>
      </c>
      <c r="T10">
        <f ca="1">IF(($A$2)&gt;=(ROW()-3),T$17*(SUM(T$19:T25)-((ROW()-3)*5)),T9)</f>
        <v>0</v>
      </c>
      <c r="U10">
        <f ca="1">IF(($A$2)&gt;=(ROW()-3),U$17*(SUM(U$19:U25)-((ROW()-3)*5)),U9)</f>
        <v>3</v>
      </c>
      <c r="V10">
        <f ca="1">IF(($A$2)&gt;=(ROW()-3),V$17*(SUM(V$19:V25)-((ROW()-3)*5)),V9)</f>
        <v>2</v>
      </c>
      <c r="W10">
        <f ca="1">IF(($A$2)&gt;=(ROW()-3),W$17*(SUM(W$19:W25)-((ROW()-3)*5)),W9)</f>
        <v>7</v>
      </c>
      <c r="X10">
        <f ca="1">IF(($A$2)&gt;=(ROW()-3),X$17*(SUM(X$19:X25)-((ROW()-3)*5)),X9)</f>
        <v>-1</v>
      </c>
      <c r="Y10">
        <f ca="1">IF(($A$2)&gt;=(ROW()-3),Y$17*(SUM(Y$19:Y25)-((ROW()-3)*5)),Y9)</f>
        <v>-1</v>
      </c>
      <c r="Z10">
        <f ca="1">IF(($A$2)&gt;=(ROW()-3),Z$17*(SUM(Z$19:Z25)-((ROW()-3)*5)),Z9)</f>
        <v>2</v>
      </c>
      <c r="AA10">
        <f ca="1">IF(($A$2)&gt;=(ROW()-3),AA$17*(SUM(AA$19:AA25)-((ROW()-3)*5)),AA9)</f>
        <v>-3</v>
      </c>
      <c r="AB10">
        <f ca="1">IF(($A$2)&gt;=(ROW()-3),AB$17*(SUM(AB$19:AB25)-((ROW()-3)*5)),AB9)</f>
        <v>0</v>
      </c>
      <c r="AC10">
        <f ca="1">IF(($A$2)&gt;=(ROW()-3),AC$17*(SUM(AC$19:AC25)-((ROW()-3)*5)),AC9)</f>
        <v>5</v>
      </c>
      <c r="AD10">
        <f ca="1">IF(($A$2)&gt;=(ROW()-3),AD$17*(SUM(AD$19:AD25)-((ROW()-3)*5)),AD9)</f>
        <v>0</v>
      </c>
      <c r="AE10">
        <f ca="1">IF(($A$2)&gt;=(ROW()-3),AE$17*(SUM(AE$19:AE25)-((ROW()-3)*5)),AE9)</f>
        <v>-3</v>
      </c>
      <c r="AF10">
        <f ca="1">IF(($A$2)&gt;=(ROW()-3),AF$17*(SUM(AF$19:AF25)-((ROW()-3)*5)),AF9)</f>
        <v>-4</v>
      </c>
      <c r="AG10">
        <f ca="1">IF(($A$2)&gt;=(ROW()-3),AG$17*(SUM(AG$19:AG25)-((ROW()-3)*5)),AG9)</f>
        <v>2</v>
      </c>
      <c r="AH10">
        <f ca="1">IF(($A$2)&gt;=(ROW()-3),AH$17*(SUM(AH$19:AH25)-((ROW()-3)*5)),AH9)</f>
        <v>5</v>
      </c>
      <c r="AI10">
        <f ca="1">IF(($A$2)&gt;=(ROW()-3),AI$17*(SUM(AI$19:AI25)-((ROW()-3)*5)),AI9)</f>
        <v>-5</v>
      </c>
      <c r="AJ10">
        <f ca="1">IF(($A$2)&gt;=(ROW()-3),AJ$17*(SUM(AJ$19:AJ25)-((ROW()-3)*5)),AJ9)</f>
        <v>-1</v>
      </c>
      <c r="AK10">
        <f ca="1">IF(($A$2)&gt;=(ROW()-3),AK$17*(SUM(AK$19:AK25)-((ROW()-3)*5)),AK9)</f>
        <v>1</v>
      </c>
      <c r="AL10">
        <f ca="1">IF(($A$2)&gt;=(ROW()-3),AL$17*(SUM(AL$19:AL25)-((ROW()-3)*5)),AL9)</f>
        <v>2</v>
      </c>
      <c r="AM10">
        <f ca="1">IF(($A$2)&gt;=(ROW()-3),AM$17*(SUM(AM$19:AM25)-((ROW()-3)*5)),AM9)</f>
        <v>5</v>
      </c>
      <c r="AN10">
        <f ca="1">IF(($A$2)&gt;=(ROW()-3),AN$17*(SUM(AN$19:AN25)-((ROW()-3)*5)),AN9)</f>
        <v>3</v>
      </c>
      <c r="AO10">
        <f ca="1">IF(($A$2)&gt;=(ROW()-3),AO$17*(SUM(AO$19:AO25)-((ROW()-3)*5)),AO9)</f>
        <v>1</v>
      </c>
      <c r="AP10">
        <f ca="1">IF(($A$2)&gt;=(ROW()-3),AP$17*(SUM(AP$19:AP25)-((ROW()-3)*5)),AP9)</f>
        <v>6</v>
      </c>
      <c r="AQ10">
        <f ca="1">IF(($A$2)&gt;=(ROW()-3),AQ$17*(SUM(AQ$19:AQ25)-((ROW()-3)*5)),AQ9)</f>
        <v>-2</v>
      </c>
      <c r="AR10">
        <f ca="1">IF(($A$2)&gt;=(ROW()-3),AR$17*(SUM(AR$19:AR25)-((ROW()-3)*5)),AR9)</f>
        <v>0</v>
      </c>
      <c r="AS10">
        <f ca="1">IF(($A$2)&gt;=(ROW()-3),AS$17*(SUM(AS$19:AS25)-((ROW()-3)*5)),AS9)</f>
        <v>-3</v>
      </c>
      <c r="AT10">
        <f ca="1">IF(($A$2)&gt;=(ROW()-3),AT$17*(SUM(AT$19:AT25)-((ROW()-3)*5)),AT9)</f>
        <v>6</v>
      </c>
      <c r="AU10">
        <f ca="1">IF(($A$2)&gt;=(ROW()-3),AU$17*(SUM(AU$19:AU25)-((ROW()-3)*5)),AU9)</f>
        <v>4</v>
      </c>
      <c r="AV10">
        <f ca="1">IF(($A$2)&gt;=(ROW()-3),AV$17*(SUM(AV$19:AV25)-((ROW()-3)*5)),AV9)</f>
        <v>-3</v>
      </c>
      <c r="AW10">
        <f ca="1">IF(($A$2)&gt;=(ROW()-3),AW$17*(SUM(AW$19:AW25)-((ROW()-3)*5)),AW9)</f>
        <v>9</v>
      </c>
      <c r="AX10">
        <f ca="1">IF(($A$2)&gt;=(ROW()-3),AX$17*(SUM(AX$19:AX25)-((ROW()-3)*5)),AX9)</f>
        <v>-3</v>
      </c>
      <c r="AY10">
        <f ca="1">IF(($A$2)&gt;=(ROW()-3),AY$17*(SUM(AY$19:AY25)-((ROW()-3)*5)),AY9)</f>
        <v>2</v>
      </c>
      <c r="AZ10">
        <f ca="1">IF(($A$2)&gt;=(ROW()-3),AZ$17*(SUM(AZ$19:AZ25)-((ROW()-3)*5)),AZ9)</f>
        <v>-2</v>
      </c>
      <c r="BA10">
        <f ca="1">IF(($A$2)&gt;=(ROW()-3),BA$17*(SUM(BA$19:BA25)-((ROW()-3)*5)),BA9)</f>
        <v>0</v>
      </c>
      <c r="BB10">
        <f ca="1">IF(($A$2)&gt;=(ROW()-3),BB$17*(SUM(BB$19:BB25)-((ROW()-3)*5)),BB9)</f>
        <v>1</v>
      </c>
      <c r="BC10">
        <f ca="1">IF(($A$2)&gt;=(ROW()-3),BC$17*(SUM(BC$19:BC25)-((ROW()-3)*5)),BC9)</f>
        <v>-2</v>
      </c>
      <c r="BD10">
        <f ca="1">IF(($A$2)&gt;=(ROW()-3),BD$17*(SUM(BD$19:BD25)-((ROW()-3)*5)),BD9)</f>
        <v>-9</v>
      </c>
      <c r="BE10">
        <f ca="1">IF(($A$2)&gt;=(ROW()-3),BE$17*(SUM(BE$19:BE25)-((ROW()-3)*5)),BE9)</f>
        <v>7</v>
      </c>
      <c r="BF10">
        <f ca="1">IF(($A$2)&gt;=(ROW()-3),BF$17*(SUM(BF$19:BF25)-((ROW()-3)*5)),BF9)</f>
        <v>0</v>
      </c>
      <c r="BG10">
        <f ca="1">IF(($A$2)&gt;=(ROW()-3),BG$17*(SUM(BG$19:BG25)-((ROW()-3)*5)),BG9)</f>
        <v>-12</v>
      </c>
      <c r="BH10">
        <f ca="1">IF(($A$2)&gt;=(ROW()-3),BH$17*(SUM(BH$19:BH25)-((ROW()-3)*5)),BH9)</f>
        <v>4</v>
      </c>
      <c r="BI10">
        <f ca="1">IF(($A$2)&gt;=(ROW()-3),BI$17*(SUM(BI$19:BI25)-((ROW()-3)*5)),BI9)</f>
        <v>3</v>
      </c>
      <c r="BJ10">
        <f ca="1">IF(($A$2)&gt;=(ROW()-3),BJ$17*(SUM(BJ$19:BJ25)-((ROW()-3)*5)),BJ9)</f>
        <v>2</v>
      </c>
      <c r="BK10">
        <f ca="1">IF(($A$2)&gt;=(ROW()-3),BK$17*(SUM(BK$19:BK25)-((ROW()-3)*5)),BK9)</f>
        <v>-4</v>
      </c>
      <c r="BL10">
        <f ca="1">IF(($A$2)&gt;=(ROW()-3),BL$17*(SUM(BL$19:BL25)-((ROW()-3)*5)),BL9)</f>
        <v>1</v>
      </c>
      <c r="BM10">
        <f ca="1">IF(($A$2)&gt;=(ROW()-3),BM$17*(SUM(BM$19:BM25)-((ROW()-3)*5)),BM9)</f>
        <v>6</v>
      </c>
      <c r="BN10">
        <f ca="1">IF(($A$2)&gt;=(ROW()-3),BN$17*(SUM(BN$19:BN25)-((ROW()-3)*5)),BN9)</f>
        <v>5</v>
      </c>
      <c r="BO10">
        <f ca="1">IF(($A$2)&gt;=(ROW()-3),BO$17*(SUM(BO$19:BO25)-((ROW()-3)*5)),BO9)</f>
        <v>-35</v>
      </c>
    </row>
    <row r="11" spans="1:67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8.6153846153846132</v>
      </c>
      <c r="G11">
        <f ca="1">IF(($A$2)&gt;=(ROW()-3),G$17*(SUM(G$19:G26)-((ROW()-3)*5)),G10)</f>
        <v>1</v>
      </c>
      <c r="H11">
        <f ca="1">IF(($A$2)&gt;=(ROW()-3),H$17*(SUM(H$19:H26)-((ROW()-3)*5)),H10)</f>
        <v>0</v>
      </c>
      <c r="I11">
        <f ca="1">IF(($A$2)&gt;=(ROW()-3),I$17*(SUM(I$19:I26)-((ROW()-3)*5)),I10)</f>
        <v>-0.5</v>
      </c>
      <c r="J11">
        <f ca="1">IF(($A$2)&gt;=(ROW()-3),J$17*(SUM(J$19:J26)-((ROW()-3)*5)),J10)</f>
        <v>0</v>
      </c>
      <c r="K11">
        <f ca="1">IF(($A$2)&gt;=(ROW()-3),K$17*(SUM(K$19:K26)-((ROW()-3)*5)),K10)</f>
        <v>-2</v>
      </c>
      <c r="L11">
        <f ca="1">IF(($A$2)&gt;=(ROW()-3),L$17*(SUM(L$19:L26)-((ROW()-3)*5)),L10)</f>
        <v>6</v>
      </c>
      <c r="M11">
        <f ca="1">IF(($A$2)&gt;=(ROW()-3),M$17*(SUM(M$19:M26)-((ROW()-3)*5)),M10)</f>
        <v>-4</v>
      </c>
      <c r="N11">
        <f ca="1">IF(($A$2)&gt;=(ROW()-3),N$17*(SUM(N$19:N26)-((ROW()-3)*5)),N10)</f>
        <v>4</v>
      </c>
      <c r="O11">
        <f ca="1">IF(($A$2)&gt;=(ROW()-3),O$17*(SUM(O$19:O26)-((ROW()-3)*5)),O10)</f>
        <v>2</v>
      </c>
      <c r="P11">
        <f ca="1">IF(($A$2)&gt;=(ROW()-3),P$17*(SUM(P$19:P26)-((ROW()-3)*5)),P10)</f>
        <v>-3</v>
      </c>
      <c r="Q11">
        <f ca="1">IF(($A$2)&gt;=(ROW()-3),Q$17*(SUM(Q$19:Q26)-((ROW()-3)*5)),Q10)</f>
        <v>0</v>
      </c>
      <c r="R11">
        <f ca="1">IF(($A$2)&gt;=(ROW()-3),R$17*(SUM(R$19:R26)-((ROW()-3)*5)),R10)</f>
        <v>-3</v>
      </c>
      <c r="S11">
        <f ca="1">IF(($A$2)&gt;=(ROW()-3),S$17*(SUM(S$19:S26)-((ROW()-3)*5)),S10)</f>
        <v>7</v>
      </c>
      <c r="T11">
        <f ca="1">IF(($A$2)&gt;=(ROW()-3),T$17*(SUM(T$19:T26)-((ROW()-3)*5)),T10)</f>
        <v>0</v>
      </c>
      <c r="U11">
        <f ca="1">IF(($A$2)&gt;=(ROW()-3),U$17*(SUM(U$19:U26)-((ROW()-3)*5)),U10)</f>
        <v>1</v>
      </c>
      <c r="V11">
        <f ca="1">IF(($A$2)&gt;=(ROW()-3),V$17*(SUM(V$19:V26)-((ROW()-3)*5)),V10)</f>
        <v>1</v>
      </c>
      <c r="W11">
        <f ca="1">IF(($A$2)&gt;=(ROW()-3),W$17*(SUM(W$19:W26)-((ROW()-3)*5)),W10)</f>
        <v>8</v>
      </c>
      <c r="X11">
        <f ca="1">IF(($A$2)&gt;=(ROW()-3),X$17*(SUM(X$19:X26)-((ROW()-3)*5)),X10)</f>
        <v>-1</v>
      </c>
      <c r="Y11">
        <f ca="1">IF(($A$2)&gt;=(ROW()-3),Y$17*(SUM(Y$19:Y26)-((ROW()-3)*5)),Y10)</f>
        <v>0</v>
      </c>
      <c r="Z11">
        <f ca="1">IF(($A$2)&gt;=(ROW()-3),Z$17*(SUM(Z$19:Z26)-((ROW()-3)*5)),Z10)</f>
        <v>3</v>
      </c>
      <c r="AA11">
        <f ca="1">IF(($A$2)&gt;=(ROW()-3),AA$17*(SUM(AA$19:AA26)-((ROW()-3)*5)),AA10)</f>
        <v>-4</v>
      </c>
      <c r="AB11">
        <f ca="1">IF(($A$2)&gt;=(ROW()-3),AB$17*(SUM(AB$19:AB26)-((ROW()-3)*5)),AB10)</f>
        <v>-2</v>
      </c>
      <c r="AC11">
        <f ca="1">IF(($A$2)&gt;=(ROW()-3),AC$17*(SUM(AC$19:AC26)-((ROW()-3)*5)),AC10)</f>
        <v>3</v>
      </c>
      <c r="AD11">
        <f ca="1">IF(($A$2)&gt;=(ROW()-3),AD$17*(SUM(AD$19:AD26)-((ROW()-3)*5)),AD10)</f>
        <v>0</v>
      </c>
      <c r="AE11">
        <f ca="1">IF(($A$2)&gt;=(ROW()-3),AE$17*(SUM(AE$19:AE26)-((ROW()-3)*5)),AE10)</f>
        <v>-2</v>
      </c>
      <c r="AF11">
        <f ca="1">IF(($A$2)&gt;=(ROW()-3),AF$17*(SUM(AF$19:AF26)-((ROW()-3)*5)),AF10)</f>
        <v>-6</v>
      </c>
      <c r="AG11">
        <f ca="1">IF(($A$2)&gt;=(ROW()-3),AG$17*(SUM(AG$19:AG26)-((ROW()-3)*5)),AG10)</f>
        <v>4</v>
      </c>
      <c r="AH11">
        <f ca="1">IF(($A$2)&gt;=(ROW()-3),AH$17*(SUM(AH$19:AH26)-((ROW()-3)*5)),AH10)</f>
        <v>6</v>
      </c>
      <c r="AI11">
        <f ca="1">IF(($A$2)&gt;=(ROW()-3),AI$17*(SUM(AI$19:AI26)-((ROW()-3)*5)),AI10)</f>
        <v>-6</v>
      </c>
      <c r="AJ11">
        <f ca="1">IF(($A$2)&gt;=(ROW()-3),AJ$17*(SUM(AJ$19:AJ26)-((ROW()-3)*5)),AJ10)</f>
        <v>-1</v>
      </c>
      <c r="AK11">
        <f ca="1">IF(($A$2)&gt;=(ROW()-3),AK$17*(SUM(AK$19:AK26)-((ROW()-3)*5)),AK10)</f>
        <v>0</v>
      </c>
      <c r="AL11">
        <f ca="1">IF(($A$2)&gt;=(ROW()-3),AL$17*(SUM(AL$19:AL26)-((ROW()-3)*5)),AL10)</f>
        <v>5</v>
      </c>
      <c r="AM11">
        <f ca="1">IF(($A$2)&gt;=(ROW()-3),AM$17*(SUM(AM$19:AM26)-((ROW()-3)*5)),AM10)</f>
        <v>5</v>
      </c>
      <c r="AN11">
        <f ca="1">IF(($A$2)&gt;=(ROW()-3),AN$17*(SUM(AN$19:AN26)-((ROW()-3)*5)),AN10)</f>
        <v>5</v>
      </c>
      <c r="AO11">
        <f ca="1">IF(($A$2)&gt;=(ROW()-3),AO$17*(SUM(AO$19:AO26)-((ROW()-3)*5)),AO10)</f>
        <v>0</v>
      </c>
      <c r="AP11">
        <f ca="1">IF(($A$2)&gt;=(ROW()-3),AP$17*(SUM(AP$19:AP26)-((ROW()-3)*5)),AP10)</f>
        <v>7</v>
      </c>
      <c r="AQ11">
        <f ca="1">IF(($A$2)&gt;=(ROW()-3),AQ$17*(SUM(AQ$19:AQ26)-((ROW()-3)*5)),AQ10)</f>
        <v>-4</v>
      </c>
      <c r="AR11">
        <f ca="1">IF(($A$2)&gt;=(ROW()-3),AR$17*(SUM(AR$19:AR26)-((ROW()-3)*5)),AR10)</f>
        <v>0</v>
      </c>
      <c r="AS11">
        <f ca="1">IF(($A$2)&gt;=(ROW()-3),AS$17*(SUM(AS$19:AS26)-((ROW()-3)*5)),AS10)</f>
        <v>-1</v>
      </c>
      <c r="AT11">
        <f ca="1">IF(($A$2)&gt;=(ROW()-3),AT$17*(SUM(AT$19:AT26)-((ROW()-3)*5)),AT10)</f>
        <v>6</v>
      </c>
      <c r="AU11">
        <f ca="1">IF(($A$2)&gt;=(ROW()-3),AU$17*(SUM(AU$19:AU26)-((ROW()-3)*5)),AU10)</f>
        <v>4</v>
      </c>
      <c r="AV11">
        <f ca="1">IF(($A$2)&gt;=(ROW()-3),AV$17*(SUM(AV$19:AV26)-((ROW()-3)*5)),AV10)</f>
        <v>-4</v>
      </c>
      <c r="AW11">
        <f ca="1">IF(($A$2)&gt;=(ROW()-3),AW$17*(SUM(AW$19:AW26)-((ROW()-3)*5)),AW10)</f>
        <v>12</v>
      </c>
      <c r="AX11">
        <f ca="1">IF(($A$2)&gt;=(ROW()-3),AX$17*(SUM(AX$19:AX26)-((ROW()-3)*5)),AX10)</f>
        <v>-5</v>
      </c>
      <c r="AY11">
        <f ca="1">IF(($A$2)&gt;=(ROW()-3),AY$17*(SUM(AY$19:AY26)-((ROW()-3)*5)),AY10)</f>
        <v>1</v>
      </c>
      <c r="AZ11">
        <f ca="1">IF(($A$2)&gt;=(ROW()-3),AZ$17*(SUM(AZ$19:AZ26)-((ROW()-3)*5)),AZ10)</f>
        <v>0</v>
      </c>
      <c r="BA11">
        <f ca="1">IF(($A$2)&gt;=(ROW()-3),BA$17*(SUM(BA$19:BA26)-((ROW()-3)*5)),BA10)</f>
        <v>-1</v>
      </c>
      <c r="BB11">
        <f ca="1">IF(($A$2)&gt;=(ROW()-3),BB$17*(SUM(BB$19:BB26)-((ROW()-3)*5)),BB10)</f>
        <v>5</v>
      </c>
      <c r="BC11">
        <f ca="1">IF(($A$2)&gt;=(ROW()-3),BC$17*(SUM(BC$19:BC26)-((ROW()-3)*5)),BC10)</f>
        <v>0</v>
      </c>
      <c r="BD11">
        <f ca="1">IF(($A$2)&gt;=(ROW()-3),BD$17*(SUM(BD$19:BD26)-((ROW()-3)*5)),BD10)</f>
        <v>-9</v>
      </c>
      <c r="BE11">
        <f ca="1">IF(($A$2)&gt;=(ROW()-3),BE$17*(SUM(BE$19:BE26)-((ROW()-3)*5)),BE10)</f>
        <v>8</v>
      </c>
      <c r="BF11">
        <f ca="1">IF(($A$2)&gt;=(ROW()-3),BF$17*(SUM(BF$19:BF26)-((ROW()-3)*5)),BF10)</f>
        <v>3</v>
      </c>
      <c r="BG11">
        <f ca="1">IF(($A$2)&gt;=(ROW()-3),BG$17*(SUM(BG$19:BG26)-((ROW()-3)*5)),BG10)</f>
        <v>-10</v>
      </c>
      <c r="BH11">
        <f ca="1">IF(($A$2)&gt;=(ROW()-3),BH$17*(SUM(BH$19:BH26)-((ROW()-3)*5)),BH10)</f>
        <v>4</v>
      </c>
      <c r="BI11">
        <f ca="1">IF(($A$2)&gt;=(ROW()-3),BI$17*(SUM(BI$19:BI26)-((ROW()-3)*5)),BI10)</f>
        <v>3</v>
      </c>
      <c r="BJ11">
        <f ca="1">IF(($A$2)&gt;=(ROW()-3),BJ$17*(SUM(BJ$19:BJ26)-((ROW()-3)*5)),BJ10)</f>
        <v>0</v>
      </c>
      <c r="BK11">
        <f ca="1">IF(($A$2)&gt;=(ROW()-3),BK$17*(SUM(BK$19:BK26)-((ROW()-3)*5)),BK10)</f>
        <v>-4</v>
      </c>
      <c r="BL11">
        <f ca="1">IF(($A$2)&gt;=(ROW()-3),BL$17*(SUM(BL$19:BL26)-((ROW()-3)*5)),BL10)</f>
        <v>2</v>
      </c>
      <c r="BM11">
        <f ca="1">IF(($A$2)&gt;=(ROW()-3),BM$17*(SUM(BM$19:BM26)-((ROW()-3)*5)),BM10)</f>
        <v>4</v>
      </c>
      <c r="BN11">
        <f ca="1">IF(($A$2)&gt;=(ROW()-3),BN$17*(SUM(BN$19:BN26)-((ROW()-3)*5)),BN10)</f>
        <v>6</v>
      </c>
      <c r="BO11">
        <f ca="1">IF(($A$2)&gt;=(ROW()-3),BO$17*(SUM(BO$19:BO26)-((ROW()-3)*5)),BO10)</f>
        <v>-40</v>
      </c>
    </row>
    <row r="12" spans="1:67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9.6923076923076934</v>
      </c>
      <c r="G12">
        <f ca="1">IF(($A$2)&gt;=(ROW()-3),G$17*(SUM(G$19:G27)-((ROW()-3)*5)),G11)</f>
        <v>2</v>
      </c>
      <c r="H12">
        <f ca="1">IF(($A$2)&gt;=(ROW()-3),H$17*(SUM(H$19:H27)-((ROW()-3)*5)),H11)</f>
        <v>1</v>
      </c>
      <c r="I12">
        <f ca="1">IF(($A$2)&gt;=(ROW()-3),I$17*(SUM(I$19:I27)-((ROW()-3)*5)),I11)</f>
        <v>-3</v>
      </c>
      <c r="J12">
        <f ca="1">IF(($A$2)&gt;=(ROW()-3),J$17*(SUM(J$19:J27)-((ROW()-3)*5)),J11)</f>
        <v>-2</v>
      </c>
      <c r="K12">
        <f ca="1">IF(($A$2)&gt;=(ROW()-3),K$17*(SUM(K$19:K27)-((ROW()-3)*5)),K11)</f>
        <v>0</v>
      </c>
      <c r="L12">
        <f ca="1">IF(($A$2)&gt;=(ROW()-3),L$17*(SUM(L$19:L27)-((ROW()-3)*5)),L11)</f>
        <v>5</v>
      </c>
      <c r="M12">
        <f ca="1">IF(($A$2)&gt;=(ROW()-3),M$17*(SUM(M$19:M27)-((ROW()-3)*5)),M11)</f>
        <v>-5</v>
      </c>
      <c r="N12">
        <f ca="1">IF(($A$2)&gt;=(ROW()-3),N$17*(SUM(N$19:N27)-((ROW()-3)*5)),N11)</f>
        <v>3</v>
      </c>
      <c r="O12">
        <f ca="1">IF(($A$2)&gt;=(ROW()-3),O$17*(SUM(O$19:O27)-((ROW()-3)*5)),O11)</f>
        <v>2</v>
      </c>
      <c r="P12">
        <f ca="1">IF(($A$2)&gt;=(ROW()-3),P$17*(SUM(P$19:P27)-((ROW()-3)*5)),P11)</f>
        <v>-4</v>
      </c>
      <c r="Q12">
        <f ca="1">IF(($A$2)&gt;=(ROW()-3),Q$17*(SUM(Q$19:Q27)-((ROW()-3)*5)),Q11)</f>
        <v>-3</v>
      </c>
      <c r="R12">
        <f ca="1">IF(($A$2)&gt;=(ROW()-3),R$17*(SUM(R$19:R27)-((ROW()-3)*5)),R11)</f>
        <v>-5</v>
      </c>
      <c r="S12">
        <f ca="1">IF(($A$2)&gt;=(ROW()-3),S$17*(SUM(S$19:S27)-((ROW()-3)*5)),S11)</f>
        <v>5</v>
      </c>
      <c r="T12">
        <f ca="1">IF(($A$2)&gt;=(ROW()-3),T$17*(SUM(T$19:T27)-((ROW()-3)*5)),T11)</f>
        <v>-1</v>
      </c>
      <c r="U12">
        <f ca="1">IF(($A$2)&gt;=(ROW()-3),U$17*(SUM(U$19:U27)-((ROW()-3)*5)),U11)</f>
        <v>1</v>
      </c>
      <c r="V12">
        <f ca="1">IF(($A$2)&gt;=(ROW()-3),V$17*(SUM(V$19:V27)-((ROW()-3)*5)),V11)</f>
        <v>4</v>
      </c>
      <c r="W12">
        <f ca="1">IF(($A$2)&gt;=(ROW()-3),W$17*(SUM(W$19:W27)-((ROW()-3)*5)),W11)</f>
        <v>8</v>
      </c>
      <c r="X12">
        <f ca="1">IF(($A$2)&gt;=(ROW()-3),X$17*(SUM(X$19:X27)-((ROW()-3)*5)),X11)</f>
        <v>-3</v>
      </c>
      <c r="Y12">
        <f ca="1">IF(($A$2)&gt;=(ROW()-3),Y$17*(SUM(Y$19:Y27)-((ROW()-3)*5)),Y11)</f>
        <v>-2</v>
      </c>
      <c r="Z12">
        <f ca="1">IF(($A$2)&gt;=(ROW()-3),Z$17*(SUM(Z$19:Z27)-((ROW()-3)*5)),Z11)</f>
        <v>1</v>
      </c>
      <c r="AA12">
        <f ca="1">IF(($A$2)&gt;=(ROW()-3),AA$17*(SUM(AA$19:AA27)-((ROW()-3)*5)),AA11)</f>
        <v>-6</v>
      </c>
      <c r="AB12">
        <f ca="1">IF(($A$2)&gt;=(ROW()-3),AB$17*(SUM(AB$19:AB27)-((ROW()-3)*5)),AB11)</f>
        <v>-2</v>
      </c>
      <c r="AC12">
        <f ca="1">IF(($A$2)&gt;=(ROW()-3),AC$17*(SUM(AC$19:AC27)-((ROW()-3)*5)),AC11)</f>
        <v>1</v>
      </c>
      <c r="AD12">
        <f ca="1">IF(($A$2)&gt;=(ROW()-3),AD$17*(SUM(AD$19:AD27)-((ROW()-3)*5)),AD11)</f>
        <v>-1</v>
      </c>
      <c r="AE12">
        <f ca="1">IF(($A$2)&gt;=(ROW()-3),AE$17*(SUM(AE$19:AE27)-((ROW()-3)*5)),AE11)</f>
        <v>-3</v>
      </c>
      <c r="AF12">
        <f ca="1">IF(($A$2)&gt;=(ROW()-3),AF$17*(SUM(AF$19:AF27)-((ROW()-3)*5)),AF11)</f>
        <v>-3</v>
      </c>
      <c r="AG12">
        <f ca="1">IF(($A$2)&gt;=(ROW()-3),AG$17*(SUM(AG$19:AG27)-((ROW()-3)*5)),AG11)</f>
        <v>3</v>
      </c>
      <c r="AH12">
        <f ca="1">IF(($A$2)&gt;=(ROW()-3),AH$17*(SUM(AH$19:AH27)-((ROW()-3)*5)),AH11)</f>
        <v>5</v>
      </c>
      <c r="AI12">
        <f ca="1">IF(($A$2)&gt;=(ROW()-3),AI$17*(SUM(AI$19:AI27)-((ROW()-3)*5)),AI11)</f>
        <v>-7</v>
      </c>
      <c r="AJ12">
        <f ca="1">IF(($A$2)&gt;=(ROW()-3),AJ$17*(SUM(AJ$19:AJ27)-((ROW()-3)*5)),AJ11)</f>
        <v>-1</v>
      </c>
      <c r="AK12">
        <f ca="1">IF(($A$2)&gt;=(ROW()-3),AK$17*(SUM(AK$19:AK27)-((ROW()-3)*5)),AK11)</f>
        <v>1</v>
      </c>
      <c r="AL12">
        <f ca="1">IF(($A$2)&gt;=(ROW()-3),AL$17*(SUM(AL$19:AL27)-((ROW()-3)*5)),AL11)</f>
        <v>4</v>
      </c>
      <c r="AM12">
        <f ca="1">IF(($A$2)&gt;=(ROW()-3),AM$17*(SUM(AM$19:AM27)-((ROW()-3)*5)),AM11)</f>
        <v>6</v>
      </c>
      <c r="AN12">
        <f ca="1">IF(($A$2)&gt;=(ROW()-3),AN$17*(SUM(AN$19:AN27)-((ROW()-3)*5)),AN11)</f>
        <v>4</v>
      </c>
      <c r="AO12">
        <f ca="1">IF(($A$2)&gt;=(ROW()-3),AO$17*(SUM(AO$19:AO27)-((ROW()-3)*5)),AO11)</f>
        <v>1</v>
      </c>
      <c r="AP12">
        <f ca="1">IF(($A$2)&gt;=(ROW()-3),AP$17*(SUM(AP$19:AP27)-((ROW()-3)*5)),AP11)</f>
        <v>7</v>
      </c>
      <c r="AQ12">
        <f ca="1">IF(($A$2)&gt;=(ROW()-3),AQ$17*(SUM(AQ$19:AQ27)-((ROW()-3)*5)),AQ11)</f>
        <v>-7</v>
      </c>
      <c r="AR12">
        <f ca="1">IF(($A$2)&gt;=(ROW()-3),AR$17*(SUM(AR$19:AR27)-((ROW()-3)*5)),AR11)</f>
        <v>0</v>
      </c>
      <c r="AS12">
        <f ca="1">IF(($A$2)&gt;=(ROW()-3),AS$17*(SUM(AS$19:AS27)-((ROW()-3)*5)),AS11)</f>
        <v>-3</v>
      </c>
      <c r="AT12">
        <f ca="1">IF(($A$2)&gt;=(ROW()-3),AT$17*(SUM(AT$19:AT27)-((ROW()-3)*5)),AT11)</f>
        <v>8</v>
      </c>
      <c r="AU12">
        <f ca="1">IF(($A$2)&gt;=(ROW()-3),AU$17*(SUM(AU$19:AU27)-((ROW()-3)*5)),AU11)</f>
        <v>4</v>
      </c>
      <c r="AV12">
        <f ca="1">IF(($A$2)&gt;=(ROW()-3),AV$17*(SUM(AV$19:AV27)-((ROW()-3)*5)),AV11)</f>
        <v>-4</v>
      </c>
      <c r="AW12">
        <f ca="1">IF(($A$2)&gt;=(ROW()-3),AW$17*(SUM(AW$19:AW27)-((ROW()-3)*5)),AW11)</f>
        <v>13</v>
      </c>
      <c r="AX12">
        <f ca="1">IF(($A$2)&gt;=(ROW()-3),AX$17*(SUM(AX$19:AX27)-((ROW()-3)*5)),AX11)</f>
        <v>-7</v>
      </c>
      <c r="AY12">
        <f ca="1">IF(($A$2)&gt;=(ROW()-3),AY$17*(SUM(AY$19:AY27)-((ROW()-3)*5)),AY11)</f>
        <v>-2</v>
      </c>
      <c r="AZ12">
        <f ca="1">IF(($A$2)&gt;=(ROW()-3),AZ$17*(SUM(AZ$19:AZ27)-((ROW()-3)*5)),AZ11)</f>
        <v>-2</v>
      </c>
      <c r="BA12">
        <f ca="1">IF(($A$2)&gt;=(ROW()-3),BA$17*(SUM(BA$19:BA27)-((ROW()-3)*5)),BA11)</f>
        <v>-2</v>
      </c>
      <c r="BB12">
        <f ca="1">IF(($A$2)&gt;=(ROW()-3),BB$17*(SUM(BB$19:BB27)-((ROW()-3)*5)),BB11)</f>
        <v>4</v>
      </c>
      <c r="BC12">
        <f ca="1">IF(($A$2)&gt;=(ROW()-3),BC$17*(SUM(BC$19:BC27)-((ROW()-3)*5)),BC11)</f>
        <v>-3</v>
      </c>
      <c r="BD12">
        <f ca="1">IF(($A$2)&gt;=(ROW()-3),BD$17*(SUM(BD$19:BD27)-((ROW()-3)*5)),BD11)</f>
        <v>-8</v>
      </c>
      <c r="BE12">
        <f ca="1">IF(($A$2)&gt;=(ROW()-3),BE$17*(SUM(BE$19:BE27)-((ROW()-3)*5)),BE11)</f>
        <v>5</v>
      </c>
      <c r="BF12">
        <f ca="1">IF(($A$2)&gt;=(ROW()-3),BF$17*(SUM(BF$19:BF27)-((ROW()-3)*5)),BF11)</f>
        <v>3</v>
      </c>
      <c r="BG12">
        <f ca="1">IF(($A$2)&gt;=(ROW()-3),BG$17*(SUM(BG$19:BG27)-((ROW()-3)*5)),BG11)</f>
        <v>-9</v>
      </c>
      <c r="BH12">
        <f ca="1">IF(($A$2)&gt;=(ROW()-3),BH$17*(SUM(BH$19:BH27)-((ROW()-3)*5)),BH11)</f>
        <v>3</v>
      </c>
      <c r="BI12">
        <f ca="1">IF(($A$2)&gt;=(ROW()-3),BI$17*(SUM(BI$19:BI27)-((ROW()-3)*5)),BI11)</f>
        <v>0</v>
      </c>
      <c r="BJ12">
        <f ca="1">IF(($A$2)&gt;=(ROW()-3),BJ$17*(SUM(BJ$19:BJ27)-((ROW()-3)*5)),BJ11)</f>
        <v>-3</v>
      </c>
      <c r="BK12">
        <f ca="1">IF(($A$2)&gt;=(ROW()-3),BK$17*(SUM(BK$19:BK27)-((ROW()-3)*5)),BK11)</f>
        <v>-5</v>
      </c>
      <c r="BL12">
        <f ca="1">IF(($A$2)&gt;=(ROW()-3),BL$17*(SUM(BL$19:BL27)-((ROW()-3)*5)),BL11)</f>
        <v>3</v>
      </c>
      <c r="BM12">
        <f ca="1">IF(($A$2)&gt;=(ROW()-3),BM$17*(SUM(BM$19:BM27)-((ROW()-3)*5)),BM11)</f>
        <v>3</v>
      </c>
      <c r="BN12">
        <f ca="1">IF(($A$2)&gt;=(ROW()-3),BN$17*(SUM(BN$19:BN27)-((ROW()-3)*5)),BN11)</f>
        <v>3</v>
      </c>
      <c r="BO12">
        <f ca="1">IF(($A$2)&gt;=(ROW()-3),BO$17*(SUM(BO$19:BO27)-((ROW()-3)*5)),BO11)</f>
        <v>-45</v>
      </c>
    </row>
    <row r="13" spans="1:67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10.769230769230774</v>
      </c>
      <c r="G13">
        <f ca="1">IF(($A$2)&gt;=(ROW()-3),G$17*(SUM(G$19:G28)-((ROW()-3)*5)),G12)</f>
        <v>3</v>
      </c>
      <c r="H13">
        <f ca="1">IF(($A$2)&gt;=(ROW()-3),H$17*(SUM(H$19:H28)-((ROW()-3)*5)),H12)</f>
        <v>1</v>
      </c>
      <c r="I13">
        <f ca="1">IF(($A$2)&gt;=(ROW()-3),I$17*(SUM(I$19:I28)-((ROW()-3)*5)),I12)</f>
        <v>-2</v>
      </c>
      <c r="J13">
        <f ca="1">IF(($A$2)&gt;=(ROW()-3),J$17*(SUM(J$19:J28)-((ROW()-3)*5)),J12)</f>
        <v>-2</v>
      </c>
      <c r="K13">
        <f ca="1">IF(($A$2)&gt;=(ROW()-3),K$17*(SUM(K$19:K28)-((ROW()-3)*5)),K12)</f>
        <v>0</v>
      </c>
      <c r="L13">
        <f ca="1">IF(($A$2)&gt;=(ROW()-3),L$17*(SUM(L$19:L28)-((ROW()-3)*5)),L12)</f>
        <v>6</v>
      </c>
      <c r="M13">
        <f ca="1">IF(($A$2)&gt;=(ROW()-3),M$17*(SUM(M$19:M28)-((ROW()-3)*5)),M12)</f>
        <v>-6</v>
      </c>
      <c r="N13">
        <f ca="1">IF(($A$2)&gt;=(ROW()-3),N$17*(SUM(N$19:N28)-((ROW()-3)*5)),N12)</f>
        <v>1</v>
      </c>
      <c r="O13">
        <f ca="1">IF(($A$2)&gt;=(ROW()-3),O$17*(SUM(O$19:O28)-((ROW()-3)*5)),O12)</f>
        <v>4</v>
      </c>
      <c r="P13">
        <f ca="1">IF(($A$2)&gt;=(ROW()-3),P$17*(SUM(P$19:P28)-((ROW()-3)*5)),P12)</f>
        <v>-4</v>
      </c>
      <c r="Q13">
        <f ca="1">IF(($A$2)&gt;=(ROW()-3),Q$17*(SUM(Q$19:Q28)-((ROW()-3)*5)),Q12)</f>
        <v>0</v>
      </c>
      <c r="R13">
        <f ca="1">IF(($A$2)&gt;=(ROW()-3),R$17*(SUM(R$19:R28)-((ROW()-3)*5)),R12)</f>
        <v>-5</v>
      </c>
      <c r="S13">
        <f ca="1">IF(($A$2)&gt;=(ROW()-3),S$17*(SUM(S$19:S28)-((ROW()-3)*5)),S12)</f>
        <v>4</v>
      </c>
      <c r="T13">
        <f ca="1">IF(($A$2)&gt;=(ROW()-3),T$17*(SUM(T$19:T28)-((ROW()-3)*5)),T12)</f>
        <v>-2</v>
      </c>
      <c r="U13">
        <f ca="1">IF(($A$2)&gt;=(ROW()-3),U$17*(SUM(U$19:U28)-((ROW()-3)*5)),U12)</f>
        <v>4</v>
      </c>
      <c r="V13">
        <f ca="1">IF(($A$2)&gt;=(ROW()-3),V$17*(SUM(V$19:V28)-((ROW()-3)*5)),V12)</f>
        <v>3</v>
      </c>
      <c r="W13">
        <f ca="1">IF(($A$2)&gt;=(ROW()-3),W$17*(SUM(W$19:W28)-((ROW()-3)*5)),W12)</f>
        <v>7</v>
      </c>
      <c r="X13">
        <f ca="1">IF(($A$2)&gt;=(ROW()-3),X$17*(SUM(X$19:X28)-((ROW()-3)*5)),X12)</f>
        <v>-1</v>
      </c>
      <c r="Y13">
        <f ca="1">IF(($A$2)&gt;=(ROW()-3),Y$17*(SUM(Y$19:Y28)-((ROW()-3)*5)),Y12)</f>
        <v>-2</v>
      </c>
      <c r="Z13">
        <f ca="1">IF(($A$2)&gt;=(ROW()-3),Z$17*(SUM(Z$19:Z28)-((ROW()-3)*5)),Z12)</f>
        <v>1</v>
      </c>
      <c r="AA13">
        <f ca="1">IF(($A$2)&gt;=(ROW()-3),AA$17*(SUM(AA$19:AA28)-((ROW()-3)*5)),AA12)</f>
        <v>-5</v>
      </c>
      <c r="AB13">
        <f ca="1">IF(($A$2)&gt;=(ROW()-3),AB$17*(SUM(AB$19:AB28)-((ROW()-3)*5)),AB12)</f>
        <v>-3</v>
      </c>
      <c r="AC13">
        <f ca="1">IF(($A$2)&gt;=(ROW()-3),AC$17*(SUM(AC$19:AC28)-((ROW()-3)*5)),AC12)</f>
        <v>0</v>
      </c>
      <c r="AD13">
        <f ca="1">IF(($A$2)&gt;=(ROW()-3),AD$17*(SUM(AD$19:AD28)-((ROW()-3)*5)),AD12)</f>
        <v>-2</v>
      </c>
      <c r="AE13">
        <f ca="1">IF(($A$2)&gt;=(ROW()-3),AE$17*(SUM(AE$19:AE28)-((ROW()-3)*5)),AE12)</f>
        <v>-5</v>
      </c>
      <c r="AF13">
        <f ca="1">IF(($A$2)&gt;=(ROW()-3),AF$17*(SUM(AF$19:AF28)-((ROW()-3)*5)),AF12)</f>
        <v>-5</v>
      </c>
      <c r="AG13">
        <f ca="1">IF(($A$2)&gt;=(ROW()-3),AG$17*(SUM(AG$19:AG28)-((ROW()-3)*5)),AG12)</f>
        <v>1</v>
      </c>
      <c r="AH13">
        <f ca="1">IF(($A$2)&gt;=(ROW()-3),AH$17*(SUM(AH$19:AH28)-((ROW()-3)*5)),AH12)</f>
        <v>6</v>
      </c>
      <c r="AI13">
        <f ca="1">IF(($A$2)&gt;=(ROW()-3),AI$17*(SUM(AI$19:AI28)-((ROW()-3)*5)),AI12)</f>
        <v>-7</v>
      </c>
      <c r="AJ13">
        <f ca="1">IF(($A$2)&gt;=(ROW()-3),AJ$17*(SUM(AJ$19:AJ28)-((ROW()-3)*5)),AJ12)</f>
        <v>-1</v>
      </c>
      <c r="AK13">
        <f ca="1">IF(($A$2)&gt;=(ROW()-3),AK$17*(SUM(AK$19:AK28)-((ROW()-3)*5)),AK12)</f>
        <v>3</v>
      </c>
      <c r="AL13">
        <f ca="1">IF(($A$2)&gt;=(ROW()-3),AL$17*(SUM(AL$19:AL28)-((ROW()-3)*5)),AL12)</f>
        <v>5</v>
      </c>
      <c r="AM13">
        <f ca="1">IF(($A$2)&gt;=(ROW()-3),AM$17*(SUM(AM$19:AM28)-((ROW()-3)*5)),AM12)</f>
        <v>7</v>
      </c>
      <c r="AN13">
        <f ca="1">IF(($A$2)&gt;=(ROW()-3),AN$17*(SUM(AN$19:AN28)-((ROW()-3)*5)),AN12)</f>
        <v>4</v>
      </c>
      <c r="AO13">
        <f ca="1">IF(($A$2)&gt;=(ROW()-3),AO$17*(SUM(AO$19:AO28)-((ROW()-3)*5)),AO12)</f>
        <v>-1</v>
      </c>
      <c r="AP13">
        <f ca="1">IF(($A$2)&gt;=(ROW()-3),AP$17*(SUM(AP$19:AP28)-((ROW()-3)*5)),AP12)</f>
        <v>6</v>
      </c>
      <c r="AQ13">
        <f ca="1">IF(($A$2)&gt;=(ROW()-3),AQ$17*(SUM(AQ$19:AQ28)-((ROW()-3)*5)),AQ12)</f>
        <v>-6</v>
      </c>
      <c r="AR13">
        <f ca="1">IF(($A$2)&gt;=(ROW()-3),AR$17*(SUM(AR$19:AR28)-((ROW()-3)*5)),AR12)</f>
        <v>1</v>
      </c>
      <c r="AS13">
        <f ca="1">IF(($A$2)&gt;=(ROW()-3),AS$17*(SUM(AS$19:AS28)-((ROW()-3)*5)),AS12)</f>
        <v>-3</v>
      </c>
      <c r="AT13">
        <f ca="1">IF(($A$2)&gt;=(ROW()-3),AT$17*(SUM(AT$19:AT28)-((ROW()-3)*5)),AT12)</f>
        <v>5</v>
      </c>
      <c r="AU13">
        <f ca="1">IF(($A$2)&gt;=(ROW()-3),AU$17*(SUM(AU$19:AU28)-((ROW()-3)*5)),AU12)</f>
        <v>5</v>
      </c>
      <c r="AV13">
        <f ca="1">IF(($A$2)&gt;=(ROW()-3),AV$17*(SUM(AV$19:AV28)-((ROW()-3)*5)),AV12)</f>
        <v>-2</v>
      </c>
      <c r="AW13">
        <f ca="1">IF(($A$2)&gt;=(ROW()-3),AW$17*(SUM(AW$19:AW28)-((ROW()-3)*5)),AW12)</f>
        <v>9</v>
      </c>
      <c r="AX13">
        <f ca="1">IF(($A$2)&gt;=(ROW()-3),AX$17*(SUM(AX$19:AX28)-((ROW()-3)*5)),AX12)</f>
        <v>-7</v>
      </c>
      <c r="AY13">
        <f ca="1">IF(($A$2)&gt;=(ROW()-3),AY$17*(SUM(AY$19:AY28)-((ROW()-3)*5)),AY12)</f>
        <v>-2</v>
      </c>
      <c r="AZ13">
        <f ca="1">IF(($A$2)&gt;=(ROW()-3),AZ$17*(SUM(AZ$19:AZ28)-((ROW()-3)*5)),AZ12)</f>
        <v>-1</v>
      </c>
      <c r="BA13">
        <f ca="1">IF(($A$2)&gt;=(ROW()-3),BA$17*(SUM(BA$19:BA28)-((ROW()-3)*5)),BA12)</f>
        <v>-1</v>
      </c>
      <c r="BB13">
        <f ca="1">IF(($A$2)&gt;=(ROW()-3),BB$17*(SUM(BB$19:BB28)-((ROW()-3)*5)),BB12)</f>
        <v>4</v>
      </c>
      <c r="BC13">
        <f ca="1">IF(($A$2)&gt;=(ROW()-3),BC$17*(SUM(BC$19:BC28)-((ROW()-3)*5)),BC12)</f>
        <v>-2</v>
      </c>
      <c r="BD13">
        <f ca="1">IF(($A$2)&gt;=(ROW()-3),BD$17*(SUM(BD$19:BD28)-((ROW()-3)*5)),BD12)</f>
        <v>-8</v>
      </c>
      <c r="BE13">
        <f ca="1">IF(($A$2)&gt;=(ROW()-3),BE$17*(SUM(BE$19:BE28)-((ROW()-3)*5)),BE12)</f>
        <v>5</v>
      </c>
      <c r="BF13">
        <f ca="1">IF(($A$2)&gt;=(ROW()-3),BF$17*(SUM(BF$19:BF28)-((ROW()-3)*5)),BF12)</f>
        <v>3</v>
      </c>
      <c r="BG13">
        <f ca="1">IF(($A$2)&gt;=(ROW()-3),BG$17*(SUM(BG$19:BG28)-((ROW()-3)*5)),BG12)</f>
        <v>-7</v>
      </c>
      <c r="BH13">
        <f ca="1">IF(($A$2)&gt;=(ROW()-3),BH$17*(SUM(BH$19:BH28)-((ROW()-3)*5)),BH12)</f>
        <v>3</v>
      </c>
      <c r="BI13">
        <f ca="1">IF(($A$2)&gt;=(ROW()-3),BI$17*(SUM(BI$19:BI28)-((ROW()-3)*5)),BI12)</f>
        <v>0</v>
      </c>
      <c r="BJ13">
        <f ca="1">IF(($A$2)&gt;=(ROW()-3),BJ$17*(SUM(BJ$19:BJ28)-((ROW()-3)*5)),BJ12)</f>
        <v>-1</v>
      </c>
      <c r="BK13">
        <f ca="1">IF(($A$2)&gt;=(ROW()-3),BK$17*(SUM(BK$19:BK28)-((ROW()-3)*5)),BK12)</f>
        <v>-3</v>
      </c>
      <c r="BL13">
        <f ca="1">IF(($A$2)&gt;=(ROW()-3),BL$17*(SUM(BL$19:BL28)-((ROW()-3)*5)),BL12)</f>
        <v>3</v>
      </c>
      <c r="BM13">
        <f ca="1">IF(($A$2)&gt;=(ROW()-3),BM$17*(SUM(BM$19:BM28)-((ROW()-3)*5)),BM12)</f>
        <v>2</v>
      </c>
      <c r="BN13">
        <f ca="1">IF(($A$2)&gt;=(ROW()-3),BN$17*(SUM(BN$19:BN28)-((ROW()-3)*5)),BN12)</f>
        <v>2</v>
      </c>
      <c r="BO13">
        <f ca="1">IF(($A$2)&gt;=(ROW()-3),BO$17*(SUM(BO$19:BO28)-((ROW()-3)*5)),BO12)</f>
        <v>-50</v>
      </c>
    </row>
    <row r="14" spans="1:67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11.846153846153854</v>
      </c>
      <c r="G14">
        <f ca="1">IF(($A$2)&gt;=(ROW()-3),G$17*(SUM(G$19:G29)-((ROW()-3)*5)),G13)</f>
        <v>1</v>
      </c>
      <c r="H14">
        <f ca="1">IF(($A$2)&gt;=(ROW()-3),H$17*(SUM(H$19:H29)-((ROW()-3)*5)),H13)</f>
        <v>0</v>
      </c>
      <c r="I14">
        <f ca="1">IF(($A$2)&gt;=(ROW()-3),I$17*(SUM(I$19:I29)-((ROW()-3)*5)),I13)</f>
        <v>-4</v>
      </c>
      <c r="J14">
        <f ca="1">IF(($A$2)&gt;=(ROW()-3),J$17*(SUM(J$19:J29)-((ROW()-3)*5)),J13)</f>
        <v>0</v>
      </c>
      <c r="K14">
        <f ca="1">IF(($A$2)&gt;=(ROW()-3),K$17*(SUM(K$19:K29)-((ROW()-3)*5)),K13)</f>
        <v>1</v>
      </c>
      <c r="L14">
        <f ca="1">IF(($A$2)&gt;=(ROW()-3),L$17*(SUM(L$19:L29)-((ROW()-3)*5)),L13)</f>
        <v>5</v>
      </c>
      <c r="M14">
        <f ca="1">IF(($A$2)&gt;=(ROW()-3),M$17*(SUM(M$19:M29)-((ROW()-3)*5)),M13)</f>
        <v>-4</v>
      </c>
      <c r="N14">
        <f ca="1">IF(($A$2)&gt;=(ROW()-3),N$17*(SUM(N$19:N29)-((ROW()-3)*5)),N13)</f>
        <v>2</v>
      </c>
      <c r="O14">
        <f ca="1">IF(($A$2)&gt;=(ROW()-3),O$17*(SUM(O$19:O29)-((ROW()-3)*5)),O13)</f>
        <v>3</v>
      </c>
      <c r="P14">
        <f ca="1">IF(($A$2)&gt;=(ROW()-3),P$17*(SUM(P$19:P29)-((ROW()-3)*5)),P13)</f>
        <v>-7</v>
      </c>
      <c r="Q14">
        <f ca="1">IF(($A$2)&gt;=(ROW()-3),Q$17*(SUM(Q$19:Q29)-((ROW()-3)*5)),Q13)</f>
        <v>0</v>
      </c>
      <c r="R14">
        <f ca="1">IF(($A$2)&gt;=(ROW()-3),R$17*(SUM(R$19:R29)-((ROW()-3)*5)),R13)</f>
        <v>-5</v>
      </c>
      <c r="S14">
        <f ca="1">IF(($A$2)&gt;=(ROW()-3),S$17*(SUM(S$19:S29)-((ROW()-3)*5)),S13)</f>
        <v>3</v>
      </c>
      <c r="T14">
        <f ca="1">IF(($A$2)&gt;=(ROW()-3),T$17*(SUM(T$19:T29)-((ROW()-3)*5)),T13)</f>
        <v>-2</v>
      </c>
      <c r="U14">
        <f ca="1">IF(($A$2)&gt;=(ROW()-3),U$17*(SUM(U$19:U29)-((ROW()-3)*5)),U13)</f>
        <v>3</v>
      </c>
      <c r="V14">
        <f ca="1">IF(($A$2)&gt;=(ROW()-3),V$17*(SUM(V$19:V29)-((ROW()-3)*5)),V13)</f>
        <v>2</v>
      </c>
      <c r="W14">
        <f ca="1">IF(($A$2)&gt;=(ROW()-3),W$17*(SUM(W$19:W29)-((ROW()-3)*5)),W13)</f>
        <v>8</v>
      </c>
      <c r="X14">
        <f ca="1">IF(($A$2)&gt;=(ROW()-3),X$17*(SUM(X$19:X29)-((ROW()-3)*5)),X13)</f>
        <v>-1</v>
      </c>
      <c r="Y14">
        <f ca="1">IF(($A$2)&gt;=(ROW()-3),Y$17*(SUM(Y$19:Y29)-((ROW()-3)*5)),Y13)</f>
        <v>-6</v>
      </c>
      <c r="Z14">
        <f ca="1">IF(($A$2)&gt;=(ROW()-3),Z$17*(SUM(Z$19:Z29)-((ROW()-3)*5)),Z13)</f>
        <v>1</v>
      </c>
      <c r="AA14">
        <f ca="1">IF(($A$2)&gt;=(ROW()-3),AA$17*(SUM(AA$19:AA29)-((ROW()-3)*5)),AA13)</f>
        <v>-4</v>
      </c>
      <c r="AB14">
        <f ca="1">IF(($A$2)&gt;=(ROW()-3),AB$17*(SUM(AB$19:AB29)-((ROW()-3)*5)),AB13)</f>
        <v>-3</v>
      </c>
      <c r="AC14">
        <f ca="1">IF(($A$2)&gt;=(ROW()-3),AC$17*(SUM(AC$19:AC29)-((ROW()-3)*5)),AC13)</f>
        <v>1</v>
      </c>
      <c r="AD14">
        <f ca="1">IF(($A$2)&gt;=(ROW()-3),AD$17*(SUM(AD$19:AD29)-((ROW()-3)*5)),AD13)</f>
        <v>-2</v>
      </c>
      <c r="AE14">
        <f ca="1">IF(($A$2)&gt;=(ROW()-3),AE$17*(SUM(AE$19:AE29)-((ROW()-3)*5)),AE13)</f>
        <v>-6</v>
      </c>
      <c r="AF14">
        <f ca="1">IF(($A$2)&gt;=(ROW()-3),AF$17*(SUM(AF$19:AF29)-((ROW()-3)*5)),AF13)</f>
        <v>-3</v>
      </c>
      <c r="AG14">
        <f ca="1">IF(($A$2)&gt;=(ROW()-3),AG$17*(SUM(AG$19:AG29)-((ROW()-3)*5)),AG13)</f>
        <v>1</v>
      </c>
      <c r="AH14">
        <f ca="1">IF(($A$2)&gt;=(ROW()-3),AH$17*(SUM(AH$19:AH29)-((ROW()-3)*5)),AH13)</f>
        <v>5</v>
      </c>
      <c r="AI14">
        <f ca="1">IF(($A$2)&gt;=(ROW()-3),AI$17*(SUM(AI$19:AI29)-((ROW()-3)*5)),AI13)</f>
        <v>-7</v>
      </c>
      <c r="AJ14">
        <f ca="1">IF(($A$2)&gt;=(ROW()-3),AJ$17*(SUM(AJ$19:AJ29)-((ROW()-3)*5)),AJ13)</f>
        <v>2</v>
      </c>
      <c r="AK14">
        <f ca="1">IF(($A$2)&gt;=(ROW()-3),AK$17*(SUM(AK$19:AK29)-((ROW()-3)*5)),AK13)</f>
        <v>2</v>
      </c>
      <c r="AL14">
        <f ca="1">IF(($A$2)&gt;=(ROW()-3),AL$17*(SUM(AL$19:AL29)-((ROW()-3)*5)),AL13)</f>
        <v>3</v>
      </c>
      <c r="AM14">
        <f ca="1">IF(($A$2)&gt;=(ROW()-3),AM$17*(SUM(AM$19:AM29)-((ROW()-3)*5)),AM13)</f>
        <v>6</v>
      </c>
      <c r="AN14">
        <f ca="1">IF(($A$2)&gt;=(ROW()-3),AN$17*(SUM(AN$19:AN29)-((ROW()-3)*5)),AN13)</f>
        <v>1</v>
      </c>
      <c r="AO14">
        <f ca="1">IF(($A$2)&gt;=(ROW()-3),AO$17*(SUM(AO$19:AO29)-((ROW()-3)*5)),AO13)</f>
        <v>-3</v>
      </c>
      <c r="AP14">
        <f ca="1">IF(($A$2)&gt;=(ROW()-3),AP$17*(SUM(AP$19:AP29)-((ROW()-3)*5)),AP13)</f>
        <v>6</v>
      </c>
      <c r="AQ14">
        <f ca="1">IF(($A$2)&gt;=(ROW()-3),AQ$17*(SUM(AQ$19:AQ29)-((ROW()-3)*5)),AQ13)</f>
        <v>-10</v>
      </c>
      <c r="AR14">
        <f ca="1">IF(($A$2)&gt;=(ROW()-3),AR$17*(SUM(AR$19:AR29)-((ROW()-3)*5)),AR13)</f>
        <v>1</v>
      </c>
      <c r="AS14">
        <f ca="1">IF(($A$2)&gt;=(ROW()-3),AS$17*(SUM(AS$19:AS29)-((ROW()-3)*5)),AS13)</f>
        <v>0</v>
      </c>
      <c r="AT14">
        <f ca="1">IF(($A$2)&gt;=(ROW()-3),AT$17*(SUM(AT$19:AT29)-((ROW()-3)*5)),AT13)</f>
        <v>6</v>
      </c>
      <c r="AU14">
        <f ca="1">IF(($A$2)&gt;=(ROW()-3),AU$17*(SUM(AU$19:AU29)-((ROW()-3)*5)),AU13)</f>
        <v>5</v>
      </c>
      <c r="AV14">
        <f ca="1">IF(($A$2)&gt;=(ROW()-3),AV$17*(SUM(AV$19:AV29)-((ROW()-3)*5)),AV13)</f>
        <v>-4</v>
      </c>
      <c r="AW14">
        <f ca="1">IF(($A$2)&gt;=(ROW()-3),AW$17*(SUM(AW$19:AW29)-((ROW()-3)*5)),AW13)</f>
        <v>9</v>
      </c>
      <c r="AX14">
        <f ca="1">IF(($A$2)&gt;=(ROW()-3),AX$17*(SUM(AX$19:AX29)-((ROW()-3)*5)),AX13)</f>
        <v>-8</v>
      </c>
      <c r="AY14">
        <f ca="1">IF(($A$2)&gt;=(ROW()-3),AY$17*(SUM(AY$19:AY29)-((ROW()-3)*5)),AY13)</f>
        <v>-3</v>
      </c>
      <c r="AZ14">
        <f ca="1">IF(($A$2)&gt;=(ROW()-3),AZ$17*(SUM(AZ$19:AZ29)-((ROW()-3)*5)),AZ13)</f>
        <v>0</v>
      </c>
      <c r="BA14">
        <f ca="1">IF(($A$2)&gt;=(ROW()-3),BA$17*(SUM(BA$19:BA29)-((ROW()-3)*5)),BA13)</f>
        <v>0</v>
      </c>
      <c r="BB14">
        <f ca="1">IF(($A$2)&gt;=(ROW()-3),BB$17*(SUM(BB$19:BB29)-((ROW()-3)*5)),BB13)</f>
        <v>2</v>
      </c>
      <c r="BC14">
        <f ca="1">IF(($A$2)&gt;=(ROW()-3),BC$17*(SUM(BC$19:BC29)-((ROW()-3)*5)),BC13)</f>
        <v>-3</v>
      </c>
      <c r="BD14">
        <f ca="1">IF(($A$2)&gt;=(ROW()-3),BD$17*(SUM(BD$19:BD29)-((ROW()-3)*5)),BD13)</f>
        <v>-9</v>
      </c>
      <c r="BE14">
        <f ca="1">IF(($A$2)&gt;=(ROW()-3),BE$17*(SUM(BE$19:BE29)-((ROW()-3)*5)),BE13)</f>
        <v>3</v>
      </c>
      <c r="BF14">
        <f ca="1">IF(($A$2)&gt;=(ROW()-3),BF$17*(SUM(BF$19:BF29)-((ROW()-3)*5)),BF13)</f>
        <v>4</v>
      </c>
      <c r="BG14">
        <f ca="1">IF(($A$2)&gt;=(ROW()-3),BG$17*(SUM(BG$19:BG29)-((ROW()-3)*5)),BG13)</f>
        <v>-4</v>
      </c>
      <c r="BH14">
        <f ca="1">IF(($A$2)&gt;=(ROW()-3),BH$17*(SUM(BH$19:BH29)-((ROW()-3)*5)),BH13)</f>
        <v>2</v>
      </c>
      <c r="BI14">
        <f ca="1">IF(($A$2)&gt;=(ROW()-3),BI$17*(SUM(BI$19:BI29)-((ROW()-3)*5)),BI13)</f>
        <v>2</v>
      </c>
      <c r="BJ14">
        <f ca="1">IF(($A$2)&gt;=(ROW()-3),BJ$17*(SUM(BJ$19:BJ29)-((ROW()-3)*5)),BJ13)</f>
        <v>-2</v>
      </c>
      <c r="BK14">
        <f ca="1">IF(($A$2)&gt;=(ROW()-3),BK$17*(SUM(BK$19:BK29)-((ROW()-3)*5)),BK13)</f>
        <v>0</v>
      </c>
      <c r="BL14">
        <f ca="1">IF(($A$2)&gt;=(ROW()-3),BL$17*(SUM(BL$19:BL29)-((ROW()-3)*5)),BL13)</f>
        <v>3</v>
      </c>
      <c r="BM14">
        <f ca="1">IF(($A$2)&gt;=(ROW()-3),BM$17*(SUM(BM$19:BM29)-((ROW()-3)*5)),BM13)</f>
        <v>1</v>
      </c>
      <c r="BN14">
        <f ca="1">IF(($A$2)&gt;=(ROW()-3),BN$17*(SUM(BN$19:BN29)-((ROW()-3)*5)),BN13)</f>
        <v>1</v>
      </c>
      <c r="BO14">
        <f ca="1">IF(($A$2)&gt;=(ROW()-3),BO$17*(SUM(BO$19:BO29)-((ROW()-3)*5)),BO13)</f>
        <v>-55</v>
      </c>
    </row>
    <row r="15" spans="1:67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12.923076923076934</v>
      </c>
      <c r="G15">
        <f ca="1">IF(($A$2)&gt;=(ROW()-3),G$17*(SUM(G$19:G30)-((ROW()-3)*5)),G14)</f>
        <v>2</v>
      </c>
      <c r="H15">
        <f ca="1">IF(($A$2)&gt;=(ROW()-3),H$17*(SUM(H$19:H30)-((ROW()-3)*5)),H14)</f>
        <v>-1</v>
      </c>
      <c r="I15">
        <f ca="1">IF(($A$2)&gt;=(ROW()-3),I$17*(SUM(I$19:I30)-((ROW()-3)*5)),I14)</f>
        <v>-5</v>
      </c>
      <c r="J15">
        <f ca="1">IF(($A$2)&gt;=(ROW()-3),J$17*(SUM(J$19:J30)-((ROW()-3)*5)),J14)</f>
        <v>0</v>
      </c>
      <c r="K15">
        <f ca="1">IF(($A$2)&gt;=(ROW()-3),K$17*(SUM(K$19:K30)-((ROW()-3)*5)),K14)</f>
        <v>0</v>
      </c>
      <c r="L15">
        <f ca="1">IF(($A$2)&gt;=(ROW()-3),L$17*(SUM(L$19:L30)-((ROW()-3)*5)),L14)</f>
        <v>1</v>
      </c>
      <c r="M15">
        <f ca="1">IF(($A$2)&gt;=(ROW()-3),M$17*(SUM(M$19:M30)-((ROW()-3)*5)),M14)</f>
        <v>-4</v>
      </c>
      <c r="N15">
        <f ca="1">IF(($A$2)&gt;=(ROW()-3),N$17*(SUM(N$19:N30)-((ROW()-3)*5)),N14)</f>
        <v>2</v>
      </c>
      <c r="O15">
        <f ca="1">IF(($A$2)&gt;=(ROW()-3),O$17*(SUM(O$19:O30)-((ROW()-3)*5)),O14)</f>
        <v>1</v>
      </c>
      <c r="P15">
        <f ca="1">IF(($A$2)&gt;=(ROW()-3),P$17*(SUM(P$19:P30)-((ROW()-3)*5)),P14)</f>
        <v>-7</v>
      </c>
      <c r="Q15">
        <f ca="1">IF(($A$2)&gt;=(ROW()-3),Q$17*(SUM(Q$19:Q30)-((ROW()-3)*5)),Q14)</f>
        <v>0</v>
      </c>
      <c r="R15">
        <f ca="1">IF(($A$2)&gt;=(ROW()-3),R$17*(SUM(R$19:R30)-((ROW()-3)*5)),R14)</f>
        <v>-7</v>
      </c>
      <c r="S15">
        <f ca="1">IF(($A$2)&gt;=(ROW()-3),S$17*(SUM(S$19:S30)-((ROW()-3)*5)),S14)</f>
        <v>2</v>
      </c>
      <c r="T15">
        <f ca="1">IF(($A$2)&gt;=(ROW()-3),T$17*(SUM(T$19:T30)-((ROW()-3)*5)),T14)</f>
        <v>-2</v>
      </c>
      <c r="U15">
        <f ca="1">IF(($A$2)&gt;=(ROW()-3),U$17*(SUM(U$19:U30)-((ROW()-3)*5)),U14)</f>
        <v>4</v>
      </c>
      <c r="V15">
        <f ca="1">IF(($A$2)&gt;=(ROW()-3),V$17*(SUM(V$19:V30)-((ROW()-3)*5)),V14)</f>
        <v>1</v>
      </c>
      <c r="W15">
        <f ca="1">IF(($A$2)&gt;=(ROW()-3),W$17*(SUM(W$19:W30)-((ROW()-3)*5)),W14)</f>
        <v>5</v>
      </c>
      <c r="X15">
        <f ca="1">IF(($A$2)&gt;=(ROW()-3),X$17*(SUM(X$19:X30)-((ROW()-3)*5)),X14)</f>
        <v>2</v>
      </c>
      <c r="Y15">
        <f ca="1">IF(($A$2)&gt;=(ROW()-3),Y$17*(SUM(Y$19:Y30)-((ROW()-3)*5)),Y14)</f>
        <v>-7</v>
      </c>
      <c r="Z15">
        <f ca="1">IF(($A$2)&gt;=(ROW()-3),Z$17*(SUM(Z$19:Z30)-((ROW()-3)*5)),Z14)</f>
        <v>1</v>
      </c>
      <c r="AA15">
        <f ca="1">IF(($A$2)&gt;=(ROW()-3),AA$17*(SUM(AA$19:AA30)-((ROW()-3)*5)),AA14)</f>
        <v>-4</v>
      </c>
      <c r="AB15">
        <f ca="1">IF(($A$2)&gt;=(ROW()-3),AB$17*(SUM(AB$19:AB30)-((ROW()-3)*5)),AB14)</f>
        <v>-2</v>
      </c>
      <c r="AC15">
        <f ca="1">IF(($A$2)&gt;=(ROW()-3),AC$17*(SUM(AC$19:AC30)-((ROW()-3)*5)),AC14)</f>
        <v>2</v>
      </c>
      <c r="AD15">
        <f ca="1">IF(($A$2)&gt;=(ROW()-3),AD$17*(SUM(AD$19:AD30)-((ROW()-3)*5)),AD14)</f>
        <v>-1</v>
      </c>
      <c r="AE15">
        <f ca="1">IF(($A$2)&gt;=(ROW()-3),AE$17*(SUM(AE$19:AE30)-((ROW()-3)*5)),AE14)</f>
        <v>-10</v>
      </c>
      <c r="AF15">
        <f ca="1">IF(($A$2)&gt;=(ROW()-3),AF$17*(SUM(AF$19:AF30)-((ROW()-3)*5)),AF14)</f>
        <v>-2</v>
      </c>
      <c r="AG15">
        <f ca="1">IF(($A$2)&gt;=(ROW()-3),AG$17*(SUM(AG$19:AG30)-((ROW()-3)*5)),AG14)</f>
        <v>2</v>
      </c>
      <c r="AH15">
        <f ca="1">IF(($A$2)&gt;=(ROW()-3),AH$17*(SUM(AH$19:AH30)-((ROW()-3)*5)),AH14)</f>
        <v>6</v>
      </c>
      <c r="AI15">
        <f ca="1">IF(($A$2)&gt;=(ROW()-3),AI$17*(SUM(AI$19:AI30)-((ROW()-3)*5)),AI14)</f>
        <v>-7</v>
      </c>
      <c r="AJ15">
        <f ca="1">IF(($A$2)&gt;=(ROW()-3),AJ$17*(SUM(AJ$19:AJ30)-((ROW()-3)*5)),AJ14)</f>
        <v>4</v>
      </c>
      <c r="AK15">
        <f ca="1">IF(($A$2)&gt;=(ROW()-3),AK$17*(SUM(AK$19:AK30)-((ROW()-3)*5)),AK14)</f>
        <v>0</v>
      </c>
      <c r="AL15">
        <f ca="1">IF(($A$2)&gt;=(ROW()-3),AL$17*(SUM(AL$19:AL30)-((ROW()-3)*5)),AL14)</f>
        <v>1</v>
      </c>
      <c r="AM15">
        <f ca="1">IF(($A$2)&gt;=(ROW()-3),AM$17*(SUM(AM$19:AM30)-((ROW()-3)*5)),AM14)</f>
        <v>6</v>
      </c>
      <c r="AN15">
        <f ca="1">IF(($A$2)&gt;=(ROW()-3),AN$17*(SUM(AN$19:AN30)-((ROW()-3)*5)),AN14)</f>
        <v>2</v>
      </c>
      <c r="AO15">
        <f ca="1">IF(($A$2)&gt;=(ROW()-3),AO$17*(SUM(AO$19:AO30)-((ROW()-3)*5)),AO14)</f>
        <v>-2</v>
      </c>
      <c r="AP15">
        <f ca="1">IF(($A$2)&gt;=(ROW()-3),AP$17*(SUM(AP$19:AP30)-((ROW()-3)*5)),AP14)</f>
        <v>6</v>
      </c>
      <c r="AQ15">
        <f ca="1">IF(($A$2)&gt;=(ROW()-3),AQ$17*(SUM(AQ$19:AQ30)-((ROW()-3)*5)),AQ14)</f>
        <v>-8</v>
      </c>
      <c r="AR15">
        <f ca="1">IF(($A$2)&gt;=(ROW()-3),AR$17*(SUM(AR$19:AR30)-((ROW()-3)*5)),AR14)</f>
        <v>-3</v>
      </c>
      <c r="AS15">
        <f ca="1">IF(($A$2)&gt;=(ROW()-3),AS$17*(SUM(AS$19:AS30)-((ROW()-3)*5)),AS14)</f>
        <v>1</v>
      </c>
      <c r="AT15">
        <f ca="1">IF(($A$2)&gt;=(ROW()-3),AT$17*(SUM(AT$19:AT30)-((ROW()-3)*5)),AT14)</f>
        <v>7</v>
      </c>
      <c r="AU15">
        <f ca="1">IF(($A$2)&gt;=(ROW()-3),AU$17*(SUM(AU$19:AU30)-((ROW()-3)*5)),AU14)</f>
        <v>1</v>
      </c>
      <c r="AV15">
        <f ca="1">IF(($A$2)&gt;=(ROW()-3),AV$17*(SUM(AV$19:AV30)-((ROW()-3)*5)),AV14)</f>
        <v>-5</v>
      </c>
      <c r="AW15">
        <f ca="1">IF(($A$2)&gt;=(ROW()-3),AW$17*(SUM(AW$19:AW30)-((ROW()-3)*5)),AW14)</f>
        <v>8</v>
      </c>
      <c r="AX15">
        <f ca="1">IF(($A$2)&gt;=(ROW()-3),AX$17*(SUM(AX$19:AX30)-((ROW()-3)*5)),AX14)</f>
        <v>-9</v>
      </c>
      <c r="AY15">
        <f ca="1">IF(($A$2)&gt;=(ROW()-3),AY$17*(SUM(AY$19:AY30)-((ROW()-3)*5)),AY14)</f>
        <v>-3</v>
      </c>
      <c r="AZ15">
        <f ca="1">IF(($A$2)&gt;=(ROW()-3),AZ$17*(SUM(AZ$19:AZ30)-((ROW()-3)*5)),AZ14)</f>
        <v>1</v>
      </c>
      <c r="BA15">
        <f ca="1">IF(($A$2)&gt;=(ROW()-3),BA$17*(SUM(BA$19:BA30)-((ROW()-3)*5)),BA14)</f>
        <v>-1</v>
      </c>
      <c r="BB15">
        <f ca="1">IF(($A$2)&gt;=(ROW()-3),BB$17*(SUM(BB$19:BB30)-((ROW()-3)*5)),BB14)</f>
        <v>0</v>
      </c>
      <c r="BC15">
        <f ca="1">IF(($A$2)&gt;=(ROW()-3),BC$17*(SUM(BC$19:BC30)-((ROW()-3)*5)),BC14)</f>
        <v>-1</v>
      </c>
      <c r="BD15">
        <f ca="1">IF(($A$2)&gt;=(ROW()-3),BD$17*(SUM(BD$19:BD30)-((ROW()-3)*5)),BD14)</f>
        <v>-11</v>
      </c>
      <c r="BE15">
        <f ca="1">IF(($A$2)&gt;=(ROW()-3),BE$17*(SUM(BE$19:BE30)-((ROW()-3)*5)),BE14)</f>
        <v>4</v>
      </c>
      <c r="BF15">
        <f ca="1">IF(($A$2)&gt;=(ROW()-3),BF$17*(SUM(BF$19:BF30)-((ROW()-3)*5)),BF14)</f>
        <v>4</v>
      </c>
      <c r="BG15">
        <f ca="1">IF(($A$2)&gt;=(ROW()-3),BG$17*(SUM(BG$19:BG30)-((ROW()-3)*5)),BG14)</f>
        <v>-4</v>
      </c>
      <c r="BH15">
        <f ca="1">IF(($A$2)&gt;=(ROW()-3),BH$17*(SUM(BH$19:BH30)-((ROW()-3)*5)),BH14)</f>
        <v>4</v>
      </c>
      <c r="BI15">
        <f ca="1">IF(($A$2)&gt;=(ROW()-3),BI$17*(SUM(BI$19:BI30)-((ROW()-3)*5)),BI14)</f>
        <v>3</v>
      </c>
      <c r="BJ15">
        <f ca="1">IF(($A$2)&gt;=(ROW()-3),BJ$17*(SUM(BJ$19:BJ30)-((ROW()-3)*5)),BJ14)</f>
        <v>-1</v>
      </c>
      <c r="BK15">
        <f ca="1">IF(($A$2)&gt;=(ROW()-3),BK$17*(SUM(BK$19:BK30)-((ROW()-3)*5)),BK14)</f>
        <v>0</v>
      </c>
      <c r="BL15">
        <f ca="1">IF(($A$2)&gt;=(ROW()-3),BL$17*(SUM(BL$19:BL30)-((ROW()-3)*5)),BL14)</f>
        <v>2</v>
      </c>
      <c r="BM15">
        <f ca="1">IF(($A$2)&gt;=(ROW()-3),BM$17*(SUM(BM$19:BM30)-((ROW()-3)*5)),BM14)</f>
        <v>0</v>
      </c>
      <c r="BN15">
        <f ca="1">IF(($A$2)&gt;=(ROW()-3),BN$17*(SUM(BN$19:BN30)-((ROW()-3)*5)),BN14)</f>
        <v>1</v>
      </c>
      <c r="BO15">
        <f ca="1">IF(($A$2)&gt;=(ROW()-3),BO$17*(SUM(BO$19:BO30)-((ROW()-3)*5)),BO14)</f>
        <v>-60</v>
      </c>
    </row>
    <row r="16" spans="1:67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14.000000000000014</v>
      </c>
      <c r="G16">
        <f ca="1">IF(($A$2)&gt;=(ROW()-3),G$17*(SUM(G$19:G31)-((ROW()-3)*5)),G15)</f>
        <v>2</v>
      </c>
      <c r="H16">
        <f ca="1">IF(($A$2)&gt;=(ROW()-3),H$17*(SUM(H$19:H31)-((ROW()-3)*5)),H15)</f>
        <v>2</v>
      </c>
      <c r="I16">
        <f ca="1">IF(($A$2)&gt;=(ROW()-3),I$17*(SUM(I$19:I31)-((ROW()-3)*5)),I15)</f>
        <v>-6</v>
      </c>
      <c r="J16">
        <f ca="1">IF(($A$2)&gt;=(ROW()-3),J$17*(SUM(J$19:J31)-((ROW()-3)*5)),J15)</f>
        <v>-1</v>
      </c>
      <c r="K16">
        <f ca="1">IF(($A$2)&gt;=(ROW()-3),K$17*(SUM(K$19:K31)-((ROW()-3)*5)),K15)</f>
        <v>-3</v>
      </c>
      <c r="L16">
        <f ca="1">IF(($A$2)&gt;=(ROW()-3),L$17*(SUM(L$19:L31)-((ROW()-3)*5)),L15)</f>
        <v>0</v>
      </c>
      <c r="M16">
        <f ca="1">IF(($A$2)&gt;=(ROW()-3),M$17*(SUM(M$19:M31)-((ROW()-3)*5)),M15)</f>
        <v>-4</v>
      </c>
      <c r="N16">
        <f ca="1">IF(($A$2)&gt;=(ROW()-3),N$17*(SUM(N$19:N31)-((ROW()-3)*5)),N15)</f>
        <v>2</v>
      </c>
      <c r="O16">
        <f ca="1">IF(($A$2)&gt;=(ROW()-3),O$17*(SUM(O$19:O31)-((ROW()-3)*5)),O15)</f>
        <v>0</v>
      </c>
      <c r="P16">
        <f ca="1">IF(($A$2)&gt;=(ROW()-3),P$17*(SUM(P$19:P31)-((ROW()-3)*5)),P15)</f>
        <v>-7</v>
      </c>
      <c r="Q16">
        <f ca="1">IF(($A$2)&gt;=(ROW()-3),Q$17*(SUM(Q$19:Q31)-((ROW()-3)*5)),Q15)</f>
        <v>-3</v>
      </c>
      <c r="R16">
        <f ca="1">IF(($A$2)&gt;=(ROW()-3),R$17*(SUM(R$19:R31)-((ROW()-3)*5)),R15)</f>
        <v>-8</v>
      </c>
      <c r="S16">
        <f ca="1">IF(($A$2)&gt;=(ROW()-3),S$17*(SUM(S$19:S31)-((ROW()-3)*5)),S15)</f>
        <v>1</v>
      </c>
      <c r="T16">
        <f ca="1">IF(($A$2)&gt;=(ROW()-3),T$17*(SUM(T$19:T31)-((ROW()-3)*5)),T15)</f>
        <v>0</v>
      </c>
      <c r="U16">
        <f ca="1">IF(($A$2)&gt;=(ROW()-3),U$17*(SUM(U$19:U31)-((ROW()-3)*5)),U15)</f>
        <v>3</v>
      </c>
      <c r="V16">
        <f ca="1">IF(($A$2)&gt;=(ROW()-3),V$17*(SUM(V$19:V31)-((ROW()-3)*5)),V15)</f>
        <v>3</v>
      </c>
      <c r="W16">
        <f ca="1">IF(($A$2)&gt;=(ROW()-3),W$17*(SUM(W$19:W31)-((ROW()-3)*5)),W15)</f>
        <v>6</v>
      </c>
      <c r="X16">
        <f ca="1">IF(($A$2)&gt;=(ROW()-3),X$17*(SUM(X$19:X31)-((ROW()-3)*5)),X15)</f>
        <v>0</v>
      </c>
      <c r="Y16">
        <f ca="1">IF(($A$2)&gt;=(ROW()-3),Y$17*(SUM(Y$19:Y31)-((ROW()-3)*5)),Y15)</f>
        <v>-8</v>
      </c>
      <c r="Z16">
        <f ca="1">IF(($A$2)&gt;=(ROW()-3),Z$17*(SUM(Z$19:Z31)-((ROW()-3)*5)),Z15)</f>
        <v>4</v>
      </c>
      <c r="AA16">
        <f ca="1">IF(($A$2)&gt;=(ROW()-3),AA$17*(SUM(AA$19:AA31)-((ROW()-3)*5)),AA15)</f>
        <v>-5</v>
      </c>
      <c r="AB16">
        <f ca="1">IF(($A$2)&gt;=(ROW()-3),AB$17*(SUM(AB$19:AB31)-((ROW()-3)*5)),AB15)</f>
        <v>-3</v>
      </c>
      <c r="AC16">
        <f ca="1">IF(($A$2)&gt;=(ROW()-3),AC$17*(SUM(AC$19:AC31)-((ROW()-3)*5)),AC15)</f>
        <v>-1</v>
      </c>
      <c r="AD16">
        <f ca="1">IF(($A$2)&gt;=(ROW()-3),AD$17*(SUM(AD$19:AD31)-((ROW()-3)*5)),AD15)</f>
        <v>-4</v>
      </c>
      <c r="AE16">
        <f ca="1">IF(($A$2)&gt;=(ROW()-3),AE$17*(SUM(AE$19:AE31)-((ROW()-3)*5)),AE15)</f>
        <v>-10</v>
      </c>
      <c r="AF16">
        <f ca="1">IF(($A$2)&gt;=(ROW()-3),AF$17*(SUM(AF$19:AF31)-((ROW()-3)*5)),AF15)</f>
        <v>-5</v>
      </c>
      <c r="AG16">
        <f ca="1">IF(($A$2)&gt;=(ROW()-3),AG$17*(SUM(AG$19:AG31)-((ROW()-3)*5)),AG15)</f>
        <v>3</v>
      </c>
      <c r="AH16">
        <f ca="1">IF(($A$2)&gt;=(ROW()-3),AH$17*(SUM(AH$19:AH31)-((ROW()-3)*5)),AH15)</f>
        <v>5</v>
      </c>
      <c r="AI16">
        <f ca="1">IF(($A$2)&gt;=(ROW()-3),AI$17*(SUM(AI$19:AI31)-((ROW()-3)*5)),AI15)</f>
        <v>-10</v>
      </c>
      <c r="AJ16">
        <f ca="1">IF(($A$2)&gt;=(ROW()-3),AJ$17*(SUM(AJ$19:AJ31)-((ROW()-3)*5)),AJ15)</f>
        <v>1</v>
      </c>
      <c r="AK16">
        <f ca="1">IF(($A$2)&gt;=(ROW()-3),AK$17*(SUM(AK$19:AK31)-((ROW()-3)*5)),AK15)</f>
        <v>1</v>
      </c>
      <c r="AL16">
        <f ca="1">IF(($A$2)&gt;=(ROW()-3),AL$17*(SUM(AL$19:AL31)-((ROW()-3)*5)),AL15)</f>
        <v>1</v>
      </c>
      <c r="AM16">
        <f ca="1">IF(($A$2)&gt;=(ROW()-3),AM$17*(SUM(AM$19:AM31)-((ROW()-3)*5)),AM15)</f>
        <v>8</v>
      </c>
      <c r="AN16">
        <f ca="1">IF(($A$2)&gt;=(ROW()-3),AN$17*(SUM(AN$19:AN31)-((ROW()-3)*5)),AN15)</f>
        <v>1</v>
      </c>
      <c r="AO16">
        <f ca="1">IF(($A$2)&gt;=(ROW()-3),AO$17*(SUM(AO$19:AO31)-((ROW()-3)*5)),AO15)</f>
        <v>-4</v>
      </c>
      <c r="AP16">
        <f ca="1">IF(($A$2)&gt;=(ROW()-3),AP$17*(SUM(AP$19:AP31)-((ROW()-3)*5)),AP15)</f>
        <v>6</v>
      </c>
      <c r="AQ16">
        <f ca="1">IF(($A$2)&gt;=(ROW()-3),AQ$17*(SUM(AQ$19:AQ31)-((ROW()-3)*5)),AQ15)</f>
        <v>-9</v>
      </c>
      <c r="AR16">
        <f ca="1">IF(($A$2)&gt;=(ROW()-3),AR$17*(SUM(AR$19:AR31)-((ROW()-3)*5)),AR15)</f>
        <v>-3</v>
      </c>
      <c r="AS16">
        <f ca="1">IF(($A$2)&gt;=(ROW()-3),AS$17*(SUM(AS$19:AS31)-((ROW()-3)*5)),AS15)</f>
        <v>-1</v>
      </c>
      <c r="AT16">
        <f ca="1">IF(($A$2)&gt;=(ROW()-3),AT$17*(SUM(AT$19:AT31)-((ROW()-3)*5)),AT15)</f>
        <v>8</v>
      </c>
      <c r="AU16">
        <f ca="1">IF(($A$2)&gt;=(ROW()-3),AU$17*(SUM(AU$19:AU31)-((ROW()-3)*5)),AU15)</f>
        <v>-2</v>
      </c>
      <c r="AV16">
        <f ca="1">IF(($A$2)&gt;=(ROW()-3),AV$17*(SUM(AV$19:AV31)-((ROW()-3)*5)),AV15)</f>
        <v>-8</v>
      </c>
      <c r="AW16">
        <f ca="1">IF(($A$2)&gt;=(ROW()-3),AW$17*(SUM(AW$19:AW31)-((ROW()-3)*5)),AW15)</f>
        <v>8</v>
      </c>
      <c r="AX16">
        <f ca="1">IF(($A$2)&gt;=(ROW()-3),AX$17*(SUM(AX$19:AX31)-((ROW()-3)*5)),AX15)</f>
        <v>-12</v>
      </c>
      <c r="AY16">
        <f ca="1">IF(($A$2)&gt;=(ROW()-3),AY$17*(SUM(AY$19:AY31)-((ROW()-3)*5)),AY15)</f>
        <v>-2</v>
      </c>
      <c r="AZ16">
        <f ca="1">IF(($A$2)&gt;=(ROW()-3),AZ$17*(SUM(AZ$19:AZ31)-((ROW()-3)*5)),AZ15)</f>
        <v>2</v>
      </c>
      <c r="BA16">
        <f ca="1">IF(($A$2)&gt;=(ROW()-3),BA$17*(SUM(BA$19:BA31)-((ROW()-3)*5)),BA15)</f>
        <v>0</v>
      </c>
      <c r="BB16">
        <f ca="1">IF(($A$2)&gt;=(ROW()-3),BB$17*(SUM(BB$19:BB31)-((ROW()-3)*5)),BB15)</f>
        <v>-3</v>
      </c>
      <c r="BC16">
        <f ca="1">IF(($A$2)&gt;=(ROW()-3),BC$17*(SUM(BC$19:BC31)-((ROW()-3)*5)),BC15)</f>
        <v>-2</v>
      </c>
      <c r="BD16">
        <f ca="1">IF(($A$2)&gt;=(ROW()-3),BD$17*(SUM(BD$19:BD31)-((ROW()-3)*5)),BD15)</f>
        <v>-14</v>
      </c>
      <c r="BE16">
        <f ca="1">IF(($A$2)&gt;=(ROW()-3),BE$17*(SUM(BE$19:BE31)-((ROW()-3)*5)),BE15)</f>
        <v>4</v>
      </c>
      <c r="BF16">
        <f ca="1">IF(($A$2)&gt;=(ROW()-3),BF$17*(SUM(BF$19:BF31)-((ROW()-3)*5)),BF15)</f>
        <v>5</v>
      </c>
      <c r="BG16">
        <f ca="1">IF(($A$2)&gt;=(ROW()-3),BG$17*(SUM(BG$19:BG31)-((ROW()-3)*5)),BG15)</f>
        <v>-2</v>
      </c>
      <c r="BH16">
        <f ca="1">IF(($A$2)&gt;=(ROW()-3),BH$17*(SUM(BH$19:BH31)-((ROW()-3)*5)),BH15)</f>
        <v>4</v>
      </c>
      <c r="BI16">
        <f ca="1">IF(($A$2)&gt;=(ROW()-3),BI$17*(SUM(BI$19:BI31)-((ROW()-3)*5)),BI15)</f>
        <v>0</v>
      </c>
      <c r="BJ16">
        <f ca="1">IF(($A$2)&gt;=(ROW()-3),BJ$17*(SUM(BJ$19:BJ31)-((ROW()-3)*5)),BJ15)</f>
        <v>-1</v>
      </c>
      <c r="BK16">
        <f ca="1">IF(($A$2)&gt;=(ROW()-3),BK$17*(SUM(BK$19:BK31)-((ROW()-3)*5)),BK15)</f>
        <v>2</v>
      </c>
      <c r="BL16">
        <f ca="1">IF(($A$2)&gt;=(ROW()-3),BL$17*(SUM(BL$19:BL31)-((ROW()-3)*5)),BL15)</f>
        <v>4</v>
      </c>
      <c r="BM16">
        <f ca="1">IF(($A$2)&gt;=(ROW()-3),BM$17*(SUM(BM$19:BM31)-((ROW()-3)*5)),BM15)</f>
        <v>0</v>
      </c>
      <c r="BN16">
        <f ca="1">IF(($A$2)&gt;=(ROW()-3),BN$17*(SUM(BN$19:BN31)-((ROW()-3)*5)),BN15)</f>
        <v>-2</v>
      </c>
      <c r="BO16">
        <f ca="1">IF(($A$2)&gt;=(ROW()-3),BO$17*(SUM(BO$19:BO31)-((ROW()-3)*5)),BO15)</f>
        <v>-65</v>
      </c>
    </row>
    <row r="17" spans="1:67" x14ac:dyDescent="0.25">
      <c r="A17" s="6" t="s">
        <v>138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</row>
    <row r="19" spans="1:67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6.0769230769230766</v>
      </c>
      <c r="G19">
        <f t="shared" ref="G19:H31" ca="1" si="0">INDIRECT(ADDRESS(25,COLUMN(),1,,$A19))</f>
        <v>7</v>
      </c>
      <c r="H19">
        <f t="shared" ca="1" si="0"/>
        <v>4</v>
      </c>
      <c r="I19">
        <f t="shared" ref="I19:AK28" ca="1" si="1">INDIRECT(ADDRESS(25,COLUMN(),1,,$A19))</f>
        <v>3</v>
      </c>
      <c r="J19">
        <f t="shared" ca="1" si="1"/>
        <v>5</v>
      </c>
      <c r="K19">
        <f t="shared" ca="1" si="1"/>
        <v>5</v>
      </c>
      <c r="L19">
        <f t="shared" ca="1" si="1"/>
        <v>6</v>
      </c>
      <c r="M19">
        <f t="shared" ca="1" si="1"/>
        <v>3</v>
      </c>
      <c r="N19">
        <f t="shared" ca="1" si="1"/>
        <v>7</v>
      </c>
      <c r="O19">
        <f t="shared" ca="1" si="1"/>
        <v>5</v>
      </c>
      <c r="P19">
        <f t="shared" ca="1" si="1"/>
        <v>3</v>
      </c>
      <c r="Q19">
        <f t="shared" ca="1" si="1"/>
        <v>4</v>
      </c>
      <c r="R19">
        <f t="shared" ca="1" si="1"/>
        <v>5</v>
      </c>
      <c r="S19">
        <f t="shared" ca="1" si="1"/>
        <v>6</v>
      </c>
      <c r="T19">
        <f t="shared" ca="1" si="1"/>
        <v>1</v>
      </c>
      <c r="U19">
        <f t="shared" ca="1" si="1"/>
        <v>4</v>
      </c>
      <c r="V19">
        <f t="shared" ca="1" si="1"/>
        <v>4</v>
      </c>
      <c r="W19">
        <f t="shared" ca="1" si="1"/>
        <v>3</v>
      </c>
      <c r="X19">
        <f t="shared" ca="1" si="1"/>
        <v>5</v>
      </c>
      <c r="Y19">
        <f t="shared" ca="1" si="1"/>
        <v>3</v>
      </c>
      <c r="Z19">
        <f t="shared" ca="1" si="1"/>
        <v>6</v>
      </c>
      <c r="AA19">
        <f t="shared" ca="1" si="1"/>
        <v>3</v>
      </c>
      <c r="AB19">
        <f t="shared" ca="1" si="1"/>
        <v>5</v>
      </c>
      <c r="AC19">
        <f t="shared" ca="1" si="1"/>
        <v>5</v>
      </c>
      <c r="AD19">
        <f t="shared" ca="1" si="1"/>
        <v>5</v>
      </c>
      <c r="AE19">
        <f t="shared" ca="1" si="1"/>
        <v>5</v>
      </c>
      <c r="AF19">
        <f t="shared" ca="1" si="1"/>
        <v>4</v>
      </c>
      <c r="AG19">
        <f t="shared" ca="1" si="1"/>
        <v>6</v>
      </c>
      <c r="AH19">
        <f t="shared" ca="1" si="1"/>
        <v>5</v>
      </c>
      <c r="AI19">
        <f t="shared" ca="1" si="1"/>
        <v>2</v>
      </c>
      <c r="AJ19">
        <f t="shared" ca="1" si="1"/>
        <v>4</v>
      </c>
      <c r="AK19">
        <f t="shared" ca="1" si="1"/>
        <v>5</v>
      </c>
      <c r="AL19">
        <f t="shared" ref="AL19:BC31" ca="1" si="2">INDIRECT(ADDRESS(25,COLUMN(),1,,$A19))</f>
        <v>4</v>
      </c>
      <c r="AM19">
        <f t="shared" ca="1" si="2"/>
        <v>3</v>
      </c>
      <c r="AN19">
        <f t="shared" ca="1" si="2"/>
        <v>4</v>
      </c>
      <c r="AO19">
        <f t="shared" ca="1" si="2"/>
        <v>4</v>
      </c>
      <c r="AP19">
        <f t="shared" ca="1" si="2"/>
        <v>3</v>
      </c>
      <c r="AQ19">
        <f t="shared" ca="1" si="2"/>
        <v>6</v>
      </c>
      <c r="AR19">
        <f t="shared" ca="1" si="2"/>
        <v>5</v>
      </c>
      <c r="AS19">
        <f t="shared" ca="1" si="2"/>
        <v>3</v>
      </c>
      <c r="AT19">
        <f t="shared" ca="1" si="2"/>
        <v>4</v>
      </c>
      <c r="AU19">
        <f t="shared" ca="1" si="2"/>
        <v>5</v>
      </c>
      <c r="AV19">
        <f t="shared" ca="1" si="2"/>
        <v>4</v>
      </c>
      <c r="AW19">
        <f t="shared" ca="1" si="2"/>
        <v>3</v>
      </c>
      <c r="AX19">
        <f t="shared" ca="1" si="2"/>
        <v>4</v>
      </c>
      <c r="AY19">
        <f t="shared" ca="1" si="2"/>
        <v>4</v>
      </c>
      <c r="AZ19">
        <f t="shared" ca="1" si="2"/>
        <v>3</v>
      </c>
      <c r="BA19">
        <f t="shared" ca="1" si="2"/>
        <v>4</v>
      </c>
      <c r="BB19">
        <f t="shared" ca="1" si="2"/>
        <v>3</v>
      </c>
      <c r="BC19">
        <f t="shared" ca="1" si="2"/>
        <v>4</v>
      </c>
      <c r="BD19">
        <f t="shared" ref="BD19:BO31" ca="1" si="3">INDIRECT(ADDRESS(25,COLUMN(),1,,$A19))</f>
        <v>5</v>
      </c>
      <c r="BE19">
        <f t="shared" ca="1" si="3"/>
        <v>5</v>
      </c>
      <c r="BF19">
        <f t="shared" ca="1" si="3"/>
        <v>4</v>
      </c>
      <c r="BG19">
        <f t="shared" ca="1" si="3"/>
        <v>5</v>
      </c>
      <c r="BH19">
        <f t="shared" ca="1" si="3"/>
        <v>4</v>
      </c>
      <c r="BI19">
        <f t="shared" ca="1" si="3"/>
        <v>6</v>
      </c>
      <c r="BJ19">
        <f t="shared" ca="1" si="3"/>
        <v>6</v>
      </c>
      <c r="BK19">
        <f t="shared" ca="1" si="3"/>
        <v>3</v>
      </c>
      <c r="BL19">
        <f t="shared" ca="1" si="3"/>
        <v>5</v>
      </c>
      <c r="BM19">
        <f t="shared" ca="1" si="3"/>
        <v>6</v>
      </c>
      <c r="BN19">
        <f t="shared" ca="1" si="3"/>
        <v>7</v>
      </c>
      <c r="BO19">
        <f t="shared" ca="1" si="3"/>
        <v>0</v>
      </c>
    </row>
    <row r="20" spans="1:67" x14ac:dyDescent="0.25">
      <c r="A20" s="6" t="str">
        <f t="shared" ref="A20:A31" si="4">A5</f>
        <v>Wk02</v>
      </c>
      <c r="B20" s="6"/>
      <c r="C20" s="6"/>
      <c r="D20" s="6"/>
      <c r="E20">
        <f t="shared" ref="E20:F31" si="5">E$2*10</f>
        <v>5.5384615384615383</v>
      </c>
      <c r="F20">
        <f t="shared" si="5"/>
        <v>6.0769230769230766</v>
      </c>
      <c r="G20">
        <f t="shared" ca="1" si="0"/>
        <v>4</v>
      </c>
      <c r="H20">
        <f t="shared" ca="1" si="0"/>
        <v>3</v>
      </c>
      <c r="I20">
        <f t="shared" ref="I20:W20" ca="1" si="6">INDIRECT(ADDRESS(25,COLUMN(),1,,$A20))</f>
        <v>5</v>
      </c>
      <c r="J20">
        <f t="shared" ca="1" si="6"/>
        <v>6</v>
      </c>
      <c r="K20">
        <f t="shared" ca="1" si="6"/>
        <v>3</v>
      </c>
      <c r="L20">
        <f t="shared" ca="1" si="6"/>
        <v>6</v>
      </c>
      <c r="M20">
        <f t="shared" ca="1" si="6"/>
        <v>6</v>
      </c>
      <c r="N20">
        <f t="shared" ca="1" si="6"/>
        <v>4</v>
      </c>
      <c r="O20">
        <f t="shared" ca="1" si="6"/>
        <v>5</v>
      </c>
      <c r="P20">
        <f t="shared" ca="1" si="6"/>
        <v>8</v>
      </c>
      <c r="Q20">
        <f t="shared" ca="1" si="6"/>
        <v>9</v>
      </c>
      <c r="R20">
        <f t="shared" ca="1" si="6"/>
        <v>4</v>
      </c>
      <c r="S20">
        <f t="shared" ca="1" si="6"/>
        <v>4</v>
      </c>
      <c r="T20">
        <f t="shared" ca="1" si="6"/>
        <v>5</v>
      </c>
      <c r="U20">
        <f t="shared" ca="1" si="6"/>
        <v>6</v>
      </c>
      <c r="V20">
        <f t="shared" ca="1" si="6"/>
        <v>5</v>
      </c>
      <c r="W20">
        <f t="shared" ca="1" si="6"/>
        <v>5</v>
      </c>
      <c r="X20">
        <f t="shared" ca="1" si="1"/>
        <v>6</v>
      </c>
      <c r="Y20">
        <f t="shared" ca="1" si="1"/>
        <v>2</v>
      </c>
      <c r="Z20">
        <f t="shared" ca="1" si="1"/>
        <v>5</v>
      </c>
      <c r="AA20">
        <f t="shared" ca="1" si="1"/>
        <v>6</v>
      </c>
      <c r="AB20">
        <f t="shared" ca="1" si="1"/>
        <v>4</v>
      </c>
      <c r="AC20">
        <f t="shared" ca="1" si="1"/>
        <v>6</v>
      </c>
      <c r="AD20">
        <f t="shared" ca="1" si="1"/>
        <v>4</v>
      </c>
      <c r="AE20">
        <f t="shared" ca="1" si="1"/>
        <v>6</v>
      </c>
      <c r="AF20">
        <f t="shared" ca="1" si="1"/>
        <v>7</v>
      </c>
      <c r="AG20">
        <f t="shared" ca="1" si="1"/>
        <v>6</v>
      </c>
      <c r="AH20">
        <f t="shared" ca="1" si="1"/>
        <v>5</v>
      </c>
      <c r="AI20">
        <f t="shared" ca="1" si="1"/>
        <v>4</v>
      </c>
      <c r="AJ20">
        <f t="shared" ca="1" si="1"/>
        <v>4</v>
      </c>
      <c r="AK20">
        <f t="shared" ca="1" si="1"/>
        <v>7</v>
      </c>
      <c r="AL20">
        <f t="shared" ca="1" si="2"/>
        <v>5</v>
      </c>
      <c r="AM20">
        <f t="shared" ca="1" si="2"/>
        <v>7</v>
      </c>
      <c r="AN20">
        <f t="shared" ca="1" si="2"/>
        <v>4</v>
      </c>
      <c r="AO20">
        <f t="shared" ca="1" si="2"/>
        <v>5</v>
      </c>
      <c r="AP20">
        <f t="shared" ca="1" si="2"/>
        <v>8</v>
      </c>
      <c r="AQ20">
        <f t="shared" ca="1" si="2"/>
        <v>7</v>
      </c>
      <c r="AR20">
        <f t="shared" ca="1" si="2"/>
        <v>3</v>
      </c>
      <c r="AS20">
        <f t="shared" ca="1" si="2"/>
        <v>5</v>
      </c>
      <c r="AT20">
        <f t="shared" ca="1" si="2"/>
        <v>5</v>
      </c>
      <c r="AU20">
        <f t="shared" ca="1" si="2"/>
        <v>4</v>
      </c>
      <c r="AV20">
        <f t="shared" ca="1" si="2"/>
        <v>3</v>
      </c>
      <c r="AW20">
        <f t="shared" ca="1" si="2"/>
        <v>8</v>
      </c>
      <c r="AX20">
        <f t="shared" ca="1" si="2"/>
        <v>2</v>
      </c>
      <c r="AY20">
        <f t="shared" ca="1" si="2"/>
        <v>5</v>
      </c>
      <c r="AZ20">
        <f t="shared" ca="1" si="2"/>
        <v>5</v>
      </c>
      <c r="BA20">
        <f t="shared" ca="1" si="2"/>
        <v>5</v>
      </c>
      <c r="BB20">
        <f t="shared" ca="1" si="2"/>
        <v>5</v>
      </c>
      <c r="BC20">
        <f t="shared" ref="BC20:BC31" ca="1" si="7">INDIRECT(ADDRESS(25,COLUMN(),1,,$A20))</f>
        <v>6</v>
      </c>
      <c r="BD20">
        <f t="shared" ca="1" si="3"/>
        <v>2</v>
      </c>
      <c r="BE20">
        <f t="shared" ca="1" si="3"/>
        <v>7</v>
      </c>
      <c r="BF20">
        <f t="shared" ca="1" si="3"/>
        <v>6</v>
      </c>
      <c r="BG20">
        <f t="shared" ca="1" si="3"/>
        <v>5</v>
      </c>
      <c r="BH20">
        <f t="shared" ca="1" si="3"/>
        <v>7</v>
      </c>
      <c r="BI20">
        <f t="shared" ca="1" si="3"/>
        <v>6</v>
      </c>
      <c r="BJ20">
        <f t="shared" ca="1" si="3"/>
        <v>8</v>
      </c>
      <c r="BK20">
        <f t="shared" ca="1" si="3"/>
        <v>6</v>
      </c>
      <c r="BL20">
        <f t="shared" ca="1" si="3"/>
        <v>6</v>
      </c>
      <c r="BM20">
        <f t="shared" ca="1" si="3"/>
        <v>6</v>
      </c>
      <c r="BN20">
        <f t="shared" ca="1" si="3"/>
        <v>7</v>
      </c>
      <c r="BO20">
        <f t="shared" ca="1" si="3"/>
        <v>0</v>
      </c>
    </row>
    <row r="21" spans="1:67" x14ac:dyDescent="0.25">
      <c r="A21" s="6" t="str">
        <f t="shared" si="4"/>
        <v>Wk03</v>
      </c>
      <c r="B21" s="6"/>
      <c r="C21" s="6"/>
      <c r="D21" s="6"/>
      <c r="E21">
        <f t="shared" si="5"/>
        <v>5.5384615384615383</v>
      </c>
      <c r="F21">
        <f t="shared" si="5"/>
        <v>6.0769230769230766</v>
      </c>
      <c r="G21">
        <f t="shared" ca="1" si="0"/>
        <v>5</v>
      </c>
      <c r="H21">
        <f t="shared" ca="1" si="0"/>
        <v>7</v>
      </c>
      <c r="I21">
        <f t="shared" ca="1" si="1"/>
        <v>5</v>
      </c>
      <c r="J21">
        <f t="shared" ca="1" si="1"/>
        <v>7</v>
      </c>
      <c r="K21">
        <f t="shared" ca="1" si="1"/>
        <v>5</v>
      </c>
      <c r="L21">
        <f t="shared" ca="1" si="1"/>
        <v>5</v>
      </c>
      <c r="M21">
        <f t="shared" ca="1" si="1"/>
        <v>5</v>
      </c>
      <c r="N21">
        <f t="shared" ca="1" si="1"/>
        <v>5</v>
      </c>
      <c r="O21">
        <f t="shared" ca="1" si="1"/>
        <v>5</v>
      </c>
      <c r="P21">
        <f t="shared" ca="1" si="1"/>
        <v>3</v>
      </c>
      <c r="Q21">
        <f t="shared" ca="1" si="1"/>
        <v>3</v>
      </c>
      <c r="R21">
        <f t="shared" ca="1" si="1"/>
        <v>7</v>
      </c>
      <c r="S21">
        <f t="shared" ca="1" si="1"/>
        <v>5</v>
      </c>
      <c r="T21">
        <f t="shared" ca="1" si="1"/>
        <v>6</v>
      </c>
      <c r="U21">
        <f t="shared" ca="1" si="1"/>
        <v>4</v>
      </c>
      <c r="V21">
        <f t="shared" ca="1" si="1"/>
        <v>8</v>
      </c>
      <c r="W21">
        <f t="shared" ca="1" si="1"/>
        <v>6</v>
      </c>
      <c r="X21">
        <f t="shared" ca="1" si="1"/>
        <v>4</v>
      </c>
      <c r="Y21">
        <f t="shared" ca="1" si="1"/>
        <v>5</v>
      </c>
      <c r="Z21">
        <f t="shared" ca="1" si="1"/>
        <v>6</v>
      </c>
      <c r="AA21">
        <f t="shared" ca="1" si="1"/>
        <v>3</v>
      </c>
      <c r="AB21">
        <f t="shared" ca="1" si="1"/>
        <v>8</v>
      </c>
      <c r="AC21">
        <f t="shared" ca="1" si="1"/>
        <v>4</v>
      </c>
      <c r="AD21">
        <f t="shared" ca="1" si="1"/>
        <v>4</v>
      </c>
      <c r="AE21">
        <f t="shared" ca="1" si="1"/>
        <v>6</v>
      </c>
      <c r="AF21">
        <f t="shared" ca="1" si="1"/>
        <v>3</v>
      </c>
      <c r="AG21">
        <f t="shared" ca="1" si="1"/>
        <v>5</v>
      </c>
      <c r="AH21">
        <f t="shared" ca="1" si="1"/>
        <v>5</v>
      </c>
      <c r="AI21">
        <f t="shared" ca="1" si="1"/>
        <v>5</v>
      </c>
      <c r="AJ21">
        <f t="shared" ca="1" si="1"/>
        <v>5</v>
      </c>
      <c r="AK21">
        <f t="shared" ca="1" si="1"/>
        <v>3</v>
      </c>
      <c r="AL21">
        <f t="shared" ca="1" si="2"/>
        <v>6</v>
      </c>
      <c r="AM21">
        <f t="shared" ca="1" si="2"/>
        <v>6</v>
      </c>
      <c r="AN21">
        <f t="shared" ca="1" si="2"/>
        <v>6</v>
      </c>
      <c r="AO21">
        <f t="shared" ca="1" si="2"/>
        <v>5</v>
      </c>
      <c r="AP21">
        <f t="shared" ca="1" si="2"/>
        <v>5</v>
      </c>
      <c r="AQ21">
        <f t="shared" ca="1" si="2"/>
        <v>5</v>
      </c>
      <c r="AR21">
        <f t="shared" ca="1" si="2"/>
        <v>3</v>
      </c>
      <c r="AS21">
        <f t="shared" ca="1" si="2"/>
        <v>4</v>
      </c>
      <c r="AT21">
        <f t="shared" ca="1" si="2"/>
        <v>4</v>
      </c>
      <c r="AU21">
        <f t="shared" ca="1" si="2"/>
        <v>7</v>
      </c>
      <c r="AV21">
        <f t="shared" ca="1" si="2"/>
        <v>8</v>
      </c>
      <c r="AW21">
        <f t="shared" ca="1" si="2"/>
        <v>7</v>
      </c>
      <c r="AX21">
        <f t="shared" ca="1" si="2"/>
        <v>4</v>
      </c>
      <c r="AY21">
        <f t="shared" ca="1" si="2"/>
        <v>6</v>
      </c>
      <c r="AZ21">
        <f t="shared" ca="1" si="2"/>
        <v>5</v>
      </c>
      <c r="BA21">
        <f t="shared" ca="1" si="2"/>
        <v>3</v>
      </c>
      <c r="BB21">
        <f t="shared" ca="1" si="2"/>
        <v>6</v>
      </c>
      <c r="BC21">
        <f t="shared" ca="1" si="7"/>
        <v>6</v>
      </c>
      <c r="BD21">
        <f t="shared" ca="1" si="3"/>
        <v>3</v>
      </c>
      <c r="BE21">
        <f t="shared" ca="1" si="3"/>
        <v>5</v>
      </c>
      <c r="BF21">
        <f t="shared" ca="1" si="3"/>
        <v>6</v>
      </c>
      <c r="BG21">
        <f t="shared" ca="1" si="3"/>
        <v>3</v>
      </c>
      <c r="BH21">
        <f t="shared" ca="1" si="3"/>
        <v>7</v>
      </c>
      <c r="BI21">
        <f t="shared" ca="1" si="3"/>
        <v>4</v>
      </c>
      <c r="BJ21">
        <f t="shared" ca="1" si="3"/>
        <v>3</v>
      </c>
      <c r="BK21">
        <f t="shared" ca="1" si="3"/>
        <v>5</v>
      </c>
      <c r="BL21">
        <f t="shared" ca="1" si="3"/>
        <v>7</v>
      </c>
      <c r="BM21">
        <f t="shared" ca="1" si="3"/>
        <v>5</v>
      </c>
      <c r="BN21">
        <f t="shared" ca="1" si="3"/>
        <v>6</v>
      </c>
      <c r="BO21">
        <f t="shared" ca="1" si="3"/>
        <v>0</v>
      </c>
    </row>
    <row r="22" spans="1:67" x14ac:dyDescent="0.25">
      <c r="A22" s="6" t="str">
        <f t="shared" si="4"/>
        <v>Wk04</v>
      </c>
      <c r="B22" s="6"/>
      <c r="C22" s="6"/>
      <c r="D22" s="6"/>
      <c r="E22">
        <f t="shared" si="5"/>
        <v>5.5384615384615383</v>
      </c>
      <c r="F22">
        <f t="shared" si="5"/>
        <v>6.0769230769230766</v>
      </c>
      <c r="G22">
        <f t="shared" ca="1" si="0"/>
        <v>6</v>
      </c>
      <c r="H22">
        <f t="shared" ca="1" si="0"/>
        <v>6</v>
      </c>
      <c r="I22">
        <f t="shared" ca="1" si="1"/>
        <v>5</v>
      </c>
      <c r="J22">
        <f t="shared" ca="1" si="1"/>
        <v>5</v>
      </c>
      <c r="K22">
        <f t="shared" ca="1" si="1"/>
        <v>5</v>
      </c>
      <c r="L22">
        <f t="shared" ca="1" si="1"/>
        <v>6</v>
      </c>
      <c r="M22">
        <f t="shared" ca="1" si="1"/>
        <v>5</v>
      </c>
      <c r="N22">
        <f t="shared" ca="1" si="1"/>
        <v>5</v>
      </c>
      <c r="O22">
        <f t="shared" ca="1" si="1"/>
        <v>8</v>
      </c>
      <c r="P22">
        <f t="shared" ca="1" si="1"/>
        <v>5</v>
      </c>
      <c r="Q22">
        <f t="shared" ca="1" si="1"/>
        <v>6</v>
      </c>
      <c r="R22">
        <f t="shared" ca="1" si="1"/>
        <v>4</v>
      </c>
      <c r="S22">
        <f t="shared" ca="1" si="1"/>
        <v>5</v>
      </c>
      <c r="T22">
        <f t="shared" ca="1" si="1"/>
        <v>6</v>
      </c>
      <c r="U22">
        <f t="shared" ca="1" si="1"/>
        <v>6</v>
      </c>
      <c r="V22">
        <f t="shared" ca="1" si="1"/>
        <v>5</v>
      </c>
      <c r="W22">
        <f t="shared" ca="1" si="1"/>
        <v>6</v>
      </c>
      <c r="X22">
        <f t="shared" ca="1" si="1"/>
        <v>5</v>
      </c>
      <c r="Y22">
        <f t="shared" ca="1" si="1"/>
        <v>7</v>
      </c>
      <c r="Z22">
        <f t="shared" ca="1" si="1"/>
        <v>7</v>
      </c>
      <c r="AA22">
        <f t="shared" ca="1" si="1"/>
        <v>4</v>
      </c>
      <c r="AB22">
        <f t="shared" ca="1" si="1"/>
        <v>5</v>
      </c>
      <c r="AC22">
        <f t="shared" ca="1" si="1"/>
        <v>7</v>
      </c>
      <c r="AD22">
        <f t="shared" ca="1" si="1"/>
        <v>7</v>
      </c>
      <c r="AE22">
        <f t="shared" ca="1" si="1"/>
        <v>5</v>
      </c>
      <c r="AF22">
        <f t="shared" ca="1" si="1"/>
        <v>2</v>
      </c>
      <c r="AG22">
        <f t="shared" ca="1" si="1"/>
        <v>4</v>
      </c>
      <c r="AH22">
        <f t="shared" ca="1" si="1"/>
        <v>5</v>
      </c>
      <c r="AI22">
        <f t="shared" ca="1" si="1"/>
        <v>7</v>
      </c>
      <c r="AJ22">
        <f t="shared" ca="1" si="1"/>
        <v>6</v>
      </c>
      <c r="AK22">
        <f t="shared" ca="1" si="1"/>
        <v>6</v>
      </c>
      <c r="AL22">
        <f t="shared" ca="1" si="2"/>
        <v>7</v>
      </c>
      <c r="AM22">
        <f t="shared" ca="1" si="2"/>
        <v>6</v>
      </c>
      <c r="AN22">
        <f t="shared" ca="1" si="2"/>
        <v>5</v>
      </c>
      <c r="AO22">
        <f t="shared" ca="1" si="2"/>
        <v>8</v>
      </c>
      <c r="AP22">
        <f t="shared" ca="1" si="2"/>
        <v>7</v>
      </c>
      <c r="AQ22">
        <f t="shared" ca="1" si="2"/>
        <v>5</v>
      </c>
      <c r="AR22">
        <f t="shared" ca="1" si="2"/>
        <v>4</v>
      </c>
      <c r="AS22">
        <f t="shared" ca="1" si="2"/>
        <v>4</v>
      </c>
      <c r="AT22">
        <f t="shared" ca="1" si="2"/>
        <v>6</v>
      </c>
      <c r="AU22">
        <f t="shared" ca="1" si="2"/>
        <v>8</v>
      </c>
      <c r="AV22">
        <f t="shared" ca="1" si="2"/>
        <v>4</v>
      </c>
      <c r="AW22">
        <f t="shared" ca="1" si="2"/>
        <v>6</v>
      </c>
      <c r="AX22">
        <f t="shared" ca="1" si="2"/>
        <v>5</v>
      </c>
      <c r="AY22">
        <f t="shared" ca="1" si="2"/>
        <v>5</v>
      </c>
      <c r="AZ22">
        <f t="shared" ca="1" si="2"/>
        <v>4</v>
      </c>
      <c r="BA22">
        <f t="shared" ca="1" si="2"/>
        <v>7</v>
      </c>
      <c r="BB22">
        <f t="shared" ca="1" si="2"/>
        <v>6</v>
      </c>
      <c r="BC22">
        <f t="shared" ca="1" si="7"/>
        <v>4</v>
      </c>
      <c r="BD22">
        <f t="shared" ca="1" si="3"/>
        <v>2</v>
      </c>
      <c r="BE22">
        <f t="shared" ca="1" si="3"/>
        <v>6</v>
      </c>
      <c r="BF22">
        <f t="shared" ca="1" si="3"/>
        <v>4</v>
      </c>
      <c r="BG22">
        <f t="shared" ca="1" si="3"/>
        <v>3</v>
      </c>
      <c r="BH22">
        <f t="shared" ca="1" si="3"/>
        <v>3</v>
      </c>
      <c r="BI22">
        <f t="shared" ca="1" si="3"/>
        <v>5</v>
      </c>
      <c r="BJ22">
        <f t="shared" ca="1" si="3"/>
        <v>4</v>
      </c>
      <c r="BK22">
        <f t="shared" ca="1" si="3"/>
        <v>4</v>
      </c>
      <c r="BL22">
        <f t="shared" ca="1" si="3"/>
        <v>5</v>
      </c>
      <c r="BM22">
        <f t="shared" ca="1" si="3"/>
        <v>7</v>
      </c>
      <c r="BN22">
        <f t="shared" ca="1" si="3"/>
        <v>7</v>
      </c>
      <c r="BO22">
        <f t="shared" ca="1" si="3"/>
        <v>0</v>
      </c>
    </row>
    <row r="23" spans="1:67" x14ac:dyDescent="0.25">
      <c r="A23" s="6" t="str">
        <f t="shared" si="4"/>
        <v>Wk05</v>
      </c>
      <c r="B23" s="6"/>
      <c r="C23" s="6"/>
      <c r="D23" s="6"/>
      <c r="E23">
        <f t="shared" si="5"/>
        <v>5.5384615384615383</v>
      </c>
      <c r="F23">
        <f t="shared" si="5"/>
        <v>6.0769230769230766</v>
      </c>
      <c r="G23">
        <f t="shared" ca="1" si="0"/>
        <v>4</v>
      </c>
      <c r="H23">
        <f t="shared" ca="1" si="0"/>
        <v>3</v>
      </c>
      <c r="I23">
        <f t="shared" ca="1" si="1"/>
        <v>4.5</v>
      </c>
      <c r="J23">
        <f t="shared" ca="1" si="1"/>
        <v>2</v>
      </c>
      <c r="K23">
        <f t="shared" ca="1" si="1"/>
        <v>7</v>
      </c>
      <c r="L23">
        <f t="shared" ca="1" si="1"/>
        <v>5</v>
      </c>
      <c r="M23">
        <f t="shared" ca="1" si="1"/>
        <v>4</v>
      </c>
      <c r="N23">
        <f t="shared" ca="1" si="1"/>
        <v>5</v>
      </c>
      <c r="O23">
        <f t="shared" ca="1" si="1"/>
        <v>6</v>
      </c>
      <c r="P23">
        <f t="shared" ca="1" si="1"/>
        <v>4</v>
      </c>
      <c r="Q23">
        <f t="shared" ca="1" si="1"/>
        <v>3</v>
      </c>
      <c r="R23">
        <f t="shared" ca="1" si="1"/>
        <v>3</v>
      </c>
      <c r="S23">
        <f t="shared" ca="1" si="1"/>
        <v>5</v>
      </c>
      <c r="T23">
        <f t="shared" ca="1" si="1"/>
        <v>8</v>
      </c>
      <c r="U23">
        <f t="shared" ca="1" si="1"/>
        <v>6</v>
      </c>
      <c r="V23">
        <f t="shared" ca="1" si="1"/>
        <v>5</v>
      </c>
      <c r="W23">
        <f t="shared" ca="1" si="1"/>
        <v>8</v>
      </c>
      <c r="X23">
        <f t="shared" ca="1" si="1"/>
        <v>6</v>
      </c>
      <c r="Y23">
        <f t="shared" ca="1" si="1"/>
        <v>4</v>
      </c>
      <c r="Z23">
        <f t="shared" ca="1" si="1"/>
        <v>4</v>
      </c>
      <c r="AA23">
        <f t="shared" ca="1" si="1"/>
        <v>7</v>
      </c>
      <c r="AB23">
        <f t="shared" ca="1" si="1"/>
        <v>4</v>
      </c>
      <c r="AC23">
        <f t="shared" ca="1" si="1"/>
        <v>5</v>
      </c>
      <c r="AD23">
        <f t="shared" ca="1" si="1"/>
        <v>8</v>
      </c>
      <c r="AE23">
        <f t="shared" ca="1" si="1"/>
        <v>1</v>
      </c>
      <c r="AF23">
        <f t="shared" ca="1" si="1"/>
        <v>5</v>
      </c>
      <c r="AG23">
        <f t="shared" ca="1" si="1"/>
        <v>5</v>
      </c>
      <c r="AH23">
        <f t="shared" ca="1" si="1"/>
        <v>6</v>
      </c>
      <c r="AI23">
        <f t="shared" ca="1" si="1"/>
        <v>5</v>
      </c>
      <c r="AJ23">
        <f t="shared" ca="1" si="1"/>
        <v>4</v>
      </c>
      <c r="AK23">
        <f t="shared" ca="1" si="1"/>
        <v>6</v>
      </c>
      <c r="AL23">
        <f t="shared" ca="1" si="2"/>
        <v>5</v>
      </c>
      <c r="AM23">
        <f t="shared" ca="1" si="2"/>
        <v>6</v>
      </c>
      <c r="AN23">
        <f t="shared" ca="1" si="2"/>
        <v>6</v>
      </c>
      <c r="AO23">
        <f t="shared" ca="1" si="2"/>
        <v>5</v>
      </c>
      <c r="AP23">
        <f t="shared" ca="1" si="2"/>
        <v>5</v>
      </c>
      <c r="AQ23">
        <f t="shared" ca="1" si="2"/>
        <v>4</v>
      </c>
      <c r="AR23">
        <f t="shared" ca="1" si="2"/>
        <v>7</v>
      </c>
      <c r="AS23">
        <f t="shared" ca="1" si="2"/>
        <v>4</v>
      </c>
      <c r="AT23">
        <f t="shared" ca="1" si="2"/>
        <v>8</v>
      </c>
      <c r="AU23">
        <f t="shared" ca="1" si="2"/>
        <v>4</v>
      </c>
      <c r="AV23">
        <f t="shared" ca="1" si="2"/>
        <v>3</v>
      </c>
      <c r="AW23">
        <f t="shared" ca="1" si="2"/>
        <v>6</v>
      </c>
      <c r="AX23">
        <f t="shared" ca="1" si="2"/>
        <v>9</v>
      </c>
      <c r="AY23">
        <f t="shared" ca="1" si="2"/>
        <v>5</v>
      </c>
      <c r="AZ23">
        <f t="shared" ca="1" si="2"/>
        <v>5</v>
      </c>
      <c r="BA23">
        <f t="shared" ca="1" si="2"/>
        <v>4</v>
      </c>
      <c r="BB23">
        <f t="shared" ca="1" si="2"/>
        <v>4</v>
      </c>
      <c r="BC23">
        <f t="shared" ca="1" si="7"/>
        <v>3</v>
      </c>
      <c r="BD23">
        <f t="shared" ca="1" si="3"/>
        <v>6</v>
      </c>
      <c r="BE23">
        <f t="shared" ca="1" si="3"/>
        <v>6</v>
      </c>
      <c r="BF23">
        <f t="shared" ca="1" si="3"/>
        <v>5</v>
      </c>
      <c r="BG23">
        <f t="shared" ca="1" si="3"/>
        <v>1</v>
      </c>
      <c r="BH23">
        <f t="shared" ca="1" si="3"/>
        <v>7</v>
      </c>
      <c r="BI23">
        <f t="shared" ca="1" si="3"/>
        <v>6</v>
      </c>
      <c r="BJ23">
        <f t="shared" ca="1" si="3"/>
        <v>4</v>
      </c>
      <c r="BK23">
        <f t="shared" ca="1" si="3"/>
        <v>3</v>
      </c>
      <c r="BL23">
        <f t="shared" ca="1" si="3"/>
        <v>4</v>
      </c>
      <c r="BM23">
        <f t="shared" ca="1" si="3"/>
        <v>4</v>
      </c>
      <c r="BN23">
        <f t="shared" ca="1" si="3"/>
        <v>5</v>
      </c>
      <c r="BO23">
        <f t="shared" ca="1" si="3"/>
        <v>0</v>
      </c>
    </row>
    <row r="24" spans="1:67" x14ac:dyDescent="0.25">
      <c r="A24" s="6" t="str">
        <f t="shared" si="4"/>
        <v>Wk06</v>
      </c>
      <c r="B24" s="6"/>
      <c r="C24" s="6"/>
      <c r="D24" s="6"/>
      <c r="E24">
        <f t="shared" si="5"/>
        <v>5.5384615384615383</v>
      </c>
      <c r="F24">
        <f t="shared" si="5"/>
        <v>6.0769230769230766</v>
      </c>
      <c r="G24">
        <f t="shared" ca="1" si="0"/>
        <v>5</v>
      </c>
      <c r="H24">
        <f t="shared" ca="1" si="0"/>
        <v>6</v>
      </c>
      <c r="I24">
        <f t="shared" ca="1" si="1"/>
        <v>7</v>
      </c>
      <c r="J24">
        <f t="shared" ca="1" si="1"/>
        <v>3</v>
      </c>
      <c r="K24">
        <f t="shared" ca="1" si="1"/>
        <v>4</v>
      </c>
      <c r="L24">
        <f t="shared" ca="1" si="1"/>
        <v>6</v>
      </c>
      <c r="M24">
        <f t="shared" ca="1" si="1"/>
        <v>3</v>
      </c>
      <c r="N24">
        <f t="shared" ca="1" si="1"/>
        <v>5</v>
      </c>
      <c r="O24">
        <f t="shared" ca="1" si="1"/>
        <v>5</v>
      </c>
      <c r="P24">
        <f t="shared" ca="1" si="1"/>
        <v>6</v>
      </c>
      <c r="Q24">
        <f t="shared" ca="1" si="1"/>
        <v>6</v>
      </c>
      <c r="R24">
        <f t="shared" ca="1" si="1"/>
        <v>4</v>
      </c>
      <c r="S24">
        <f t="shared" ca="1" si="1"/>
        <v>6</v>
      </c>
      <c r="T24">
        <f t="shared" ca="1" si="1"/>
        <v>4</v>
      </c>
      <c r="U24">
        <f t="shared" ca="1" si="1"/>
        <v>6</v>
      </c>
      <c r="V24">
        <f t="shared" ca="1" si="1"/>
        <v>4</v>
      </c>
      <c r="W24">
        <f t="shared" ca="1" si="1"/>
        <v>6</v>
      </c>
      <c r="X24">
        <f t="shared" ca="1" si="1"/>
        <v>4</v>
      </c>
      <c r="Y24">
        <f t="shared" ca="1" si="1"/>
        <v>7</v>
      </c>
      <c r="Z24">
        <f t="shared" ca="1" si="1"/>
        <v>4</v>
      </c>
      <c r="AA24">
        <f t="shared" ca="1" si="1"/>
        <v>5</v>
      </c>
      <c r="AB24">
        <f t="shared" ca="1" si="1"/>
        <v>4</v>
      </c>
      <c r="AC24">
        <f t="shared" ca="1" si="1"/>
        <v>6</v>
      </c>
      <c r="AD24">
        <f t="shared" ca="1" si="1"/>
        <v>2</v>
      </c>
      <c r="AE24">
        <f t="shared" ca="1" si="1"/>
        <v>5</v>
      </c>
      <c r="AF24">
        <f t="shared" ca="1" si="1"/>
        <v>5</v>
      </c>
      <c r="AG24">
        <f t="shared" ca="1" si="1"/>
        <v>6</v>
      </c>
      <c r="AH24">
        <f t="shared" ca="1" si="1"/>
        <v>7</v>
      </c>
      <c r="AI24">
        <f t="shared" ca="1" si="1"/>
        <v>3</v>
      </c>
      <c r="AJ24">
        <f t="shared" ca="1" si="1"/>
        <v>7</v>
      </c>
      <c r="AK24">
        <f t="shared" ca="1" si="1"/>
        <v>5</v>
      </c>
      <c r="AL24">
        <f t="shared" ca="1" si="2"/>
        <v>5</v>
      </c>
      <c r="AM24">
        <f t="shared" ca="1" si="2"/>
        <v>5</v>
      </c>
      <c r="AN24">
        <f t="shared" ca="1" si="2"/>
        <v>7</v>
      </c>
      <c r="AO24">
        <f t="shared" ca="1" si="2"/>
        <v>7</v>
      </c>
      <c r="AP24">
        <f t="shared" ca="1" si="2"/>
        <v>7</v>
      </c>
      <c r="AQ24">
        <f t="shared" ca="1" si="2"/>
        <v>4</v>
      </c>
      <c r="AR24">
        <f t="shared" ca="1" si="2"/>
        <v>6</v>
      </c>
      <c r="AS24">
        <f t="shared" ca="1" si="2"/>
        <v>8</v>
      </c>
      <c r="AT24">
        <f t="shared" ca="1" si="2"/>
        <v>7</v>
      </c>
      <c r="AU24">
        <f t="shared" ca="1" si="2"/>
        <v>5</v>
      </c>
      <c r="AV24">
        <f t="shared" ca="1" si="2"/>
        <v>6</v>
      </c>
      <c r="AW24">
        <f t="shared" ca="1" si="2"/>
        <v>8</v>
      </c>
      <c r="AX24">
        <f t="shared" ca="1" si="2"/>
        <v>6</v>
      </c>
      <c r="AY24">
        <f t="shared" ca="1" si="2"/>
        <v>6</v>
      </c>
      <c r="AZ24">
        <f t="shared" ca="1" si="2"/>
        <v>6</v>
      </c>
      <c r="BA24">
        <f t="shared" ca="1" si="2"/>
        <v>7</v>
      </c>
      <c r="BB24">
        <f t="shared" ca="1" si="2"/>
        <v>6</v>
      </c>
      <c r="BC24">
        <f t="shared" ca="1" si="7"/>
        <v>5</v>
      </c>
      <c r="BD24">
        <f t="shared" ca="1" si="3"/>
        <v>4</v>
      </c>
      <c r="BE24">
        <f t="shared" ca="1" si="3"/>
        <v>7</v>
      </c>
      <c r="BF24">
        <f t="shared" ca="1" si="3"/>
        <v>2</v>
      </c>
      <c r="BG24">
        <f t="shared" ca="1" si="3"/>
        <v>2</v>
      </c>
      <c r="BH24">
        <f t="shared" ca="1" si="3"/>
        <v>7</v>
      </c>
      <c r="BI24">
        <f t="shared" ca="1" si="3"/>
        <v>7</v>
      </c>
      <c r="BJ24">
        <f t="shared" ca="1" si="3"/>
        <v>7</v>
      </c>
      <c r="BK24">
        <f t="shared" ca="1" si="3"/>
        <v>4</v>
      </c>
      <c r="BL24">
        <f t="shared" ca="1" si="3"/>
        <v>4</v>
      </c>
      <c r="BM24">
        <f t="shared" ca="1" si="3"/>
        <v>7</v>
      </c>
      <c r="BN24">
        <f t="shared" ca="1" si="3"/>
        <v>4</v>
      </c>
      <c r="BO24">
        <f t="shared" ca="1" si="3"/>
        <v>0</v>
      </c>
    </row>
    <row r="25" spans="1:67" x14ac:dyDescent="0.25">
      <c r="A25" s="6" t="str">
        <f t="shared" si="4"/>
        <v>Wk07</v>
      </c>
      <c r="B25" s="6"/>
      <c r="C25" s="6"/>
      <c r="D25" s="6"/>
      <c r="E25">
        <f t="shared" si="5"/>
        <v>5.5384615384615383</v>
      </c>
      <c r="F25">
        <f t="shared" si="5"/>
        <v>6.0769230769230766</v>
      </c>
      <c r="G25">
        <f t="shared" ca="1" si="0"/>
        <v>4</v>
      </c>
      <c r="H25">
        <f t="shared" ca="1" si="0"/>
        <v>5</v>
      </c>
      <c r="I25">
        <f t="shared" ca="1" si="1"/>
        <v>6</v>
      </c>
      <c r="J25">
        <f t="shared" ca="1" si="1"/>
        <v>4</v>
      </c>
      <c r="K25">
        <f t="shared" ca="1" si="1"/>
        <v>3</v>
      </c>
      <c r="L25">
        <f t="shared" ca="1" si="1"/>
        <v>8</v>
      </c>
      <c r="M25">
        <f t="shared" ca="1" si="1"/>
        <v>6</v>
      </c>
      <c r="N25">
        <f t="shared" ca="1" si="1"/>
        <v>7</v>
      </c>
      <c r="O25">
        <f t="shared" ca="1" si="1"/>
        <v>5</v>
      </c>
      <c r="P25">
        <f t="shared" ca="1" si="1"/>
        <v>5</v>
      </c>
      <c r="Q25">
        <f t="shared" ca="1" si="1"/>
        <v>5</v>
      </c>
      <c r="R25">
        <f t="shared" ca="1" si="1"/>
        <v>5</v>
      </c>
      <c r="S25">
        <f t="shared" ca="1" si="1"/>
        <v>9</v>
      </c>
      <c r="T25">
        <f t="shared" ca="1" si="1"/>
        <v>5</v>
      </c>
      <c r="U25">
        <f t="shared" ca="1" si="1"/>
        <v>6</v>
      </c>
      <c r="V25">
        <f t="shared" ca="1" si="1"/>
        <v>6</v>
      </c>
      <c r="W25">
        <f t="shared" ca="1" si="1"/>
        <v>8</v>
      </c>
      <c r="X25">
        <f t="shared" ca="1" si="1"/>
        <v>4</v>
      </c>
      <c r="Y25">
        <f t="shared" ca="1" si="1"/>
        <v>6</v>
      </c>
      <c r="Z25">
        <f t="shared" ca="1" si="1"/>
        <v>5</v>
      </c>
      <c r="AA25">
        <f t="shared" ca="1" si="1"/>
        <v>4</v>
      </c>
      <c r="AB25">
        <f t="shared" ca="1" si="1"/>
        <v>5</v>
      </c>
      <c r="AC25">
        <f t="shared" ca="1" si="1"/>
        <v>7</v>
      </c>
      <c r="AD25">
        <f t="shared" ca="1" si="1"/>
        <v>5</v>
      </c>
      <c r="AE25">
        <f t="shared" ca="1" si="1"/>
        <v>4</v>
      </c>
      <c r="AF25">
        <f t="shared" ca="1" si="1"/>
        <v>5</v>
      </c>
      <c r="AG25">
        <f t="shared" ca="1" si="1"/>
        <v>5</v>
      </c>
      <c r="AH25">
        <f t="shared" ca="1" si="1"/>
        <v>7</v>
      </c>
      <c r="AI25">
        <f t="shared" ca="1" si="1"/>
        <v>4</v>
      </c>
      <c r="AJ25">
        <f t="shared" ca="1" si="1"/>
        <v>4</v>
      </c>
      <c r="AK25">
        <f t="shared" ca="1" si="1"/>
        <v>4</v>
      </c>
      <c r="AL25">
        <f t="shared" ca="1" si="2"/>
        <v>5</v>
      </c>
      <c r="AM25">
        <f t="shared" ca="1" si="2"/>
        <v>7</v>
      </c>
      <c r="AN25">
        <f t="shared" ca="1" si="2"/>
        <v>6</v>
      </c>
      <c r="AO25">
        <f t="shared" ca="1" si="2"/>
        <v>2</v>
      </c>
      <c r="AP25">
        <f t="shared" ca="1" si="2"/>
        <v>6</v>
      </c>
      <c r="AQ25">
        <f t="shared" ca="1" si="2"/>
        <v>2</v>
      </c>
      <c r="AR25">
        <f t="shared" ca="1" si="2"/>
        <v>7</v>
      </c>
      <c r="AS25">
        <f t="shared" ca="1" si="2"/>
        <v>4</v>
      </c>
      <c r="AT25">
        <f t="shared" ca="1" si="2"/>
        <v>7</v>
      </c>
      <c r="AU25">
        <f t="shared" ca="1" si="2"/>
        <v>6</v>
      </c>
      <c r="AV25">
        <f t="shared" ca="1" si="2"/>
        <v>4</v>
      </c>
      <c r="AW25">
        <f t="shared" ca="1" si="2"/>
        <v>6</v>
      </c>
      <c r="AX25">
        <f t="shared" ca="1" si="2"/>
        <v>2</v>
      </c>
      <c r="AY25">
        <f t="shared" ca="1" si="2"/>
        <v>6</v>
      </c>
      <c r="AZ25">
        <f t="shared" ca="1" si="2"/>
        <v>5</v>
      </c>
      <c r="BA25">
        <f t="shared" ca="1" si="2"/>
        <v>5</v>
      </c>
      <c r="BB25">
        <f t="shared" ca="1" si="2"/>
        <v>6</v>
      </c>
      <c r="BC25">
        <f t="shared" ca="1" si="7"/>
        <v>5</v>
      </c>
      <c r="BD25">
        <f t="shared" ca="1" si="3"/>
        <v>4</v>
      </c>
      <c r="BE25">
        <f t="shared" ca="1" si="3"/>
        <v>6</v>
      </c>
      <c r="BF25">
        <f t="shared" ca="1" si="3"/>
        <v>8</v>
      </c>
      <c r="BG25">
        <f t="shared" ca="1" si="3"/>
        <v>4</v>
      </c>
      <c r="BH25">
        <f t="shared" ca="1" si="3"/>
        <v>4</v>
      </c>
      <c r="BI25">
        <f t="shared" ca="1" si="3"/>
        <v>4</v>
      </c>
      <c r="BJ25">
        <f t="shared" ca="1" si="3"/>
        <v>5</v>
      </c>
      <c r="BK25">
        <f t="shared" ca="1" si="3"/>
        <v>6</v>
      </c>
      <c r="BL25">
        <f t="shared" ca="1" si="3"/>
        <v>5</v>
      </c>
      <c r="BM25">
        <f t="shared" ca="1" si="3"/>
        <v>6</v>
      </c>
      <c r="BN25">
        <f t="shared" ca="1" si="3"/>
        <v>4</v>
      </c>
      <c r="BO25">
        <f t="shared" ca="1" si="3"/>
        <v>0</v>
      </c>
    </row>
    <row r="26" spans="1:67" x14ac:dyDescent="0.25">
      <c r="A26" s="6" t="str">
        <f t="shared" si="4"/>
        <v>Wk08</v>
      </c>
      <c r="B26" s="6"/>
      <c r="C26" s="6"/>
      <c r="D26" s="6"/>
      <c r="E26">
        <f t="shared" si="5"/>
        <v>5.5384615384615383</v>
      </c>
      <c r="F26">
        <f t="shared" si="5"/>
        <v>6.0769230769230766</v>
      </c>
      <c r="G26">
        <f t="shared" ca="1" si="0"/>
        <v>6</v>
      </c>
      <c r="H26">
        <f t="shared" ca="1" si="0"/>
        <v>6</v>
      </c>
      <c r="I26">
        <f t="shared" ca="1" si="1"/>
        <v>4</v>
      </c>
      <c r="J26">
        <f t="shared" ca="1" si="1"/>
        <v>8</v>
      </c>
      <c r="K26">
        <f t="shared" ca="1" si="1"/>
        <v>6</v>
      </c>
      <c r="L26">
        <f t="shared" ca="1" si="1"/>
        <v>4</v>
      </c>
      <c r="M26">
        <f t="shared" ca="1" si="1"/>
        <v>4</v>
      </c>
      <c r="N26">
        <f t="shared" ca="1" si="1"/>
        <v>6</v>
      </c>
      <c r="O26">
        <f t="shared" ca="1" si="1"/>
        <v>3</v>
      </c>
      <c r="P26">
        <f t="shared" ca="1" si="1"/>
        <v>3</v>
      </c>
      <c r="Q26">
        <f t="shared" ca="1" si="1"/>
        <v>4</v>
      </c>
      <c r="R26">
        <f t="shared" ca="1" si="1"/>
        <v>5</v>
      </c>
      <c r="S26">
        <f t="shared" ca="1" si="1"/>
        <v>7</v>
      </c>
      <c r="T26">
        <f t="shared" ca="1" si="1"/>
        <v>5</v>
      </c>
      <c r="U26">
        <f t="shared" ca="1" si="1"/>
        <v>3</v>
      </c>
      <c r="V26">
        <f t="shared" ca="1" si="1"/>
        <v>4</v>
      </c>
      <c r="W26">
        <f t="shared" ca="1" si="1"/>
        <v>6</v>
      </c>
      <c r="X26">
        <f t="shared" ca="1" si="1"/>
        <v>5</v>
      </c>
      <c r="Y26">
        <f t="shared" ca="1" si="1"/>
        <v>6</v>
      </c>
      <c r="Z26">
        <f t="shared" ca="1" si="1"/>
        <v>6</v>
      </c>
      <c r="AA26">
        <f t="shared" ca="1" si="1"/>
        <v>4</v>
      </c>
      <c r="AB26">
        <f t="shared" ca="1" si="1"/>
        <v>3</v>
      </c>
      <c r="AC26">
        <f t="shared" ca="1" si="1"/>
        <v>3</v>
      </c>
      <c r="AD26">
        <f t="shared" ca="1" si="1"/>
        <v>5</v>
      </c>
      <c r="AE26">
        <f t="shared" ca="1" si="1"/>
        <v>6</v>
      </c>
      <c r="AF26">
        <f t="shared" ca="1" si="1"/>
        <v>3</v>
      </c>
      <c r="AG26">
        <f t="shared" ca="1" si="1"/>
        <v>7</v>
      </c>
      <c r="AH26">
        <f t="shared" ca="1" si="1"/>
        <v>6</v>
      </c>
      <c r="AI26">
        <f t="shared" ca="1" si="1"/>
        <v>4</v>
      </c>
      <c r="AJ26">
        <f t="shared" ca="1" si="1"/>
        <v>5</v>
      </c>
      <c r="AK26">
        <f t="shared" ca="1" si="1"/>
        <v>4</v>
      </c>
      <c r="AL26">
        <f t="shared" ca="1" si="2"/>
        <v>8</v>
      </c>
      <c r="AM26">
        <f t="shared" ca="1" si="2"/>
        <v>5</v>
      </c>
      <c r="AN26">
        <f t="shared" ca="1" si="2"/>
        <v>7</v>
      </c>
      <c r="AO26">
        <f t="shared" ca="1" si="2"/>
        <v>4</v>
      </c>
      <c r="AP26">
        <f t="shared" ca="1" si="2"/>
        <v>6</v>
      </c>
      <c r="AQ26">
        <f t="shared" ca="1" si="2"/>
        <v>3</v>
      </c>
      <c r="AR26">
        <f t="shared" ca="1" si="2"/>
        <v>5</v>
      </c>
      <c r="AS26">
        <f t="shared" ca="1" si="2"/>
        <v>7</v>
      </c>
      <c r="AT26">
        <f t="shared" ca="1" si="2"/>
        <v>5</v>
      </c>
      <c r="AU26">
        <f t="shared" ca="1" si="2"/>
        <v>5</v>
      </c>
      <c r="AV26">
        <f t="shared" ca="1" si="2"/>
        <v>4</v>
      </c>
      <c r="AW26">
        <f t="shared" ca="1" si="2"/>
        <v>8</v>
      </c>
      <c r="AX26">
        <f t="shared" ca="1" si="2"/>
        <v>3</v>
      </c>
      <c r="AY26">
        <f t="shared" ca="1" si="2"/>
        <v>4</v>
      </c>
      <c r="AZ26">
        <f t="shared" ca="1" si="2"/>
        <v>7</v>
      </c>
      <c r="BA26">
        <f t="shared" ca="1" si="2"/>
        <v>4</v>
      </c>
      <c r="BB26">
        <f t="shared" ca="1" si="2"/>
        <v>9</v>
      </c>
      <c r="BC26">
        <f t="shared" ca="1" si="7"/>
        <v>7</v>
      </c>
      <c r="BD26">
        <f t="shared" ca="1" si="3"/>
        <v>5</v>
      </c>
      <c r="BE26">
        <f t="shared" ca="1" si="3"/>
        <v>6</v>
      </c>
      <c r="BF26">
        <f t="shared" ca="1" si="3"/>
        <v>8</v>
      </c>
      <c r="BG26">
        <f t="shared" ca="1" si="3"/>
        <v>7</v>
      </c>
      <c r="BH26">
        <f t="shared" ca="1" si="3"/>
        <v>5</v>
      </c>
      <c r="BI26">
        <f t="shared" ca="1" si="3"/>
        <v>5</v>
      </c>
      <c r="BJ26">
        <f t="shared" ca="1" si="3"/>
        <v>3</v>
      </c>
      <c r="BK26">
        <f t="shared" ca="1" si="3"/>
        <v>5</v>
      </c>
      <c r="BL26">
        <f t="shared" ca="1" si="3"/>
        <v>6</v>
      </c>
      <c r="BM26">
        <f t="shared" ca="1" si="3"/>
        <v>3</v>
      </c>
      <c r="BN26">
        <f t="shared" ca="1" si="3"/>
        <v>6</v>
      </c>
      <c r="BO26">
        <f t="shared" ca="1" si="3"/>
        <v>0</v>
      </c>
    </row>
    <row r="27" spans="1:67" x14ac:dyDescent="0.25">
      <c r="A27" s="6" t="str">
        <f t="shared" si="4"/>
        <v>Wk09</v>
      </c>
      <c r="B27" s="6"/>
      <c r="C27" s="6"/>
      <c r="D27" s="6"/>
      <c r="E27">
        <f t="shared" si="5"/>
        <v>5.5384615384615383</v>
      </c>
      <c r="F27">
        <f t="shared" si="5"/>
        <v>6.0769230769230766</v>
      </c>
      <c r="G27">
        <f t="shared" ca="1" si="0"/>
        <v>6</v>
      </c>
      <c r="H27">
        <f t="shared" ca="1" si="0"/>
        <v>6</v>
      </c>
      <c r="I27">
        <f t="shared" ca="1" si="1"/>
        <v>2.5</v>
      </c>
      <c r="J27">
        <f t="shared" ca="1" si="1"/>
        <v>3</v>
      </c>
      <c r="K27">
        <f t="shared" ca="1" si="1"/>
        <v>7</v>
      </c>
      <c r="L27">
        <f t="shared" ca="1" si="1"/>
        <v>4</v>
      </c>
      <c r="M27">
        <f t="shared" ca="1" si="1"/>
        <v>4</v>
      </c>
      <c r="N27">
        <f t="shared" ca="1" si="1"/>
        <v>4</v>
      </c>
      <c r="O27">
        <f t="shared" ca="1" si="1"/>
        <v>5</v>
      </c>
      <c r="P27">
        <f t="shared" ca="1" si="1"/>
        <v>4</v>
      </c>
      <c r="Q27">
        <f t="shared" ca="1" si="1"/>
        <v>2</v>
      </c>
      <c r="R27">
        <f t="shared" ca="1" si="1"/>
        <v>3</v>
      </c>
      <c r="S27">
        <f t="shared" ca="1" si="1"/>
        <v>3</v>
      </c>
      <c r="T27">
        <f t="shared" ca="1" si="1"/>
        <v>4</v>
      </c>
      <c r="U27">
        <f t="shared" ca="1" si="1"/>
        <v>5</v>
      </c>
      <c r="V27">
        <f t="shared" ca="1" si="1"/>
        <v>8</v>
      </c>
      <c r="W27">
        <f t="shared" ca="1" si="1"/>
        <v>5</v>
      </c>
      <c r="X27">
        <f t="shared" ca="1" si="1"/>
        <v>3</v>
      </c>
      <c r="Y27">
        <f t="shared" ca="1" si="1"/>
        <v>3</v>
      </c>
      <c r="Z27">
        <f t="shared" ca="1" si="1"/>
        <v>3</v>
      </c>
      <c r="AA27">
        <f t="shared" ca="1" si="1"/>
        <v>3</v>
      </c>
      <c r="AB27">
        <f t="shared" ca="1" si="1"/>
        <v>5</v>
      </c>
      <c r="AC27">
        <f t="shared" ca="1" si="1"/>
        <v>3</v>
      </c>
      <c r="AD27">
        <f t="shared" ca="1" si="1"/>
        <v>4</v>
      </c>
      <c r="AE27">
        <f t="shared" ca="1" si="1"/>
        <v>4</v>
      </c>
      <c r="AF27">
        <f t="shared" ca="1" si="1"/>
        <v>8</v>
      </c>
      <c r="AG27">
        <f t="shared" ca="1" si="1"/>
        <v>4</v>
      </c>
      <c r="AH27">
        <f t="shared" ca="1" si="1"/>
        <v>4</v>
      </c>
      <c r="AI27">
        <f t="shared" ca="1" si="1"/>
        <v>4</v>
      </c>
      <c r="AJ27">
        <f t="shared" ca="1" si="1"/>
        <v>5</v>
      </c>
      <c r="AK27">
        <f t="shared" ca="1" si="1"/>
        <v>6</v>
      </c>
      <c r="AL27">
        <f t="shared" ca="1" si="2"/>
        <v>4</v>
      </c>
      <c r="AM27">
        <f t="shared" ca="1" si="2"/>
        <v>6</v>
      </c>
      <c r="AN27">
        <f t="shared" ca="1" si="2"/>
        <v>4</v>
      </c>
      <c r="AO27">
        <f t="shared" ca="1" si="2"/>
        <v>6</v>
      </c>
      <c r="AP27">
        <f t="shared" ca="1" si="2"/>
        <v>5</v>
      </c>
      <c r="AQ27">
        <f t="shared" ca="1" si="2"/>
        <v>2</v>
      </c>
      <c r="AR27">
        <f t="shared" ca="1" si="2"/>
        <v>5</v>
      </c>
      <c r="AS27">
        <f t="shared" ca="1" si="2"/>
        <v>3</v>
      </c>
      <c r="AT27">
        <f t="shared" ca="1" si="2"/>
        <v>7</v>
      </c>
      <c r="AU27">
        <f t="shared" ca="1" si="2"/>
        <v>5</v>
      </c>
      <c r="AV27">
        <f t="shared" ca="1" si="2"/>
        <v>5</v>
      </c>
      <c r="AW27">
        <f t="shared" ca="1" si="2"/>
        <v>6</v>
      </c>
      <c r="AX27">
        <f t="shared" ca="1" si="2"/>
        <v>3</v>
      </c>
      <c r="AY27">
        <f t="shared" ca="1" si="2"/>
        <v>2</v>
      </c>
      <c r="AZ27">
        <f t="shared" ca="1" si="2"/>
        <v>3</v>
      </c>
      <c r="BA27">
        <f t="shared" ca="1" si="2"/>
        <v>4</v>
      </c>
      <c r="BB27">
        <f t="shared" ca="1" si="2"/>
        <v>4</v>
      </c>
      <c r="BC27">
        <f t="shared" ca="1" si="7"/>
        <v>2</v>
      </c>
      <c r="BD27">
        <f t="shared" ca="1" si="3"/>
        <v>6</v>
      </c>
      <c r="BE27">
        <f t="shared" ca="1" si="3"/>
        <v>2</v>
      </c>
      <c r="BF27">
        <f t="shared" ca="1" si="3"/>
        <v>5</v>
      </c>
      <c r="BG27">
        <f t="shared" ca="1" si="3"/>
        <v>6</v>
      </c>
      <c r="BH27">
        <f t="shared" ca="1" si="3"/>
        <v>4</v>
      </c>
      <c r="BI27">
        <f t="shared" ca="1" si="3"/>
        <v>2</v>
      </c>
      <c r="BJ27">
        <f t="shared" ca="1" si="3"/>
        <v>2</v>
      </c>
      <c r="BK27">
        <f t="shared" ca="1" si="3"/>
        <v>4</v>
      </c>
      <c r="BL27">
        <f t="shared" ca="1" si="3"/>
        <v>6</v>
      </c>
      <c r="BM27">
        <f t="shared" ca="1" si="3"/>
        <v>4</v>
      </c>
      <c r="BN27">
        <f t="shared" ca="1" si="3"/>
        <v>2</v>
      </c>
      <c r="BO27">
        <f t="shared" ca="1" si="3"/>
        <v>0</v>
      </c>
    </row>
    <row r="28" spans="1:67" x14ac:dyDescent="0.25">
      <c r="A28" s="6" t="str">
        <f t="shared" si="4"/>
        <v>Wk10</v>
      </c>
      <c r="B28" s="6"/>
      <c r="C28" s="6"/>
      <c r="D28" s="6"/>
      <c r="E28">
        <f t="shared" si="5"/>
        <v>5.5384615384615383</v>
      </c>
      <c r="F28">
        <f t="shared" si="5"/>
        <v>6.0769230769230766</v>
      </c>
      <c r="G28">
        <f t="shared" ca="1" si="0"/>
        <v>6</v>
      </c>
      <c r="H28">
        <f t="shared" ca="1" si="0"/>
        <v>5</v>
      </c>
      <c r="I28">
        <f t="shared" ca="1" si="1"/>
        <v>6</v>
      </c>
      <c r="J28">
        <f t="shared" ca="1" si="1"/>
        <v>5</v>
      </c>
      <c r="K28">
        <f t="shared" ca="1" si="1"/>
        <v>5</v>
      </c>
      <c r="L28">
        <f t="shared" ca="1" si="1"/>
        <v>6</v>
      </c>
      <c r="M28">
        <f t="shared" ca="1" si="1"/>
        <v>4</v>
      </c>
      <c r="N28">
        <f t="shared" ca="1" si="1"/>
        <v>3</v>
      </c>
      <c r="O28">
        <f t="shared" ca="1" si="1"/>
        <v>7</v>
      </c>
      <c r="P28">
        <f t="shared" ca="1" si="1"/>
        <v>5</v>
      </c>
      <c r="Q28">
        <f t="shared" ca="1" si="1"/>
        <v>8</v>
      </c>
      <c r="R28">
        <f t="shared" ref="I28:AM31" ca="1" si="8">INDIRECT(ADDRESS(25,COLUMN(),1,,$A28))</f>
        <v>5</v>
      </c>
      <c r="S28">
        <f t="shared" ca="1" si="8"/>
        <v>4</v>
      </c>
      <c r="T28">
        <f t="shared" ca="1" si="8"/>
        <v>4</v>
      </c>
      <c r="U28">
        <f t="shared" ca="1" si="8"/>
        <v>8</v>
      </c>
      <c r="V28">
        <f t="shared" ca="1" si="8"/>
        <v>4</v>
      </c>
      <c r="W28">
        <f t="shared" ca="1" si="8"/>
        <v>4</v>
      </c>
      <c r="X28">
        <f t="shared" ca="1" si="8"/>
        <v>7</v>
      </c>
      <c r="Y28">
        <f t="shared" ca="1" si="8"/>
        <v>5</v>
      </c>
      <c r="Z28">
        <f t="shared" ca="1" si="8"/>
        <v>5</v>
      </c>
      <c r="AA28">
        <f t="shared" ca="1" si="8"/>
        <v>6</v>
      </c>
      <c r="AB28">
        <f t="shared" ca="1" si="8"/>
        <v>4</v>
      </c>
      <c r="AC28">
        <f t="shared" ca="1" si="8"/>
        <v>4</v>
      </c>
      <c r="AD28">
        <f t="shared" ca="1" si="8"/>
        <v>4</v>
      </c>
      <c r="AE28">
        <f t="shared" ca="1" si="8"/>
        <v>3</v>
      </c>
      <c r="AF28">
        <f t="shared" ca="1" si="8"/>
        <v>3</v>
      </c>
      <c r="AG28">
        <f t="shared" ca="1" si="8"/>
        <v>3</v>
      </c>
      <c r="AH28">
        <f t="shared" ca="1" si="8"/>
        <v>6</v>
      </c>
      <c r="AI28">
        <f t="shared" ca="1" si="8"/>
        <v>5</v>
      </c>
      <c r="AJ28">
        <f t="shared" ca="1" si="8"/>
        <v>5</v>
      </c>
      <c r="AK28">
        <f t="shared" ca="1" si="8"/>
        <v>7</v>
      </c>
      <c r="AL28">
        <f t="shared" ca="1" si="8"/>
        <v>6</v>
      </c>
      <c r="AM28">
        <f t="shared" ca="1" si="8"/>
        <v>6</v>
      </c>
      <c r="AN28">
        <f t="shared" ca="1" si="2"/>
        <v>5</v>
      </c>
      <c r="AO28">
        <f t="shared" ca="1" si="2"/>
        <v>3</v>
      </c>
      <c r="AP28">
        <f t="shared" ca="1" si="2"/>
        <v>4</v>
      </c>
      <c r="AQ28">
        <f t="shared" ca="1" si="2"/>
        <v>6</v>
      </c>
      <c r="AR28">
        <f t="shared" ca="1" si="2"/>
        <v>6</v>
      </c>
      <c r="AS28">
        <f t="shared" ca="1" si="2"/>
        <v>5</v>
      </c>
      <c r="AT28">
        <f t="shared" ca="1" si="2"/>
        <v>2</v>
      </c>
      <c r="AU28">
        <f t="shared" ca="1" si="2"/>
        <v>6</v>
      </c>
      <c r="AV28">
        <f t="shared" ca="1" si="2"/>
        <v>7</v>
      </c>
      <c r="AW28">
        <f t="shared" ca="1" si="2"/>
        <v>1</v>
      </c>
      <c r="AX28">
        <f t="shared" ca="1" si="2"/>
        <v>5</v>
      </c>
      <c r="AY28">
        <f t="shared" ca="1" si="2"/>
        <v>5</v>
      </c>
      <c r="AZ28">
        <f t="shared" ca="1" si="2"/>
        <v>6</v>
      </c>
      <c r="BA28">
        <f t="shared" ca="1" si="2"/>
        <v>6</v>
      </c>
      <c r="BB28">
        <f t="shared" ca="1" si="2"/>
        <v>5</v>
      </c>
      <c r="BC28">
        <f t="shared" ca="1" si="7"/>
        <v>6</v>
      </c>
      <c r="BD28">
        <f t="shared" ca="1" si="3"/>
        <v>5</v>
      </c>
      <c r="BE28">
        <f t="shared" ca="1" si="3"/>
        <v>5</v>
      </c>
      <c r="BF28">
        <f t="shared" ca="1" si="3"/>
        <v>5</v>
      </c>
      <c r="BG28">
        <f t="shared" ca="1" si="3"/>
        <v>7</v>
      </c>
      <c r="BH28">
        <f t="shared" ca="1" si="3"/>
        <v>5</v>
      </c>
      <c r="BI28">
        <f t="shared" ca="1" si="3"/>
        <v>5</v>
      </c>
      <c r="BJ28">
        <f t="shared" ca="1" si="3"/>
        <v>7</v>
      </c>
      <c r="BK28">
        <f t="shared" ca="1" si="3"/>
        <v>7</v>
      </c>
      <c r="BL28">
        <f t="shared" ca="1" si="3"/>
        <v>5</v>
      </c>
      <c r="BM28">
        <f t="shared" ca="1" si="3"/>
        <v>4</v>
      </c>
      <c r="BN28">
        <f t="shared" ca="1" si="3"/>
        <v>4</v>
      </c>
      <c r="BO28">
        <f t="shared" ca="1" si="3"/>
        <v>0</v>
      </c>
    </row>
    <row r="29" spans="1:67" x14ac:dyDescent="0.25">
      <c r="A29" s="6" t="str">
        <f t="shared" si="4"/>
        <v>Wk11</v>
      </c>
      <c r="B29" s="6"/>
      <c r="C29" s="6"/>
      <c r="D29" s="6"/>
      <c r="E29">
        <f t="shared" si="5"/>
        <v>5.5384615384615383</v>
      </c>
      <c r="F29">
        <f t="shared" si="5"/>
        <v>6.0769230769230766</v>
      </c>
      <c r="G29">
        <f t="shared" ca="1" si="0"/>
        <v>3</v>
      </c>
      <c r="H29">
        <f t="shared" ca="1" si="0"/>
        <v>4</v>
      </c>
      <c r="I29">
        <f t="shared" ca="1" si="8"/>
        <v>3</v>
      </c>
      <c r="J29">
        <f t="shared" ca="1" si="8"/>
        <v>7</v>
      </c>
      <c r="K29">
        <f t="shared" ca="1" si="8"/>
        <v>6</v>
      </c>
      <c r="L29">
        <f t="shared" ca="1" si="8"/>
        <v>4</v>
      </c>
      <c r="M29">
        <f t="shared" ca="1" si="8"/>
        <v>7</v>
      </c>
      <c r="N29">
        <f t="shared" ca="1" si="8"/>
        <v>6</v>
      </c>
      <c r="O29">
        <f t="shared" ca="1" si="8"/>
        <v>4</v>
      </c>
      <c r="P29">
        <f t="shared" ca="1" si="8"/>
        <v>2</v>
      </c>
      <c r="Q29">
        <f t="shared" ca="1" si="8"/>
        <v>5</v>
      </c>
      <c r="R29">
        <f t="shared" ca="1" si="8"/>
        <v>5</v>
      </c>
      <c r="S29">
        <f t="shared" ca="1" si="8"/>
        <v>4</v>
      </c>
      <c r="T29">
        <f t="shared" ca="1" si="8"/>
        <v>5</v>
      </c>
      <c r="U29">
        <f t="shared" ca="1" si="8"/>
        <v>4</v>
      </c>
      <c r="V29">
        <f t="shared" ca="1" si="8"/>
        <v>4</v>
      </c>
      <c r="W29">
        <f t="shared" ca="1" si="8"/>
        <v>6</v>
      </c>
      <c r="X29">
        <f t="shared" ca="1" si="8"/>
        <v>5</v>
      </c>
      <c r="Y29">
        <f t="shared" ca="1" si="8"/>
        <v>1</v>
      </c>
      <c r="Z29">
        <f t="shared" ca="1" si="8"/>
        <v>5</v>
      </c>
      <c r="AA29">
        <f t="shared" ca="1" si="8"/>
        <v>6</v>
      </c>
      <c r="AB29">
        <f t="shared" ca="1" si="8"/>
        <v>5</v>
      </c>
      <c r="AC29">
        <f t="shared" ca="1" si="8"/>
        <v>6</v>
      </c>
      <c r="AD29">
        <f t="shared" ca="1" si="8"/>
        <v>5</v>
      </c>
      <c r="AE29">
        <f t="shared" ca="1" si="8"/>
        <v>4</v>
      </c>
      <c r="AF29">
        <f t="shared" ca="1" si="8"/>
        <v>7</v>
      </c>
      <c r="AG29">
        <f t="shared" ca="1" si="8"/>
        <v>5</v>
      </c>
      <c r="AH29">
        <f t="shared" ca="1" si="8"/>
        <v>4</v>
      </c>
      <c r="AI29">
        <f t="shared" ca="1" si="8"/>
        <v>5</v>
      </c>
      <c r="AJ29">
        <f t="shared" ca="1" si="8"/>
        <v>8</v>
      </c>
      <c r="AK29">
        <f t="shared" ca="1" si="8"/>
        <v>4</v>
      </c>
      <c r="AL29">
        <f t="shared" ca="1" si="8"/>
        <v>3</v>
      </c>
      <c r="AM29">
        <f t="shared" ca="1" si="2"/>
        <v>4</v>
      </c>
      <c r="AN29">
        <f t="shared" ca="1" si="2"/>
        <v>2</v>
      </c>
      <c r="AO29">
        <f t="shared" ca="1" si="2"/>
        <v>3</v>
      </c>
      <c r="AP29">
        <f t="shared" ca="1" si="2"/>
        <v>5</v>
      </c>
      <c r="AQ29">
        <f t="shared" ca="1" si="2"/>
        <v>1</v>
      </c>
      <c r="AR29">
        <f t="shared" ca="1" si="2"/>
        <v>5</v>
      </c>
      <c r="AS29">
        <f t="shared" ca="1" si="2"/>
        <v>8</v>
      </c>
      <c r="AT29">
        <f t="shared" ca="1" si="2"/>
        <v>6</v>
      </c>
      <c r="AU29">
        <f t="shared" ca="1" si="2"/>
        <v>5</v>
      </c>
      <c r="AV29">
        <f t="shared" ca="1" si="2"/>
        <v>3</v>
      </c>
      <c r="AW29">
        <f t="shared" ca="1" si="2"/>
        <v>5</v>
      </c>
      <c r="AX29">
        <f t="shared" ca="1" si="2"/>
        <v>4</v>
      </c>
      <c r="AY29">
        <f t="shared" ca="1" si="2"/>
        <v>4</v>
      </c>
      <c r="AZ29">
        <f t="shared" ca="1" si="2"/>
        <v>6</v>
      </c>
      <c r="BA29">
        <f t="shared" ca="1" si="2"/>
        <v>6</v>
      </c>
      <c r="BB29">
        <f t="shared" ca="1" si="2"/>
        <v>3</v>
      </c>
      <c r="BC29">
        <f t="shared" ca="1" si="7"/>
        <v>4</v>
      </c>
      <c r="BD29">
        <f t="shared" ca="1" si="3"/>
        <v>4</v>
      </c>
      <c r="BE29">
        <f t="shared" ca="1" si="3"/>
        <v>3</v>
      </c>
      <c r="BF29">
        <f t="shared" ca="1" si="3"/>
        <v>6</v>
      </c>
      <c r="BG29">
        <f t="shared" ca="1" si="3"/>
        <v>8</v>
      </c>
      <c r="BH29">
        <f t="shared" ca="1" si="3"/>
        <v>4</v>
      </c>
      <c r="BI29">
        <f t="shared" ca="1" si="3"/>
        <v>7</v>
      </c>
      <c r="BJ29">
        <f t="shared" ca="1" si="3"/>
        <v>4</v>
      </c>
      <c r="BK29">
        <f t="shared" ca="1" si="3"/>
        <v>8</v>
      </c>
      <c r="BL29">
        <f t="shared" ca="1" si="3"/>
        <v>5</v>
      </c>
      <c r="BM29">
        <f t="shared" ca="1" si="3"/>
        <v>4</v>
      </c>
      <c r="BN29">
        <f t="shared" ca="1" si="3"/>
        <v>4</v>
      </c>
      <c r="BO29">
        <f t="shared" ca="1" si="3"/>
        <v>0</v>
      </c>
    </row>
    <row r="30" spans="1:67" x14ac:dyDescent="0.25">
      <c r="A30" s="6" t="str">
        <f t="shared" si="4"/>
        <v>Wk12</v>
      </c>
      <c r="B30" s="6"/>
      <c r="C30" s="6"/>
      <c r="D30" s="6"/>
      <c r="E30">
        <f t="shared" si="5"/>
        <v>5.5384615384615383</v>
      </c>
      <c r="F30">
        <f t="shared" si="5"/>
        <v>6.0769230769230766</v>
      </c>
      <c r="G30">
        <f t="shared" ca="1" si="0"/>
        <v>6</v>
      </c>
      <c r="H30">
        <f t="shared" ca="1" si="0"/>
        <v>4</v>
      </c>
      <c r="I30">
        <f t="shared" ca="1" si="8"/>
        <v>4</v>
      </c>
      <c r="J30">
        <f t="shared" ca="1" si="8"/>
        <v>5</v>
      </c>
      <c r="K30">
        <f t="shared" ca="1" si="8"/>
        <v>4</v>
      </c>
      <c r="L30">
        <f t="shared" ca="1" si="8"/>
        <v>1</v>
      </c>
      <c r="M30">
        <f t="shared" ca="1" si="8"/>
        <v>5</v>
      </c>
      <c r="N30">
        <f t="shared" ca="1" si="8"/>
        <v>5</v>
      </c>
      <c r="O30">
        <f t="shared" ca="1" si="8"/>
        <v>3</v>
      </c>
      <c r="P30">
        <f t="shared" ca="1" si="8"/>
        <v>5</v>
      </c>
      <c r="Q30">
        <f t="shared" ca="1" si="8"/>
        <v>5</v>
      </c>
      <c r="R30">
        <f t="shared" ca="1" si="8"/>
        <v>3</v>
      </c>
      <c r="S30">
        <f t="shared" ca="1" si="8"/>
        <v>4</v>
      </c>
      <c r="T30">
        <f t="shared" ca="1" si="8"/>
        <v>5</v>
      </c>
      <c r="U30">
        <f t="shared" ca="1" si="8"/>
        <v>6</v>
      </c>
      <c r="V30">
        <f t="shared" ca="1" si="8"/>
        <v>4</v>
      </c>
      <c r="W30">
        <f t="shared" ca="1" si="8"/>
        <v>2</v>
      </c>
      <c r="X30">
        <f t="shared" ca="1" si="8"/>
        <v>8</v>
      </c>
      <c r="Y30">
        <f t="shared" ca="1" si="8"/>
        <v>4</v>
      </c>
      <c r="Z30">
        <f t="shared" ca="1" si="8"/>
        <v>5</v>
      </c>
      <c r="AA30">
        <f t="shared" ca="1" si="8"/>
        <v>5</v>
      </c>
      <c r="AB30">
        <f t="shared" ca="1" si="8"/>
        <v>6</v>
      </c>
      <c r="AC30">
        <f t="shared" ca="1" si="8"/>
        <v>6</v>
      </c>
      <c r="AD30">
        <f t="shared" ca="1" si="8"/>
        <v>6</v>
      </c>
      <c r="AE30">
        <f t="shared" ca="1" si="8"/>
        <v>1</v>
      </c>
      <c r="AF30">
        <f t="shared" ca="1" si="8"/>
        <v>6</v>
      </c>
      <c r="AG30">
        <f t="shared" ca="1" si="8"/>
        <v>6</v>
      </c>
      <c r="AH30">
        <f t="shared" ca="1" si="8"/>
        <v>6</v>
      </c>
      <c r="AI30">
        <f t="shared" ca="1" si="8"/>
        <v>5</v>
      </c>
      <c r="AJ30">
        <f t="shared" ca="1" si="8"/>
        <v>7</v>
      </c>
      <c r="AK30">
        <f t="shared" ca="1" si="8"/>
        <v>3</v>
      </c>
      <c r="AL30">
        <f t="shared" ca="1" si="8"/>
        <v>3</v>
      </c>
      <c r="AM30">
        <f t="shared" ca="1" si="2"/>
        <v>5</v>
      </c>
      <c r="AN30">
        <f t="shared" ca="1" si="2"/>
        <v>6</v>
      </c>
      <c r="AO30">
        <f t="shared" ca="1" si="2"/>
        <v>6</v>
      </c>
      <c r="AP30">
        <f t="shared" ca="1" si="2"/>
        <v>5</v>
      </c>
      <c r="AQ30">
        <f t="shared" ca="1" si="2"/>
        <v>7</v>
      </c>
      <c r="AR30">
        <f t="shared" ca="1" si="2"/>
        <v>1</v>
      </c>
      <c r="AS30">
        <f t="shared" ca="1" si="2"/>
        <v>6</v>
      </c>
      <c r="AT30">
        <f t="shared" ca="1" si="2"/>
        <v>6</v>
      </c>
      <c r="AU30">
        <f t="shared" ca="1" si="2"/>
        <v>1</v>
      </c>
      <c r="AV30">
        <f t="shared" ca="1" si="2"/>
        <v>4</v>
      </c>
      <c r="AW30">
        <f t="shared" ca="1" si="2"/>
        <v>4</v>
      </c>
      <c r="AX30">
        <f t="shared" ca="1" si="2"/>
        <v>4</v>
      </c>
      <c r="AY30">
        <f t="shared" ca="1" si="2"/>
        <v>5</v>
      </c>
      <c r="AZ30">
        <f t="shared" ca="1" si="2"/>
        <v>6</v>
      </c>
      <c r="BA30">
        <f t="shared" ca="1" si="2"/>
        <v>4</v>
      </c>
      <c r="BB30">
        <f t="shared" ca="1" si="2"/>
        <v>3</v>
      </c>
      <c r="BC30">
        <f t="shared" ca="1" si="7"/>
        <v>7</v>
      </c>
      <c r="BD30">
        <f t="shared" ca="1" si="3"/>
        <v>3</v>
      </c>
      <c r="BE30">
        <f t="shared" ca="1" si="3"/>
        <v>6</v>
      </c>
      <c r="BF30">
        <f t="shared" ca="1" si="3"/>
        <v>5</v>
      </c>
      <c r="BG30">
        <f t="shared" ca="1" si="3"/>
        <v>5</v>
      </c>
      <c r="BH30">
        <f t="shared" ca="1" si="3"/>
        <v>7</v>
      </c>
      <c r="BI30">
        <f t="shared" ca="1" si="3"/>
        <v>6</v>
      </c>
      <c r="BJ30">
        <f t="shared" ca="1" si="3"/>
        <v>6</v>
      </c>
      <c r="BK30">
        <f t="shared" ca="1" si="3"/>
        <v>5</v>
      </c>
      <c r="BL30">
        <f t="shared" ca="1" si="3"/>
        <v>4</v>
      </c>
      <c r="BM30">
        <f t="shared" ca="1" si="3"/>
        <v>4</v>
      </c>
      <c r="BN30">
        <f t="shared" ca="1" si="3"/>
        <v>5</v>
      </c>
      <c r="BO30">
        <f t="shared" ca="1" si="3"/>
        <v>0</v>
      </c>
    </row>
    <row r="31" spans="1:67" x14ac:dyDescent="0.25">
      <c r="A31" s="6" t="str">
        <f t="shared" si="4"/>
        <v>Wk13</v>
      </c>
      <c r="B31" s="6"/>
      <c r="C31" s="6"/>
      <c r="D31" s="6"/>
      <c r="E31">
        <f t="shared" si="5"/>
        <v>5.5384615384615383</v>
      </c>
      <c r="F31">
        <f t="shared" si="5"/>
        <v>6.0769230769230766</v>
      </c>
      <c r="G31">
        <f t="shared" ca="1" si="0"/>
        <v>5</v>
      </c>
      <c r="H31">
        <f t="shared" ca="1" si="0"/>
        <v>8</v>
      </c>
      <c r="I31">
        <f t="shared" ca="1" si="8"/>
        <v>4</v>
      </c>
      <c r="J31">
        <f t="shared" ca="1" si="8"/>
        <v>4</v>
      </c>
      <c r="K31">
        <f t="shared" ca="1" si="8"/>
        <v>2</v>
      </c>
      <c r="L31">
        <f t="shared" ca="1" si="8"/>
        <v>4</v>
      </c>
      <c r="M31">
        <f t="shared" ca="1" si="8"/>
        <v>5</v>
      </c>
      <c r="N31">
        <f t="shared" ca="1" si="8"/>
        <v>5</v>
      </c>
      <c r="O31">
        <f t="shared" ca="1" si="8"/>
        <v>4</v>
      </c>
      <c r="P31">
        <f t="shared" ca="1" si="8"/>
        <v>5</v>
      </c>
      <c r="Q31">
        <f t="shared" ca="1" si="8"/>
        <v>2</v>
      </c>
      <c r="R31">
        <f t="shared" ca="1" si="8"/>
        <v>4</v>
      </c>
      <c r="S31">
        <f t="shared" ca="1" si="8"/>
        <v>4</v>
      </c>
      <c r="T31">
        <f t="shared" ca="1" si="8"/>
        <v>7</v>
      </c>
      <c r="U31">
        <f t="shared" ca="1" si="8"/>
        <v>4</v>
      </c>
      <c r="V31">
        <f t="shared" ca="1" si="8"/>
        <v>7</v>
      </c>
      <c r="W31">
        <f t="shared" ca="1" si="8"/>
        <v>6</v>
      </c>
      <c r="X31">
        <f t="shared" ca="1" si="8"/>
        <v>3</v>
      </c>
      <c r="Y31">
        <f t="shared" ca="1" si="8"/>
        <v>4</v>
      </c>
      <c r="Z31">
        <f t="shared" ca="1" si="8"/>
        <v>8</v>
      </c>
      <c r="AA31">
        <f t="shared" ca="1" si="8"/>
        <v>4</v>
      </c>
      <c r="AB31">
        <f t="shared" ca="1" si="8"/>
        <v>4</v>
      </c>
      <c r="AC31">
        <f t="shared" ca="1" si="8"/>
        <v>2</v>
      </c>
      <c r="AD31">
        <f t="shared" ca="1" si="8"/>
        <v>2</v>
      </c>
      <c r="AE31">
        <f t="shared" ca="1" si="8"/>
        <v>5</v>
      </c>
      <c r="AF31">
        <f t="shared" ca="1" si="8"/>
        <v>2</v>
      </c>
      <c r="AG31">
        <f t="shared" ca="1" si="8"/>
        <v>6</v>
      </c>
      <c r="AH31">
        <f t="shared" ca="1" si="8"/>
        <v>4</v>
      </c>
      <c r="AI31">
        <f t="shared" ca="1" si="8"/>
        <v>2</v>
      </c>
      <c r="AJ31">
        <f t="shared" ca="1" si="8"/>
        <v>2</v>
      </c>
      <c r="AK31">
        <f t="shared" ca="1" si="8"/>
        <v>6</v>
      </c>
      <c r="AL31">
        <f t="shared" ca="1" si="8"/>
        <v>5</v>
      </c>
      <c r="AM31">
        <f t="shared" ca="1" si="2"/>
        <v>7</v>
      </c>
      <c r="AN31">
        <f t="shared" ca="1" si="2"/>
        <v>4</v>
      </c>
      <c r="AO31">
        <f t="shared" ca="1" si="2"/>
        <v>3</v>
      </c>
      <c r="AP31">
        <f t="shared" ca="1" si="2"/>
        <v>5</v>
      </c>
      <c r="AQ31">
        <f t="shared" ca="1" si="2"/>
        <v>4</v>
      </c>
      <c r="AR31">
        <f t="shared" ca="1" si="2"/>
        <v>5</v>
      </c>
      <c r="AS31">
        <f t="shared" ca="1" si="2"/>
        <v>3</v>
      </c>
      <c r="AT31">
        <f t="shared" ca="1" si="2"/>
        <v>6</v>
      </c>
      <c r="AU31">
        <f t="shared" ca="1" si="2"/>
        <v>2</v>
      </c>
      <c r="AV31">
        <f t="shared" ca="1" si="2"/>
        <v>2</v>
      </c>
      <c r="AW31">
        <f t="shared" ca="1" si="2"/>
        <v>5</v>
      </c>
      <c r="AX31">
        <f t="shared" ca="1" si="2"/>
        <v>2</v>
      </c>
      <c r="AY31">
        <f t="shared" ca="1" si="2"/>
        <v>6</v>
      </c>
      <c r="AZ31">
        <f t="shared" ca="1" si="2"/>
        <v>6</v>
      </c>
      <c r="BA31">
        <f t="shared" ca="1" si="2"/>
        <v>6</v>
      </c>
      <c r="BB31">
        <f t="shared" ca="1" si="2"/>
        <v>2</v>
      </c>
      <c r="BC31">
        <f t="shared" ca="1" si="7"/>
        <v>4</v>
      </c>
      <c r="BD31">
        <f t="shared" ca="1" si="3"/>
        <v>2</v>
      </c>
      <c r="BE31">
        <f t="shared" ca="1" si="3"/>
        <v>5</v>
      </c>
      <c r="BF31">
        <f t="shared" ca="1" si="3"/>
        <v>6</v>
      </c>
      <c r="BG31">
        <f t="shared" ca="1" si="3"/>
        <v>7</v>
      </c>
      <c r="BH31">
        <f t="shared" ca="1" si="3"/>
        <v>5</v>
      </c>
      <c r="BI31">
        <f t="shared" ca="1" si="3"/>
        <v>2</v>
      </c>
      <c r="BJ31">
        <f t="shared" ca="1" si="3"/>
        <v>5</v>
      </c>
      <c r="BK31">
        <f t="shared" ca="1" si="3"/>
        <v>7</v>
      </c>
      <c r="BL31">
        <f t="shared" ca="1" si="3"/>
        <v>7</v>
      </c>
      <c r="BM31">
        <f t="shared" ca="1" si="3"/>
        <v>5</v>
      </c>
      <c r="BN31">
        <f t="shared" ca="1" si="3"/>
        <v>2</v>
      </c>
      <c r="BO31">
        <f t="shared" ca="1" si="3"/>
        <v>0</v>
      </c>
    </row>
  </sheetData>
  <sortState columnSort="1" ref="K2:BN2">
    <sortCondition ref="K2:BN2"/>
  </sortState>
  <phoneticPr fontId="6" type="noConversion"/>
  <printOptions horizontalCentered="1" verticalCentered="1"/>
  <pageMargins left="0.75" right="0.75" top="1" bottom="1" header="0.5" footer="0.5"/>
  <pageSetup scale="74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116</v>
      </c>
      <c r="B4" s="77" t="s">
        <v>115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0</v>
      </c>
    </row>
    <row r="7" spans="1:2" x14ac:dyDescent="0.25">
      <c r="A7" s="74">
        <v>2</v>
      </c>
      <c r="B7" s="75">
        <f ca="1">histoBin(INDIRECT($A$1&amp;"!R25C11:R25C"&amp;11+[0]!playercnt-1,FALSE),A7-0.5,A7+0.5)</f>
        <v>14</v>
      </c>
    </row>
    <row r="8" spans="1:2" x14ac:dyDescent="0.25">
      <c r="A8" s="74">
        <v>3</v>
      </c>
      <c r="B8" s="75">
        <f ca="1">histoBin(INDIRECT($A$1&amp;"!R25C11:R25C"&amp;11+[0]!playercnt-1,FALSE),A8-0.5,A8+0.5)</f>
        <v>3</v>
      </c>
    </row>
    <row r="9" spans="1:2" x14ac:dyDescent="0.25">
      <c r="A9" s="74">
        <v>4</v>
      </c>
      <c r="B9" s="75">
        <f ca="1">histoBin(INDIRECT($A$1&amp;"!R25C11:R25C"&amp;11+[0]!playercnt-1,FALSE),A9-0.5,A9+0.5)</f>
        <v>12</v>
      </c>
    </row>
    <row r="10" spans="1:2" x14ac:dyDescent="0.25">
      <c r="A10" s="74">
        <v>5</v>
      </c>
      <c r="B10" s="75">
        <f ca="1">histoBin(INDIRECT($A$1&amp;"!R25C11:R25C"&amp;11+[0]!playercnt-1,FALSE),A10-0.5,A10+0.5)</f>
        <v>12</v>
      </c>
    </row>
    <row r="11" spans="1:2" x14ac:dyDescent="0.25">
      <c r="A11" s="74">
        <v>6</v>
      </c>
      <c r="B11" s="75">
        <f ca="1">histoBin(INDIRECT($A$1&amp;"!R25C11:R25C"&amp;11+[0]!playercnt-1,FALSE),A11-0.5,A11+0.5)</f>
        <v>8</v>
      </c>
    </row>
    <row r="12" spans="1:2" x14ac:dyDescent="0.25">
      <c r="A12" s="74">
        <v>7</v>
      </c>
      <c r="B12" s="75">
        <f ca="1">histoBin(INDIRECT($A$1&amp;"!R25C11:R25C"&amp;11+[0]!playercnt-1,FALSE),A12-0.5,A12+0.5)</f>
        <v>6</v>
      </c>
    </row>
    <row r="13" spans="1:2" x14ac:dyDescent="0.25">
      <c r="A13" s="74">
        <v>8</v>
      </c>
      <c r="B13" s="75">
        <f ca="1">histoBin(INDIRECT($A$1&amp;"!R25C11:R25C"&amp;11+[0]!playercnt-1,FALSE),A13-0.5,A13+0.5)</f>
        <v>1</v>
      </c>
    </row>
    <row r="14" spans="1:2" x14ac:dyDescent="0.25">
      <c r="A14" s="74">
        <v>9</v>
      </c>
      <c r="B14" s="75">
        <f ca="1">histoBin(INDIRECT($A$1&amp;"!R25C11:R25C"&amp;11+[0]!playercnt-1,FALSE),A14-0.5,A14+0.5)</f>
        <v>0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117</v>
      </c>
      <c r="B29" s="74">
        <f ca="1">MIN(INDIRECT("Standings!R8C4:R"&amp;8+playercnt-1&amp;"C4",FALSE))</f>
        <v>51</v>
      </c>
    </row>
    <row r="30" spans="1:2" x14ac:dyDescent="0.25">
      <c r="A30" t="s">
        <v>118</v>
      </c>
      <c r="B30" s="74">
        <f ca="1">MAX(INDIRECT("Standings!R8C4:R"&amp;8+playercnt-1&amp;"C4",FALSE))</f>
        <v>73</v>
      </c>
    </row>
    <row r="31" spans="1:2" ht="13.8" thickBot="1" x14ac:dyDescent="0.3">
      <c r="A31" t="s">
        <v>119</v>
      </c>
      <c r="B31">
        <f ca="1">IF((B30-B29)&lt;=10,1,(((B30-B29)/10)))</f>
        <v>2.2000000000000002</v>
      </c>
    </row>
    <row r="32" spans="1:2" x14ac:dyDescent="0.25">
      <c r="A32" s="77" t="s">
        <v>116</v>
      </c>
      <c r="B32" s="77" t="s">
        <v>115</v>
      </c>
    </row>
    <row r="33" spans="1:2" x14ac:dyDescent="0.25">
      <c r="A33" s="74">
        <f ca="1">B29</f>
        <v>51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53.2</v>
      </c>
      <c r="B34" s="75">
        <f t="shared" ref="B34:B43" ca="1" si="0">histoBin(INDIRECT("Standings!R8C4:R"&amp;8+playercnt-1&amp;"C4",FALSE),A34-($B$31/2),A34+($B$31/2))</f>
        <v>1</v>
      </c>
    </row>
    <row r="35" spans="1:2" x14ac:dyDescent="0.25">
      <c r="A35" s="74">
        <f t="shared" ref="A35:A42" ca="1" si="1">A34+$B$31</f>
        <v>55.400000000000006</v>
      </c>
      <c r="B35" s="75">
        <f t="shared" ca="1" si="0"/>
        <v>3</v>
      </c>
    </row>
    <row r="36" spans="1:2" x14ac:dyDescent="0.25">
      <c r="A36" s="74">
        <f t="shared" ca="1" si="1"/>
        <v>57.600000000000009</v>
      </c>
      <c r="B36" s="75">
        <f t="shared" ca="1" si="0"/>
        <v>4</v>
      </c>
    </row>
    <row r="37" spans="1:2" x14ac:dyDescent="0.25">
      <c r="A37" s="74">
        <f t="shared" ca="1" si="1"/>
        <v>59.800000000000011</v>
      </c>
      <c r="B37" s="75">
        <f t="shared" ca="1" si="0"/>
        <v>2</v>
      </c>
    </row>
    <row r="38" spans="1:2" x14ac:dyDescent="0.25">
      <c r="A38" s="74">
        <f t="shared" ca="1" si="1"/>
        <v>62.000000000000014</v>
      </c>
      <c r="B38" s="75">
        <f t="shared" ca="1" si="0"/>
        <v>13</v>
      </c>
    </row>
    <row r="39" spans="1:2" x14ac:dyDescent="0.25">
      <c r="A39" s="74">
        <f t="shared" ca="1" si="1"/>
        <v>64.200000000000017</v>
      </c>
      <c r="B39" s="75">
        <f t="shared" ca="1" si="0"/>
        <v>10</v>
      </c>
    </row>
    <row r="40" spans="1:2" x14ac:dyDescent="0.25">
      <c r="A40" s="74">
        <f t="shared" ca="1" si="1"/>
        <v>66.40000000000002</v>
      </c>
      <c r="B40" s="75">
        <f t="shared" ca="1" si="0"/>
        <v>8</v>
      </c>
    </row>
    <row r="41" spans="1:2" x14ac:dyDescent="0.25">
      <c r="A41" s="74">
        <f t="shared" ca="1" si="1"/>
        <v>68.600000000000023</v>
      </c>
      <c r="B41" s="75">
        <f t="shared" ca="1" si="0"/>
        <v>7</v>
      </c>
    </row>
    <row r="42" spans="1:2" x14ac:dyDescent="0.25">
      <c r="A42" s="74">
        <f t="shared" ca="1" si="1"/>
        <v>70.800000000000026</v>
      </c>
      <c r="B42" s="75">
        <f t="shared" ca="1" si="0"/>
        <v>4</v>
      </c>
    </row>
    <row r="43" spans="1:2" x14ac:dyDescent="0.25">
      <c r="A43" s="74">
        <f ca="1">A42+$B$31</f>
        <v>73.000000000000028</v>
      </c>
      <c r="B43" s="75">
        <f t="shared" ca="1" si="0"/>
        <v>3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O98"/>
  <sheetViews>
    <sheetView zoomScale="70" zoomScaleNormal="70" workbookViewId="0">
      <pane ySplit="1920" topLeftCell="A35" activePane="bottomLeft"/>
      <selection activeCell="A80" activeCellId="1" sqref="AH1:AH1048576 A80:XFD80"/>
      <selection pane="bottomLeft" activeCell="AS80" sqref="AS80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67" width="3.33203125" customWidth="1"/>
  </cols>
  <sheetData>
    <row r="2" spans="4:67" ht="33" x14ac:dyDescent="0.25">
      <c r="D2" s="2"/>
      <c r="E2" s="2"/>
      <c r="F2" s="2"/>
      <c r="G2" s="2" t="e">
        <f t="shared" ref="G2:BO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</row>
    <row r="3" spans="4:67" x14ac:dyDescent="0.25">
      <c r="G3">
        <f t="shared" ref="G3:T16" ca="1" si="1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1"/>
        <v>1</v>
      </c>
      <c r="K3">
        <f t="shared" ca="1" si="1"/>
        <v>1</v>
      </c>
      <c r="L3">
        <f t="shared" ca="1" si="1"/>
        <v>1</v>
      </c>
      <c r="M3">
        <f t="shared" ca="1" si="1"/>
        <v>1</v>
      </c>
      <c r="N3">
        <f t="shared" ca="1" si="1"/>
        <v>1</v>
      </c>
      <c r="O3">
        <f t="shared" ca="1" si="1"/>
        <v>1</v>
      </c>
      <c r="P3">
        <f t="shared" ca="1" si="1"/>
        <v>1</v>
      </c>
      <c r="Q3">
        <f t="shared" ca="1" si="1"/>
        <v>1</v>
      </c>
      <c r="R3">
        <f t="shared" ca="1" si="1"/>
        <v>1</v>
      </c>
      <c r="S3">
        <f t="shared" ca="1" si="1"/>
        <v>1</v>
      </c>
      <c r="T3">
        <f t="shared" ca="1" si="1"/>
        <v>1</v>
      </c>
      <c r="U3">
        <f t="shared" ref="U3:AJ18" ca="1" si="2">COUNTA(INDIRECT(ADDRESS(ROW(),COLUMN(),,,$A$33)))</f>
        <v>1</v>
      </c>
      <c r="V3">
        <f t="shared" ca="1" si="2"/>
        <v>1</v>
      </c>
      <c r="W3">
        <f t="shared" ca="1" si="2"/>
        <v>1</v>
      </c>
      <c r="X3">
        <f t="shared" ca="1" si="2"/>
        <v>1</v>
      </c>
      <c r="Y3">
        <f t="shared" ca="1" si="2"/>
        <v>1</v>
      </c>
      <c r="Z3">
        <f t="shared" ca="1" si="2"/>
        <v>1</v>
      </c>
      <c r="AA3">
        <f t="shared" ca="1" si="2"/>
        <v>1</v>
      </c>
      <c r="AB3">
        <f t="shared" ca="1" si="2"/>
        <v>1</v>
      </c>
      <c r="AC3">
        <f t="shared" ca="1" si="2"/>
        <v>1</v>
      </c>
      <c r="AD3">
        <f t="shared" ca="1" si="2"/>
        <v>1</v>
      </c>
      <c r="AE3">
        <f t="shared" ca="1" si="2"/>
        <v>1</v>
      </c>
      <c r="AF3">
        <f t="shared" ca="1" si="2"/>
        <v>1</v>
      </c>
      <c r="AG3">
        <f t="shared" ca="1" si="2"/>
        <v>1</v>
      </c>
      <c r="AH3">
        <f t="shared" ca="1" si="2"/>
        <v>1</v>
      </c>
      <c r="AI3">
        <f t="shared" ca="1" si="2"/>
        <v>1</v>
      </c>
      <c r="AJ3">
        <f t="shared" ca="1" si="2"/>
        <v>1</v>
      </c>
      <c r="AK3">
        <f t="shared" ref="AG3:AV18" ca="1" si="3">COUNTA(INDIRECT(ADDRESS(ROW(),COLUMN(),,,$A$33)))</f>
        <v>1</v>
      </c>
      <c r="AL3">
        <f t="shared" ca="1" si="3"/>
        <v>1</v>
      </c>
      <c r="AM3">
        <f t="shared" ca="1" si="3"/>
        <v>1</v>
      </c>
      <c r="AN3">
        <f t="shared" ca="1" si="3"/>
        <v>1</v>
      </c>
      <c r="AO3">
        <f t="shared" ca="1" si="3"/>
        <v>1</v>
      </c>
      <c r="AP3">
        <f t="shared" ca="1" si="3"/>
        <v>1</v>
      </c>
      <c r="AQ3">
        <f t="shared" ca="1" si="3"/>
        <v>1</v>
      </c>
      <c r="AR3">
        <f t="shared" ca="1" si="3"/>
        <v>1</v>
      </c>
      <c r="AS3">
        <f t="shared" ca="1" si="3"/>
        <v>1</v>
      </c>
      <c r="AT3">
        <f t="shared" ca="1" si="3"/>
        <v>1</v>
      </c>
      <c r="AU3">
        <f t="shared" ca="1" si="3"/>
        <v>1</v>
      </c>
      <c r="AV3">
        <f t="shared" ca="1" si="3"/>
        <v>1</v>
      </c>
      <c r="AW3">
        <f t="shared" ref="AW3:BO4" ca="1" si="4">COUNTA(INDIRECT(ADDRESS(ROW(),COLUMN(),,,$A$33)))</f>
        <v>1</v>
      </c>
      <c r="AX3">
        <f t="shared" ca="1" si="4"/>
        <v>1</v>
      </c>
      <c r="AY3">
        <f t="shared" ca="1" si="4"/>
        <v>1</v>
      </c>
      <c r="AZ3">
        <f t="shared" ca="1" si="4"/>
        <v>1</v>
      </c>
      <c r="BA3">
        <f t="shared" ca="1" si="4"/>
        <v>1</v>
      </c>
      <c r="BB3">
        <f t="shared" ca="1" si="4"/>
        <v>1</v>
      </c>
      <c r="BC3">
        <f t="shared" ca="1" si="4"/>
        <v>1</v>
      </c>
      <c r="BD3">
        <f t="shared" ca="1" si="4"/>
        <v>1</v>
      </c>
      <c r="BE3">
        <f t="shared" ca="1" si="4"/>
        <v>1</v>
      </c>
      <c r="BF3">
        <f t="shared" ca="1" si="4"/>
        <v>1</v>
      </c>
      <c r="BG3">
        <f t="shared" ca="1" si="4"/>
        <v>1</v>
      </c>
      <c r="BH3">
        <f t="shared" ca="1" si="4"/>
        <v>1</v>
      </c>
      <c r="BI3">
        <f t="shared" ca="1" si="4"/>
        <v>1</v>
      </c>
      <c r="BJ3">
        <f t="shared" ca="1" si="4"/>
        <v>1</v>
      </c>
      <c r="BK3">
        <f t="shared" ca="1" si="4"/>
        <v>1</v>
      </c>
      <c r="BL3">
        <f t="shared" ca="1" si="4"/>
        <v>1</v>
      </c>
      <c r="BM3">
        <f t="shared" ca="1" si="4"/>
        <v>1</v>
      </c>
      <c r="BN3">
        <f t="shared" ca="1" si="4"/>
        <v>1</v>
      </c>
      <c r="BO3">
        <f t="shared" ca="1" si="4"/>
        <v>1</v>
      </c>
    </row>
    <row r="4" spans="4:67" x14ac:dyDescent="0.25">
      <c r="G4">
        <f t="shared" ca="1" si="1"/>
        <v>1</v>
      </c>
      <c r="H4" t="e">
        <f t="shared" ref="H4:H22" ca="1" si="5">(INDIRECT(ADDRESS(ROW(),COLUMN(),,,$A$33)))</f>
        <v>#REF!</v>
      </c>
      <c r="I4" t="e">
        <f t="shared" ref="I4:I22" ca="1" si="6">(INDIRECT(ADDRESS(ROW(),COLUMN(),,,$A$33)))</f>
        <v>#REF!</v>
      </c>
      <c r="J4">
        <f t="shared" ca="1" si="1"/>
        <v>1</v>
      </c>
      <c r="K4">
        <f t="shared" ca="1" si="1"/>
        <v>1</v>
      </c>
      <c r="L4">
        <f t="shared" ca="1" si="1"/>
        <v>1</v>
      </c>
      <c r="M4">
        <f t="shared" ca="1" si="1"/>
        <v>1</v>
      </c>
      <c r="N4">
        <f t="shared" ca="1" si="1"/>
        <v>1</v>
      </c>
      <c r="O4">
        <f t="shared" ca="1" si="1"/>
        <v>1</v>
      </c>
      <c r="P4">
        <f t="shared" ca="1" si="1"/>
        <v>1</v>
      </c>
      <c r="Q4">
        <f t="shared" ca="1" si="1"/>
        <v>1</v>
      </c>
      <c r="R4">
        <f t="shared" ca="1" si="1"/>
        <v>1</v>
      </c>
      <c r="S4">
        <f t="shared" ca="1" si="1"/>
        <v>1</v>
      </c>
      <c r="T4">
        <f t="shared" ca="1" si="1"/>
        <v>1</v>
      </c>
      <c r="U4">
        <f t="shared" ca="1" si="2"/>
        <v>1</v>
      </c>
      <c r="V4">
        <f t="shared" ca="1" si="2"/>
        <v>1</v>
      </c>
      <c r="W4">
        <f t="shared" ca="1" si="2"/>
        <v>1</v>
      </c>
      <c r="X4">
        <f t="shared" ca="1" si="2"/>
        <v>1</v>
      </c>
      <c r="Y4">
        <f t="shared" ca="1" si="2"/>
        <v>1</v>
      </c>
      <c r="Z4">
        <f t="shared" ca="1" si="2"/>
        <v>1</v>
      </c>
      <c r="AA4">
        <f t="shared" ca="1" si="2"/>
        <v>1</v>
      </c>
      <c r="AB4">
        <f t="shared" ca="1" si="2"/>
        <v>1</v>
      </c>
      <c r="AC4">
        <f t="shared" ca="1" si="2"/>
        <v>1</v>
      </c>
      <c r="AD4">
        <f t="shared" ca="1" si="2"/>
        <v>1</v>
      </c>
      <c r="AE4">
        <f t="shared" ca="1" si="2"/>
        <v>1</v>
      </c>
      <c r="AF4">
        <f t="shared" ca="1" si="2"/>
        <v>1</v>
      </c>
      <c r="AG4">
        <f t="shared" ca="1" si="3"/>
        <v>1</v>
      </c>
      <c r="AH4">
        <f t="shared" ca="1" si="3"/>
        <v>1</v>
      </c>
      <c r="AI4">
        <f t="shared" ca="1" si="3"/>
        <v>1</v>
      </c>
      <c r="AJ4">
        <f t="shared" ca="1" si="3"/>
        <v>1</v>
      </c>
      <c r="AK4">
        <f t="shared" ca="1" si="3"/>
        <v>1</v>
      </c>
      <c r="AL4">
        <f t="shared" ca="1" si="3"/>
        <v>1</v>
      </c>
      <c r="AM4">
        <f t="shared" ca="1" si="3"/>
        <v>1</v>
      </c>
      <c r="AN4">
        <f t="shared" ca="1" si="3"/>
        <v>1</v>
      </c>
      <c r="AO4">
        <f t="shared" ca="1" si="3"/>
        <v>1</v>
      </c>
      <c r="AP4">
        <f t="shared" ref="AP4:BI19" ca="1" si="7">COUNTA(INDIRECT(ADDRESS(ROW(),COLUMN(),,,$A$33)))</f>
        <v>1</v>
      </c>
      <c r="AQ4">
        <f t="shared" ca="1" si="7"/>
        <v>1</v>
      </c>
      <c r="AR4">
        <f t="shared" ca="1" si="7"/>
        <v>1</v>
      </c>
      <c r="AS4">
        <f t="shared" ca="1" si="7"/>
        <v>1</v>
      </c>
      <c r="AT4">
        <f t="shared" ca="1" si="7"/>
        <v>1</v>
      </c>
      <c r="AU4">
        <f t="shared" ca="1" si="7"/>
        <v>1</v>
      </c>
      <c r="AV4">
        <f t="shared" ca="1" si="7"/>
        <v>1</v>
      </c>
      <c r="AW4">
        <f t="shared" ca="1" si="7"/>
        <v>1</v>
      </c>
      <c r="AX4">
        <f t="shared" ca="1" si="7"/>
        <v>1</v>
      </c>
      <c r="AY4">
        <f t="shared" ca="1" si="7"/>
        <v>1</v>
      </c>
      <c r="AZ4">
        <f t="shared" ca="1" si="7"/>
        <v>1</v>
      </c>
      <c r="BA4">
        <f t="shared" ca="1" si="7"/>
        <v>1</v>
      </c>
      <c r="BB4">
        <f t="shared" ca="1" si="7"/>
        <v>1</v>
      </c>
      <c r="BC4">
        <f t="shared" ca="1" si="7"/>
        <v>1</v>
      </c>
      <c r="BD4">
        <f t="shared" ca="1" si="7"/>
        <v>1</v>
      </c>
      <c r="BE4">
        <f t="shared" ca="1" si="7"/>
        <v>1</v>
      </c>
      <c r="BF4">
        <f t="shared" ca="1" si="7"/>
        <v>1</v>
      </c>
      <c r="BG4">
        <f t="shared" ca="1" si="7"/>
        <v>1</v>
      </c>
      <c r="BH4">
        <f t="shared" ca="1" si="7"/>
        <v>1</v>
      </c>
      <c r="BI4">
        <f t="shared" ca="1" si="7"/>
        <v>1</v>
      </c>
      <c r="BJ4">
        <f t="shared" ca="1" si="4"/>
        <v>1</v>
      </c>
      <c r="BK4">
        <f t="shared" ca="1" si="4"/>
        <v>1</v>
      </c>
      <c r="BL4">
        <f t="shared" ca="1" si="4"/>
        <v>1</v>
      </c>
      <c r="BM4">
        <f t="shared" ca="1" si="4"/>
        <v>1</v>
      </c>
      <c r="BN4">
        <f t="shared" ca="1" si="4"/>
        <v>1</v>
      </c>
      <c r="BO4">
        <f t="shared" ca="1" si="4"/>
        <v>1</v>
      </c>
    </row>
    <row r="5" spans="4:67" x14ac:dyDescent="0.25">
      <c r="G5">
        <f t="shared" ca="1" si="1"/>
        <v>1</v>
      </c>
      <c r="H5" t="e">
        <f t="shared" ca="1" si="5"/>
        <v>#REF!</v>
      </c>
      <c r="I5" t="e">
        <f t="shared" ca="1" si="6"/>
        <v>#REF!</v>
      </c>
      <c r="J5">
        <f t="shared" ca="1" si="1"/>
        <v>1</v>
      </c>
      <c r="K5">
        <f t="shared" ca="1" si="1"/>
        <v>1</v>
      </c>
      <c r="L5">
        <f t="shared" ca="1" si="1"/>
        <v>1</v>
      </c>
      <c r="M5">
        <f t="shared" ca="1" si="1"/>
        <v>1</v>
      </c>
      <c r="N5">
        <f t="shared" ca="1" si="1"/>
        <v>1</v>
      </c>
      <c r="O5">
        <f t="shared" ca="1" si="1"/>
        <v>1</v>
      </c>
      <c r="P5">
        <f t="shared" ca="1" si="1"/>
        <v>1</v>
      </c>
      <c r="Q5">
        <f t="shared" ca="1" si="1"/>
        <v>1</v>
      </c>
      <c r="R5">
        <f t="shared" ca="1" si="1"/>
        <v>1</v>
      </c>
      <c r="S5">
        <f t="shared" ca="1" si="1"/>
        <v>1</v>
      </c>
      <c r="T5">
        <f t="shared" ca="1" si="1"/>
        <v>1</v>
      </c>
      <c r="U5">
        <f t="shared" ca="1" si="2"/>
        <v>1</v>
      </c>
      <c r="V5">
        <f t="shared" ca="1" si="2"/>
        <v>1</v>
      </c>
      <c r="W5">
        <f t="shared" ca="1" si="2"/>
        <v>1</v>
      </c>
      <c r="X5">
        <f t="shared" ca="1" si="2"/>
        <v>1</v>
      </c>
      <c r="Y5">
        <f t="shared" ca="1" si="2"/>
        <v>1</v>
      </c>
      <c r="Z5">
        <f t="shared" ca="1" si="2"/>
        <v>1</v>
      </c>
      <c r="AA5">
        <f t="shared" ca="1" si="2"/>
        <v>1</v>
      </c>
      <c r="AB5">
        <f t="shared" ca="1" si="2"/>
        <v>1</v>
      </c>
      <c r="AC5">
        <f t="shared" ca="1" si="2"/>
        <v>1</v>
      </c>
      <c r="AD5">
        <f t="shared" ca="1" si="2"/>
        <v>1</v>
      </c>
      <c r="AE5">
        <f t="shared" ca="1" si="2"/>
        <v>1</v>
      </c>
      <c r="AF5">
        <f t="shared" ca="1" si="2"/>
        <v>1</v>
      </c>
      <c r="AG5">
        <f t="shared" ca="1" si="3"/>
        <v>1</v>
      </c>
      <c r="AH5">
        <f t="shared" ca="1" si="3"/>
        <v>1</v>
      </c>
      <c r="AI5">
        <f t="shared" ca="1" si="3"/>
        <v>1</v>
      </c>
      <c r="AJ5">
        <f t="shared" ca="1" si="3"/>
        <v>1</v>
      </c>
      <c r="AK5">
        <f t="shared" ca="1" si="3"/>
        <v>1</v>
      </c>
      <c r="AL5">
        <f t="shared" ca="1" si="3"/>
        <v>1</v>
      </c>
      <c r="AM5">
        <f t="shared" ca="1" si="3"/>
        <v>1</v>
      </c>
      <c r="AN5">
        <f t="shared" ca="1" si="3"/>
        <v>1</v>
      </c>
      <c r="AO5">
        <f t="shared" ca="1" si="3"/>
        <v>1</v>
      </c>
      <c r="AP5">
        <f t="shared" ca="1" si="7"/>
        <v>1</v>
      </c>
      <c r="AQ5">
        <f t="shared" ca="1" si="7"/>
        <v>1</v>
      </c>
      <c r="AR5">
        <f t="shared" ca="1" si="7"/>
        <v>1</v>
      </c>
      <c r="AS5">
        <f t="shared" ca="1" si="7"/>
        <v>1</v>
      </c>
      <c r="AT5">
        <f t="shared" ca="1" si="7"/>
        <v>1</v>
      </c>
      <c r="AU5">
        <f t="shared" ca="1" si="7"/>
        <v>1</v>
      </c>
      <c r="AV5">
        <f t="shared" ca="1" si="7"/>
        <v>1</v>
      </c>
      <c r="AW5">
        <f t="shared" ca="1" si="7"/>
        <v>1</v>
      </c>
      <c r="AX5">
        <f t="shared" ca="1" si="7"/>
        <v>1</v>
      </c>
      <c r="AY5">
        <f t="shared" ca="1" si="7"/>
        <v>1</v>
      </c>
      <c r="AZ5">
        <f t="shared" ca="1" si="7"/>
        <v>1</v>
      </c>
      <c r="BA5">
        <f t="shared" ca="1" si="7"/>
        <v>1</v>
      </c>
      <c r="BB5">
        <f t="shared" ca="1" si="7"/>
        <v>1</v>
      </c>
      <c r="BC5">
        <f t="shared" ref="BC5:BO18" ca="1" si="8">COUNTA(INDIRECT(ADDRESS(ROW(),COLUMN(),,,$A$33)))</f>
        <v>1</v>
      </c>
      <c r="BD5">
        <f t="shared" ca="1" si="8"/>
        <v>1</v>
      </c>
      <c r="BE5">
        <f t="shared" ca="1" si="8"/>
        <v>1</v>
      </c>
      <c r="BF5">
        <f t="shared" ca="1" si="8"/>
        <v>1</v>
      </c>
      <c r="BG5">
        <f t="shared" ca="1" si="8"/>
        <v>1</v>
      </c>
      <c r="BH5">
        <f t="shared" ca="1" si="8"/>
        <v>1</v>
      </c>
      <c r="BI5">
        <f t="shared" ca="1" si="8"/>
        <v>1</v>
      </c>
      <c r="BJ5">
        <f t="shared" ca="1" si="8"/>
        <v>1</v>
      </c>
      <c r="BK5">
        <f t="shared" ca="1" si="8"/>
        <v>1</v>
      </c>
      <c r="BL5">
        <f t="shared" ca="1" si="8"/>
        <v>1</v>
      </c>
      <c r="BM5">
        <f t="shared" ca="1" si="8"/>
        <v>1</v>
      </c>
      <c r="BN5">
        <f t="shared" ca="1" si="8"/>
        <v>1</v>
      </c>
      <c r="BO5">
        <f t="shared" ca="1" si="8"/>
        <v>1</v>
      </c>
    </row>
    <row r="6" spans="4:67" x14ac:dyDescent="0.25">
      <c r="G6">
        <f t="shared" ca="1" si="1"/>
        <v>1</v>
      </c>
      <c r="H6" t="e">
        <f t="shared" ca="1" si="5"/>
        <v>#REF!</v>
      </c>
      <c r="I6" t="e">
        <f t="shared" ca="1" si="6"/>
        <v>#REF!</v>
      </c>
      <c r="J6">
        <f t="shared" ca="1" si="1"/>
        <v>1</v>
      </c>
      <c r="K6">
        <f t="shared" ca="1" si="1"/>
        <v>1</v>
      </c>
      <c r="L6">
        <f t="shared" ca="1" si="1"/>
        <v>1</v>
      </c>
      <c r="M6">
        <f t="shared" ca="1" si="1"/>
        <v>1</v>
      </c>
      <c r="N6">
        <f t="shared" ca="1" si="1"/>
        <v>1</v>
      </c>
      <c r="O6">
        <f t="shared" ca="1" si="1"/>
        <v>1</v>
      </c>
      <c r="P6">
        <f t="shared" ca="1" si="1"/>
        <v>1</v>
      </c>
      <c r="Q6">
        <f t="shared" ca="1" si="1"/>
        <v>1</v>
      </c>
      <c r="R6">
        <f t="shared" ca="1" si="1"/>
        <v>1</v>
      </c>
      <c r="S6">
        <f t="shared" ca="1" si="1"/>
        <v>1</v>
      </c>
      <c r="T6">
        <f t="shared" ca="1" si="1"/>
        <v>1</v>
      </c>
      <c r="U6">
        <f t="shared" ca="1" si="2"/>
        <v>1</v>
      </c>
      <c r="V6">
        <f t="shared" ca="1" si="2"/>
        <v>1</v>
      </c>
      <c r="W6">
        <f t="shared" ca="1" si="2"/>
        <v>1</v>
      </c>
      <c r="X6">
        <f t="shared" ca="1" si="2"/>
        <v>1</v>
      </c>
      <c r="Y6">
        <f t="shared" ca="1" si="2"/>
        <v>1</v>
      </c>
      <c r="Z6">
        <f t="shared" ca="1" si="2"/>
        <v>1</v>
      </c>
      <c r="AA6">
        <f t="shared" ca="1" si="2"/>
        <v>1</v>
      </c>
      <c r="AB6">
        <f t="shared" ca="1" si="2"/>
        <v>1</v>
      </c>
      <c r="AC6">
        <f t="shared" ca="1" si="2"/>
        <v>1</v>
      </c>
      <c r="AD6">
        <f t="shared" ca="1" si="2"/>
        <v>1</v>
      </c>
      <c r="AE6">
        <f t="shared" ca="1" si="2"/>
        <v>1</v>
      </c>
      <c r="AF6">
        <f t="shared" ca="1" si="2"/>
        <v>1</v>
      </c>
      <c r="AG6">
        <f t="shared" ca="1" si="3"/>
        <v>1</v>
      </c>
      <c r="AH6">
        <f t="shared" ca="1" si="3"/>
        <v>1</v>
      </c>
      <c r="AI6">
        <f t="shared" ca="1" si="3"/>
        <v>1</v>
      </c>
      <c r="AJ6">
        <f t="shared" ca="1" si="3"/>
        <v>1</v>
      </c>
      <c r="AK6">
        <f t="shared" ca="1" si="3"/>
        <v>1</v>
      </c>
      <c r="AL6">
        <f t="shared" ca="1" si="3"/>
        <v>1</v>
      </c>
      <c r="AM6">
        <f t="shared" ca="1" si="3"/>
        <v>1</v>
      </c>
      <c r="AN6">
        <f t="shared" ca="1" si="3"/>
        <v>1</v>
      </c>
      <c r="AO6">
        <f t="shared" ca="1" si="3"/>
        <v>1</v>
      </c>
      <c r="AP6">
        <f t="shared" ca="1" si="7"/>
        <v>1</v>
      </c>
      <c r="AQ6">
        <f t="shared" ca="1" si="7"/>
        <v>1</v>
      </c>
      <c r="AR6">
        <f t="shared" ca="1" si="7"/>
        <v>1</v>
      </c>
      <c r="AS6">
        <f t="shared" ca="1" si="7"/>
        <v>1</v>
      </c>
      <c r="AT6">
        <f t="shared" ca="1" si="7"/>
        <v>1</v>
      </c>
      <c r="AU6">
        <f t="shared" ca="1" si="7"/>
        <v>1</v>
      </c>
      <c r="AV6">
        <f t="shared" ca="1" si="7"/>
        <v>1</v>
      </c>
      <c r="AW6">
        <f t="shared" ca="1" si="7"/>
        <v>1</v>
      </c>
      <c r="AX6">
        <f t="shared" ca="1" si="7"/>
        <v>1</v>
      </c>
      <c r="AY6">
        <f t="shared" ca="1" si="7"/>
        <v>1</v>
      </c>
      <c r="AZ6">
        <f t="shared" ca="1" si="7"/>
        <v>1</v>
      </c>
      <c r="BA6">
        <f t="shared" ca="1" si="7"/>
        <v>1</v>
      </c>
      <c r="BB6">
        <f t="shared" ca="1" si="7"/>
        <v>1</v>
      </c>
      <c r="BC6">
        <f t="shared" ca="1" si="8"/>
        <v>1</v>
      </c>
      <c r="BD6">
        <f t="shared" ca="1" si="8"/>
        <v>1</v>
      </c>
      <c r="BE6">
        <f t="shared" ca="1" si="8"/>
        <v>1</v>
      </c>
      <c r="BF6">
        <f t="shared" ca="1" si="8"/>
        <v>1</v>
      </c>
      <c r="BG6">
        <f t="shared" ca="1" si="8"/>
        <v>1</v>
      </c>
      <c r="BH6">
        <f t="shared" ca="1" si="8"/>
        <v>1</v>
      </c>
      <c r="BI6">
        <f t="shared" ca="1" si="8"/>
        <v>1</v>
      </c>
      <c r="BJ6">
        <f t="shared" ca="1" si="8"/>
        <v>1</v>
      </c>
      <c r="BK6">
        <f t="shared" ca="1" si="8"/>
        <v>1</v>
      </c>
      <c r="BL6">
        <f t="shared" ca="1" si="8"/>
        <v>1</v>
      </c>
      <c r="BM6">
        <f t="shared" ca="1" si="8"/>
        <v>1</v>
      </c>
      <c r="BN6">
        <f t="shared" ca="1" si="8"/>
        <v>1</v>
      </c>
      <c r="BO6">
        <f t="shared" ca="1" si="8"/>
        <v>1</v>
      </c>
    </row>
    <row r="7" spans="4:67" x14ac:dyDescent="0.25">
      <c r="G7">
        <f t="shared" ca="1" si="1"/>
        <v>1</v>
      </c>
      <c r="H7" t="e">
        <f t="shared" ca="1" si="5"/>
        <v>#REF!</v>
      </c>
      <c r="I7" t="e">
        <f t="shared" ca="1" si="6"/>
        <v>#REF!</v>
      </c>
      <c r="J7">
        <f t="shared" ca="1" si="1"/>
        <v>1</v>
      </c>
      <c r="K7">
        <f t="shared" ca="1" si="1"/>
        <v>1</v>
      </c>
      <c r="L7">
        <f t="shared" ca="1" si="1"/>
        <v>1</v>
      </c>
      <c r="M7">
        <f t="shared" ca="1" si="1"/>
        <v>1</v>
      </c>
      <c r="N7">
        <f t="shared" ca="1" si="1"/>
        <v>1</v>
      </c>
      <c r="O7">
        <f t="shared" ca="1" si="1"/>
        <v>1</v>
      </c>
      <c r="P7">
        <f t="shared" ca="1" si="1"/>
        <v>1</v>
      </c>
      <c r="Q7">
        <f t="shared" ca="1" si="1"/>
        <v>1</v>
      </c>
      <c r="R7">
        <f t="shared" ca="1" si="1"/>
        <v>1</v>
      </c>
      <c r="S7">
        <f t="shared" ca="1" si="1"/>
        <v>1</v>
      </c>
      <c r="T7">
        <f t="shared" ca="1" si="1"/>
        <v>1</v>
      </c>
      <c r="U7">
        <f t="shared" ca="1" si="2"/>
        <v>1</v>
      </c>
      <c r="V7">
        <f t="shared" ca="1" si="2"/>
        <v>1</v>
      </c>
      <c r="W7">
        <f t="shared" ca="1" si="2"/>
        <v>1</v>
      </c>
      <c r="X7">
        <f t="shared" ca="1" si="2"/>
        <v>1</v>
      </c>
      <c r="Y7">
        <f t="shared" ca="1" si="2"/>
        <v>1</v>
      </c>
      <c r="Z7">
        <f t="shared" ca="1" si="2"/>
        <v>1</v>
      </c>
      <c r="AA7">
        <f t="shared" ca="1" si="2"/>
        <v>1</v>
      </c>
      <c r="AB7">
        <f t="shared" ca="1" si="2"/>
        <v>1</v>
      </c>
      <c r="AC7">
        <f t="shared" ca="1" si="2"/>
        <v>1</v>
      </c>
      <c r="AD7">
        <f t="shared" ca="1" si="2"/>
        <v>1</v>
      </c>
      <c r="AE7">
        <f t="shared" ca="1" si="2"/>
        <v>1</v>
      </c>
      <c r="AF7">
        <f t="shared" ca="1" si="2"/>
        <v>1</v>
      </c>
      <c r="AG7">
        <f t="shared" ca="1" si="3"/>
        <v>1</v>
      </c>
      <c r="AH7">
        <f t="shared" ca="1" si="3"/>
        <v>1</v>
      </c>
      <c r="AI7">
        <f t="shared" ca="1" si="3"/>
        <v>1</v>
      </c>
      <c r="AJ7">
        <f t="shared" ca="1" si="3"/>
        <v>1</v>
      </c>
      <c r="AK7">
        <f t="shared" ca="1" si="3"/>
        <v>1</v>
      </c>
      <c r="AL7">
        <f t="shared" ca="1" si="3"/>
        <v>1</v>
      </c>
      <c r="AM7">
        <f t="shared" ca="1" si="3"/>
        <v>1</v>
      </c>
      <c r="AN7">
        <f t="shared" ca="1" si="3"/>
        <v>1</v>
      </c>
      <c r="AO7">
        <f t="shared" ca="1" si="3"/>
        <v>1</v>
      </c>
      <c r="AP7">
        <f t="shared" ca="1" si="7"/>
        <v>1</v>
      </c>
      <c r="AQ7">
        <f t="shared" ca="1" si="7"/>
        <v>1</v>
      </c>
      <c r="AR7">
        <f t="shared" ca="1" si="7"/>
        <v>1</v>
      </c>
      <c r="AS7">
        <f t="shared" ca="1" si="7"/>
        <v>1</v>
      </c>
      <c r="AT7">
        <f t="shared" ca="1" si="7"/>
        <v>1</v>
      </c>
      <c r="AU7">
        <f t="shared" ca="1" si="7"/>
        <v>1</v>
      </c>
      <c r="AV7">
        <f t="shared" ca="1" si="7"/>
        <v>1</v>
      </c>
      <c r="AW7">
        <f t="shared" ca="1" si="7"/>
        <v>1</v>
      </c>
      <c r="AX7">
        <f t="shared" ca="1" si="7"/>
        <v>1</v>
      </c>
      <c r="AY7">
        <f t="shared" ca="1" si="7"/>
        <v>1</v>
      </c>
      <c r="AZ7">
        <f t="shared" ca="1" si="7"/>
        <v>1</v>
      </c>
      <c r="BA7">
        <f t="shared" ca="1" si="7"/>
        <v>1</v>
      </c>
      <c r="BB7">
        <f t="shared" ca="1" si="7"/>
        <v>1</v>
      </c>
      <c r="BC7">
        <f t="shared" ca="1" si="8"/>
        <v>1</v>
      </c>
      <c r="BD7">
        <f t="shared" ca="1" si="8"/>
        <v>1</v>
      </c>
      <c r="BE7">
        <f t="shared" ca="1" si="8"/>
        <v>1</v>
      </c>
      <c r="BF7">
        <f t="shared" ca="1" si="8"/>
        <v>1</v>
      </c>
      <c r="BG7">
        <f t="shared" ca="1" si="8"/>
        <v>1</v>
      </c>
      <c r="BH7">
        <f t="shared" ca="1" si="8"/>
        <v>1</v>
      </c>
      <c r="BI7">
        <f t="shared" ca="1" si="8"/>
        <v>1</v>
      </c>
      <c r="BJ7">
        <f t="shared" ca="1" si="8"/>
        <v>1</v>
      </c>
      <c r="BK7">
        <f t="shared" ca="1" si="8"/>
        <v>1</v>
      </c>
      <c r="BL7">
        <f t="shared" ca="1" si="8"/>
        <v>1</v>
      </c>
      <c r="BM7">
        <f t="shared" ca="1" si="8"/>
        <v>1</v>
      </c>
      <c r="BN7">
        <f t="shared" ca="1" si="8"/>
        <v>1</v>
      </c>
      <c r="BO7">
        <f t="shared" ca="1" si="8"/>
        <v>1</v>
      </c>
    </row>
    <row r="8" spans="4:67" x14ac:dyDescent="0.25">
      <c r="G8">
        <f t="shared" ca="1" si="1"/>
        <v>1</v>
      </c>
      <c r="H8" t="e">
        <f t="shared" ca="1" si="5"/>
        <v>#REF!</v>
      </c>
      <c r="I8" t="e">
        <f t="shared" ca="1" si="6"/>
        <v>#REF!</v>
      </c>
      <c r="J8">
        <f t="shared" ca="1" si="1"/>
        <v>1</v>
      </c>
      <c r="K8">
        <f t="shared" ca="1" si="1"/>
        <v>1</v>
      </c>
      <c r="L8">
        <f t="shared" ca="1" si="1"/>
        <v>1</v>
      </c>
      <c r="M8">
        <f t="shared" ca="1" si="1"/>
        <v>1</v>
      </c>
      <c r="N8">
        <f t="shared" ca="1" si="1"/>
        <v>1</v>
      </c>
      <c r="O8">
        <f t="shared" ca="1" si="1"/>
        <v>1</v>
      </c>
      <c r="P8">
        <f t="shared" ca="1" si="1"/>
        <v>1</v>
      </c>
      <c r="Q8">
        <f t="shared" ca="1" si="1"/>
        <v>1</v>
      </c>
      <c r="R8">
        <f t="shared" ca="1" si="1"/>
        <v>1</v>
      </c>
      <c r="S8">
        <f t="shared" ca="1" si="1"/>
        <v>1</v>
      </c>
      <c r="T8">
        <f t="shared" ca="1" si="1"/>
        <v>1</v>
      </c>
      <c r="U8">
        <f t="shared" ca="1" si="2"/>
        <v>1</v>
      </c>
      <c r="V8">
        <f t="shared" ca="1" si="2"/>
        <v>1</v>
      </c>
      <c r="W8">
        <f t="shared" ca="1" si="2"/>
        <v>1</v>
      </c>
      <c r="X8">
        <f t="shared" ca="1" si="2"/>
        <v>1</v>
      </c>
      <c r="Y8">
        <f t="shared" ca="1" si="2"/>
        <v>1</v>
      </c>
      <c r="Z8">
        <f t="shared" ca="1" si="2"/>
        <v>1</v>
      </c>
      <c r="AA8">
        <f t="shared" ca="1" si="2"/>
        <v>1</v>
      </c>
      <c r="AB8">
        <f t="shared" ca="1" si="2"/>
        <v>1</v>
      </c>
      <c r="AC8">
        <f t="shared" ca="1" si="2"/>
        <v>1</v>
      </c>
      <c r="AD8">
        <f t="shared" ca="1" si="2"/>
        <v>1</v>
      </c>
      <c r="AE8">
        <f t="shared" ca="1" si="2"/>
        <v>1</v>
      </c>
      <c r="AF8">
        <f t="shared" ca="1" si="2"/>
        <v>1</v>
      </c>
      <c r="AG8">
        <f t="shared" ca="1" si="3"/>
        <v>1</v>
      </c>
      <c r="AH8">
        <f t="shared" ca="1" si="3"/>
        <v>1</v>
      </c>
      <c r="AI8">
        <f t="shared" ca="1" si="3"/>
        <v>1</v>
      </c>
      <c r="AJ8">
        <f t="shared" ca="1" si="3"/>
        <v>1</v>
      </c>
      <c r="AK8">
        <f t="shared" ca="1" si="3"/>
        <v>1</v>
      </c>
      <c r="AL8">
        <f t="shared" ca="1" si="3"/>
        <v>1</v>
      </c>
      <c r="AM8">
        <f t="shared" ca="1" si="3"/>
        <v>1</v>
      </c>
      <c r="AN8">
        <f t="shared" ca="1" si="3"/>
        <v>1</v>
      </c>
      <c r="AO8">
        <f t="shared" ca="1" si="3"/>
        <v>1</v>
      </c>
      <c r="AP8">
        <f t="shared" ca="1" si="7"/>
        <v>1</v>
      </c>
      <c r="AQ8">
        <f t="shared" ca="1" si="7"/>
        <v>1</v>
      </c>
      <c r="AR8">
        <f t="shared" ca="1" si="7"/>
        <v>1</v>
      </c>
      <c r="AS8">
        <f t="shared" ca="1" si="7"/>
        <v>1</v>
      </c>
      <c r="AT8">
        <f t="shared" ca="1" si="7"/>
        <v>1</v>
      </c>
      <c r="AU8">
        <f t="shared" ca="1" si="7"/>
        <v>1</v>
      </c>
      <c r="AV8">
        <f t="shared" ca="1" si="7"/>
        <v>1</v>
      </c>
      <c r="AW8">
        <f t="shared" ca="1" si="7"/>
        <v>1</v>
      </c>
      <c r="AX8">
        <f t="shared" ca="1" si="7"/>
        <v>1</v>
      </c>
      <c r="AY8">
        <f t="shared" ca="1" si="7"/>
        <v>1</v>
      </c>
      <c r="AZ8">
        <f t="shared" ca="1" si="7"/>
        <v>1</v>
      </c>
      <c r="BA8">
        <f t="shared" ca="1" si="7"/>
        <v>1</v>
      </c>
      <c r="BB8">
        <f t="shared" ca="1" si="7"/>
        <v>1</v>
      </c>
      <c r="BC8">
        <f t="shared" ca="1" si="8"/>
        <v>1</v>
      </c>
      <c r="BD8">
        <f t="shared" ca="1" si="8"/>
        <v>1</v>
      </c>
      <c r="BE8">
        <f t="shared" ca="1" si="8"/>
        <v>1</v>
      </c>
      <c r="BF8">
        <f t="shared" ca="1" si="8"/>
        <v>1</v>
      </c>
      <c r="BG8">
        <f t="shared" ca="1" si="8"/>
        <v>1</v>
      </c>
      <c r="BH8">
        <f t="shared" ca="1" si="8"/>
        <v>1</v>
      </c>
      <c r="BI8">
        <f t="shared" ca="1" si="8"/>
        <v>1</v>
      </c>
      <c r="BJ8">
        <f t="shared" ca="1" si="8"/>
        <v>1</v>
      </c>
      <c r="BK8">
        <f t="shared" ca="1" si="8"/>
        <v>1</v>
      </c>
      <c r="BL8">
        <f t="shared" ca="1" si="8"/>
        <v>1</v>
      </c>
      <c r="BM8">
        <f t="shared" ca="1" si="8"/>
        <v>1</v>
      </c>
      <c r="BN8">
        <f t="shared" ca="1" si="8"/>
        <v>1</v>
      </c>
      <c r="BO8">
        <f t="shared" ca="1" si="8"/>
        <v>1</v>
      </c>
    </row>
    <row r="9" spans="4:67" x14ac:dyDescent="0.25">
      <c r="G9">
        <f t="shared" ca="1" si="1"/>
        <v>1</v>
      </c>
      <c r="H9" t="e">
        <f t="shared" ca="1" si="5"/>
        <v>#REF!</v>
      </c>
      <c r="I9" t="e">
        <f t="shared" ca="1" si="6"/>
        <v>#REF!</v>
      </c>
      <c r="J9">
        <f t="shared" ca="1" si="1"/>
        <v>1</v>
      </c>
      <c r="K9">
        <f t="shared" ca="1" si="1"/>
        <v>1</v>
      </c>
      <c r="L9">
        <f t="shared" ca="1" si="1"/>
        <v>1</v>
      </c>
      <c r="M9">
        <f t="shared" ca="1" si="1"/>
        <v>1</v>
      </c>
      <c r="N9">
        <f t="shared" ca="1" si="1"/>
        <v>1</v>
      </c>
      <c r="O9">
        <f t="shared" ca="1" si="1"/>
        <v>1</v>
      </c>
      <c r="P9">
        <f t="shared" ca="1" si="1"/>
        <v>1</v>
      </c>
      <c r="Q9">
        <f t="shared" ca="1" si="1"/>
        <v>1</v>
      </c>
      <c r="R9">
        <f t="shared" ca="1" si="1"/>
        <v>1</v>
      </c>
      <c r="S9">
        <f t="shared" ca="1" si="1"/>
        <v>1</v>
      </c>
      <c r="T9">
        <f t="shared" ca="1" si="1"/>
        <v>1</v>
      </c>
      <c r="U9">
        <f t="shared" ca="1" si="2"/>
        <v>1</v>
      </c>
      <c r="V9">
        <f t="shared" ca="1" si="2"/>
        <v>1</v>
      </c>
      <c r="W9">
        <f t="shared" ca="1" si="2"/>
        <v>1</v>
      </c>
      <c r="X9">
        <f t="shared" ca="1" si="2"/>
        <v>1</v>
      </c>
      <c r="Y9">
        <f t="shared" ca="1" si="2"/>
        <v>1</v>
      </c>
      <c r="Z9">
        <f t="shared" ca="1" si="2"/>
        <v>1</v>
      </c>
      <c r="AA9">
        <f t="shared" ca="1" si="2"/>
        <v>1</v>
      </c>
      <c r="AB9">
        <f t="shared" ca="1" si="2"/>
        <v>1</v>
      </c>
      <c r="AC9">
        <f t="shared" ca="1" si="2"/>
        <v>1</v>
      </c>
      <c r="AD9">
        <f t="shared" ca="1" si="2"/>
        <v>1</v>
      </c>
      <c r="AE9">
        <f t="shared" ca="1" si="2"/>
        <v>1</v>
      </c>
      <c r="AF9">
        <f t="shared" ca="1" si="2"/>
        <v>1</v>
      </c>
      <c r="AG9">
        <f t="shared" ca="1" si="3"/>
        <v>1</v>
      </c>
      <c r="AH9">
        <f t="shared" ca="1" si="3"/>
        <v>1</v>
      </c>
      <c r="AI9">
        <f t="shared" ca="1" si="3"/>
        <v>1</v>
      </c>
      <c r="AJ9">
        <f t="shared" ca="1" si="3"/>
        <v>1</v>
      </c>
      <c r="AK9">
        <f t="shared" ca="1" si="3"/>
        <v>1</v>
      </c>
      <c r="AL9">
        <f t="shared" ca="1" si="3"/>
        <v>1</v>
      </c>
      <c r="AM9">
        <f t="shared" ca="1" si="3"/>
        <v>1</v>
      </c>
      <c r="AN9">
        <f t="shared" ca="1" si="3"/>
        <v>1</v>
      </c>
      <c r="AO9">
        <f t="shared" ca="1" si="3"/>
        <v>1</v>
      </c>
      <c r="AP9">
        <f t="shared" ca="1" si="7"/>
        <v>1</v>
      </c>
      <c r="AQ9">
        <f t="shared" ca="1" si="7"/>
        <v>1</v>
      </c>
      <c r="AR9">
        <f t="shared" ca="1" si="7"/>
        <v>1</v>
      </c>
      <c r="AS9">
        <f t="shared" ca="1" si="7"/>
        <v>1</v>
      </c>
      <c r="AT9">
        <f t="shared" ca="1" si="7"/>
        <v>1</v>
      </c>
      <c r="AU9">
        <f t="shared" ca="1" si="7"/>
        <v>1</v>
      </c>
      <c r="AV9">
        <f t="shared" ca="1" si="7"/>
        <v>1</v>
      </c>
      <c r="AW9">
        <f t="shared" ca="1" si="7"/>
        <v>1</v>
      </c>
      <c r="AX9">
        <f t="shared" ca="1" si="7"/>
        <v>1</v>
      </c>
      <c r="AY9">
        <f t="shared" ca="1" si="7"/>
        <v>1</v>
      </c>
      <c r="AZ9">
        <f t="shared" ca="1" si="7"/>
        <v>1</v>
      </c>
      <c r="BA9">
        <f t="shared" ca="1" si="7"/>
        <v>1</v>
      </c>
      <c r="BB9">
        <f t="shared" ca="1" si="7"/>
        <v>1</v>
      </c>
      <c r="BC9">
        <f t="shared" ca="1" si="8"/>
        <v>1</v>
      </c>
      <c r="BD9">
        <f t="shared" ca="1" si="8"/>
        <v>1</v>
      </c>
      <c r="BE9">
        <f t="shared" ca="1" si="8"/>
        <v>1</v>
      </c>
      <c r="BF9">
        <f t="shared" ca="1" si="8"/>
        <v>1</v>
      </c>
      <c r="BG9">
        <f t="shared" ca="1" si="8"/>
        <v>1</v>
      </c>
      <c r="BH9">
        <f t="shared" ca="1" si="8"/>
        <v>1</v>
      </c>
      <c r="BI9">
        <f t="shared" ca="1" si="8"/>
        <v>1</v>
      </c>
      <c r="BJ9">
        <f t="shared" ca="1" si="8"/>
        <v>1</v>
      </c>
      <c r="BK9">
        <f t="shared" ca="1" si="8"/>
        <v>1</v>
      </c>
      <c r="BL9">
        <f t="shared" ca="1" si="8"/>
        <v>1</v>
      </c>
      <c r="BM9">
        <f t="shared" ca="1" si="8"/>
        <v>1</v>
      </c>
      <c r="BN9">
        <f t="shared" ca="1" si="8"/>
        <v>1</v>
      </c>
      <c r="BO9">
        <f t="shared" ca="1" si="8"/>
        <v>1</v>
      </c>
    </row>
    <row r="10" spans="4:67" x14ac:dyDescent="0.25">
      <c r="G10">
        <f t="shared" ca="1" si="1"/>
        <v>1</v>
      </c>
      <c r="H10" t="e">
        <f t="shared" ca="1" si="5"/>
        <v>#REF!</v>
      </c>
      <c r="I10" t="e">
        <f t="shared" ca="1" si="6"/>
        <v>#REF!</v>
      </c>
      <c r="J10">
        <f t="shared" ca="1" si="1"/>
        <v>1</v>
      </c>
      <c r="K10">
        <f t="shared" ca="1" si="1"/>
        <v>1</v>
      </c>
      <c r="L10">
        <f t="shared" ca="1" si="1"/>
        <v>1</v>
      </c>
      <c r="M10">
        <f t="shared" ca="1" si="1"/>
        <v>1</v>
      </c>
      <c r="N10">
        <f t="shared" ca="1" si="1"/>
        <v>1</v>
      </c>
      <c r="O10">
        <f t="shared" ca="1" si="1"/>
        <v>1</v>
      </c>
      <c r="P10">
        <f t="shared" ca="1" si="1"/>
        <v>1</v>
      </c>
      <c r="Q10">
        <f t="shared" ca="1" si="1"/>
        <v>1</v>
      </c>
      <c r="R10">
        <f t="shared" ca="1" si="1"/>
        <v>1</v>
      </c>
      <c r="S10">
        <f t="shared" ca="1" si="1"/>
        <v>1</v>
      </c>
      <c r="T10">
        <f t="shared" ca="1" si="1"/>
        <v>1</v>
      </c>
      <c r="U10">
        <f t="shared" ca="1" si="2"/>
        <v>1</v>
      </c>
      <c r="V10">
        <f t="shared" ca="1" si="2"/>
        <v>1</v>
      </c>
      <c r="W10">
        <f t="shared" ca="1" si="2"/>
        <v>1</v>
      </c>
      <c r="X10">
        <f t="shared" ca="1" si="2"/>
        <v>1</v>
      </c>
      <c r="Y10">
        <f t="shared" ca="1" si="2"/>
        <v>1</v>
      </c>
      <c r="Z10">
        <f t="shared" ca="1" si="2"/>
        <v>1</v>
      </c>
      <c r="AA10">
        <f t="shared" ca="1" si="2"/>
        <v>1</v>
      </c>
      <c r="AB10">
        <f t="shared" ca="1" si="2"/>
        <v>1</v>
      </c>
      <c r="AC10">
        <f t="shared" ca="1" si="2"/>
        <v>1</v>
      </c>
      <c r="AD10">
        <f t="shared" ca="1" si="2"/>
        <v>1</v>
      </c>
      <c r="AE10">
        <f t="shared" ca="1" si="2"/>
        <v>1</v>
      </c>
      <c r="AF10">
        <f t="shared" ca="1" si="2"/>
        <v>1</v>
      </c>
      <c r="AG10">
        <f t="shared" ca="1" si="3"/>
        <v>1</v>
      </c>
      <c r="AH10">
        <f t="shared" ca="1" si="3"/>
        <v>1</v>
      </c>
      <c r="AI10">
        <f t="shared" ca="1" si="3"/>
        <v>1</v>
      </c>
      <c r="AJ10">
        <f t="shared" ca="1" si="3"/>
        <v>1</v>
      </c>
      <c r="AK10">
        <f t="shared" ca="1" si="3"/>
        <v>1</v>
      </c>
      <c r="AL10">
        <f t="shared" ca="1" si="3"/>
        <v>1</v>
      </c>
      <c r="AM10">
        <f t="shared" ca="1" si="3"/>
        <v>1</v>
      </c>
      <c r="AN10">
        <f t="shared" ca="1" si="3"/>
        <v>1</v>
      </c>
      <c r="AO10">
        <f t="shared" ca="1" si="3"/>
        <v>1</v>
      </c>
      <c r="AP10">
        <f t="shared" ca="1" si="7"/>
        <v>1</v>
      </c>
      <c r="AQ10">
        <f t="shared" ca="1" si="7"/>
        <v>1</v>
      </c>
      <c r="AR10">
        <f t="shared" ca="1" si="7"/>
        <v>1</v>
      </c>
      <c r="AS10">
        <f t="shared" ca="1" si="7"/>
        <v>1</v>
      </c>
      <c r="AT10">
        <f t="shared" ca="1" si="7"/>
        <v>1</v>
      </c>
      <c r="AU10">
        <f t="shared" ca="1" si="7"/>
        <v>1</v>
      </c>
      <c r="AV10">
        <f t="shared" ca="1" si="7"/>
        <v>1</v>
      </c>
      <c r="AW10">
        <f t="shared" ca="1" si="7"/>
        <v>1</v>
      </c>
      <c r="AX10">
        <f t="shared" ca="1" si="7"/>
        <v>1</v>
      </c>
      <c r="AY10">
        <f t="shared" ca="1" si="7"/>
        <v>1</v>
      </c>
      <c r="AZ10">
        <f t="shared" ca="1" si="7"/>
        <v>1</v>
      </c>
      <c r="BA10">
        <f t="shared" ca="1" si="7"/>
        <v>1</v>
      </c>
      <c r="BB10">
        <f t="shared" ca="1" si="7"/>
        <v>1</v>
      </c>
      <c r="BC10">
        <f t="shared" ca="1" si="8"/>
        <v>1</v>
      </c>
      <c r="BD10">
        <f t="shared" ca="1" si="8"/>
        <v>1</v>
      </c>
      <c r="BE10">
        <f t="shared" ca="1" si="8"/>
        <v>1</v>
      </c>
      <c r="BF10">
        <f t="shared" ca="1" si="8"/>
        <v>1</v>
      </c>
      <c r="BG10">
        <f t="shared" ca="1" si="8"/>
        <v>1</v>
      </c>
      <c r="BH10">
        <f t="shared" ca="1" si="8"/>
        <v>1</v>
      </c>
      <c r="BI10">
        <f t="shared" ca="1" si="8"/>
        <v>1</v>
      </c>
      <c r="BJ10">
        <f t="shared" ca="1" si="8"/>
        <v>1</v>
      </c>
      <c r="BK10">
        <f t="shared" ca="1" si="8"/>
        <v>1</v>
      </c>
      <c r="BL10">
        <f t="shared" ca="1" si="8"/>
        <v>1</v>
      </c>
      <c r="BM10">
        <f t="shared" ca="1" si="8"/>
        <v>1</v>
      </c>
      <c r="BN10">
        <f t="shared" ca="1" si="8"/>
        <v>1</v>
      </c>
      <c r="BO10">
        <f t="shared" ca="1" si="8"/>
        <v>1</v>
      </c>
    </row>
    <row r="11" spans="4:67" x14ac:dyDescent="0.25">
      <c r="G11">
        <f t="shared" ca="1" si="1"/>
        <v>1</v>
      </c>
      <c r="H11" t="e">
        <f t="shared" ca="1" si="5"/>
        <v>#REF!</v>
      </c>
      <c r="I11" t="e">
        <f t="shared" ca="1" si="6"/>
        <v>#REF!</v>
      </c>
      <c r="J11">
        <f t="shared" ca="1" si="1"/>
        <v>1</v>
      </c>
      <c r="K11">
        <f t="shared" ca="1" si="1"/>
        <v>1</v>
      </c>
      <c r="L11">
        <f t="shared" ca="1" si="1"/>
        <v>1</v>
      </c>
      <c r="M11">
        <f t="shared" ca="1" si="1"/>
        <v>1</v>
      </c>
      <c r="N11">
        <f t="shared" ca="1" si="1"/>
        <v>1</v>
      </c>
      <c r="O11">
        <f t="shared" ca="1" si="1"/>
        <v>1</v>
      </c>
      <c r="P11">
        <f t="shared" ca="1" si="1"/>
        <v>1</v>
      </c>
      <c r="Q11">
        <f t="shared" ca="1" si="1"/>
        <v>1</v>
      </c>
      <c r="R11">
        <f t="shared" ca="1" si="1"/>
        <v>1</v>
      </c>
      <c r="S11">
        <f t="shared" ca="1" si="1"/>
        <v>1</v>
      </c>
      <c r="T11">
        <f t="shared" ca="1" si="1"/>
        <v>1</v>
      </c>
      <c r="U11">
        <f t="shared" ca="1" si="2"/>
        <v>1</v>
      </c>
      <c r="V11">
        <f t="shared" ca="1" si="2"/>
        <v>1</v>
      </c>
      <c r="W11">
        <f t="shared" ca="1" si="2"/>
        <v>1</v>
      </c>
      <c r="X11">
        <f t="shared" ca="1" si="2"/>
        <v>1</v>
      </c>
      <c r="Y11">
        <f t="shared" ca="1" si="2"/>
        <v>1</v>
      </c>
      <c r="Z11">
        <f t="shared" ca="1" si="2"/>
        <v>1</v>
      </c>
      <c r="AA11">
        <f t="shared" ca="1" si="2"/>
        <v>1</v>
      </c>
      <c r="AB11">
        <f t="shared" ca="1" si="2"/>
        <v>1</v>
      </c>
      <c r="AC11">
        <f t="shared" ca="1" si="2"/>
        <v>1</v>
      </c>
      <c r="AD11">
        <f t="shared" ca="1" si="2"/>
        <v>1</v>
      </c>
      <c r="AE11">
        <f t="shared" ca="1" si="2"/>
        <v>1</v>
      </c>
      <c r="AF11">
        <f t="shared" ca="1" si="2"/>
        <v>1</v>
      </c>
      <c r="AG11">
        <f t="shared" ca="1" si="3"/>
        <v>1</v>
      </c>
      <c r="AH11">
        <f t="shared" ca="1" si="3"/>
        <v>1</v>
      </c>
      <c r="AI11">
        <f t="shared" ca="1" si="3"/>
        <v>1</v>
      </c>
      <c r="AJ11">
        <f t="shared" ca="1" si="3"/>
        <v>1</v>
      </c>
      <c r="AK11">
        <f t="shared" ca="1" si="3"/>
        <v>1</v>
      </c>
      <c r="AL11">
        <f t="shared" ca="1" si="3"/>
        <v>1</v>
      </c>
      <c r="AM11">
        <f t="shared" ca="1" si="3"/>
        <v>1</v>
      </c>
      <c r="AN11">
        <f t="shared" ca="1" si="3"/>
        <v>1</v>
      </c>
      <c r="AO11">
        <f t="shared" ca="1" si="3"/>
        <v>1</v>
      </c>
      <c r="AP11">
        <f t="shared" ca="1" si="7"/>
        <v>1</v>
      </c>
      <c r="AQ11">
        <f t="shared" ca="1" si="7"/>
        <v>1</v>
      </c>
      <c r="AR11">
        <f t="shared" ca="1" si="7"/>
        <v>1</v>
      </c>
      <c r="AS11">
        <f t="shared" ca="1" si="7"/>
        <v>1</v>
      </c>
      <c r="AT11">
        <f t="shared" ca="1" si="7"/>
        <v>1</v>
      </c>
      <c r="AU11">
        <f t="shared" ca="1" si="7"/>
        <v>1</v>
      </c>
      <c r="AV11">
        <f t="shared" ca="1" si="7"/>
        <v>1</v>
      </c>
      <c r="AW11">
        <f t="shared" ca="1" si="7"/>
        <v>1</v>
      </c>
      <c r="AX11">
        <f t="shared" ca="1" si="7"/>
        <v>1</v>
      </c>
      <c r="AY11">
        <f t="shared" ca="1" si="7"/>
        <v>1</v>
      </c>
      <c r="AZ11">
        <f t="shared" ca="1" si="7"/>
        <v>1</v>
      </c>
      <c r="BA11">
        <f t="shared" ca="1" si="7"/>
        <v>1</v>
      </c>
      <c r="BB11">
        <f t="shared" ca="1" si="7"/>
        <v>1</v>
      </c>
      <c r="BC11">
        <f t="shared" ca="1" si="8"/>
        <v>1</v>
      </c>
      <c r="BD11">
        <f t="shared" ca="1" si="8"/>
        <v>1</v>
      </c>
      <c r="BE11">
        <f t="shared" ca="1" si="8"/>
        <v>1</v>
      </c>
      <c r="BF11">
        <f t="shared" ca="1" si="8"/>
        <v>1</v>
      </c>
      <c r="BG11">
        <f t="shared" ca="1" si="8"/>
        <v>1</v>
      </c>
      <c r="BH11">
        <f t="shared" ca="1" si="8"/>
        <v>1</v>
      </c>
      <c r="BI11">
        <f t="shared" ca="1" si="8"/>
        <v>1</v>
      </c>
      <c r="BJ11">
        <f t="shared" ca="1" si="8"/>
        <v>1</v>
      </c>
      <c r="BK11">
        <f t="shared" ca="1" si="8"/>
        <v>1</v>
      </c>
      <c r="BL11">
        <f t="shared" ca="1" si="8"/>
        <v>1</v>
      </c>
      <c r="BM11">
        <f t="shared" ca="1" si="8"/>
        <v>1</v>
      </c>
      <c r="BN11">
        <f t="shared" ca="1" si="8"/>
        <v>1</v>
      </c>
      <c r="BO11">
        <f t="shared" ca="1" si="8"/>
        <v>1</v>
      </c>
    </row>
    <row r="12" spans="4:67" x14ac:dyDescent="0.25">
      <c r="G12">
        <f t="shared" ca="1" si="1"/>
        <v>1</v>
      </c>
      <c r="H12" t="e">
        <f t="shared" ca="1" si="5"/>
        <v>#REF!</v>
      </c>
      <c r="I12" t="e">
        <f t="shared" ca="1" si="6"/>
        <v>#REF!</v>
      </c>
      <c r="J12">
        <f t="shared" ca="1" si="1"/>
        <v>1</v>
      </c>
      <c r="K12">
        <f t="shared" ca="1" si="1"/>
        <v>1</v>
      </c>
      <c r="L12">
        <f t="shared" ca="1" si="1"/>
        <v>1</v>
      </c>
      <c r="M12">
        <f t="shared" ca="1" si="1"/>
        <v>1</v>
      </c>
      <c r="N12">
        <f t="shared" ca="1" si="1"/>
        <v>1</v>
      </c>
      <c r="O12">
        <f t="shared" ca="1" si="1"/>
        <v>1</v>
      </c>
      <c r="P12">
        <f t="shared" ca="1" si="1"/>
        <v>1</v>
      </c>
      <c r="Q12">
        <f t="shared" ca="1" si="1"/>
        <v>1</v>
      </c>
      <c r="R12">
        <f t="shared" ca="1" si="1"/>
        <v>1</v>
      </c>
      <c r="S12">
        <f t="shared" ca="1" si="1"/>
        <v>1</v>
      </c>
      <c r="T12">
        <f t="shared" ca="1" si="1"/>
        <v>1</v>
      </c>
      <c r="U12">
        <f t="shared" ca="1" si="2"/>
        <v>1</v>
      </c>
      <c r="V12">
        <f t="shared" ca="1" si="2"/>
        <v>1</v>
      </c>
      <c r="W12">
        <f t="shared" ca="1" si="2"/>
        <v>1</v>
      </c>
      <c r="X12">
        <f t="shared" ca="1" si="2"/>
        <v>1</v>
      </c>
      <c r="Y12">
        <f t="shared" ca="1" si="2"/>
        <v>1</v>
      </c>
      <c r="Z12">
        <f t="shared" ca="1" si="2"/>
        <v>1</v>
      </c>
      <c r="AA12">
        <f t="shared" ca="1" si="2"/>
        <v>1</v>
      </c>
      <c r="AB12">
        <f t="shared" ca="1" si="2"/>
        <v>1</v>
      </c>
      <c r="AC12">
        <f t="shared" ca="1" si="2"/>
        <v>1</v>
      </c>
      <c r="AD12">
        <f t="shared" ca="1" si="2"/>
        <v>1</v>
      </c>
      <c r="AE12">
        <f t="shared" ca="1" si="2"/>
        <v>1</v>
      </c>
      <c r="AF12">
        <f t="shared" ca="1" si="2"/>
        <v>1</v>
      </c>
      <c r="AG12">
        <f t="shared" ca="1" si="3"/>
        <v>1</v>
      </c>
      <c r="AH12">
        <f t="shared" ca="1" si="3"/>
        <v>1</v>
      </c>
      <c r="AI12">
        <f t="shared" ca="1" si="3"/>
        <v>1</v>
      </c>
      <c r="AJ12">
        <f t="shared" ca="1" si="3"/>
        <v>1</v>
      </c>
      <c r="AK12">
        <f t="shared" ca="1" si="3"/>
        <v>1</v>
      </c>
      <c r="AL12">
        <f t="shared" ca="1" si="3"/>
        <v>1</v>
      </c>
      <c r="AM12">
        <f t="shared" ca="1" si="3"/>
        <v>1</v>
      </c>
      <c r="AN12">
        <f t="shared" ca="1" si="3"/>
        <v>1</v>
      </c>
      <c r="AO12">
        <f t="shared" ca="1" si="3"/>
        <v>1</v>
      </c>
      <c r="AP12">
        <f t="shared" ca="1" si="7"/>
        <v>1</v>
      </c>
      <c r="AQ12">
        <f t="shared" ca="1" si="7"/>
        <v>1</v>
      </c>
      <c r="AR12">
        <f t="shared" ca="1" si="7"/>
        <v>1</v>
      </c>
      <c r="AS12">
        <f t="shared" ca="1" si="7"/>
        <v>1</v>
      </c>
      <c r="AT12">
        <f t="shared" ca="1" si="7"/>
        <v>1</v>
      </c>
      <c r="AU12">
        <f t="shared" ca="1" si="7"/>
        <v>1</v>
      </c>
      <c r="AV12">
        <f t="shared" ca="1" si="7"/>
        <v>1</v>
      </c>
      <c r="AW12">
        <f t="shared" ca="1" si="7"/>
        <v>1</v>
      </c>
      <c r="AX12">
        <f t="shared" ca="1" si="7"/>
        <v>1</v>
      </c>
      <c r="AY12">
        <f t="shared" ca="1" si="7"/>
        <v>1</v>
      </c>
      <c r="AZ12">
        <f t="shared" ca="1" si="7"/>
        <v>1</v>
      </c>
      <c r="BA12">
        <f t="shared" ca="1" si="7"/>
        <v>1</v>
      </c>
      <c r="BB12">
        <f t="shared" ca="1" si="7"/>
        <v>1</v>
      </c>
      <c r="BC12">
        <f t="shared" ca="1" si="8"/>
        <v>1</v>
      </c>
      <c r="BD12">
        <f t="shared" ca="1" si="8"/>
        <v>1</v>
      </c>
      <c r="BE12">
        <f t="shared" ca="1" si="8"/>
        <v>1</v>
      </c>
      <c r="BF12">
        <f t="shared" ca="1" si="8"/>
        <v>1</v>
      </c>
      <c r="BG12">
        <f t="shared" ca="1" si="8"/>
        <v>1</v>
      </c>
      <c r="BH12">
        <f t="shared" ca="1" si="8"/>
        <v>1</v>
      </c>
      <c r="BI12">
        <f t="shared" ca="1" si="8"/>
        <v>1</v>
      </c>
      <c r="BJ12">
        <f t="shared" ca="1" si="8"/>
        <v>1</v>
      </c>
      <c r="BK12">
        <f t="shared" ca="1" si="8"/>
        <v>1</v>
      </c>
      <c r="BL12">
        <f t="shared" ca="1" si="8"/>
        <v>1</v>
      </c>
      <c r="BM12">
        <f t="shared" ca="1" si="8"/>
        <v>1</v>
      </c>
      <c r="BN12">
        <f t="shared" ca="1" si="8"/>
        <v>1</v>
      </c>
      <c r="BO12">
        <f t="shared" ca="1" si="8"/>
        <v>1</v>
      </c>
    </row>
    <row r="13" spans="4:67" x14ac:dyDescent="0.25">
      <c r="G13">
        <f t="shared" ca="1" si="1"/>
        <v>1</v>
      </c>
      <c r="H13" t="e">
        <f t="shared" ca="1" si="5"/>
        <v>#REF!</v>
      </c>
      <c r="I13" t="e">
        <f t="shared" ca="1" si="6"/>
        <v>#REF!</v>
      </c>
      <c r="J13">
        <f t="shared" ca="1" si="1"/>
        <v>1</v>
      </c>
      <c r="K13">
        <f t="shared" ca="1" si="1"/>
        <v>1</v>
      </c>
      <c r="L13">
        <f t="shared" ca="1" si="1"/>
        <v>1</v>
      </c>
      <c r="M13">
        <f t="shared" ca="1" si="1"/>
        <v>1</v>
      </c>
      <c r="N13">
        <f t="shared" ca="1" si="1"/>
        <v>1</v>
      </c>
      <c r="O13">
        <f t="shared" ca="1" si="1"/>
        <v>1</v>
      </c>
      <c r="P13">
        <f t="shared" ca="1" si="1"/>
        <v>1</v>
      </c>
      <c r="Q13">
        <f t="shared" ca="1" si="1"/>
        <v>1</v>
      </c>
      <c r="R13">
        <f t="shared" ca="1" si="1"/>
        <v>1</v>
      </c>
      <c r="S13">
        <f t="shared" ca="1" si="1"/>
        <v>1</v>
      </c>
      <c r="T13">
        <f t="shared" ca="1" si="1"/>
        <v>1</v>
      </c>
      <c r="U13">
        <f t="shared" ca="1" si="2"/>
        <v>1</v>
      </c>
      <c r="V13">
        <f t="shared" ca="1" si="2"/>
        <v>1</v>
      </c>
      <c r="W13">
        <f t="shared" ca="1" si="2"/>
        <v>1</v>
      </c>
      <c r="X13">
        <f t="shared" ca="1" si="2"/>
        <v>1</v>
      </c>
      <c r="Y13">
        <f t="shared" ca="1" si="2"/>
        <v>1</v>
      </c>
      <c r="Z13">
        <f t="shared" ca="1" si="2"/>
        <v>1</v>
      </c>
      <c r="AA13">
        <f t="shared" ca="1" si="2"/>
        <v>1</v>
      </c>
      <c r="AB13">
        <f t="shared" ca="1" si="2"/>
        <v>1</v>
      </c>
      <c r="AC13">
        <f t="shared" ca="1" si="2"/>
        <v>1</v>
      </c>
      <c r="AD13">
        <f t="shared" ca="1" si="2"/>
        <v>1</v>
      </c>
      <c r="AE13">
        <f t="shared" ca="1" si="2"/>
        <v>1</v>
      </c>
      <c r="AF13">
        <f t="shared" ca="1" si="2"/>
        <v>1</v>
      </c>
      <c r="AG13">
        <f t="shared" ca="1" si="3"/>
        <v>1</v>
      </c>
      <c r="AH13">
        <f t="shared" ca="1" si="3"/>
        <v>1</v>
      </c>
      <c r="AI13">
        <f t="shared" ca="1" si="3"/>
        <v>1</v>
      </c>
      <c r="AJ13">
        <f t="shared" ca="1" si="3"/>
        <v>1</v>
      </c>
      <c r="AK13">
        <f t="shared" ca="1" si="3"/>
        <v>1</v>
      </c>
      <c r="AL13">
        <f t="shared" ca="1" si="3"/>
        <v>1</v>
      </c>
      <c r="AM13">
        <f t="shared" ca="1" si="3"/>
        <v>1</v>
      </c>
      <c r="AN13">
        <f t="shared" ca="1" si="3"/>
        <v>1</v>
      </c>
      <c r="AO13">
        <f t="shared" ca="1" si="3"/>
        <v>1</v>
      </c>
      <c r="AP13">
        <f t="shared" ca="1" si="7"/>
        <v>1</v>
      </c>
      <c r="AQ13">
        <f t="shared" ca="1" si="7"/>
        <v>1</v>
      </c>
      <c r="AR13">
        <f t="shared" ca="1" si="7"/>
        <v>1</v>
      </c>
      <c r="AS13">
        <f t="shared" ca="1" si="7"/>
        <v>1</v>
      </c>
      <c r="AT13">
        <f t="shared" ca="1" si="7"/>
        <v>1</v>
      </c>
      <c r="AU13">
        <f t="shared" ca="1" si="7"/>
        <v>1</v>
      </c>
      <c r="AV13">
        <f t="shared" ca="1" si="7"/>
        <v>1</v>
      </c>
      <c r="AW13">
        <f t="shared" ca="1" si="7"/>
        <v>1</v>
      </c>
      <c r="AX13">
        <f t="shared" ca="1" si="7"/>
        <v>1</v>
      </c>
      <c r="AY13">
        <f t="shared" ca="1" si="7"/>
        <v>1</v>
      </c>
      <c r="AZ13">
        <f t="shared" ca="1" si="7"/>
        <v>1</v>
      </c>
      <c r="BA13">
        <f t="shared" ca="1" si="7"/>
        <v>1</v>
      </c>
      <c r="BB13">
        <f t="shared" ca="1" si="7"/>
        <v>1</v>
      </c>
      <c r="BC13">
        <f t="shared" ca="1" si="8"/>
        <v>1</v>
      </c>
      <c r="BD13">
        <f t="shared" ca="1" si="8"/>
        <v>1</v>
      </c>
      <c r="BE13">
        <f t="shared" ca="1" si="8"/>
        <v>1</v>
      </c>
      <c r="BF13">
        <f t="shared" ca="1" si="8"/>
        <v>1</v>
      </c>
      <c r="BG13">
        <f t="shared" ca="1" si="8"/>
        <v>1</v>
      </c>
      <c r="BH13">
        <f t="shared" ca="1" si="8"/>
        <v>1</v>
      </c>
      <c r="BI13">
        <f t="shared" ca="1" si="8"/>
        <v>1</v>
      </c>
      <c r="BJ13">
        <f t="shared" ca="1" si="8"/>
        <v>1</v>
      </c>
      <c r="BK13">
        <f t="shared" ca="1" si="8"/>
        <v>1</v>
      </c>
      <c r="BL13">
        <f t="shared" ca="1" si="8"/>
        <v>1</v>
      </c>
      <c r="BM13">
        <f t="shared" ca="1" si="8"/>
        <v>1</v>
      </c>
      <c r="BN13">
        <f t="shared" ca="1" si="8"/>
        <v>1</v>
      </c>
      <c r="BO13">
        <f t="shared" ca="1" si="8"/>
        <v>1</v>
      </c>
    </row>
    <row r="14" spans="4:67" x14ac:dyDescent="0.25">
      <c r="G14">
        <f t="shared" ca="1" si="1"/>
        <v>1</v>
      </c>
      <c r="H14" t="e">
        <f t="shared" ca="1" si="5"/>
        <v>#REF!</v>
      </c>
      <c r="I14" t="e">
        <f t="shared" ca="1" si="6"/>
        <v>#REF!</v>
      </c>
      <c r="J14">
        <f t="shared" ca="1" si="1"/>
        <v>1</v>
      </c>
      <c r="K14">
        <f t="shared" ca="1" si="1"/>
        <v>1</v>
      </c>
      <c r="L14">
        <f t="shared" ca="1" si="1"/>
        <v>1</v>
      </c>
      <c r="M14">
        <f t="shared" ca="1" si="1"/>
        <v>1</v>
      </c>
      <c r="N14">
        <f t="shared" ca="1" si="1"/>
        <v>1</v>
      </c>
      <c r="O14">
        <f t="shared" ca="1" si="1"/>
        <v>1</v>
      </c>
      <c r="P14">
        <f t="shared" ca="1" si="1"/>
        <v>1</v>
      </c>
      <c r="Q14">
        <f t="shared" ca="1" si="1"/>
        <v>1</v>
      </c>
      <c r="R14">
        <f t="shared" ca="1" si="1"/>
        <v>1</v>
      </c>
      <c r="S14">
        <f t="shared" ca="1" si="1"/>
        <v>1</v>
      </c>
      <c r="T14">
        <f t="shared" ca="1" si="1"/>
        <v>1</v>
      </c>
      <c r="U14">
        <f t="shared" ca="1" si="2"/>
        <v>1</v>
      </c>
      <c r="V14">
        <f t="shared" ca="1" si="2"/>
        <v>1</v>
      </c>
      <c r="W14">
        <f t="shared" ca="1" si="2"/>
        <v>1</v>
      </c>
      <c r="X14">
        <f t="shared" ca="1" si="2"/>
        <v>1</v>
      </c>
      <c r="Y14">
        <f t="shared" ca="1" si="2"/>
        <v>1</v>
      </c>
      <c r="Z14">
        <f t="shared" ca="1" si="2"/>
        <v>1</v>
      </c>
      <c r="AA14">
        <f t="shared" ca="1" si="2"/>
        <v>1</v>
      </c>
      <c r="AB14">
        <f t="shared" ca="1" si="2"/>
        <v>1</v>
      </c>
      <c r="AC14">
        <f t="shared" ca="1" si="2"/>
        <v>1</v>
      </c>
      <c r="AD14">
        <f t="shared" ca="1" si="2"/>
        <v>1</v>
      </c>
      <c r="AE14">
        <f t="shared" ca="1" si="2"/>
        <v>1</v>
      </c>
      <c r="AF14">
        <f t="shared" ca="1" si="2"/>
        <v>1</v>
      </c>
      <c r="AG14">
        <f t="shared" ca="1" si="3"/>
        <v>1</v>
      </c>
      <c r="AH14">
        <f t="shared" ca="1" si="3"/>
        <v>1</v>
      </c>
      <c r="AI14">
        <f t="shared" ca="1" si="3"/>
        <v>1</v>
      </c>
      <c r="AJ14">
        <f t="shared" ca="1" si="3"/>
        <v>1</v>
      </c>
      <c r="AK14">
        <f t="shared" ca="1" si="3"/>
        <v>1</v>
      </c>
      <c r="AL14">
        <f t="shared" ca="1" si="3"/>
        <v>1</v>
      </c>
      <c r="AM14">
        <f t="shared" ca="1" si="3"/>
        <v>1</v>
      </c>
      <c r="AN14">
        <f t="shared" ca="1" si="3"/>
        <v>1</v>
      </c>
      <c r="AO14">
        <f t="shared" ca="1" si="3"/>
        <v>1</v>
      </c>
      <c r="AP14">
        <f t="shared" ca="1" si="7"/>
        <v>1</v>
      </c>
      <c r="AQ14">
        <f t="shared" ca="1" si="7"/>
        <v>1</v>
      </c>
      <c r="AR14">
        <f t="shared" ca="1" si="7"/>
        <v>1</v>
      </c>
      <c r="AS14">
        <f t="shared" ca="1" si="7"/>
        <v>1</v>
      </c>
      <c r="AT14">
        <f t="shared" ca="1" si="7"/>
        <v>1</v>
      </c>
      <c r="AU14">
        <f t="shared" ca="1" si="7"/>
        <v>1</v>
      </c>
      <c r="AV14">
        <f t="shared" ca="1" si="7"/>
        <v>1</v>
      </c>
      <c r="AW14">
        <f t="shared" ca="1" si="7"/>
        <v>1</v>
      </c>
      <c r="AX14">
        <f t="shared" ca="1" si="7"/>
        <v>1</v>
      </c>
      <c r="AY14">
        <f t="shared" ca="1" si="7"/>
        <v>1</v>
      </c>
      <c r="AZ14">
        <f t="shared" ca="1" si="7"/>
        <v>1</v>
      </c>
      <c r="BA14">
        <f t="shared" ca="1" si="7"/>
        <v>1</v>
      </c>
      <c r="BB14">
        <f t="shared" ca="1" si="7"/>
        <v>1</v>
      </c>
      <c r="BC14">
        <f t="shared" ca="1" si="8"/>
        <v>1</v>
      </c>
      <c r="BD14">
        <f t="shared" ca="1" si="8"/>
        <v>1</v>
      </c>
      <c r="BE14">
        <f t="shared" ca="1" si="8"/>
        <v>1</v>
      </c>
      <c r="BF14">
        <f t="shared" ca="1" si="8"/>
        <v>1</v>
      </c>
      <c r="BG14">
        <f t="shared" ca="1" si="8"/>
        <v>1</v>
      </c>
      <c r="BH14">
        <f t="shared" ca="1" si="8"/>
        <v>1</v>
      </c>
      <c r="BI14">
        <f t="shared" ca="1" si="8"/>
        <v>1</v>
      </c>
      <c r="BJ14">
        <f t="shared" ca="1" si="8"/>
        <v>1</v>
      </c>
      <c r="BK14">
        <f t="shared" ca="1" si="8"/>
        <v>1</v>
      </c>
      <c r="BL14">
        <f t="shared" ca="1" si="8"/>
        <v>1</v>
      </c>
      <c r="BM14">
        <f t="shared" ca="1" si="8"/>
        <v>1</v>
      </c>
      <c r="BN14">
        <f t="shared" ca="1" si="8"/>
        <v>1</v>
      </c>
      <c r="BO14">
        <f t="shared" ca="1" si="8"/>
        <v>1</v>
      </c>
    </row>
    <row r="15" spans="4:67" x14ac:dyDescent="0.25">
      <c r="G15">
        <f t="shared" ca="1" si="1"/>
        <v>1</v>
      </c>
      <c r="H15" t="e">
        <f t="shared" ca="1" si="5"/>
        <v>#REF!</v>
      </c>
      <c r="I15" t="e">
        <f t="shared" ca="1" si="6"/>
        <v>#REF!</v>
      </c>
      <c r="J15">
        <f t="shared" ca="1" si="1"/>
        <v>1</v>
      </c>
      <c r="K15">
        <f t="shared" ca="1" si="1"/>
        <v>1</v>
      </c>
      <c r="L15">
        <f t="shared" ca="1" si="1"/>
        <v>1</v>
      </c>
      <c r="M15">
        <f t="shared" ca="1" si="1"/>
        <v>1</v>
      </c>
      <c r="N15">
        <f t="shared" ca="1" si="1"/>
        <v>1</v>
      </c>
      <c r="O15">
        <f t="shared" ca="1" si="1"/>
        <v>1</v>
      </c>
      <c r="P15">
        <f t="shared" ca="1" si="1"/>
        <v>1</v>
      </c>
      <c r="Q15">
        <f t="shared" ca="1" si="1"/>
        <v>1</v>
      </c>
      <c r="R15">
        <f t="shared" ca="1" si="1"/>
        <v>1</v>
      </c>
      <c r="S15">
        <f t="shared" ca="1" si="1"/>
        <v>1</v>
      </c>
      <c r="T15">
        <f t="shared" ca="1" si="1"/>
        <v>1</v>
      </c>
      <c r="U15">
        <f t="shared" ca="1" si="2"/>
        <v>1</v>
      </c>
      <c r="V15">
        <f t="shared" ca="1" si="2"/>
        <v>1</v>
      </c>
      <c r="W15">
        <f t="shared" ca="1" si="2"/>
        <v>1</v>
      </c>
      <c r="X15">
        <f t="shared" ca="1" si="2"/>
        <v>1</v>
      </c>
      <c r="Y15">
        <f t="shared" ca="1" si="2"/>
        <v>1</v>
      </c>
      <c r="Z15">
        <f t="shared" ca="1" si="2"/>
        <v>1</v>
      </c>
      <c r="AA15">
        <f t="shared" ca="1" si="2"/>
        <v>1</v>
      </c>
      <c r="AB15">
        <f t="shared" ca="1" si="2"/>
        <v>1</v>
      </c>
      <c r="AC15">
        <f t="shared" ca="1" si="2"/>
        <v>1</v>
      </c>
      <c r="AD15">
        <f t="shared" ca="1" si="2"/>
        <v>1</v>
      </c>
      <c r="AE15">
        <f t="shared" ca="1" si="2"/>
        <v>1</v>
      </c>
      <c r="AF15">
        <f t="shared" ca="1" si="2"/>
        <v>1</v>
      </c>
      <c r="AG15">
        <f t="shared" ca="1" si="3"/>
        <v>1</v>
      </c>
      <c r="AH15">
        <f t="shared" ca="1" si="3"/>
        <v>1</v>
      </c>
      <c r="AI15">
        <f t="shared" ca="1" si="3"/>
        <v>1</v>
      </c>
      <c r="AJ15">
        <f t="shared" ca="1" si="3"/>
        <v>1</v>
      </c>
      <c r="AK15">
        <f t="shared" ca="1" si="3"/>
        <v>1</v>
      </c>
      <c r="AL15">
        <f t="shared" ca="1" si="3"/>
        <v>1</v>
      </c>
      <c r="AM15">
        <f t="shared" ca="1" si="3"/>
        <v>1</v>
      </c>
      <c r="AN15">
        <f t="shared" ca="1" si="3"/>
        <v>1</v>
      </c>
      <c r="AO15">
        <f t="shared" ca="1" si="3"/>
        <v>1</v>
      </c>
      <c r="AP15">
        <f t="shared" ca="1" si="7"/>
        <v>1</v>
      </c>
      <c r="AQ15">
        <f t="shared" ca="1" si="7"/>
        <v>1</v>
      </c>
      <c r="AR15">
        <f t="shared" ca="1" si="7"/>
        <v>1</v>
      </c>
      <c r="AS15">
        <f t="shared" ca="1" si="7"/>
        <v>1</v>
      </c>
      <c r="AT15">
        <f t="shared" ca="1" si="7"/>
        <v>1</v>
      </c>
      <c r="AU15">
        <f t="shared" ca="1" si="7"/>
        <v>1</v>
      </c>
      <c r="AV15">
        <f t="shared" ca="1" si="7"/>
        <v>1</v>
      </c>
      <c r="AW15">
        <f t="shared" ca="1" si="7"/>
        <v>1</v>
      </c>
      <c r="AX15">
        <f t="shared" ca="1" si="7"/>
        <v>1</v>
      </c>
      <c r="AY15">
        <f t="shared" ca="1" si="7"/>
        <v>1</v>
      </c>
      <c r="AZ15">
        <f t="shared" ca="1" si="7"/>
        <v>1</v>
      </c>
      <c r="BA15">
        <f t="shared" ca="1" si="7"/>
        <v>1</v>
      </c>
      <c r="BB15">
        <f t="shared" ca="1" si="7"/>
        <v>1</v>
      </c>
      <c r="BC15">
        <f t="shared" ca="1" si="8"/>
        <v>1</v>
      </c>
      <c r="BD15">
        <f t="shared" ca="1" si="8"/>
        <v>1</v>
      </c>
      <c r="BE15">
        <f t="shared" ca="1" si="8"/>
        <v>1</v>
      </c>
      <c r="BF15">
        <f t="shared" ca="1" si="8"/>
        <v>1</v>
      </c>
      <c r="BG15">
        <f t="shared" ca="1" si="8"/>
        <v>1</v>
      </c>
      <c r="BH15">
        <f t="shared" ca="1" si="8"/>
        <v>1</v>
      </c>
      <c r="BI15">
        <f t="shared" ca="1" si="8"/>
        <v>1</v>
      </c>
      <c r="BJ15">
        <f t="shared" ca="1" si="8"/>
        <v>1</v>
      </c>
      <c r="BK15">
        <f t="shared" ca="1" si="8"/>
        <v>1</v>
      </c>
      <c r="BL15">
        <f t="shared" ca="1" si="8"/>
        <v>1</v>
      </c>
      <c r="BM15">
        <f t="shared" ca="1" si="8"/>
        <v>1</v>
      </c>
      <c r="BN15">
        <f t="shared" ca="1" si="8"/>
        <v>1</v>
      </c>
      <c r="BO15">
        <f t="shared" ca="1" si="8"/>
        <v>1</v>
      </c>
    </row>
    <row r="16" spans="4:67" x14ac:dyDescent="0.25">
      <c r="G16">
        <f t="shared" ca="1" si="1"/>
        <v>1</v>
      </c>
      <c r="H16" t="e">
        <f t="shared" ca="1" si="5"/>
        <v>#REF!</v>
      </c>
      <c r="I16" t="e">
        <f t="shared" ca="1" si="6"/>
        <v>#REF!</v>
      </c>
      <c r="J16">
        <f t="shared" ref="J16:Y22" ca="1" si="9">COUNTA(INDIRECT(ADDRESS(ROW(),COLUMN(),,,$A$33)))</f>
        <v>1</v>
      </c>
      <c r="K16">
        <f t="shared" ca="1" si="9"/>
        <v>1</v>
      </c>
      <c r="L16">
        <f t="shared" ca="1" si="9"/>
        <v>1</v>
      </c>
      <c r="M16">
        <f t="shared" ca="1" si="9"/>
        <v>1</v>
      </c>
      <c r="N16">
        <f t="shared" ca="1" si="9"/>
        <v>1</v>
      </c>
      <c r="O16">
        <f t="shared" ca="1" si="9"/>
        <v>1</v>
      </c>
      <c r="P16">
        <f t="shared" ca="1" si="9"/>
        <v>1</v>
      </c>
      <c r="Q16">
        <f t="shared" ca="1" si="9"/>
        <v>1</v>
      </c>
      <c r="R16">
        <f t="shared" ca="1" si="9"/>
        <v>1</v>
      </c>
      <c r="S16">
        <f t="shared" ca="1" si="9"/>
        <v>1</v>
      </c>
      <c r="T16">
        <f t="shared" ca="1" si="9"/>
        <v>1</v>
      </c>
      <c r="U16">
        <f t="shared" ca="1" si="9"/>
        <v>1</v>
      </c>
      <c r="V16">
        <f t="shared" ca="1" si="9"/>
        <v>1</v>
      </c>
      <c r="W16">
        <f t="shared" ca="1" si="9"/>
        <v>1</v>
      </c>
      <c r="X16">
        <f t="shared" ca="1" si="9"/>
        <v>1</v>
      </c>
      <c r="Y16">
        <f t="shared" ca="1" si="9"/>
        <v>1</v>
      </c>
      <c r="Z16">
        <f t="shared" ca="1" si="2"/>
        <v>1</v>
      </c>
      <c r="AA16">
        <f t="shared" ca="1" si="2"/>
        <v>1</v>
      </c>
      <c r="AB16">
        <f t="shared" ca="1" si="2"/>
        <v>1</v>
      </c>
      <c r="AC16">
        <f t="shared" ca="1" si="2"/>
        <v>1</v>
      </c>
      <c r="AD16">
        <f t="shared" ca="1" si="2"/>
        <v>1</v>
      </c>
      <c r="AE16">
        <f t="shared" ca="1" si="2"/>
        <v>1</v>
      </c>
      <c r="AF16">
        <f t="shared" ca="1" si="2"/>
        <v>1</v>
      </c>
      <c r="AG16">
        <f t="shared" ca="1" si="3"/>
        <v>1</v>
      </c>
      <c r="AH16">
        <f t="shared" ca="1" si="3"/>
        <v>1</v>
      </c>
      <c r="AI16">
        <f t="shared" ca="1" si="3"/>
        <v>1</v>
      </c>
      <c r="AJ16">
        <f t="shared" ca="1" si="3"/>
        <v>1</v>
      </c>
      <c r="AK16">
        <f t="shared" ca="1" si="3"/>
        <v>1</v>
      </c>
      <c r="AL16">
        <f t="shared" ca="1" si="3"/>
        <v>1</v>
      </c>
      <c r="AM16">
        <f t="shared" ca="1" si="3"/>
        <v>1</v>
      </c>
      <c r="AN16">
        <f t="shared" ca="1" si="3"/>
        <v>1</v>
      </c>
      <c r="AO16">
        <f t="shared" ca="1" si="3"/>
        <v>1</v>
      </c>
      <c r="AP16">
        <f t="shared" ca="1" si="7"/>
        <v>1</v>
      </c>
      <c r="AQ16">
        <f t="shared" ca="1" si="7"/>
        <v>1</v>
      </c>
      <c r="AR16">
        <f t="shared" ca="1" si="7"/>
        <v>1</v>
      </c>
      <c r="AS16">
        <f t="shared" ca="1" si="7"/>
        <v>1</v>
      </c>
      <c r="AT16">
        <f t="shared" ca="1" si="7"/>
        <v>1</v>
      </c>
      <c r="AU16">
        <f t="shared" ca="1" si="7"/>
        <v>1</v>
      </c>
      <c r="AV16">
        <f t="shared" ca="1" si="7"/>
        <v>1</v>
      </c>
      <c r="AW16">
        <f t="shared" ca="1" si="7"/>
        <v>1</v>
      </c>
      <c r="AX16">
        <f t="shared" ca="1" si="7"/>
        <v>1</v>
      </c>
      <c r="AY16">
        <f t="shared" ca="1" si="7"/>
        <v>1</v>
      </c>
      <c r="AZ16">
        <f t="shared" ca="1" si="7"/>
        <v>1</v>
      </c>
      <c r="BA16">
        <f t="shared" ca="1" si="7"/>
        <v>1</v>
      </c>
      <c r="BB16">
        <f t="shared" ca="1" si="7"/>
        <v>1</v>
      </c>
      <c r="BC16">
        <f t="shared" ca="1" si="8"/>
        <v>1</v>
      </c>
      <c r="BD16">
        <f t="shared" ca="1" si="8"/>
        <v>1</v>
      </c>
      <c r="BE16">
        <f t="shared" ca="1" si="8"/>
        <v>1</v>
      </c>
      <c r="BF16">
        <f t="shared" ca="1" si="8"/>
        <v>1</v>
      </c>
      <c r="BG16">
        <f t="shared" ca="1" si="8"/>
        <v>1</v>
      </c>
      <c r="BH16">
        <f t="shared" ca="1" si="8"/>
        <v>1</v>
      </c>
      <c r="BI16">
        <f t="shared" ca="1" si="8"/>
        <v>1</v>
      </c>
      <c r="BJ16">
        <f t="shared" ca="1" si="8"/>
        <v>1</v>
      </c>
      <c r="BK16">
        <f t="shared" ca="1" si="8"/>
        <v>1</v>
      </c>
      <c r="BL16">
        <f t="shared" ca="1" si="8"/>
        <v>1</v>
      </c>
      <c r="BM16">
        <f t="shared" ca="1" si="8"/>
        <v>1</v>
      </c>
      <c r="BN16">
        <f t="shared" ca="1" si="8"/>
        <v>1</v>
      </c>
      <c r="BO16">
        <f t="shared" ca="1" si="8"/>
        <v>1</v>
      </c>
    </row>
    <row r="17" spans="3:67" x14ac:dyDescent="0.25">
      <c r="G17">
        <f t="shared" ref="G17:G22" ca="1" si="10">COUNTA(INDIRECT(ADDRESS(ROW(),COLUMN(),,,$A$33)))</f>
        <v>1</v>
      </c>
      <c r="H17" t="e">
        <f t="shared" ca="1" si="5"/>
        <v>#REF!</v>
      </c>
      <c r="I17" t="e">
        <f t="shared" ca="1" si="6"/>
        <v>#REF!</v>
      </c>
      <c r="J17">
        <f t="shared" ca="1" si="9"/>
        <v>1</v>
      </c>
      <c r="K17">
        <f t="shared" ca="1" si="9"/>
        <v>1</v>
      </c>
      <c r="L17">
        <f t="shared" ca="1" si="9"/>
        <v>1</v>
      </c>
      <c r="M17">
        <f t="shared" ca="1" si="9"/>
        <v>1</v>
      </c>
      <c r="N17">
        <f t="shared" ca="1" si="9"/>
        <v>1</v>
      </c>
      <c r="O17">
        <f t="shared" ca="1" si="9"/>
        <v>1</v>
      </c>
      <c r="P17">
        <f t="shared" ca="1" si="9"/>
        <v>1</v>
      </c>
      <c r="Q17">
        <f t="shared" ca="1" si="9"/>
        <v>1</v>
      </c>
      <c r="R17">
        <f t="shared" ca="1" si="9"/>
        <v>1</v>
      </c>
      <c r="S17">
        <f t="shared" ca="1" si="9"/>
        <v>1</v>
      </c>
      <c r="T17">
        <f t="shared" ca="1" si="9"/>
        <v>1</v>
      </c>
      <c r="U17">
        <f t="shared" ca="1" si="2"/>
        <v>1</v>
      </c>
      <c r="V17">
        <f t="shared" ca="1" si="2"/>
        <v>1</v>
      </c>
      <c r="W17">
        <f t="shared" ca="1" si="2"/>
        <v>1</v>
      </c>
      <c r="X17">
        <f t="shared" ca="1" si="2"/>
        <v>1</v>
      </c>
      <c r="Y17">
        <f t="shared" ca="1" si="2"/>
        <v>1</v>
      </c>
      <c r="Z17">
        <f t="shared" ca="1" si="2"/>
        <v>1</v>
      </c>
      <c r="AA17">
        <f t="shared" ca="1" si="2"/>
        <v>1</v>
      </c>
      <c r="AB17">
        <f t="shared" ca="1" si="2"/>
        <v>1</v>
      </c>
      <c r="AC17">
        <f t="shared" ca="1" si="2"/>
        <v>1</v>
      </c>
      <c r="AD17">
        <f t="shared" ca="1" si="2"/>
        <v>1</v>
      </c>
      <c r="AE17">
        <f t="shared" ca="1" si="2"/>
        <v>1</v>
      </c>
      <c r="AF17">
        <f t="shared" ca="1" si="2"/>
        <v>1</v>
      </c>
      <c r="AG17">
        <f t="shared" ca="1" si="3"/>
        <v>1</v>
      </c>
      <c r="AH17">
        <f t="shared" ca="1" si="3"/>
        <v>1</v>
      </c>
      <c r="AI17">
        <f t="shared" ca="1" si="3"/>
        <v>1</v>
      </c>
      <c r="AJ17">
        <f t="shared" ca="1" si="3"/>
        <v>1</v>
      </c>
      <c r="AK17">
        <f t="shared" ca="1" si="3"/>
        <v>1</v>
      </c>
      <c r="AL17">
        <f t="shared" ca="1" si="3"/>
        <v>1</v>
      </c>
      <c r="AM17">
        <f t="shared" ca="1" si="3"/>
        <v>1</v>
      </c>
      <c r="AN17">
        <f t="shared" ca="1" si="3"/>
        <v>1</v>
      </c>
      <c r="AO17">
        <f t="shared" ca="1" si="3"/>
        <v>1</v>
      </c>
      <c r="AP17">
        <f t="shared" ca="1" si="7"/>
        <v>1</v>
      </c>
      <c r="AQ17">
        <f t="shared" ca="1" si="7"/>
        <v>1</v>
      </c>
      <c r="AR17">
        <f t="shared" ca="1" si="7"/>
        <v>1</v>
      </c>
      <c r="AS17">
        <f t="shared" ca="1" si="7"/>
        <v>1</v>
      </c>
      <c r="AT17">
        <f t="shared" ca="1" si="7"/>
        <v>1</v>
      </c>
      <c r="AU17">
        <f t="shared" ca="1" si="7"/>
        <v>1</v>
      </c>
      <c r="AV17">
        <f t="shared" ca="1" si="7"/>
        <v>1</v>
      </c>
      <c r="AW17">
        <f t="shared" ca="1" si="7"/>
        <v>1</v>
      </c>
      <c r="AX17">
        <f t="shared" ca="1" si="7"/>
        <v>1</v>
      </c>
      <c r="AY17">
        <f t="shared" ca="1" si="7"/>
        <v>1</v>
      </c>
      <c r="AZ17">
        <f t="shared" ca="1" si="7"/>
        <v>1</v>
      </c>
      <c r="BA17">
        <f t="shared" ca="1" si="7"/>
        <v>1</v>
      </c>
      <c r="BB17">
        <f t="shared" ca="1" si="7"/>
        <v>1</v>
      </c>
      <c r="BC17">
        <f t="shared" ca="1" si="8"/>
        <v>1</v>
      </c>
      <c r="BD17">
        <f t="shared" ca="1" si="8"/>
        <v>1</v>
      </c>
      <c r="BE17">
        <f t="shared" ca="1" si="8"/>
        <v>1</v>
      </c>
      <c r="BF17">
        <f t="shared" ca="1" si="8"/>
        <v>1</v>
      </c>
      <c r="BG17">
        <f t="shared" ca="1" si="8"/>
        <v>1</v>
      </c>
      <c r="BH17">
        <f t="shared" ca="1" si="8"/>
        <v>1</v>
      </c>
      <c r="BI17">
        <f t="shared" ca="1" si="8"/>
        <v>1</v>
      </c>
      <c r="BJ17">
        <f t="shared" ca="1" si="8"/>
        <v>1</v>
      </c>
      <c r="BK17">
        <f t="shared" ca="1" si="8"/>
        <v>1</v>
      </c>
      <c r="BL17">
        <f t="shared" ca="1" si="8"/>
        <v>1</v>
      </c>
      <c r="BM17">
        <f t="shared" ca="1" si="8"/>
        <v>1</v>
      </c>
      <c r="BN17">
        <f t="shared" ca="1" si="8"/>
        <v>1</v>
      </c>
      <c r="BO17">
        <f t="shared" ca="1" si="8"/>
        <v>1</v>
      </c>
    </row>
    <row r="18" spans="3:67" x14ac:dyDescent="0.25">
      <c r="G18">
        <f t="shared" ca="1" si="10"/>
        <v>1</v>
      </c>
      <c r="H18" t="e">
        <f t="shared" ca="1" si="5"/>
        <v>#REF!</v>
      </c>
      <c r="I18" t="e">
        <f t="shared" ca="1" si="6"/>
        <v>#REF!</v>
      </c>
      <c r="J18">
        <f t="shared" ca="1" si="9"/>
        <v>1</v>
      </c>
      <c r="K18">
        <f t="shared" ca="1" si="9"/>
        <v>1</v>
      </c>
      <c r="L18">
        <f t="shared" ca="1" si="9"/>
        <v>1</v>
      </c>
      <c r="M18">
        <f t="shared" ca="1" si="9"/>
        <v>1</v>
      </c>
      <c r="N18">
        <f t="shared" ca="1" si="9"/>
        <v>1</v>
      </c>
      <c r="O18">
        <f t="shared" ca="1" si="9"/>
        <v>1</v>
      </c>
      <c r="P18">
        <f t="shared" ca="1" si="9"/>
        <v>1</v>
      </c>
      <c r="Q18">
        <f t="shared" ca="1" si="9"/>
        <v>1</v>
      </c>
      <c r="R18">
        <f t="shared" ca="1" si="9"/>
        <v>1</v>
      </c>
      <c r="S18">
        <f t="shared" ca="1" si="9"/>
        <v>1</v>
      </c>
      <c r="T18">
        <f t="shared" ca="1" si="9"/>
        <v>1</v>
      </c>
      <c r="U18">
        <f t="shared" ca="1" si="2"/>
        <v>1</v>
      </c>
      <c r="V18">
        <f t="shared" ca="1" si="2"/>
        <v>1</v>
      </c>
      <c r="W18">
        <f t="shared" ca="1" si="2"/>
        <v>1</v>
      </c>
      <c r="X18">
        <f t="shared" ca="1" si="2"/>
        <v>1</v>
      </c>
      <c r="Y18">
        <f t="shared" ca="1" si="2"/>
        <v>1</v>
      </c>
      <c r="Z18">
        <f t="shared" ca="1" si="2"/>
        <v>1</v>
      </c>
      <c r="AA18">
        <f t="shared" ca="1" si="2"/>
        <v>1</v>
      </c>
      <c r="AB18">
        <f t="shared" ca="1" si="2"/>
        <v>1</v>
      </c>
      <c r="AC18">
        <f t="shared" ca="1" si="2"/>
        <v>1</v>
      </c>
      <c r="AD18">
        <f t="shared" ca="1" si="2"/>
        <v>1</v>
      </c>
      <c r="AE18">
        <f t="shared" ca="1" si="2"/>
        <v>1</v>
      </c>
      <c r="AF18">
        <f t="shared" ca="1" si="2"/>
        <v>1</v>
      </c>
      <c r="AG18">
        <f t="shared" ca="1" si="3"/>
        <v>1</v>
      </c>
      <c r="AH18">
        <f t="shared" ca="1" si="3"/>
        <v>1</v>
      </c>
      <c r="AI18">
        <f t="shared" ca="1" si="3"/>
        <v>1</v>
      </c>
      <c r="AJ18">
        <f t="shared" ca="1" si="3"/>
        <v>1</v>
      </c>
      <c r="AK18">
        <f t="shared" ca="1" si="3"/>
        <v>1</v>
      </c>
      <c r="AL18">
        <f t="shared" ca="1" si="3"/>
        <v>1</v>
      </c>
      <c r="AM18">
        <f t="shared" ca="1" si="3"/>
        <v>1</v>
      </c>
      <c r="AN18">
        <f t="shared" ca="1" si="3"/>
        <v>1</v>
      </c>
      <c r="AO18">
        <f t="shared" ca="1" si="3"/>
        <v>1</v>
      </c>
      <c r="AP18">
        <f t="shared" ca="1" si="7"/>
        <v>1</v>
      </c>
      <c r="AQ18">
        <f t="shared" ca="1" si="7"/>
        <v>1</v>
      </c>
      <c r="AR18">
        <f t="shared" ca="1" si="7"/>
        <v>1</v>
      </c>
      <c r="AS18">
        <f t="shared" ca="1" si="7"/>
        <v>1</v>
      </c>
      <c r="AT18">
        <f t="shared" ca="1" si="7"/>
        <v>1</v>
      </c>
      <c r="AU18">
        <f t="shared" ca="1" si="7"/>
        <v>1</v>
      </c>
      <c r="AV18">
        <f t="shared" ca="1" si="7"/>
        <v>1</v>
      </c>
      <c r="AW18">
        <f t="shared" ca="1" si="7"/>
        <v>1</v>
      </c>
      <c r="AX18">
        <f t="shared" ca="1" si="7"/>
        <v>1</v>
      </c>
      <c r="AY18">
        <f t="shared" ca="1" si="7"/>
        <v>1</v>
      </c>
      <c r="AZ18">
        <f t="shared" ca="1" si="7"/>
        <v>1</v>
      </c>
      <c r="BA18">
        <f t="shared" ca="1" si="7"/>
        <v>1</v>
      </c>
      <c r="BB18">
        <f t="shared" ca="1" si="7"/>
        <v>1</v>
      </c>
      <c r="BC18">
        <f t="shared" ca="1" si="8"/>
        <v>1</v>
      </c>
      <c r="BD18">
        <f t="shared" ca="1" si="8"/>
        <v>1</v>
      </c>
      <c r="BE18">
        <f t="shared" ca="1" si="8"/>
        <v>1</v>
      </c>
      <c r="BF18">
        <f t="shared" ca="1" si="8"/>
        <v>1</v>
      </c>
      <c r="BG18">
        <f t="shared" ca="1" si="8"/>
        <v>1</v>
      </c>
      <c r="BH18">
        <f t="shared" ca="1" si="8"/>
        <v>1</v>
      </c>
      <c r="BI18">
        <f t="shared" ca="1" si="8"/>
        <v>1</v>
      </c>
      <c r="BJ18">
        <f t="shared" ca="1" si="8"/>
        <v>1</v>
      </c>
      <c r="BK18">
        <f t="shared" ca="1" si="8"/>
        <v>1</v>
      </c>
      <c r="BL18">
        <f t="shared" ca="1" si="8"/>
        <v>1</v>
      </c>
      <c r="BM18">
        <f t="shared" ca="1" si="8"/>
        <v>1</v>
      </c>
      <c r="BN18">
        <f t="shared" ca="1" si="8"/>
        <v>1</v>
      </c>
      <c r="BO18">
        <f t="shared" ca="1" si="8"/>
        <v>1</v>
      </c>
    </row>
    <row r="19" spans="3:67" x14ac:dyDescent="0.25">
      <c r="G19">
        <f t="shared" ca="1" si="10"/>
        <v>1</v>
      </c>
      <c r="H19" t="e">
        <f t="shared" ca="1" si="5"/>
        <v>#REF!</v>
      </c>
      <c r="I19" t="e">
        <f t="shared" ca="1" si="6"/>
        <v>#REF!</v>
      </c>
      <c r="J19">
        <f t="shared" ca="1" si="9"/>
        <v>1</v>
      </c>
      <c r="K19">
        <f t="shared" ca="1" si="9"/>
        <v>1</v>
      </c>
      <c r="L19">
        <f t="shared" ca="1" si="9"/>
        <v>1</v>
      </c>
      <c r="M19">
        <f t="shared" ca="1" si="9"/>
        <v>1</v>
      </c>
      <c r="N19">
        <f t="shared" ca="1" si="9"/>
        <v>1</v>
      </c>
      <c r="O19">
        <f t="shared" ca="1" si="9"/>
        <v>1</v>
      </c>
      <c r="P19">
        <f t="shared" ca="1" si="9"/>
        <v>1</v>
      </c>
      <c r="Q19">
        <f t="shared" ca="1" si="9"/>
        <v>1</v>
      </c>
      <c r="R19">
        <f t="shared" ca="1" si="9"/>
        <v>1</v>
      </c>
      <c r="S19">
        <f t="shared" ca="1" si="9"/>
        <v>1</v>
      </c>
      <c r="T19">
        <f t="shared" ca="1" si="9"/>
        <v>1</v>
      </c>
      <c r="U19">
        <f t="shared" ref="U19:AJ22" ca="1" si="11">COUNTA(INDIRECT(ADDRESS(ROW(),COLUMN(),,,$A$33)))</f>
        <v>1</v>
      </c>
      <c r="V19">
        <f t="shared" ca="1" si="11"/>
        <v>1</v>
      </c>
      <c r="W19">
        <f t="shared" ca="1" si="11"/>
        <v>1</v>
      </c>
      <c r="X19">
        <f t="shared" ca="1" si="11"/>
        <v>1</v>
      </c>
      <c r="Y19">
        <f t="shared" ca="1" si="11"/>
        <v>1</v>
      </c>
      <c r="Z19">
        <f t="shared" ca="1" si="11"/>
        <v>1</v>
      </c>
      <c r="AA19">
        <f t="shared" ca="1" si="11"/>
        <v>1</v>
      </c>
      <c r="AB19">
        <f t="shared" ca="1" si="11"/>
        <v>1</v>
      </c>
      <c r="AC19">
        <f t="shared" ca="1" si="11"/>
        <v>1</v>
      </c>
      <c r="AD19">
        <f t="shared" ca="1" si="11"/>
        <v>1</v>
      </c>
      <c r="AE19">
        <f t="shared" ca="1" si="11"/>
        <v>1</v>
      </c>
      <c r="AF19">
        <f t="shared" ca="1" si="11"/>
        <v>1</v>
      </c>
      <c r="AG19">
        <f t="shared" ca="1" si="11"/>
        <v>1</v>
      </c>
      <c r="AH19">
        <f t="shared" ca="1" si="11"/>
        <v>1</v>
      </c>
      <c r="AI19">
        <f t="shared" ca="1" si="11"/>
        <v>1</v>
      </c>
      <c r="AJ19">
        <f t="shared" ca="1" si="11"/>
        <v>1</v>
      </c>
      <c r="AK19">
        <f t="shared" ref="AG19:AV22" ca="1" si="12">COUNTA(INDIRECT(ADDRESS(ROW(),COLUMN(),,,$A$33)))</f>
        <v>1</v>
      </c>
      <c r="AL19">
        <f t="shared" ca="1" si="12"/>
        <v>1</v>
      </c>
      <c r="AM19">
        <f t="shared" ca="1" si="12"/>
        <v>1</v>
      </c>
      <c r="AN19">
        <f t="shared" ca="1" si="12"/>
        <v>1</v>
      </c>
      <c r="AO19">
        <f t="shared" ca="1" si="12"/>
        <v>1</v>
      </c>
      <c r="AP19">
        <f t="shared" ca="1" si="12"/>
        <v>1</v>
      </c>
      <c r="AQ19">
        <f t="shared" ca="1" si="12"/>
        <v>1</v>
      </c>
      <c r="AR19">
        <f t="shared" ca="1" si="12"/>
        <v>1</v>
      </c>
      <c r="AS19">
        <f t="shared" ca="1" si="12"/>
        <v>1</v>
      </c>
      <c r="AT19">
        <f t="shared" ca="1" si="12"/>
        <v>1</v>
      </c>
      <c r="AU19">
        <f t="shared" ca="1" si="12"/>
        <v>1</v>
      </c>
      <c r="AV19">
        <f t="shared" ca="1" si="12"/>
        <v>1</v>
      </c>
      <c r="AW19">
        <f t="shared" ca="1" si="7"/>
        <v>1</v>
      </c>
      <c r="AX19">
        <f t="shared" ca="1" si="7"/>
        <v>1</v>
      </c>
      <c r="AY19">
        <f t="shared" ca="1" si="7"/>
        <v>1</v>
      </c>
      <c r="AZ19">
        <f t="shared" ca="1" si="7"/>
        <v>1</v>
      </c>
      <c r="BA19">
        <f t="shared" ca="1" si="7"/>
        <v>1</v>
      </c>
      <c r="BB19">
        <f t="shared" ca="1" si="7"/>
        <v>1</v>
      </c>
      <c r="BC19">
        <f t="shared" ref="BC19:BO20" ca="1" si="13">COUNTA(INDIRECT(ADDRESS(ROW(),COLUMN(),,,$A$33)))</f>
        <v>1</v>
      </c>
      <c r="BD19">
        <f t="shared" ca="1" si="13"/>
        <v>1</v>
      </c>
      <c r="BE19">
        <f t="shared" ca="1" si="13"/>
        <v>1</v>
      </c>
      <c r="BF19">
        <f t="shared" ca="1" si="13"/>
        <v>1</v>
      </c>
      <c r="BG19">
        <f t="shared" ca="1" si="13"/>
        <v>1</v>
      </c>
      <c r="BH19">
        <f t="shared" ca="1" si="13"/>
        <v>1</v>
      </c>
      <c r="BI19">
        <f t="shared" ca="1" si="13"/>
        <v>1</v>
      </c>
      <c r="BJ19">
        <f t="shared" ca="1" si="13"/>
        <v>1</v>
      </c>
      <c r="BK19">
        <f t="shared" ca="1" si="13"/>
        <v>1</v>
      </c>
      <c r="BL19">
        <f t="shared" ca="1" si="13"/>
        <v>1</v>
      </c>
      <c r="BM19">
        <f t="shared" ca="1" si="13"/>
        <v>1</v>
      </c>
      <c r="BN19">
        <f t="shared" ca="1" si="13"/>
        <v>1</v>
      </c>
      <c r="BO19">
        <f t="shared" ca="1" si="13"/>
        <v>1</v>
      </c>
    </row>
    <row r="20" spans="3:67" x14ac:dyDescent="0.25">
      <c r="G20">
        <f t="shared" ca="1" si="10"/>
        <v>1</v>
      </c>
      <c r="H20" t="e">
        <f t="shared" ca="1" si="5"/>
        <v>#REF!</v>
      </c>
      <c r="I20" t="e">
        <f t="shared" ca="1" si="6"/>
        <v>#REF!</v>
      </c>
      <c r="J20">
        <f t="shared" ca="1" si="9"/>
        <v>1</v>
      </c>
      <c r="K20">
        <f t="shared" ca="1" si="9"/>
        <v>1</v>
      </c>
      <c r="L20">
        <f t="shared" ca="1" si="9"/>
        <v>1</v>
      </c>
      <c r="M20">
        <f t="shared" ca="1" si="9"/>
        <v>1</v>
      </c>
      <c r="N20">
        <f t="shared" ca="1" si="9"/>
        <v>1</v>
      </c>
      <c r="O20">
        <f t="shared" ca="1" si="9"/>
        <v>1</v>
      </c>
      <c r="P20">
        <f t="shared" ca="1" si="9"/>
        <v>1</v>
      </c>
      <c r="Q20">
        <f t="shared" ca="1" si="9"/>
        <v>1</v>
      </c>
      <c r="R20">
        <f t="shared" ca="1" si="9"/>
        <v>1</v>
      </c>
      <c r="S20">
        <f t="shared" ca="1" si="9"/>
        <v>1</v>
      </c>
      <c r="T20">
        <f t="shared" ca="1" si="9"/>
        <v>1</v>
      </c>
      <c r="U20">
        <f t="shared" ca="1" si="11"/>
        <v>1</v>
      </c>
      <c r="V20">
        <f t="shared" ca="1" si="11"/>
        <v>1</v>
      </c>
      <c r="W20">
        <f t="shared" ca="1" si="11"/>
        <v>1</v>
      </c>
      <c r="X20">
        <f t="shared" ca="1" si="11"/>
        <v>1</v>
      </c>
      <c r="Y20">
        <f t="shared" ca="1" si="11"/>
        <v>1</v>
      </c>
      <c r="Z20">
        <f t="shared" ca="1" si="11"/>
        <v>1</v>
      </c>
      <c r="AA20">
        <f t="shared" ca="1" si="11"/>
        <v>1</v>
      </c>
      <c r="AB20">
        <f t="shared" ca="1" si="11"/>
        <v>1</v>
      </c>
      <c r="AC20">
        <f t="shared" ca="1" si="11"/>
        <v>1</v>
      </c>
      <c r="AD20">
        <f t="shared" ca="1" si="11"/>
        <v>1</v>
      </c>
      <c r="AE20">
        <f t="shared" ca="1" si="11"/>
        <v>1</v>
      </c>
      <c r="AF20">
        <f t="shared" ca="1" si="11"/>
        <v>1</v>
      </c>
      <c r="AG20">
        <f t="shared" ca="1" si="12"/>
        <v>1</v>
      </c>
      <c r="AH20">
        <f t="shared" ca="1" si="12"/>
        <v>1</v>
      </c>
      <c r="AI20">
        <f t="shared" ca="1" si="12"/>
        <v>1</v>
      </c>
      <c r="AJ20">
        <f t="shared" ca="1" si="12"/>
        <v>1</v>
      </c>
      <c r="AK20">
        <f t="shared" ca="1" si="12"/>
        <v>1</v>
      </c>
      <c r="AL20">
        <f t="shared" ca="1" si="12"/>
        <v>1</v>
      </c>
      <c r="AM20">
        <f t="shared" ca="1" si="12"/>
        <v>1</v>
      </c>
      <c r="AN20">
        <f t="shared" ca="1" si="12"/>
        <v>1</v>
      </c>
      <c r="AO20">
        <f t="shared" ca="1" si="12"/>
        <v>1</v>
      </c>
      <c r="AP20">
        <f t="shared" ref="AP20:BI22" ca="1" si="14">COUNTA(INDIRECT(ADDRESS(ROW(),COLUMN(),,,$A$33)))</f>
        <v>1</v>
      </c>
      <c r="AQ20">
        <f t="shared" ca="1" si="14"/>
        <v>1</v>
      </c>
      <c r="AR20">
        <f t="shared" ca="1" si="14"/>
        <v>1</v>
      </c>
      <c r="AS20">
        <f t="shared" ca="1" si="14"/>
        <v>1</v>
      </c>
      <c r="AT20">
        <f t="shared" ca="1" si="14"/>
        <v>1</v>
      </c>
      <c r="AU20">
        <f t="shared" ca="1" si="14"/>
        <v>1</v>
      </c>
      <c r="AV20">
        <f t="shared" ca="1" si="14"/>
        <v>1</v>
      </c>
      <c r="AW20">
        <f t="shared" ca="1" si="14"/>
        <v>1</v>
      </c>
      <c r="AX20">
        <f t="shared" ca="1" si="14"/>
        <v>1</v>
      </c>
      <c r="AY20">
        <f t="shared" ca="1" si="14"/>
        <v>1</v>
      </c>
      <c r="AZ20">
        <f t="shared" ca="1" si="14"/>
        <v>1</v>
      </c>
      <c r="BA20">
        <f t="shared" ca="1" si="14"/>
        <v>1</v>
      </c>
      <c r="BB20">
        <f t="shared" ca="1" si="14"/>
        <v>1</v>
      </c>
      <c r="BC20">
        <f t="shared" ca="1" si="14"/>
        <v>1</v>
      </c>
      <c r="BD20">
        <f t="shared" ca="1" si="14"/>
        <v>1</v>
      </c>
      <c r="BE20">
        <f t="shared" ca="1" si="14"/>
        <v>1</v>
      </c>
      <c r="BF20">
        <f t="shared" ca="1" si="14"/>
        <v>1</v>
      </c>
      <c r="BG20">
        <f t="shared" ca="1" si="14"/>
        <v>1</v>
      </c>
      <c r="BH20">
        <f t="shared" ca="1" si="14"/>
        <v>1</v>
      </c>
      <c r="BI20">
        <f t="shared" ca="1" si="14"/>
        <v>1</v>
      </c>
      <c r="BJ20">
        <f t="shared" ca="1" si="13"/>
        <v>1</v>
      </c>
      <c r="BK20">
        <f t="shared" ca="1" si="13"/>
        <v>1</v>
      </c>
      <c r="BL20">
        <f t="shared" ca="1" si="13"/>
        <v>1</v>
      </c>
      <c r="BM20">
        <f t="shared" ca="1" si="13"/>
        <v>1</v>
      </c>
      <c r="BN20">
        <f t="shared" ca="1" si="13"/>
        <v>1</v>
      </c>
      <c r="BO20">
        <f t="shared" ca="1" si="13"/>
        <v>1</v>
      </c>
    </row>
    <row r="21" spans="3:67" x14ac:dyDescent="0.25">
      <c r="G21">
        <f t="shared" ca="1" si="10"/>
        <v>1</v>
      </c>
      <c r="H21" t="e">
        <f t="shared" ca="1" si="5"/>
        <v>#REF!</v>
      </c>
      <c r="I21" t="e">
        <f t="shared" ca="1" si="6"/>
        <v>#REF!</v>
      </c>
      <c r="J21">
        <f t="shared" ca="1" si="9"/>
        <v>1</v>
      </c>
      <c r="K21">
        <f t="shared" ca="1" si="9"/>
        <v>1</v>
      </c>
      <c r="L21">
        <f t="shared" ca="1" si="9"/>
        <v>1</v>
      </c>
      <c r="M21">
        <f t="shared" ca="1" si="9"/>
        <v>1</v>
      </c>
      <c r="N21">
        <f t="shared" ca="1" si="9"/>
        <v>1</v>
      </c>
      <c r="O21">
        <f t="shared" ca="1" si="9"/>
        <v>1</v>
      </c>
      <c r="P21">
        <f t="shared" ca="1" si="9"/>
        <v>1</v>
      </c>
      <c r="Q21">
        <f t="shared" ca="1" si="9"/>
        <v>1</v>
      </c>
      <c r="R21">
        <f t="shared" ca="1" si="9"/>
        <v>1</v>
      </c>
      <c r="S21">
        <f t="shared" ca="1" si="9"/>
        <v>1</v>
      </c>
      <c r="T21">
        <f t="shared" ca="1" si="9"/>
        <v>1</v>
      </c>
      <c r="U21">
        <f t="shared" ca="1" si="11"/>
        <v>1</v>
      </c>
      <c r="V21">
        <f t="shared" ca="1" si="11"/>
        <v>1</v>
      </c>
      <c r="W21">
        <f t="shared" ca="1" si="11"/>
        <v>1</v>
      </c>
      <c r="X21">
        <f t="shared" ca="1" si="11"/>
        <v>1</v>
      </c>
      <c r="Y21">
        <f t="shared" ca="1" si="11"/>
        <v>1</v>
      </c>
      <c r="Z21">
        <f t="shared" ca="1" si="11"/>
        <v>1</v>
      </c>
      <c r="AA21">
        <f t="shared" ca="1" si="11"/>
        <v>1</v>
      </c>
      <c r="AB21">
        <f t="shared" ca="1" si="11"/>
        <v>1</v>
      </c>
      <c r="AC21">
        <f t="shared" ca="1" si="11"/>
        <v>1</v>
      </c>
      <c r="AD21">
        <f t="shared" ca="1" si="11"/>
        <v>1</v>
      </c>
      <c r="AE21">
        <f t="shared" ca="1" si="11"/>
        <v>1</v>
      </c>
      <c r="AF21">
        <f t="shared" ca="1" si="11"/>
        <v>1</v>
      </c>
      <c r="AG21">
        <f t="shared" ca="1" si="12"/>
        <v>1</v>
      </c>
      <c r="AH21">
        <f t="shared" ca="1" si="12"/>
        <v>1</v>
      </c>
      <c r="AI21">
        <f t="shared" ca="1" si="12"/>
        <v>1</v>
      </c>
      <c r="AJ21">
        <f t="shared" ca="1" si="12"/>
        <v>1</v>
      </c>
      <c r="AK21">
        <f t="shared" ca="1" si="12"/>
        <v>1</v>
      </c>
      <c r="AL21">
        <f t="shared" ca="1" si="12"/>
        <v>1</v>
      </c>
      <c r="AM21">
        <f t="shared" ca="1" si="12"/>
        <v>1</v>
      </c>
      <c r="AN21">
        <f t="shared" ca="1" si="12"/>
        <v>1</v>
      </c>
      <c r="AO21">
        <f t="shared" ca="1" si="12"/>
        <v>1</v>
      </c>
      <c r="AP21">
        <f t="shared" ca="1" si="14"/>
        <v>1</v>
      </c>
      <c r="AQ21">
        <f t="shared" ca="1" si="14"/>
        <v>1</v>
      </c>
      <c r="AR21">
        <f t="shared" ca="1" si="14"/>
        <v>1</v>
      </c>
      <c r="AS21">
        <f t="shared" ca="1" si="14"/>
        <v>1</v>
      </c>
      <c r="AT21">
        <f t="shared" ca="1" si="14"/>
        <v>1</v>
      </c>
      <c r="AU21">
        <f t="shared" ca="1" si="14"/>
        <v>1</v>
      </c>
      <c r="AV21">
        <f t="shared" ca="1" si="14"/>
        <v>1</v>
      </c>
      <c r="AW21">
        <f t="shared" ca="1" si="14"/>
        <v>1</v>
      </c>
      <c r="AX21">
        <f t="shared" ca="1" si="14"/>
        <v>1</v>
      </c>
      <c r="AY21">
        <f t="shared" ca="1" si="14"/>
        <v>1</v>
      </c>
      <c r="AZ21">
        <f t="shared" ca="1" si="14"/>
        <v>1</v>
      </c>
      <c r="BA21">
        <f t="shared" ca="1" si="14"/>
        <v>1</v>
      </c>
      <c r="BB21">
        <f t="shared" ca="1" si="14"/>
        <v>1</v>
      </c>
      <c r="BC21">
        <f t="shared" ref="BC21:BO22" ca="1" si="15">COUNTA(INDIRECT(ADDRESS(ROW(),COLUMN(),,,$A$33)))</f>
        <v>1</v>
      </c>
      <c r="BD21">
        <f t="shared" ca="1" si="15"/>
        <v>1</v>
      </c>
      <c r="BE21">
        <f t="shared" ca="1" si="15"/>
        <v>1</v>
      </c>
      <c r="BF21">
        <f t="shared" ca="1" si="15"/>
        <v>1</v>
      </c>
      <c r="BG21">
        <f t="shared" ca="1" si="15"/>
        <v>1</v>
      </c>
      <c r="BH21">
        <f t="shared" ca="1" si="15"/>
        <v>1</v>
      </c>
      <c r="BI21">
        <f t="shared" ca="1" si="15"/>
        <v>1</v>
      </c>
      <c r="BJ21">
        <f t="shared" ca="1" si="15"/>
        <v>1</v>
      </c>
      <c r="BK21">
        <f t="shared" ca="1" si="15"/>
        <v>1</v>
      </c>
      <c r="BL21">
        <f t="shared" ca="1" si="15"/>
        <v>1</v>
      </c>
      <c r="BM21">
        <f t="shared" ca="1" si="15"/>
        <v>1</v>
      </c>
      <c r="BN21">
        <f t="shared" ca="1" si="15"/>
        <v>1</v>
      </c>
      <c r="BO21">
        <f t="shared" ca="1" si="15"/>
        <v>1</v>
      </c>
    </row>
    <row r="22" spans="3:67" x14ac:dyDescent="0.25">
      <c r="G22">
        <f t="shared" ca="1" si="10"/>
        <v>1</v>
      </c>
      <c r="H22" t="e">
        <f t="shared" ca="1" si="5"/>
        <v>#REF!</v>
      </c>
      <c r="I22" t="e">
        <f t="shared" ca="1" si="6"/>
        <v>#REF!</v>
      </c>
      <c r="J22">
        <f t="shared" ca="1" si="9"/>
        <v>1</v>
      </c>
      <c r="K22">
        <f t="shared" ca="1" si="9"/>
        <v>1</v>
      </c>
      <c r="L22">
        <f t="shared" ca="1" si="9"/>
        <v>1</v>
      </c>
      <c r="M22">
        <f t="shared" ca="1" si="9"/>
        <v>1</v>
      </c>
      <c r="N22">
        <f t="shared" ca="1" si="9"/>
        <v>1</v>
      </c>
      <c r="O22">
        <f t="shared" ca="1" si="9"/>
        <v>1</v>
      </c>
      <c r="P22">
        <f t="shared" ca="1" si="9"/>
        <v>1</v>
      </c>
      <c r="Q22">
        <f t="shared" ca="1" si="9"/>
        <v>1</v>
      </c>
      <c r="R22">
        <f t="shared" ca="1" si="9"/>
        <v>1</v>
      </c>
      <c r="S22">
        <f t="shared" ca="1" si="9"/>
        <v>1</v>
      </c>
      <c r="T22">
        <f t="shared" ca="1" si="9"/>
        <v>1</v>
      </c>
      <c r="U22">
        <f t="shared" ca="1" si="11"/>
        <v>1</v>
      </c>
      <c r="V22">
        <f t="shared" ca="1" si="11"/>
        <v>1</v>
      </c>
      <c r="W22">
        <f t="shared" ca="1" si="11"/>
        <v>1</v>
      </c>
      <c r="X22">
        <f t="shared" ca="1" si="11"/>
        <v>1</v>
      </c>
      <c r="Y22">
        <f t="shared" ca="1" si="11"/>
        <v>1</v>
      </c>
      <c r="Z22">
        <f t="shared" ca="1" si="11"/>
        <v>1</v>
      </c>
      <c r="AA22">
        <f t="shared" ca="1" si="11"/>
        <v>1</v>
      </c>
      <c r="AB22">
        <f t="shared" ca="1" si="11"/>
        <v>1</v>
      </c>
      <c r="AC22">
        <f t="shared" ca="1" si="11"/>
        <v>1</v>
      </c>
      <c r="AD22">
        <f t="shared" ca="1" si="11"/>
        <v>1</v>
      </c>
      <c r="AE22">
        <f t="shared" ca="1" si="11"/>
        <v>1</v>
      </c>
      <c r="AF22">
        <f t="shared" ca="1" si="11"/>
        <v>1</v>
      </c>
      <c r="AG22">
        <f t="shared" ca="1" si="12"/>
        <v>1</v>
      </c>
      <c r="AH22">
        <f t="shared" ca="1" si="12"/>
        <v>1</v>
      </c>
      <c r="AI22">
        <f t="shared" ca="1" si="12"/>
        <v>1</v>
      </c>
      <c r="AJ22">
        <f t="shared" ca="1" si="12"/>
        <v>1</v>
      </c>
      <c r="AK22">
        <f t="shared" ca="1" si="12"/>
        <v>1</v>
      </c>
      <c r="AL22">
        <f t="shared" ca="1" si="12"/>
        <v>1</v>
      </c>
      <c r="AM22">
        <f t="shared" ca="1" si="12"/>
        <v>1</v>
      </c>
      <c r="AN22">
        <f t="shared" ca="1" si="12"/>
        <v>1</v>
      </c>
      <c r="AO22">
        <f t="shared" ca="1" si="12"/>
        <v>1</v>
      </c>
      <c r="AP22">
        <f t="shared" ca="1" si="14"/>
        <v>1</v>
      </c>
      <c r="AQ22">
        <f t="shared" ca="1" si="14"/>
        <v>1</v>
      </c>
      <c r="AR22">
        <f t="shared" ca="1" si="14"/>
        <v>1</v>
      </c>
      <c r="AS22">
        <f t="shared" ca="1" si="14"/>
        <v>1</v>
      </c>
      <c r="AT22">
        <f t="shared" ca="1" si="14"/>
        <v>1</v>
      </c>
      <c r="AU22">
        <f t="shared" ca="1" si="14"/>
        <v>1</v>
      </c>
      <c r="AV22">
        <f t="shared" ca="1" si="14"/>
        <v>1</v>
      </c>
      <c r="AW22">
        <f t="shared" ca="1" si="14"/>
        <v>1</v>
      </c>
      <c r="AX22">
        <f t="shared" ca="1" si="14"/>
        <v>1</v>
      </c>
      <c r="AY22">
        <f t="shared" ca="1" si="14"/>
        <v>1</v>
      </c>
      <c r="AZ22">
        <f t="shared" ca="1" si="14"/>
        <v>1</v>
      </c>
      <c r="BA22">
        <f t="shared" ca="1" si="14"/>
        <v>1</v>
      </c>
      <c r="BB22">
        <f t="shared" ca="1" si="14"/>
        <v>1</v>
      </c>
      <c r="BC22">
        <f t="shared" ca="1" si="15"/>
        <v>1</v>
      </c>
      <c r="BD22">
        <f t="shared" ca="1" si="15"/>
        <v>1</v>
      </c>
      <c r="BE22">
        <f t="shared" ca="1" si="15"/>
        <v>1</v>
      </c>
      <c r="BF22">
        <f t="shared" ca="1" si="15"/>
        <v>1</v>
      </c>
      <c r="BG22">
        <f t="shared" ca="1" si="15"/>
        <v>1</v>
      </c>
      <c r="BH22">
        <f t="shared" ca="1" si="15"/>
        <v>1</v>
      </c>
      <c r="BI22">
        <f t="shared" ca="1" si="15"/>
        <v>1</v>
      </c>
      <c r="BJ22">
        <f t="shared" ca="1" si="15"/>
        <v>1</v>
      </c>
      <c r="BK22">
        <f t="shared" ca="1" si="15"/>
        <v>1</v>
      </c>
      <c r="BL22">
        <f t="shared" ca="1" si="15"/>
        <v>1</v>
      </c>
      <c r="BM22">
        <f t="shared" ca="1" si="15"/>
        <v>1</v>
      </c>
      <c r="BN22">
        <f t="shared" ca="1" si="15"/>
        <v>1</v>
      </c>
      <c r="BO22">
        <f t="shared" ca="1" si="15"/>
        <v>1</v>
      </c>
    </row>
    <row r="25" spans="3:67" x14ac:dyDescent="0.25">
      <c r="C25">
        <f ca="1">SUM(INDIRECT("RC11:RC"&amp;11+playercnt-1,FALSE))</f>
        <v>56</v>
      </c>
      <c r="K25">
        <f ca="1">IF(SUM(K3:K22)=0,0,1)</f>
        <v>1</v>
      </c>
      <c r="L25">
        <f t="shared" ref="L25:AO25" ca="1" si="16">IF(SUM(L3:L22)=0,0,1)</f>
        <v>1</v>
      </c>
      <c r="M25">
        <f t="shared" ca="1" si="16"/>
        <v>1</v>
      </c>
      <c r="N25">
        <f t="shared" ca="1" si="16"/>
        <v>1</v>
      </c>
      <c r="O25">
        <f t="shared" ca="1" si="16"/>
        <v>1</v>
      </c>
      <c r="P25">
        <f t="shared" ca="1" si="16"/>
        <v>1</v>
      </c>
      <c r="Q25">
        <f t="shared" ca="1" si="16"/>
        <v>1</v>
      </c>
      <c r="R25">
        <f t="shared" ca="1" si="16"/>
        <v>1</v>
      </c>
      <c r="S25">
        <f t="shared" ca="1" si="16"/>
        <v>1</v>
      </c>
      <c r="T25">
        <f t="shared" ca="1" si="16"/>
        <v>1</v>
      </c>
      <c r="U25">
        <f t="shared" ca="1" si="16"/>
        <v>1</v>
      </c>
      <c r="V25">
        <f t="shared" ca="1" si="16"/>
        <v>1</v>
      </c>
      <c r="W25">
        <f t="shared" ca="1" si="16"/>
        <v>1</v>
      </c>
      <c r="X25">
        <f t="shared" ca="1" si="16"/>
        <v>1</v>
      </c>
      <c r="Y25">
        <f t="shared" ca="1" si="16"/>
        <v>1</v>
      </c>
      <c r="Z25">
        <f t="shared" ca="1" si="16"/>
        <v>1</v>
      </c>
      <c r="AA25">
        <f t="shared" ca="1" si="16"/>
        <v>1</v>
      </c>
      <c r="AB25">
        <f t="shared" ca="1" si="16"/>
        <v>1</v>
      </c>
      <c r="AC25">
        <f t="shared" ca="1" si="16"/>
        <v>1</v>
      </c>
      <c r="AD25">
        <f t="shared" ca="1" si="16"/>
        <v>1</v>
      </c>
      <c r="AE25">
        <f t="shared" ca="1" si="16"/>
        <v>1</v>
      </c>
      <c r="AF25">
        <f t="shared" ca="1" si="16"/>
        <v>1</v>
      </c>
      <c r="AG25">
        <f t="shared" ca="1" si="16"/>
        <v>1</v>
      </c>
      <c r="AH25">
        <f t="shared" ca="1" si="16"/>
        <v>1</v>
      </c>
      <c r="AI25">
        <f t="shared" ca="1" si="16"/>
        <v>1</v>
      </c>
      <c r="AJ25">
        <f t="shared" ca="1" si="16"/>
        <v>1</v>
      </c>
      <c r="AK25">
        <f t="shared" ca="1" si="16"/>
        <v>1</v>
      </c>
      <c r="AL25">
        <f t="shared" ca="1" si="16"/>
        <v>1</v>
      </c>
      <c r="AM25">
        <f t="shared" ca="1" si="16"/>
        <v>1</v>
      </c>
      <c r="AN25">
        <f t="shared" ca="1" si="16"/>
        <v>1</v>
      </c>
      <c r="AO25">
        <f t="shared" ca="1" si="16"/>
        <v>1</v>
      </c>
      <c r="AP25">
        <f t="shared" ref="AP25:AU25" ca="1" si="17">IF(SUM(AP3:AP22)=0,0,1)</f>
        <v>1</v>
      </c>
      <c r="AQ25">
        <f t="shared" ca="1" si="17"/>
        <v>1</v>
      </c>
      <c r="AR25">
        <f t="shared" ca="1" si="17"/>
        <v>1</v>
      </c>
      <c r="AS25">
        <f t="shared" ca="1" si="17"/>
        <v>1</v>
      </c>
      <c r="AT25">
        <f t="shared" ca="1" si="17"/>
        <v>1</v>
      </c>
      <c r="AU25">
        <f t="shared" ca="1" si="17"/>
        <v>1</v>
      </c>
      <c r="AV25">
        <f t="shared" ref="AV25:BA25" ca="1" si="18">IF(SUM(AV3:AV22)=0,0,1)</f>
        <v>1</v>
      </c>
      <c r="AW25">
        <f t="shared" ca="1" si="18"/>
        <v>1</v>
      </c>
      <c r="AX25">
        <f t="shared" ca="1" si="18"/>
        <v>1</v>
      </c>
      <c r="AY25">
        <f t="shared" ca="1" si="18"/>
        <v>1</v>
      </c>
      <c r="AZ25">
        <f t="shared" ca="1" si="18"/>
        <v>1</v>
      </c>
      <c r="BA25">
        <f t="shared" ca="1" si="18"/>
        <v>1</v>
      </c>
      <c r="BB25">
        <f t="shared" ref="BB25:BG25" ca="1" si="19">IF(SUM(BB3:BB22)=0,0,1)</f>
        <v>1</v>
      </c>
      <c r="BC25">
        <f t="shared" ca="1" si="19"/>
        <v>1</v>
      </c>
      <c r="BD25">
        <f t="shared" ca="1" si="19"/>
        <v>1</v>
      </c>
      <c r="BE25">
        <f t="shared" ca="1" si="19"/>
        <v>1</v>
      </c>
      <c r="BF25">
        <f t="shared" ca="1" si="19"/>
        <v>1</v>
      </c>
      <c r="BG25">
        <f t="shared" ca="1" si="19"/>
        <v>1</v>
      </c>
      <c r="BH25">
        <f ca="1">IF(SUM(BH3:BH22)=0,0,1)</f>
        <v>1</v>
      </c>
      <c r="BI25">
        <f t="shared" ref="BI25:BN25" ca="1" si="20">IF(SUM(BI3:BI22)=0,0,1)</f>
        <v>1</v>
      </c>
      <c r="BJ25">
        <f t="shared" ca="1" si="20"/>
        <v>1</v>
      </c>
      <c r="BK25">
        <f t="shared" ca="1" si="20"/>
        <v>1</v>
      </c>
      <c r="BL25">
        <f t="shared" ca="1" si="20"/>
        <v>1</v>
      </c>
      <c r="BM25">
        <f t="shared" ca="1" si="20"/>
        <v>1</v>
      </c>
      <c r="BN25">
        <f t="shared" ca="1" si="20"/>
        <v>1</v>
      </c>
      <c r="BO25">
        <f ca="1">IF(SUM(BO3:BO22)=0,0,1)</f>
        <v>1</v>
      </c>
    </row>
    <row r="33" spans="1:67" x14ac:dyDescent="0.25">
      <c r="A33" s="26" t="str">
        <f>IF(ISBLANK(B33),IF((weekcnt+1)&lt;10,("Wk0"&amp;(weekcnt+1)),("Wk"&amp;(weekcnt+1))),B33)</f>
        <v>Wk14</v>
      </c>
    </row>
    <row r="34" spans="1:67" ht="111" customHeight="1" x14ac:dyDescent="0.25">
      <c r="B34" s="22">
        <f ca="1">(SUM(INDIRECT("R42C11:R"&amp;42+playercnt-1&amp;"C"&amp;11+playercnt-1,FALSE))-(10*picks_entered))/((picks_entered^2)-picks_entered)</f>
        <v>20.181818181818183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O34" ca="1" si="21">IF((COLUMN()-10)&lt;=playercnt,INDIRECT(ADDRESS(2,COLUMN(),,,$A$33)),"")</f>
        <v>#REF!</v>
      </c>
      <c r="H34" s="2" t="e">
        <f t="shared" ca="1" si="21"/>
        <v>#REF!</v>
      </c>
      <c r="I34" s="2" t="e">
        <f t="shared" ca="1" si="21"/>
        <v>#REF!</v>
      </c>
      <c r="J34" s="2" t="e">
        <f t="shared" ca="1" si="21"/>
        <v>#REF!</v>
      </c>
      <c r="K34" s="2" t="e">
        <f t="shared" ca="1" si="21"/>
        <v>#REF!</v>
      </c>
      <c r="L34" s="2" t="e">
        <f t="shared" ca="1" si="21"/>
        <v>#REF!</v>
      </c>
      <c r="M34" s="2" t="e">
        <f t="shared" ca="1" si="21"/>
        <v>#REF!</v>
      </c>
      <c r="N34" s="2" t="e">
        <f t="shared" ca="1" si="21"/>
        <v>#REF!</v>
      </c>
      <c r="O34" s="2" t="e">
        <f t="shared" ca="1" si="21"/>
        <v>#REF!</v>
      </c>
      <c r="P34" s="2" t="e">
        <f t="shared" ca="1" si="21"/>
        <v>#REF!</v>
      </c>
      <c r="Q34" s="2" t="e">
        <f t="shared" ca="1" si="21"/>
        <v>#REF!</v>
      </c>
      <c r="R34" s="2" t="e">
        <f t="shared" ca="1" si="21"/>
        <v>#REF!</v>
      </c>
      <c r="S34" s="2" t="e">
        <f t="shared" ca="1" si="21"/>
        <v>#REF!</v>
      </c>
      <c r="T34" s="2" t="e">
        <f t="shared" ca="1" si="21"/>
        <v>#REF!</v>
      </c>
      <c r="U34" s="2" t="e">
        <f t="shared" ca="1" si="21"/>
        <v>#REF!</v>
      </c>
      <c r="V34" s="2" t="e">
        <f t="shared" ca="1" si="21"/>
        <v>#REF!</v>
      </c>
      <c r="W34" s="2" t="e">
        <f t="shared" ca="1" si="21"/>
        <v>#REF!</v>
      </c>
      <c r="X34" s="2" t="e">
        <f t="shared" ca="1" si="21"/>
        <v>#REF!</v>
      </c>
      <c r="Y34" s="2" t="e">
        <f t="shared" ca="1" si="21"/>
        <v>#REF!</v>
      </c>
      <c r="Z34" s="2" t="e">
        <f t="shared" ca="1" si="21"/>
        <v>#REF!</v>
      </c>
      <c r="AA34" s="2" t="e">
        <f t="shared" ca="1" si="21"/>
        <v>#REF!</v>
      </c>
      <c r="AB34" s="2" t="e">
        <f t="shared" ca="1" si="21"/>
        <v>#REF!</v>
      </c>
      <c r="AC34" s="2" t="e">
        <f t="shared" ca="1" si="21"/>
        <v>#REF!</v>
      </c>
      <c r="AD34" s="2" t="e">
        <f t="shared" ca="1" si="21"/>
        <v>#REF!</v>
      </c>
      <c r="AE34" s="2" t="e">
        <f t="shared" ca="1" si="21"/>
        <v>#REF!</v>
      </c>
      <c r="AF34" s="2" t="e">
        <f t="shared" ca="1" si="21"/>
        <v>#REF!</v>
      </c>
      <c r="AG34" s="2" t="e">
        <f t="shared" ca="1" si="21"/>
        <v>#REF!</v>
      </c>
      <c r="AH34" s="2" t="e">
        <f t="shared" ca="1" si="21"/>
        <v>#REF!</v>
      </c>
      <c r="AI34" s="2" t="e">
        <f t="shared" ca="1" si="21"/>
        <v>#REF!</v>
      </c>
      <c r="AJ34" s="2" t="e">
        <f t="shared" ca="1" si="21"/>
        <v>#REF!</v>
      </c>
      <c r="AK34" s="2" t="e">
        <f t="shared" ca="1" si="21"/>
        <v>#REF!</v>
      </c>
      <c r="AL34" s="2" t="e">
        <f t="shared" ca="1" si="21"/>
        <v>#REF!</v>
      </c>
      <c r="AM34" s="2" t="e">
        <f t="shared" ca="1" si="21"/>
        <v>#REF!</v>
      </c>
      <c r="AN34" s="2" t="e">
        <f t="shared" ca="1" si="21"/>
        <v>#REF!</v>
      </c>
      <c r="AO34" s="2" t="e">
        <f t="shared" ca="1" si="21"/>
        <v>#REF!</v>
      </c>
      <c r="AP34" s="2" t="e">
        <f t="shared" ca="1" si="21"/>
        <v>#REF!</v>
      </c>
      <c r="AQ34" s="2" t="e">
        <f t="shared" ca="1" si="21"/>
        <v>#REF!</v>
      </c>
      <c r="AR34" s="2" t="e">
        <f t="shared" ca="1" si="21"/>
        <v>#REF!</v>
      </c>
      <c r="AS34" s="2" t="e">
        <f t="shared" ca="1" si="21"/>
        <v>#REF!</v>
      </c>
      <c r="AT34" s="2" t="e">
        <f t="shared" ca="1" si="21"/>
        <v>#REF!</v>
      </c>
      <c r="AU34" s="2" t="e">
        <f t="shared" ca="1" si="21"/>
        <v>#REF!</v>
      </c>
      <c r="AV34" s="2" t="e">
        <f t="shared" ca="1" si="21"/>
        <v>#REF!</v>
      </c>
      <c r="AW34" s="2" t="e">
        <f t="shared" ca="1" si="21"/>
        <v>#REF!</v>
      </c>
      <c r="AX34" s="2" t="e">
        <f t="shared" ca="1" si="21"/>
        <v>#REF!</v>
      </c>
      <c r="AY34" s="2" t="e">
        <f t="shared" ca="1" si="21"/>
        <v>#REF!</v>
      </c>
      <c r="AZ34" s="2" t="e">
        <f t="shared" ca="1" si="21"/>
        <v>#REF!</v>
      </c>
      <c r="BA34" s="2" t="e">
        <f t="shared" ca="1" si="21"/>
        <v>#REF!</v>
      </c>
      <c r="BB34" s="2" t="e">
        <f t="shared" ca="1" si="21"/>
        <v>#REF!</v>
      </c>
      <c r="BC34" s="2" t="e">
        <f t="shared" ca="1" si="21"/>
        <v>#REF!</v>
      </c>
      <c r="BD34" s="2" t="e">
        <f t="shared" ca="1" si="21"/>
        <v>#REF!</v>
      </c>
      <c r="BE34" s="2" t="e">
        <f t="shared" ca="1" si="21"/>
        <v>#REF!</v>
      </c>
      <c r="BF34" s="2" t="e">
        <f t="shared" ca="1" si="21"/>
        <v>#REF!</v>
      </c>
      <c r="BG34" s="2" t="e">
        <f t="shared" ca="1" si="21"/>
        <v>#REF!</v>
      </c>
      <c r="BH34" s="2" t="e">
        <f t="shared" ca="1" si="21"/>
        <v>#REF!</v>
      </c>
      <c r="BI34" s="2" t="e">
        <f t="shared" ca="1" si="21"/>
        <v>#REF!</v>
      </c>
      <c r="BJ34" s="2" t="e">
        <f t="shared" ca="1" si="21"/>
        <v>#REF!</v>
      </c>
      <c r="BK34" s="2" t="e">
        <f t="shared" ca="1" si="21"/>
        <v>#REF!</v>
      </c>
      <c r="BL34" s="2" t="e">
        <f t="shared" ca="1" si="21"/>
        <v>#REF!</v>
      </c>
      <c r="BM34" s="2" t="e">
        <f t="shared" ca="1" si="21"/>
        <v>#REF!</v>
      </c>
      <c r="BN34" s="2" t="e">
        <f t="shared" ca="1" si="21"/>
        <v>#REF!</v>
      </c>
      <c r="BO34" s="2" t="str">
        <f t="shared" ca="1" si="21"/>
        <v/>
      </c>
    </row>
    <row r="35" spans="1:67" ht="3" customHeight="1" x14ac:dyDescent="0.25">
      <c r="A35" s="22"/>
      <c r="B35" s="27" t="str">
        <f ca="1">IF(INDIRECT(ADDRESS(ROW(),COLUMN()+(ROW()-33)))=10,(SUM(D35:AW35)-10)/(playercnt-1),"")</f>
        <v/>
      </c>
    </row>
    <row r="36" spans="1:67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67" ht="3" customHeight="1" x14ac:dyDescent="0.25">
      <c r="B37" s="27" t="str">
        <f ca="1">IF(INDIRECT(ADDRESS(ROW(),COLUMN()+(ROW()-33)))=10,(SUM(D37:AW37)-10)/(playercnt-1),"")</f>
        <v/>
      </c>
    </row>
    <row r="38" spans="1:67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2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>
        <f ca="1">IF(AND(((COLUMN()-10)&lt;=playercnt),((ROW()-41)&lt;=playercnt)),SUMPRODUCT(INDIRECT(ADDRESS(3,ROW()-31,1)):INDIRECT(ADDRESS(22,ROW()-31,1)),AD$3:AD$22),"")</f>
        <v>20</v>
      </c>
      <c r="AE38">
        <f ca="1">IF(AND(((COLUMN()-10)&lt;=playercnt),((ROW()-41)&lt;=playercnt)),SUMPRODUCT(INDIRECT(ADDRESS(3,ROW()-31,1)):INDIRECT(ADDRESS(22,ROW()-31,1)),AE$3:AE$22),"")</f>
        <v>20</v>
      </c>
      <c r="AF38">
        <f ca="1">IF(AND(((COLUMN()-10)&lt;=playercnt),((ROW()-41)&lt;=playercnt)),SUMPRODUCT(INDIRECT(ADDRESS(3,ROW()-31,1)):INDIRECT(ADDRESS(22,ROW()-31,1)),AF$3:AF$22),"")</f>
        <v>20</v>
      </c>
      <c r="AG38">
        <f ca="1">IF(AND(((COLUMN()-10)&lt;=playercnt),((ROW()-41)&lt;=playercnt)),SUMPRODUCT(INDIRECT(ADDRESS(3,ROW()-31,1)):INDIRECT(ADDRESS(22,ROW()-31,1)),AG$3:AG$22),"")</f>
        <v>20</v>
      </c>
      <c r="AH38">
        <f ca="1">IF(AND(((COLUMN()-10)&lt;=playercnt),((ROW()-41)&lt;=playercnt)),SUMPRODUCT(INDIRECT(ADDRESS(3,ROW()-31,1)):INDIRECT(ADDRESS(22,ROW()-31,1)),AH$3:AH$22),"")</f>
        <v>20</v>
      </c>
      <c r="AI38">
        <f ca="1">IF(AND(((COLUMN()-10)&lt;=playercnt),((ROW()-41)&lt;=playercnt)),SUMPRODUCT(INDIRECT(ADDRESS(3,ROW()-31,1)):INDIRECT(ADDRESS(22,ROW()-31,1)),AI$3:AI$22),"")</f>
        <v>20</v>
      </c>
      <c r="AJ38">
        <f ca="1">IF(AND(((COLUMN()-10)&lt;=playercnt),((ROW()-41)&lt;=playercnt)),SUMPRODUCT(INDIRECT(ADDRESS(3,ROW()-31,1)):INDIRECT(ADDRESS(22,ROW()-31,1)),AJ$3:AJ$22),"")</f>
        <v>20</v>
      </c>
      <c r="AK38">
        <f ca="1">IF(AND(((COLUMN()-10)&lt;=playercnt),((ROW()-41)&lt;=playercnt)),SUMPRODUCT(INDIRECT(ADDRESS(3,ROW()-31,1)):INDIRECT(ADDRESS(22,ROW()-31,1)),AK$3:AK$22),"")</f>
        <v>20</v>
      </c>
      <c r="AL38">
        <f ca="1">IF(AND(((COLUMN()-10)&lt;=playercnt),((ROW()-41)&lt;=playercnt)),SUMPRODUCT(INDIRECT(ADDRESS(3,ROW()-31,1)):INDIRECT(ADDRESS(22,ROW()-31,1)),AL$3:AL$22),"")</f>
        <v>20</v>
      </c>
      <c r="AM38">
        <f ca="1">IF(AND(((COLUMN()-10)&lt;=playercnt),((ROW()-41)&lt;=playercnt)),SUMPRODUCT(INDIRECT(ADDRESS(3,ROW()-31,1)):INDIRECT(ADDRESS(22,ROW()-31,1)),AM$3:AM$22),"")</f>
        <v>20</v>
      </c>
      <c r="AN38">
        <f ca="1">IF(AND(((COLUMN()-10)&lt;=playercnt),((ROW()-41)&lt;=playercnt)),SUMPRODUCT(INDIRECT(ADDRESS(3,ROW()-31,1)):INDIRECT(ADDRESS(22,ROW()-31,1)),AN$3:AN$22),"")</f>
        <v>20</v>
      </c>
      <c r="AO38">
        <f ca="1">IF(AND(((COLUMN()-10)&lt;=playercnt),((ROW()-41)&lt;=playercnt)),SUMPRODUCT(INDIRECT(ADDRESS(3,ROW()-31,1)):INDIRECT(ADDRESS(22,ROW()-31,1)),AO$3:AO$22),"")</f>
        <v>20</v>
      </c>
      <c r="AP38">
        <f ca="1">IF(AND(((COLUMN()-10)&lt;=playercnt),((ROW()-41)&lt;=playercnt)),SUMPRODUCT(INDIRECT(ADDRESS(3,ROW()-31,1)):INDIRECT(ADDRESS(22,ROW()-31,1)),AP$3:AP$22),"")</f>
        <v>20</v>
      </c>
      <c r="AQ38">
        <f ca="1">IF(AND(((COLUMN()-10)&lt;=playercnt),((ROW()-41)&lt;=playercnt)),SUMPRODUCT(INDIRECT(ADDRESS(3,ROW()-31,1)):INDIRECT(ADDRESS(22,ROW()-31,1)),AQ$3:AQ$22),"")</f>
        <v>20</v>
      </c>
      <c r="AR38">
        <f ca="1">IF(AND(((COLUMN()-10)&lt;=playercnt),((ROW()-41)&lt;=playercnt)),SUMPRODUCT(INDIRECT(ADDRESS(3,ROW()-31,1)):INDIRECT(ADDRESS(22,ROW()-31,1)),AR$3:AR$22),"")</f>
        <v>20</v>
      </c>
      <c r="AS38">
        <f ca="1">IF(AND(((COLUMN()-10)&lt;=playercnt),((ROW()-41)&lt;=playercnt)),SUMPRODUCT(INDIRECT(ADDRESS(3,ROW()-31,1)):INDIRECT(ADDRESS(22,ROW()-31,1)),AS$3:AS$22),"")</f>
        <v>20</v>
      </c>
      <c r="AT38">
        <f ca="1">IF(AND(((COLUMN()-10)&lt;=playercnt),((ROW()-41)&lt;=playercnt)),SUMPRODUCT(INDIRECT(ADDRESS(3,ROW()-31,1)):INDIRECT(ADDRESS(22,ROW()-31,1)),AT$3:AT$22),"")</f>
        <v>20</v>
      </c>
      <c r="AU38">
        <f ca="1">IF(AND(((COLUMN()-10)&lt;=playercnt),((ROW()-41)&lt;=playercnt)),SUMPRODUCT(INDIRECT(ADDRESS(3,ROW()-31,1)):INDIRECT(ADDRESS(22,ROW()-31,1)),AU$3:AU$22),"")</f>
        <v>20</v>
      </c>
      <c r="AV38">
        <f ca="1">IF(AND(((COLUMN()-10)&lt;=playercnt),((ROW()-41)&lt;=playercnt)),SUMPRODUCT(INDIRECT(ADDRESS(3,ROW()-31,1)):INDIRECT(ADDRESS(22,ROW()-31,1)),AV$3:AV$22),"")</f>
        <v>20</v>
      </c>
      <c r="AW38">
        <f ca="1">IF(AND(((COLUMN()-10)&lt;=playercnt),((ROW()-41)&lt;=playercnt)),SUMPRODUCT(INDIRECT(ADDRESS(3,ROW()-31,1)):INDIRECT(ADDRESS(22,ROW()-31,1)),AW$3:AW$22),"")</f>
        <v>20</v>
      </c>
      <c r="AX38">
        <f ca="1">IF(AND(((COLUMN()-10)&lt;=playercnt),((ROW()-41)&lt;=playercnt)),SUMPRODUCT(INDIRECT(ADDRESS(3,ROW()-31,1)):INDIRECT(ADDRESS(22,ROW()-31,1)),AX$3:AX$22),"")</f>
        <v>20</v>
      </c>
      <c r="AY38">
        <f ca="1">IF(AND(((COLUMN()-10)&lt;=playercnt),((ROW()-41)&lt;=playercnt)),SUMPRODUCT(INDIRECT(ADDRESS(3,ROW()-31,1)):INDIRECT(ADDRESS(22,ROW()-31,1)),AY$3:AY$22),"")</f>
        <v>20</v>
      </c>
      <c r="AZ38">
        <f ca="1">IF(AND(((COLUMN()-10)&lt;=playercnt),((ROW()-41)&lt;=playercnt)),SUMPRODUCT(INDIRECT(ADDRESS(3,ROW()-31,1)):INDIRECT(ADDRESS(22,ROW()-31,1)),AZ$3:AZ$22),"")</f>
        <v>20</v>
      </c>
      <c r="BA38">
        <f ca="1">IF(AND(((COLUMN()-10)&lt;=playercnt),((ROW()-41)&lt;=playercnt)),SUMPRODUCT(INDIRECT(ADDRESS(3,ROW()-31,1)):INDIRECT(ADDRESS(22,ROW()-31,1)),BA$3:BA$22),"")</f>
        <v>20</v>
      </c>
      <c r="BB38">
        <f ca="1">IF(AND(((COLUMN()-10)&lt;=playercnt),((ROW()-41)&lt;=playercnt)),SUMPRODUCT(INDIRECT(ADDRESS(3,ROW()-31,1)):INDIRECT(ADDRESS(22,ROW()-31,1)),BB$3:BB$22),"")</f>
        <v>20</v>
      </c>
      <c r="BC38">
        <f ca="1">IF(AND(((COLUMN()-10)&lt;=playercnt),((ROW()-41)&lt;=playercnt)),SUMPRODUCT(INDIRECT(ADDRESS(3,ROW()-31,1)):INDIRECT(ADDRESS(22,ROW()-31,1)),BC$3:BC$22),"")</f>
        <v>20</v>
      </c>
      <c r="BD38">
        <f ca="1">IF(AND(((COLUMN()-10)&lt;=playercnt),((ROW()-41)&lt;=playercnt)),SUMPRODUCT(INDIRECT(ADDRESS(3,ROW()-31,1)):INDIRECT(ADDRESS(22,ROW()-31,1)),BD$3:BD$22),"")</f>
        <v>20</v>
      </c>
      <c r="BE38">
        <f ca="1">IF(AND(((COLUMN()-10)&lt;=playercnt),((ROW()-41)&lt;=playercnt)),SUMPRODUCT(INDIRECT(ADDRESS(3,ROW()-31,1)):INDIRECT(ADDRESS(22,ROW()-31,1)),BE$3:BE$22),"")</f>
        <v>20</v>
      </c>
      <c r="BF38">
        <f ca="1">IF(AND(((COLUMN()-10)&lt;=playercnt),((ROW()-41)&lt;=playercnt)),SUMPRODUCT(INDIRECT(ADDRESS(3,ROW()-31,1)):INDIRECT(ADDRESS(22,ROW()-31,1)),BF$3:BF$22),"")</f>
        <v>20</v>
      </c>
      <c r="BG38">
        <f ca="1">IF(AND(((COLUMN()-10)&lt;=playercnt),((ROW()-41)&lt;=playercnt)),SUMPRODUCT(INDIRECT(ADDRESS(3,ROW()-31,1)):INDIRECT(ADDRESS(22,ROW()-31,1)),BG$3:BG$22),"")</f>
        <v>20</v>
      </c>
      <c r="BH38">
        <f ca="1">IF(AND(((COLUMN()-10)&lt;=playercnt),((ROW()-41)&lt;=playercnt)),SUMPRODUCT(INDIRECT(ADDRESS(3,ROW()-31,1)):INDIRECT(ADDRESS(22,ROW()-31,1)),BH$3:BH$22),"")</f>
        <v>20</v>
      </c>
      <c r="BI38">
        <f ca="1">IF(AND(((COLUMN()-10)&lt;=playercnt),((ROW()-41)&lt;=playercnt)),SUMPRODUCT(INDIRECT(ADDRESS(3,ROW()-31,1)):INDIRECT(ADDRESS(22,ROW()-31,1)),BI$3:BI$22),"")</f>
        <v>20</v>
      </c>
      <c r="BJ38">
        <f ca="1">IF(AND(((COLUMN()-10)&lt;=playercnt),((ROW()-41)&lt;=playercnt)),SUMPRODUCT(INDIRECT(ADDRESS(3,ROW()-31,1)):INDIRECT(ADDRESS(22,ROW()-31,1)),BJ$3:BJ$22),"")</f>
        <v>20</v>
      </c>
      <c r="BK38">
        <f ca="1">IF(AND(((COLUMN()-10)&lt;=playercnt),((ROW()-41)&lt;=playercnt)),SUMPRODUCT(INDIRECT(ADDRESS(3,ROW()-31,1)):INDIRECT(ADDRESS(22,ROW()-31,1)),BK$3:BK$22),"")</f>
        <v>20</v>
      </c>
      <c r="BL38">
        <f ca="1">IF(AND(((COLUMN()-10)&lt;=playercnt),((ROW()-41)&lt;=playercnt)),SUMPRODUCT(INDIRECT(ADDRESS(3,ROW()-31,1)):INDIRECT(ADDRESS(22,ROW()-31,1)),BL$3:BL$22),"")</f>
        <v>20</v>
      </c>
      <c r="BM38">
        <f ca="1">IF(AND(((COLUMN()-10)&lt;=playercnt),((ROW()-41)&lt;=playercnt)),SUMPRODUCT(INDIRECT(ADDRESS(3,ROW()-31,1)):INDIRECT(ADDRESS(22,ROW()-31,1)),BM$3:BM$22),"")</f>
        <v>20</v>
      </c>
      <c r="BN38">
        <f ca="1">IF(AND(((COLUMN()-10)&lt;=playercnt),((ROW()-41)&lt;=playercnt)),SUMPRODUCT(INDIRECT(ADDRESS(3,ROW()-31,1)):INDIRECT(ADDRESS(22,ROW()-31,1)),BN$3:BN$22),"")</f>
        <v>20</v>
      </c>
      <c r="BO38" t="str">
        <f ca="1">IF(AND(((COLUMN()-10)&lt;=playercnt),((ROW()-41)&lt;=playercnt)),SUMPRODUCT(INDIRECT(ADDRESS(3,ROW()-31,1)):INDIRECT(ADDRESS(22,ROW()-31,1)),BO$3:BO$22),"")</f>
        <v/>
      </c>
    </row>
    <row r="39" spans="1:67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2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e">
        <f ca="1">IF(AND(((COLUMN()-10)&lt;=playercnt),((ROW()-41)&lt;=playercnt)),SUMPRODUCT(INDIRECT(ADDRESS(3,ROW()-31,1)):INDIRECT(ADDRESS(22,ROW()-31,1)),AD$3:AD$22),"")</f>
        <v>#REF!</v>
      </c>
      <c r="AE39" t="e">
        <f ca="1">IF(AND(((COLUMN()-10)&lt;=playercnt),((ROW()-41)&lt;=playercnt)),SUMPRODUCT(INDIRECT(ADDRESS(3,ROW()-31,1)):INDIRECT(ADDRESS(22,ROW()-31,1)),AE$3:AE$22),"")</f>
        <v>#REF!</v>
      </c>
      <c r="AF39" t="e">
        <f ca="1">IF(AND(((COLUMN()-10)&lt;=playercnt),((ROW()-41)&lt;=playercnt)),SUMPRODUCT(INDIRECT(ADDRESS(3,ROW()-31,1)):INDIRECT(ADDRESS(22,ROW()-31,1)),AF$3:AF$22),"")</f>
        <v>#REF!</v>
      </c>
      <c r="AG39" t="e">
        <f ca="1">IF(AND(((COLUMN()-10)&lt;=playercnt),((ROW()-41)&lt;=playercnt)),SUMPRODUCT(INDIRECT(ADDRESS(3,ROW()-31,1)):INDIRECT(ADDRESS(22,ROW()-31,1)),AG$3:AG$22),"")</f>
        <v>#REF!</v>
      </c>
      <c r="AH39" t="e">
        <f ca="1">IF(AND(((COLUMN()-10)&lt;=playercnt),((ROW()-41)&lt;=playercnt)),SUMPRODUCT(INDIRECT(ADDRESS(3,ROW()-31,1)):INDIRECT(ADDRESS(22,ROW()-31,1)),AH$3:AH$22),"")</f>
        <v>#REF!</v>
      </c>
      <c r="AI39" t="e">
        <f ca="1">IF(AND(((COLUMN()-10)&lt;=playercnt),((ROW()-41)&lt;=playercnt)),SUMPRODUCT(INDIRECT(ADDRESS(3,ROW()-31,1)):INDIRECT(ADDRESS(22,ROW()-31,1)),AI$3:AI$22),"")</f>
        <v>#REF!</v>
      </c>
      <c r="AJ39" t="e">
        <f ca="1">IF(AND(((COLUMN()-10)&lt;=playercnt),((ROW()-41)&lt;=playercnt)),SUMPRODUCT(INDIRECT(ADDRESS(3,ROW()-31,1)):INDIRECT(ADDRESS(22,ROW()-31,1)),AJ$3:AJ$22),"")</f>
        <v>#REF!</v>
      </c>
      <c r="AK39" t="e">
        <f ca="1">IF(AND(((COLUMN()-10)&lt;=playercnt),((ROW()-41)&lt;=playercnt)),SUMPRODUCT(INDIRECT(ADDRESS(3,ROW()-31,1)):INDIRECT(ADDRESS(22,ROW()-31,1)),AK$3:AK$22),"")</f>
        <v>#REF!</v>
      </c>
      <c r="AL39" t="e">
        <f ca="1">IF(AND(((COLUMN()-10)&lt;=playercnt),((ROW()-41)&lt;=playercnt)),SUMPRODUCT(INDIRECT(ADDRESS(3,ROW()-31,1)):INDIRECT(ADDRESS(22,ROW()-31,1)),AL$3:AL$22),"")</f>
        <v>#REF!</v>
      </c>
      <c r="AM39" t="e">
        <f ca="1">IF(AND(((COLUMN()-10)&lt;=playercnt),((ROW()-41)&lt;=playercnt)),SUMPRODUCT(INDIRECT(ADDRESS(3,ROW()-31,1)):INDIRECT(ADDRESS(22,ROW()-31,1)),AM$3:AM$22),"")</f>
        <v>#REF!</v>
      </c>
      <c r="AN39" t="e">
        <f ca="1">IF(AND(((COLUMN()-10)&lt;=playercnt),((ROW()-41)&lt;=playercnt)),SUMPRODUCT(INDIRECT(ADDRESS(3,ROW()-31,1)):INDIRECT(ADDRESS(22,ROW()-31,1)),AN$3:AN$22),"")</f>
        <v>#REF!</v>
      </c>
      <c r="AO39" t="e">
        <f ca="1">IF(AND(((COLUMN()-10)&lt;=playercnt),((ROW()-41)&lt;=playercnt)),SUMPRODUCT(INDIRECT(ADDRESS(3,ROW()-31,1)):INDIRECT(ADDRESS(22,ROW()-31,1)),AO$3:AO$22),"")</f>
        <v>#REF!</v>
      </c>
      <c r="AP39" t="e">
        <f ca="1">IF(AND(((COLUMN()-10)&lt;=playercnt),((ROW()-41)&lt;=playercnt)),SUMPRODUCT(INDIRECT(ADDRESS(3,ROW()-31,1)):INDIRECT(ADDRESS(22,ROW()-31,1)),AP$3:AP$22),"")</f>
        <v>#REF!</v>
      </c>
      <c r="AQ39" t="e">
        <f ca="1">IF(AND(((COLUMN()-10)&lt;=playercnt),((ROW()-41)&lt;=playercnt)),SUMPRODUCT(INDIRECT(ADDRESS(3,ROW()-31,1)):INDIRECT(ADDRESS(22,ROW()-31,1)),AQ$3:AQ$22),"")</f>
        <v>#REF!</v>
      </c>
      <c r="AR39" t="e">
        <f ca="1">IF(AND(((COLUMN()-10)&lt;=playercnt),((ROW()-41)&lt;=playercnt)),SUMPRODUCT(INDIRECT(ADDRESS(3,ROW()-31,1)):INDIRECT(ADDRESS(22,ROW()-31,1)),AR$3:AR$22),"")</f>
        <v>#REF!</v>
      </c>
      <c r="AS39" t="e">
        <f ca="1">IF(AND(((COLUMN()-10)&lt;=playercnt),((ROW()-41)&lt;=playercnt)),SUMPRODUCT(INDIRECT(ADDRESS(3,ROW()-31,1)):INDIRECT(ADDRESS(22,ROW()-31,1)),AS$3:AS$22),"")</f>
        <v>#REF!</v>
      </c>
      <c r="AT39" t="e">
        <f ca="1">IF(AND(((COLUMN()-10)&lt;=playercnt),((ROW()-41)&lt;=playercnt)),SUMPRODUCT(INDIRECT(ADDRESS(3,ROW()-31,1)):INDIRECT(ADDRESS(22,ROW()-31,1)),AT$3:AT$22),"")</f>
        <v>#REF!</v>
      </c>
      <c r="AU39" t="e">
        <f ca="1">IF(AND(((COLUMN()-10)&lt;=playercnt),((ROW()-41)&lt;=playercnt)),SUMPRODUCT(INDIRECT(ADDRESS(3,ROW()-31,1)):INDIRECT(ADDRESS(22,ROW()-31,1)),AU$3:AU$22),"")</f>
        <v>#REF!</v>
      </c>
      <c r="AV39" t="e">
        <f ca="1">IF(AND(((COLUMN()-10)&lt;=playercnt),((ROW()-41)&lt;=playercnt)),SUMPRODUCT(INDIRECT(ADDRESS(3,ROW()-31,1)):INDIRECT(ADDRESS(22,ROW()-31,1)),AV$3:AV$22),"")</f>
        <v>#REF!</v>
      </c>
      <c r="AW39" t="e">
        <f ca="1">IF(AND(((COLUMN()-10)&lt;=playercnt),((ROW()-41)&lt;=playercnt)),SUMPRODUCT(INDIRECT(ADDRESS(3,ROW()-31,1)):INDIRECT(ADDRESS(22,ROW()-31,1)),AW$3:AW$22),"")</f>
        <v>#REF!</v>
      </c>
      <c r="AX39" t="e">
        <f ca="1">IF(AND(((COLUMN()-10)&lt;=playercnt),((ROW()-41)&lt;=playercnt)),SUMPRODUCT(INDIRECT(ADDRESS(3,ROW()-31,1)):INDIRECT(ADDRESS(22,ROW()-31,1)),AX$3:AX$22),"")</f>
        <v>#REF!</v>
      </c>
      <c r="AY39" t="e">
        <f ca="1">IF(AND(((COLUMN()-10)&lt;=playercnt),((ROW()-41)&lt;=playercnt)),SUMPRODUCT(INDIRECT(ADDRESS(3,ROW()-31,1)):INDIRECT(ADDRESS(22,ROW()-31,1)),AY$3:AY$22),"")</f>
        <v>#REF!</v>
      </c>
      <c r="AZ39" t="e">
        <f ca="1">IF(AND(((COLUMN()-10)&lt;=playercnt),((ROW()-41)&lt;=playercnt)),SUMPRODUCT(INDIRECT(ADDRESS(3,ROW()-31,1)):INDIRECT(ADDRESS(22,ROW()-31,1)),AZ$3:AZ$22),"")</f>
        <v>#REF!</v>
      </c>
      <c r="BA39" t="e">
        <f ca="1">IF(AND(((COLUMN()-10)&lt;=playercnt),((ROW()-41)&lt;=playercnt)),SUMPRODUCT(INDIRECT(ADDRESS(3,ROW()-31,1)):INDIRECT(ADDRESS(22,ROW()-31,1)),BA$3:BA$22),"")</f>
        <v>#REF!</v>
      </c>
      <c r="BB39" t="e">
        <f ca="1">IF(AND(((COLUMN()-10)&lt;=playercnt),((ROW()-41)&lt;=playercnt)),SUMPRODUCT(INDIRECT(ADDRESS(3,ROW()-31,1)):INDIRECT(ADDRESS(22,ROW()-31,1)),BB$3:BB$22),"")</f>
        <v>#REF!</v>
      </c>
      <c r="BC39" t="e">
        <f ca="1">IF(AND(((COLUMN()-10)&lt;=playercnt),((ROW()-41)&lt;=playercnt)),SUMPRODUCT(INDIRECT(ADDRESS(3,ROW()-31,1)):INDIRECT(ADDRESS(22,ROW()-31,1)),BC$3:BC$22),"")</f>
        <v>#REF!</v>
      </c>
      <c r="BD39" t="e">
        <f ca="1">IF(AND(((COLUMN()-10)&lt;=playercnt),((ROW()-41)&lt;=playercnt)),SUMPRODUCT(INDIRECT(ADDRESS(3,ROW()-31,1)):INDIRECT(ADDRESS(22,ROW()-31,1)),BD$3:BD$22),"")</f>
        <v>#REF!</v>
      </c>
      <c r="BE39" t="e">
        <f ca="1">IF(AND(((COLUMN()-10)&lt;=playercnt),((ROW()-41)&lt;=playercnt)),SUMPRODUCT(INDIRECT(ADDRESS(3,ROW()-31,1)):INDIRECT(ADDRESS(22,ROW()-31,1)),BE$3:BE$22),"")</f>
        <v>#REF!</v>
      </c>
      <c r="BF39" t="e">
        <f ca="1">IF(AND(((COLUMN()-10)&lt;=playercnt),((ROW()-41)&lt;=playercnt)),SUMPRODUCT(INDIRECT(ADDRESS(3,ROW()-31,1)):INDIRECT(ADDRESS(22,ROW()-31,1)),BF$3:BF$22),"")</f>
        <v>#REF!</v>
      </c>
      <c r="BG39" t="e">
        <f ca="1">IF(AND(((COLUMN()-10)&lt;=playercnt),((ROW()-41)&lt;=playercnt)),SUMPRODUCT(INDIRECT(ADDRESS(3,ROW()-31,1)):INDIRECT(ADDRESS(22,ROW()-31,1)),BG$3:BG$22),"")</f>
        <v>#REF!</v>
      </c>
      <c r="BH39" t="e">
        <f ca="1">IF(AND(((COLUMN()-10)&lt;=playercnt),((ROW()-41)&lt;=playercnt)),SUMPRODUCT(INDIRECT(ADDRESS(3,ROW()-31,1)):INDIRECT(ADDRESS(22,ROW()-31,1)),BH$3:BH$22),"")</f>
        <v>#REF!</v>
      </c>
      <c r="BI39" t="e">
        <f ca="1">IF(AND(((COLUMN()-10)&lt;=playercnt),((ROW()-41)&lt;=playercnt)),SUMPRODUCT(INDIRECT(ADDRESS(3,ROW()-31,1)):INDIRECT(ADDRESS(22,ROW()-31,1)),BI$3:BI$22),"")</f>
        <v>#REF!</v>
      </c>
      <c r="BJ39" t="e">
        <f ca="1">IF(AND(((COLUMN()-10)&lt;=playercnt),((ROW()-41)&lt;=playercnt)),SUMPRODUCT(INDIRECT(ADDRESS(3,ROW()-31,1)):INDIRECT(ADDRESS(22,ROW()-31,1)),BJ$3:BJ$22),"")</f>
        <v>#REF!</v>
      </c>
      <c r="BK39" t="e">
        <f ca="1">IF(AND(((COLUMN()-10)&lt;=playercnt),((ROW()-41)&lt;=playercnt)),SUMPRODUCT(INDIRECT(ADDRESS(3,ROW()-31,1)):INDIRECT(ADDRESS(22,ROW()-31,1)),BK$3:BK$22),"")</f>
        <v>#REF!</v>
      </c>
      <c r="BL39" t="e">
        <f ca="1">IF(AND(((COLUMN()-10)&lt;=playercnt),((ROW()-41)&lt;=playercnt)),SUMPRODUCT(INDIRECT(ADDRESS(3,ROW()-31,1)):INDIRECT(ADDRESS(22,ROW()-31,1)),BL$3:BL$22),"")</f>
        <v>#REF!</v>
      </c>
      <c r="BM39" t="e">
        <f ca="1">IF(AND(((COLUMN()-10)&lt;=playercnt),((ROW()-41)&lt;=playercnt)),SUMPRODUCT(INDIRECT(ADDRESS(3,ROW()-31,1)):INDIRECT(ADDRESS(22,ROW()-31,1)),BM$3:BM$22),"")</f>
        <v>#REF!</v>
      </c>
      <c r="BN39" t="e">
        <f ca="1">IF(AND(((COLUMN()-10)&lt;=playercnt),((ROW()-41)&lt;=playercnt)),SUMPRODUCT(INDIRECT(ADDRESS(3,ROW()-31,1)):INDIRECT(ADDRESS(22,ROW()-31,1)),BN$3:BN$22),"")</f>
        <v>#REF!</v>
      </c>
      <c r="BO39" t="str">
        <f ca="1">IF(AND(((COLUMN()-10)&lt;=playercnt),((ROW()-41)&lt;=playercnt)),SUMPRODUCT(INDIRECT(ADDRESS(3,ROW()-31,1)):INDIRECT(ADDRESS(22,ROW()-31,1)),BO$3:BO$22),"")</f>
        <v/>
      </c>
    </row>
    <row r="40" spans="1:67" x14ac:dyDescent="0.25">
      <c r="B40" s="27" t="e">
        <f t="shared" ref="B40:B97" ca="1" si="23">IF(INDIRECT(ADDRESS(ROW(),COLUMN()+(ROW()-33)))=10,(SUM(INDIRECT("RC11:RC"&amp;11+playercnt-1,FALSE))-10)/(picks_entered-1),"")</f>
        <v>#REF!</v>
      </c>
      <c r="C40" t="e">
        <f t="shared" ca="1" si="22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e">
        <f ca="1">IF(AND(((COLUMN()-10)&lt;=playercnt),((ROW()-41)&lt;=playercnt)),SUMPRODUCT(INDIRECT(ADDRESS(3,ROW()-31,1)):INDIRECT(ADDRESS(22,ROW()-31,1)),AD$3:AD$22),"")</f>
        <v>#REF!</v>
      </c>
      <c r="AE40" t="e">
        <f ca="1">IF(AND(((COLUMN()-10)&lt;=playercnt),((ROW()-41)&lt;=playercnt)),SUMPRODUCT(INDIRECT(ADDRESS(3,ROW()-31,1)):INDIRECT(ADDRESS(22,ROW()-31,1)),AE$3:AE$22),"")</f>
        <v>#REF!</v>
      </c>
      <c r="AF40" t="e">
        <f ca="1">IF(AND(((COLUMN()-10)&lt;=playercnt),((ROW()-41)&lt;=playercnt)),SUMPRODUCT(INDIRECT(ADDRESS(3,ROW()-31,1)):INDIRECT(ADDRESS(22,ROW()-31,1)),AF$3:AF$22),"")</f>
        <v>#REF!</v>
      </c>
      <c r="AG40" t="e">
        <f ca="1">IF(AND(((COLUMN()-10)&lt;=playercnt),((ROW()-41)&lt;=playercnt)),SUMPRODUCT(INDIRECT(ADDRESS(3,ROW()-31,1)):INDIRECT(ADDRESS(22,ROW()-31,1)),AG$3:AG$22),"")</f>
        <v>#REF!</v>
      </c>
      <c r="AH40" t="e">
        <f ca="1">IF(AND(((COLUMN()-10)&lt;=playercnt),((ROW()-41)&lt;=playercnt)),SUMPRODUCT(INDIRECT(ADDRESS(3,ROW()-31,1)):INDIRECT(ADDRESS(22,ROW()-31,1)),AH$3:AH$22),"")</f>
        <v>#REF!</v>
      </c>
      <c r="AI40" t="e">
        <f ca="1">IF(AND(((COLUMN()-10)&lt;=playercnt),((ROW()-41)&lt;=playercnt)),SUMPRODUCT(INDIRECT(ADDRESS(3,ROW()-31,1)):INDIRECT(ADDRESS(22,ROW()-31,1)),AI$3:AI$22),"")</f>
        <v>#REF!</v>
      </c>
      <c r="AJ40" t="e">
        <f ca="1">IF(AND(((COLUMN()-10)&lt;=playercnt),((ROW()-41)&lt;=playercnt)),SUMPRODUCT(INDIRECT(ADDRESS(3,ROW()-31,1)):INDIRECT(ADDRESS(22,ROW()-31,1)),AJ$3:AJ$22),"")</f>
        <v>#REF!</v>
      </c>
      <c r="AK40" t="e">
        <f ca="1">IF(AND(((COLUMN()-10)&lt;=playercnt),((ROW()-41)&lt;=playercnt)),SUMPRODUCT(INDIRECT(ADDRESS(3,ROW()-31,1)):INDIRECT(ADDRESS(22,ROW()-31,1)),AK$3:AK$22),"")</f>
        <v>#REF!</v>
      </c>
      <c r="AL40" t="e">
        <f ca="1">IF(AND(((COLUMN()-10)&lt;=playercnt),((ROW()-41)&lt;=playercnt)),SUMPRODUCT(INDIRECT(ADDRESS(3,ROW()-31,1)):INDIRECT(ADDRESS(22,ROW()-31,1)),AL$3:AL$22),"")</f>
        <v>#REF!</v>
      </c>
      <c r="AM40" t="e">
        <f ca="1">IF(AND(((COLUMN()-10)&lt;=playercnt),((ROW()-41)&lt;=playercnt)),SUMPRODUCT(INDIRECT(ADDRESS(3,ROW()-31,1)):INDIRECT(ADDRESS(22,ROW()-31,1)),AM$3:AM$22),"")</f>
        <v>#REF!</v>
      </c>
      <c r="AN40" t="e">
        <f ca="1">IF(AND(((COLUMN()-10)&lt;=playercnt),((ROW()-41)&lt;=playercnt)),SUMPRODUCT(INDIRECT(ADDRESS(3,ROW()-31,1)):INDIRECT(ADDRESS(22,ROW()-31,1)),AN$3:AN$22),"")</f>
        <v>#REF!</v>
      </c>
      <c r="AO40" t="e">
        <f ca="1">IF(AND(((COLUMN()-10)&lt;=playercnt),((ROW()-41)&lt;=playercnt)),SUMPRODUCT(INDIRECT(ADDRESS(3,ROW()-31,1)):INDIRECT(ADDRESS(22,ROW()-31,1)),AO$3:AO$22),"")</f>
        <v>#REF!</v>
      </c>
      <c r="AP40" t="e">
        <f ca="1">IF(AND(((COLUMN()-10)&lt;=playercnt),((ROW()-41)&lt;=playercnt)),SUMPRODUCT(INDIRECT(ADDRESS(3,ROW()-31,1)):INDIRECT(ADDRESS(22,ROW()-31,1)),AP$3:AP$22),"")</f>
        <v>#REF!</v>
      </c>
      <c r="AQ40" t="e">
        <f ca="1">IF(AND(((COLUMN()-10)&lt;=playercnt),((ROW()-41)&lt;=playercnt)),SUMPRODUCT(INDIRECT(ADDRESS(3,ROW()-31,1)):INDIRECT(ADDRESS(22,ROW()-31,1)),AQ$3:AQ$22),"")</f>
        <v>#REF!</v>
      </c>
      <c r="AR40" t="e">
        <f ca="1">IF(AND(((COLUMN()-10)&lt;=playercnt),((ROW()-41)&lt;=playercnt)),SUMPRODUCT(INDIRECT(ADDRESS(3,ROW()-31,1)):INDIRECT(ADDRESS(22,ROW()-31,1)),AR$3:AR$22),"")</f>
        <v>#REF!</v>
      </c>
      <c r="AS40" t="e">
        <f ca="1">IF(AND(((COLUMN()-10)&lt;=playercnt),((ROW()-41)&lt;=playercnt)),SUMPRODUCT(INDIRECT(ADDRESS(3,ROW()-31,1)):INDIRECT(ADDRESS(22,ROW()-31,1)),AS$3:AS$22),"")</f>
        <v>#REF!</v>
      </c>
      <c r="AT40" t="e">
        <f ca="1">IF(AND(((COLUMN()-10)&lt;=playercnt),((ROW()-41)&lt;=playercnt)),SUMPRODUCT(INDIRECT(ADDRESS(3,ROW()-31,1)):INDIRECT(ADDRESS(22,ROW()-31,1)),AT$3:AT$22),"")</f>
        <v>#REF!</v>
      </c>
      <c r="AU40" t="e">
        <f ca="1">IF(AND(((COLUMN()-10)&lt;=playercnt),((ROW()-41)&lt;=playercnt)),SUMPRODUCT(INDIRECT(ADDRESS(3,ROW()-31,1)):INDIRECT(ADDRESS(22,ROW()-31,1)),AU$3:AU$22),"")</f>
        <v>#REF!</v>
      </c>
      <c r="AV40" t="e">
        <f ca="1">IF(AND(((COLUMN()-10)&lt;=playercnt),((ROW()-41)&lt;=playercnt)),SUMPRODUCT(INDIRECT(ADDRESS(3,ROW()-31,1)):INDIRECT(ADDRESS(22,ROW()-31,1)),AV$3:AV$22),"")</f>
        <v>#REF!</v>
      </c>
      <c r="AW40" t="e">
        <f ca="1">IF(AND(((COLUMN()-10)&lt;=playercnt),((ROW()-41)&lt;=playercnt)),SUMPRODUCT(INDIRECT(ADDRESS(3,ROW()-31,1)):INDIRECT(ADDRESS(22,ROW()-31,1)),AW$3:AW$22),"")</f>
        <v>#REF!</v>
      </c>
      <c r="AX40" t="e">
        <f ca="1">IF(AND(((COLUMN()-10)&lt;=playercnt),((ROW()-41)&lt;=playercnt)),SUMPRODUCT(INDIRECT(ADDRESS(3,ROW()-31,1)):INDIRECT(ADDRESS(22,ROW()-31,1)),AX$3:AX$22),"")</f>
        <v>#REF!</v>
      </c>
      <c r="AY40" t="e">
        <f ca="1">IF(AND(((COLUMN()-10)&lt;=playercnt),((ROW()-41)&lt;=playercnt)),SUMPRODUCT(INDIRECT(ADDRESS(3,ROW()-31,1)):INDIRECT(ADDRESS(22,ROW()-31,1)),AY$3:AY$22),"")</f>
        <v>#REF!</v>
      </c>
      <c r="AZ40" t="e">
        <f ca="1">IF(AND(((COLUMN()-10)&lt;=playercnt),((ROW()-41)&lt;=playercnt)),SUMPRODUCT(INDIRECT(ADDRESS(3,ROW()-31,1)):INDIRECT(ADDRESS(22,ROW()-31,1)),AZ$3:AZ$22),"")</f>
        <v>#REF!</v>
      </c>
      <c r="BA40" t="e">
        <f ca="1">IF(AND(((COLUMN()-10)&lt;=playercnt),((ROW()-41)&lt;=playercnt)),SUMPRODUCT(INDIRECT(ADDRESS(3,ROW()-31,1)):INDIRECT(ADDRESS(22,ROW()-31,1)),BA$3:BA$22),"")</f>
        <v>#REF!</v>
      </c>
      <c r="BB40" t="e">
        <f ca="1">IF(AND(((COLUMN()-10)&lt;=playercnt),((ROW()-41)&lt;=playercnt)),SUMPRODUCT(INDIRECT(ADDRESS(3,ROW()-31,1)):INDIRECT(ADDRESS(22,ROW()-31,1)),BB$3:BB$22),"")</f>
        <v>#REF!</v>
      </c>
      <c r="BC40" t="e">
        <f ca="1">IF(AND(((COLUMN()-10)&lt;=playercnt),((ROW()-41)&lt;=playercnt)),SUMPRODUCT(INDIRECT(ADDRESS(3,ROW()-31,1)):INDIRECT(ADDRESS(22,ROW()-31,1)),BC$3:BC$22),"")</f>
        <v>#REF!</v>
      </c>
      <c r="BD40" t="e">
        <f ca="1">IF(AND(((COLUMN()-10)&lt;=playercnt),((ROW()-41)&lt;=playercnt)),SUMPRODUCT(INDIRECT(ADDRESS(3,ROW()-31,1)):INDIRECT(ADDRESS(22,ROW()-31,1)),BD$3:BD$22),"")</f>
        <v>#REF!</v>
      </c>
      <c r="BE40" t="e">
        <f ca="1">IF(AND(((COLUMN()-10)&lt;=playercnt),((ROW()-41)&lt;=playercnt)),SUMPRODUCT(INDIRECT(ADDRESS(3,ROW()-31,1)):INDIRECT(ADDRESS(22,ROW()-31,1)),BE$3:BE$22),"")</f>
        <v>#REF!</v>
      </c>
      <c r="BF40" t="e">
        <f ca="1">IF(AND(((COLUMN()-10)&lt;=playercnt),((ROW()-41)&lt;=playercnt)),SUMPRODUCT(INDIRECT(ADDRESS(3,ROW()-31,1)):INDIRECT(ADDRESS(22,ROW()-31,1)),BF$3:BF$22),"")</f>
        <v>#REF!</v>
      </c>
      <c r="BG40" t="e">
        <f ca="1">IF(AND(((COLUMN()-10)&lt;=playercnt),((ROW()-41)&lt;=playercnt)),SUMPRODUCT(INDIRECT(ADDRESS(3,ROW()-31,1)):INDIRECT(ADDRESS(22,ROW()-31,1)),BG$3:BG$22),"")</f>
        <v>#REF!</v>
      </c>
      <c r="BH40" t="e">
        <f ca="1">IF(AND(((COLUMN()-10)&lt;=playercnt),((ROW()-41)&lt;=playercnt)),SUMPRODUCT(INDIRECT(ADDRESS(3,ROW()-31,1)):INDIRECT(ADDRESS(22,ROW()-31,1)),BH$3:BH$22),"")</f>
        <v>#REF!</v>
      </c>
      <c r="BI40" t="e">
        <f ca="1">IF(AND(((COLUMN()-10)&lt;=playercnt),((ROW()-41)&lt;=playercnt)),SUMPRODUCT(INDIRECT(ADDRESS(3,ROW()-31,1)):INDIRECT(ADDRESS(22,ROW()-31,1)),BI$3:BI$22),"")</f>
        <v>#REF!</v>
      </c>
      <c r="BJ40" t="e">
        <f ca="1">IF(AND(((COLUMN()-10)&lt;=playercnt),((ROW()-41)&lt;=playercnt)),SUMPRODUCT(INDIRECT(ADDRESS(3,ROW()-31,1)):INDIRECT(ADDRESS(22,ROW()-31,1)),BJ$3:BJ$22),"")</f>
        <v>#REF!</v>
      </c>
      <c r="BK40" t="e">
        <f ca="1">IF(AND(((COLUMN()-10)&lt;=playercnt),((ROW()-41)&lt;=playercnt)),SUMPRODUCT(INDIRECT(ADDRESS(3,ROW()-31,1)):INDIRECT(ADDRESS(22,ROW()-31,1)),BK$3:BK$22),"")</f>
        <v>#REF!</v>
      </c>
      <c r="BL40" t="e">
        <f ca="1">IF(AND(((COLUMN()-10)&lt;=playercnt),((ROW()-41)&lt;=playercnt)),SUMPRODUCT(INDIRECT(ADDRESS(3,ROW()-31,1)):INDIRECT(ADDRESS(22,ROW()-31,1)),BL$3:BL$22),"")</f>
        <v>#REF!</v>
      </c>
      <c r="BM40" t="e">
        <f ca="1">IF(AND(((COLUMN()-10)&lt;=playercnt),((ROW()-41)&lt;=playercnt)),SUMPRODUCT(INDIRECT(ADDRESS(3,ROW()-31,1)):INDIRECT(ADDRESS(22,ROW()-31,1)),BM$3:BM$22),"")</f>
        <v>#REF!</v>
      </c>
      <c r="BN40" t="e">
        <f ca="1">IF(AND(((COLUMN()-10)&lt;=playercnt),((ROW()-41)&lt;=playercnt)),SUMPRODUCT(INDIRECT(ADDRESS(3,ROW()-31,1)):INDIRECT(ADDRESS(22,ROW()-31,1)),BN$3:BN$22),"")</f>
        <v>#REF!</v>
      </c>
      <c r="BO40" t="str">
        <f ca="1">IF(AND(((COLUMN()-10)&lt;=playercnt),((ROW()-41)&lt;=playercnt)),SUMPRODUCT(INDIRECT(ADDRESS(3,ROW()-31,1)):INDIRECT(ADDRESS(22,ROW()-31,1)),BO$3:BO$22),"")</f>
        <v/>
      </c>
    </row>
    <row r="41" spans="1:67" x14ac:dyDescent="0.25">
      <c r="B41" s="27" t="str">
        <f t="shared" ca="1" si="23"/>
        <v/>
      </c>
      <c r="C41" t="e">
        <f t="shared" ca="1" si="22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>
        <f ca="1">IF(AND(((COLUMN()-10)&lt;=playercnt),((ROW()-41)&lt;=playercnt)),SUMPRODUCT(INDIRECT(ADDRESS(3,ROW()-31,1)):INDIRECT(ADDRESS(22,ROW()-31,1)),AD$3:AD$22),"")</f>
        <v>20</v>
      </c>
      <c r="AE41">
        <f ca="1">IF(AND(((COLUMN()-10)&lt;=playercnt),((ROW()-41)&lt;=playercnt)),SUMPRODUCT(INDIRECT(ADDRESS(3,ROW()-31,1)):INDIRECT(ADDRESS(22,ROW()-31,1)),AE$3:AE$22),"")</f>
        <v>20</v>
      </c>
      <c r="AF41">
        <f ca="1">IF(AND(((COLUMN()-10)&lt;=playercnt),((ROW()-41)&lt;=playercnt)),SUMPRODUCT(INDIRECT(ADDRESS(3,ROW()-31,1)):INDIRECT(ADDRESS(22,ROW()-31,1)),AF$3:AF$22),"")</f>
        <v>20</v>
      </c>
      <c r="AG41">
        <f ca="1">IF(AND(((COLUMN()-10)&lt;=playercnt),((ROW()-41)&lt;=playercnt)),SUMPRODUCT(INDIRECT(ADDRESS(3,ROW()-31,1)):INDIRECT(ADDRESS(22,ROW()-31,1)),AG$3:AG$22),"")</f>
        <v>20</v>
      </c>
      <c r="AH41">
        <f ca="1">IF(AND(((COLUMN()-10)&lt;=playercnt),((ROW()-41)&lt;=playercnt)),SUMPRODUCT(INDIRECT(ADDRESS(3,ROW()-31,1)):INDIRECT(ADDRESS(22,ROW()-31,1)),AH$3:AH$22),"")</f>
        <v>20</v>
      </c>
      <c r="AI41">
        <f ca="1">IF(AND(((COLUMN()-10)&lt;=playercnt),((ROW()-41)&lt;=playercnt)),SUMPRODUCT(INDIRECT(ADDRESS(3,ROW()-31,1)):INDIRECT(ADDRESS(22,ROW()-31,1)),AI$3:AI$22),"")</f>
        <v>20</v>
      </c>
      <c r="AJ41">
        <f ca="1">IF(AND(((COLUMN()-10)&lt;=playercnt),((ROW()-41)&lt;=playercnt)),SUMPRODUCT(INDIRECT(ADDRESS(3,ROW()-31,1)):INDIRECT(ADDRESS(22,ROW()-31,1)),AJ$3:AJ$22),"")</f>
        <v>20</v>
      </c>
      <c r="AK41">
        <f ca="1">IF(AND(((COLUMN()-10)&lt;=playercnt),((ROW()-41)&lt;=playercnt)),SUMPRODUCT(INDIRECT(ADDRESS(3,ROW()-31,1)):INDIRECT(ADDRESS(22,ROW()-31,1)),AK$3:AK$22),"")</f>
        <v>20</v>
      </c>
      <c r="AL41">
        <f ca="1">IF(AND(((COLUMN()-10)&lt;=playercnt),((ROW()-41)&lt;=playercnt)),SUMPRODUCT(INDIRECT(ADDRESS(3,ROW()-31,1)):INDIRECT(ADDRESS(22,ROW()-31,1)),AL$3:AL$22),"")</f>
        <v>20</v>
      </c>
      <c r="AM41">
        <f ca="1">IF(AND(((COLUMN()-10)&lt;=playercnt),((ROW()-41)&lt;=playercnt)),SUMPRODUCT(INDIRECT(ADDRESS(3,ROW()-31,1)):INDIRECT(ADDRESS(22,ROW()-31,1)),AM$3:AM$22),"")</f>
        <v>20</v>
      </c>
      <c r="AN41">
        <f ca="1">IF(AND(((COLUMN()-10)&lt;=playercnt),((ROW()-41)&lt;=playercnt)),SUMPRODUCT(INDIRECT(ADDRESS(3,ROW()-31,1)):INDIRECT(ADDRESS(22,ROW()-31,1)),AN$3:AN$22),"")</f>
        <v>20</v>
      </c>
      <c r="AO41">
        <f ca="1">IF(AND(((COLUMN()-10)&lt;=playercnt),((ROW()-41)&lt;=playercnt)),SUMPRODUCT(INDIRECT(ADDRESS(3,ROW()-31,1)):INDIRECT(ADDRESS(22,ROW()-31,1)),AO$3:AO$22),"")</f>
        <v>20</v>
      </c>
      <c r="AP41">
        <f ca="1">IF(AND(((COLUMN()-10)&lt;=playercnt),((ROW()-41)&lt;=playercnt)),SUMPRODUCT(INDIRECT(ADDRESS(3,ROW()-31,1)):INDIRECT(ADDRESS(22,ROW()-31,1)),AP$3:AP$22),"")</f>
        <v>20</v>
      </c>
      <c r="AQ41">
        <f ca="1">IF(AND(((COLUMN()-10)&lt;=playercnt),((ROW()-41)&lt;=playercnt)),SUMPRODUCT(INDIRECT(ADDRESS(3,ROW()-31,1)):INDIRECT(ADDRESS(22,ROW()-31,1)),AQ$3:AQ$22),"")</f>
        <v>20</v>
      </c>
      <c r="AR41">
        <f ca="1">IF(AND(((COLUMN()-10)&lt;=playercnt),((ROW()-41)&lt;=playercnt)),SUMPRODUCT(INDIRECT(ADDRESS(3,ROW()-31,1)):INDIRECT(ADDRESS(22,ROW()-31,1)),AR$3:AR$22),"")</f>
        <v>20</v>
      </c>
      <c r="AS41">
        <f ca="1">IF(AND(((COLUMN()-10)&lt;=playercnt),((ROW()-41)&lt;=playercnt)),SUMPRODUCT(INDIRECT(ADDRESS(3,ROW()-31,1)):INDIRECT(ADDRESS(22,ROW()-31,1)),AS$3:AS$22),"")</f>
        <v>20</v>
      </c>
      <c r="AT41">
        <f ca="1">IF(AND(((COLUMN()-10)&lt;=playercnt),((ROW()-41)&lt;=playercnt)),SUMPRODUCT(INDIRECT(ADDRESS(3,ROW()-31,1)):INDIRECT(ADDRESS(22,ROW()-31,1)),AT$3:AT$22),"")</f>
        <v>20</v>
      </c>
      <c r="AU41">
        <f ca="1">IF(AND(((COLUMN()-10)&lt;=playercnt),((ROW()-41)&lt;=playercnt)),SUMPRODUCT(INDIRECT(ADDRESS(3,ROW()-31,1)):INDIRECT(ADDRESS(22,ROW()-31,1)),AU$3:AU$22),"")</f>
        <v>20</v>
      </c>
      <c r="AV41">
        <f ca="1">IF(AND(((COLUMN()-10)&lt;=playercnt),((ROW()-41)&lt;=playercnt)),SUMPRODUCT(INDIRECT(ADDRESS(3,ROW()-31,1)):INDIRECT(ADDRESS(22,ROW()-31,1)),AV$3:AV$22),"")</f>
        <v>20</v>
      </c>
      <c r="AW41">
        <f ca="1">IF(AND(((COLUMN()-10)&lt;=playercnt),((ROW()-41)&lt;=playercnt)),SUMPRODUCT(INDIRECT(ADDRESS(3,ROW()-31,1)):INDIRECT(ADDRESS(22,ROW()-31,1)),AW$3:AW$22),"")</f>
        <v>20</v>
      </c>
      <c r="AX41">
        <f ca="1">IF(AND(((COLUMN()-10)&lt;=playercnt),((ROW()-41)&lt;=playercnt)),SUMPRODUCT(INDIRECT(ADDRESS(3,ROW()-31,1)):INDIRECT(ADDRESS(22,ROW()-31,1)),AX$3:AX$22),"")</f>
        <v>20</v>
      </c>
      <c r="AY41">
        <f ca="1">IF(AND(((COLUMN()-10)&lt;=playercnt),((ROW()-41)&lt;=playercnt)),SUMPRODUCT(INDIRECT(ADDRESS(3,ROW()-31,1)):INDIRECT(ADDRESS(22,ROW()-31,1)),AY$3:AY$22),"")</f>
        <v>20</v>
      </c>
      <c r="AZ41">
        <f ca="1">IF(AND(((COLUMN()-10)&lt;=playercnt),((ROW()-41)&lt;=playercnt)),SUMPRODUCT(INDIRECT(ADDRESS(3,ROW()-31,1)):INDIRECT(ADDRESS(22,ROW()-31,1)),AZ$3:AZ$22),"")</f>
        <v>20</v>
      </c>
      <c r="BA41">
        <f ca="1">IF(AND(((COLUMN()-10)&lt;=playercnt),((ROW()-41)&lt;=playercnt)),SUMPRODUCT(INDIRECT(ADDRESS(3,ROW()-31,1)):INDIRECT(ADDRESS(22,ROW()-31,1)),BA$3:BA$22),"")</f>
        <v>20</v>
      </c>
      <c r="BB41">
        <f ca="1">IF(AND(((COLUMN()-10)&lt;=playercnt),((ROW()-41)&lt;=playercnt)),SUMPRODUCT(INDIRECT(ADDRESS(3,ROW()-31,1)):INDIRECT(ADDRESS(22,ROW()-31,1)),BB$3:BB$22),"")</f>
        <v>20</v>
      </c>
      <c r="BC41">
        <f ca="1">IF(AND(((COLUMN()-10)&lt;=playercnt),((ROW()-41)&lt;=playercnt)),SUMPRODUCT(INDIRECT(ADDRESS(3,ROW()-31,1)):INDIRECT(ADDRESS(22,ROW()-31,1)),BC$3:BC$22),"")</f>
        <v>20</v>
      </c>
      <c r="BD41">
        <f ca="1">IF(AND(((COLUMN()-10)&lt;=playercnt),((ROW()-41)&lt;=playercnt)),SUMPRODUCT(INDIRECT(ADDRESS(3,ROW()-31,1)):INDIRECT(ADDRESS(22,ROW()-31,1)),BD$3:BD$22),"")</f>
        <v>20</v>
      </c>
      <c r="BE41">
        <f ca="1">IF(AND(((COLUMN()-10)&lt;=playercnt),((ROW()-41)&lt;=playercnt)),SUMPRODUCT(INDIRECT(ADDRESS(3,ROW()-31,1)):INDIRECT(ADDRESS(22,ROW()-31,1)),BE$3:BE$22),"")</f>
        <v>20</v>
      </c>
      <c r="BF41">
        <f ca="1">IF(AND(((COLUMN()-10)&lt;=playercnt),((ROW()-41)&lt;=playercnt)),SUMPRODUCT(INDIRECT(ADDRESS(3,ROW()-31,1)):INDIRECT(ADDRESS(22,ROW()-31,1)),BF$3:BF$22),"")</f>
        <v>20</v>
      </c>
      <c r="BG41">
        <f ca="1">IF(AND(((COLUMN()-10)&lt;=playercnt),((ROW()-41)&lt;=playercnt)),SUMPRODUCT(INDIRECT(ADDRESS(3,ROW()-31,1)):INDIRECT(ADDRESS(22,ROW()-31,1)),BG$3:BG$22),"")</f>
        <v>20</v>
      </c>
      <c r="BH41">
        <f ca="1">IF(AND(((COLUMN()-10)&lt;=playercnt),((ROW()-41)&lt;=playercnt)),SUMPRODUCT(INDIRECT(ADDRESS(3,ROW()-31,1)):INDIRECT(ADDRESS(22,ROW()-31,1)),BH$3:BH$22),"")</f>
        <v>20</v>
      </c>
      <c r="BI41">
        <f ca="1">IF(AND(((COLUMN()-10)&lt;=playercnt),((ROW()-41)&lt;=playercnt)),SUMPRODUCT(INDIRECT(ADDRESS(3,ROW()-31,1)):INDIRECT(ADDRESS(22,ROW()-31,1)),BI$3:BI$22),"")</f>
        <v>20</v>
      </c>
      <c r="BJ41">
        <f ca="1">IF(AND(((COLUMN()-10)&lt;=playercnt),((ROW()-41)&lt;=playercnt)),SUMPRODUCT(INDIRECT(ADDRESS(3,ROW()-31,1)):INDIRECT(ADDRESS(22,ROW()-31,1)),BJ$3:BJ$22),"")</f>
        <v>20</v>
      </c>
      <c r="BK41">
        <f ca="1">IF(AND(((COLUMN()-10)&lt;=playercnt),((ROW()-41)&lt;=playercnt)),SUMPRODUCT(INDIRECT(ADDRESS(3,ROW()-31,1)):INDIRECT(ADDRESS(22,ROW()-31,1)),BK$3:BK$22),"")</f>
        <v>20</v>
      </c>
      <c r="BL41">
        <f ca="1">IF(AND(((COLUMN()-10)&lt;=playercnt),((ROW()-41)&lt;=playercnt)),SUMPRODUCT(INDIRECT(ADDRESS(3,ROW()-31,1)):INDIRECT(ADDRESS(22,ROW()-31,1)),BL$3:BL$22),"")</f>
        <v>20</v>
      </c>
      <c r="BM41">
        <f ca="1">IF(AND(((COLUMN()-10)&lt;=playercnt),((ROW()-41)&lt;=playercnt)),SUMPRODUCT(INDIRECT(ADDRESS(3,ROW()-31,1)):INDIRECT(ADDRESS(22,ROW()-31,1)),BM$3:BM$22),"")</f>
        <v>20</v>
      </c>
      <c r="BN41">
        <f ca="1">IF(AND(((COLUMN()-10)&lt;=playercnt),((ROW()-41)&lt;=playercnt)),SUMPRODUCT(INDIRECT(ADDRESS(3,ROW()-31,1)):INDIRECT(ADDRESS(22,ROW()-31,1)),BN$3:BN$22),"")</f>
        <v>20</v>
      </c>
      <c r="BO41" t="str">
        <f ca="1">IF(AND(((COLUMN()-10)&lt;=playercnt),((ROW()-41)&lt;=playercnt)),SUMPRODUCT(INDIRECT(ADDRESS(3,ROW()-31,1)):INDIRECT(ADDRESS(22,ROW()-31,1)),BO$3:BO$22),"")</f>
        <v/>
      </c>
    </row>
    <row r="42" spans="1:67" x14ac:dyDescent="0.25">
      <c r="A42" s="22">
        <f ca="1">MAX(INDIRECT("RC2:R["&amp;playercnt-1&amp;"]C2",FALSE))</f>
        <v>0</v>
      </c>
      <c r="B42" s="27" t="str">
        <f t="shared" ca="1" si="23"/>
        <v/>
      </c>
      <c r="C42" t="e">
        <f t="shared" ca="1" si="22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>
        <f ca="1">IF(AND(((COLUMN()-10)&lt;=playercnt),((ROW()-41)&lt;=playercnt)),SUMPRODUCT(INDIRECT(ADDRESS(3,ROW()-31,1)):INDIRECT(ADDRESS(22,ROW()-31,1)),AD$3:AD$22),"")</f>
        <v>20</v>
      </c>
      <c r="AE42">
        <f ca="1">IF(AND(((COLUMN()-10)&lt;=playercnt),((ROW()-41)&lt;=playercnt)),SUMPRODUCT(INDIRECT(ADDRESS(3,ROW()-31,1)):INDIRECT(ADDRESS(22,ROW()-31,1)),AE$3:AE$22),"")</f>
        <v>20</v>
      </c>
      <c r="AF42">
        <f ca="1">IF(AND(((COLUMN()-10)&lt;=playercnt),((ROW()-41)&lt;=playercnt)),SUMPRODUCT(INDIRECT(ADDRESS(3,ROW()-31,1)):INDIRECT(ADDRESS(22,ROW()-31,1)),AF$3:AF$22),"")</f>
        <v>20</v>
      </c>
      <c r="AG42">
        <f ca="1">IF(AND(((COLUMN()-10)&lt;=playercnt),((ROW()-41)&lt;=playercnt)),SUMPRODUCT(INDIRECT(ADDRESS(3,ROW()-31,1)):INDIRECT(ADDRESS(22,ROW()-31,1)),AG$3:AG$22),"")</f>
        <v>20</v>
      </c>
      <c r="AH42">
        <f ca="1">IF(AND(((COLUMN()-10)&lt;=playercnt),((ROW()-41)&lt;=playercnt)),SUMPRODUCT(INDIRECT(ADDRESS(3,ROW()-31,1)):INDIRECT(ADDRESS(22,ROW()-31,1)),AH$3:AH$22),"")</f>
        <v>20</v>
      </c>
      <c r="AI42">
        <f ca="1">IF(AND(((COLUMN()-10)&lt;=playercnt),((ROW()-41)&lt;=playercnt)),SUMPRODUCT(INDIRECT(ADDRESS(3,ROW()-31,1)):INDIRECT(ADDRESS(22,ROW()-31,1)),AI$3:AI$22),"")</f>
        <v>20</v>
      </c>
      <c r="AJ42">
        <f ca="1">IF(AND(((COLUMN()-10)&lt;=playercnt),((ROW()-41)&lt;=playercnt)),SUMPRODUCT(INDIRECT(ADDRESS(3,ROW()-31,1)):INDIRECT(ADDRESS(22,ROW()-31,1)),AJ$3:AJ$22),"")</f>
        <v>20</v>
      </c>
      <c r="AK42">
        <f ca="1">IF(AND(((COLUMN()-10)&lt;=playercnt),((ROW()-41)&lt;=playercnt)),SUMPRODUCT(INDIRECT(ADDRESS(3,ROW()-31,1)):INDIRECT(ADDRESS(22,ROW()-31,1)),AK$3:AK$22),"")</f>
        <v>20</v>
      </c>
      <c r="AL42">
        <f ca="1">IF(AND(((COLUMN()-10)&lt;=playercnt),((ROW()-41)&lt;=playercnt)),SUMPRODUCT(INDIRECT(ADDRESS(3,ROW()-31,1)):INDIRECT(ADDRESS(22,ROW()-31,1)),AL$3:AL$22),"")</f>
        <v>20</v>
      </c>
      <c r="AM42">
        <f ca="1">IF(AND(((COLUMN()-10)&lt;=playercnt),((ROW()-41)&lt;=playercnt)),SUMPRODUCT(INDIRECT(ADDRESS(3,ROW()-31,1)):INDIRECT(ADDRESS(22,ROW()-31,1)),AM$3:AM$22),"")</f>
        <v>20</v>
      </c>
      <c r="AN42">
        <f ca="1">IF(AND(((COLUMN()-10)&lt;=playercnt),((ROW()-41)&lt;=playercnt)),SUMPRODUCT(INDIRECT(ADDRESS(3,ROW()-31,1)):INDIRECT(ADDRESS(22,ROW()-31,1)),AN$3:AN$22),"")</f>
        <v>20</v>
      </c>
      <c r="AO42">
        <f ca="1">IF(AND(((COLUMN()-10)&lt;=playercnt),((ROW()-41)&lt;=playercnt)),SUMPRODUCT(INDIRECT(ADDRESS(3,ROW()-31,1)):INDIRECT(ADDRESS(22,ROW()-31,1)),AO$3:AO$22),"")</f>
        <v>20</v>
      </c>
      <c r="AP42">
        <f ca="1">IF(AND(((COLUMN()-10)&lt;=playercnt),((ROW()-41)&lt;=playercnt)),SUMPRODUCT(INDIRECT(ADDRESS(3,ROW()-31,1)):INDIRECT(ADDRESS(22,ROW()-31,1)),AP$3:AP$22),"")</f>
        <v>20</v>
      </c>
      <c r="AQ42">
        <f ca="1">IF(AND(((COLUMN()-10)&lt;=playercnt),((ROW()-41)&lt;=playercnt)),SUMPRODUCT(INDIRECT(ADDRESS(3,ROW()-31,1)):INDIRECT(ADDRESS(22,ROW()-31,1)),AQ$3:AQ$22),"")</f>
        <v>20</v>
      </c>
      <c r="AR42">
        <f ca="1">IF(AND(((COLUMN()-10)&lt;=playercnt),((ROW()-41)&lt;=playercnt)),SUMPRODUCT(INDIRECT(ADDRESS(3,ROW()-31,1)):INDIRECT(ADDRESS(22,ROW()-31,1)),AR$3:AR$22),"")</f>
        <v>20</v>
      </c>
      <c r="AS42">
        <f ca="1">IF(AND(((COLUMN()-10)&lt;=playercnt),((ROW()-41)&lt;=playercnt)),SUMPRODUCT(INDIRECT(ADDRESS(3,ROW()-31,1)):INDIRECT(ADDRESS(22,ROW()-31,1)),AS$3:AS$22),"")</f>
        <v>20</v>
      </c>
      <c r="AT42">
        <f ca="1">IF(AND(((COLUMN()-10)&lt;=playercnt),((ROW()-41)&lt;=playercnt)),SUMPRODUCT(INDIRECT(ADDRESS(3,ROW()-31,1)):INDIRECT(ADDRESS(22,ROW()-31,1)),AT$3:AT$22),"")</f>
        <v>20</v>
      </c>
      <c r="AU42">
        <f ca="1">IF(AND(((COLUMN()-10)&lt;=playercnt),((ROW()-41)&lt;=playercnt)),SUMPRODUCT(INDIRECT(ADDRESS(3,ROW()-31,1)):INDIRECT(ADDRESS(22,ROW()-31,1)),AU$3:AU$22),"")</f>
        <v>20</v>
      </c>
      <c r="AV42">
        <f ca="1">IF(AND(((COLUMN()-10)&lt;=playercnt),((ROW()-41)&lt;=playercnt)),SUMPRODUCT(INDIRECT(ADDRESS(3,ROW()-31,1)):INDIRECT(ADDRESS(22,ROW()-31,1)),AV$3:AV$22),"")</f>
        <v>20</v>
      </c>
      <c r="AW42">
        <f ca="1">IF(AND(((COLUMN()-10)&lt;=playercnt),((ROW()-41)&lt;=playercnt)),SUMPRODUCT(INDIRECT(ADDRESS(3,ROW()-31,1)):INDIRECT(ADDRESS(22,ROW()-31,1)),AW$3:AW$22),"")</f>
        <v>20</v>
      </c>
      <c r="AX42">
        <f ca="1">IF(AND(((COLUMN()-10)&lt;=playercnt),((ROW()-41)&lt;=playercnt)),SUMPRODUCT(INDIRECT(ADDRESS(3,ROW()-31,1)):INDIRECT(ADDRESS(22,ROW()-31,1)),AX$3:AX$22),"")</f>
        <v>20</v>
      </c>
      <c r="AY42">
        <f ca="1">IF(AND(((COLUMN()-10)&lt;=playercnt),((ROW()-41)&lt;=playercnt)),SUMPRODUCT(INDIRECT(ADDRESS(3,ROW()-31,1)):INDIRECT(ADDRESS(22,ROW()-31,1)),AY$3:AY$22),"")</f>
        <v>20</v>
      </c>
      <c r="AZ42">
        <f ca="1">IF(AND(((COLUMN()-10)&lt;=playercnt),((ROW()-41)&lt;=playercnt)),SUMPRODUCT(INDIRECT(ADDRESS(3,ROW()-31,1)):INDIRECT(ADDRESS(22,ROW()-31,1)),AZ$3:AZ$22),"")</f>
        <v>20</v>
      </c>
      <c r="BA42">
        <f ca="1">IF(AND(((COLUMN()-10)&lt;=playercnt),((ROW()-41)&lt;=playercnt)),SUMPRODUCT(INDIRECT(ADDRESS(3,ROW()-31,1)):INDIRECT(ADDRESS(22,ROW()-31,1)),BA$3:BA$22),"")</f>
        <v>20</v>
      </c>
      <c r="BB42">
        <f ca="1">IF(AND(((COLUMN()-10)&lt;=playercnt),((ROW()-41)&lt;=playercnt)),SUMPRODUCT(INDIRECT(ADDRESS(3,ROW()-31,1)):INDIRECT(ADDRESS(22,ROW()-31,1)),BB$3:BB$22),"")</f>
        <v>20</v>
      </c>
      <c r="BC42">
        <f ca="1">IF(AND(((COLUMN()-10)&lt;=playercnt),((ROW()-41)&lt;=playercnt)),SUMPRODUCT(INDIRECT(ADDRESS(3,ROW()-31,1)):INDIRECT(ADDRESS(22,ROW()-31,1)),BC$3:BC$22),"")</f>
        <v>20</v>
      </c>
      <c r="BD42">
        <f ca="1">IF(AND(((COLUMN()-10)&lt;=playercnt),((ROW()-41)&lt;=playercnt)),SUMPRODUCT(INDIRECT(ADDRESS(3,ROW()-31,1)):INDIRECT(ADDRESS(22,ROW()-31,1)),BD$3:BD$22),"")</f>
        <v>20</v>
      </c>
      <c r="BE42">
        <f ca="1">IF(AND(((COLUMN()-10)&lt;=playercnt),((ROW()-41)&lt;=playercnt)),SUMPRODUCT(INDIRECT(ADDRESS(3,ROW()-31,1)):INDIRECT(ADDRESS(22,ROW()-31,1)),BE$3:BE$22),"")</f>
        <v>20</v>
      </c>
      <c r="BF42">
        <f ca="1">IF(AND(((COLUMN()-10)&lt;=playercnt),((ROW()-41)&lt;=playercnt)),SUMPRODUCT(INDIRECT(ADDRESS(3,ROW()-31,1)):INDIRECT(ADDRESS(22,ROW()-31,1)),BF$3:BF$22),"")</f>
        <v>20</v>
      </c>
      <c r="BG42">
        <f ca="1">IF(AND(((COLUMN()-10)&lt;=playercnt),((ROW()-41)&lt;=playercnt)),SUMPRODUCT(INDIRECT(ADDRESS(3,ROW()-31,1)):INDIRECT(ADDRESS(22,ROW()-31,1)),BG$3:BG$22),"")</f>
        <v>20</v>
      </c>
      <c r="BH42">
        <f ca="1">IF(AND(((COLUMN()-10)&lt;=playercnt),((ROW()-41)&lt;=playercnt)),SUMPRODUCT(INDIRECT(ADDRESS(3,ROW()-31,1)):INDIRECT(ADDRESS(22,ROW()-31,1)),BH$3:BH$22),"")</f>
        <v>20</v>
      </c>
      <c r="BI42">
        <f ca="1">IF(AND(((COLUMN()-10)&lt;=playercnt),((ROW()-41)&lt;=playercnt)),SUMPRODUCT(INDIRECT(ADDRESS(3,ROW()-31,1)):INDIRECT(ADDRESS(22,ROW()-31,1)),BI$3:BI$22),"")</f>
        <v>20</v>
      </c>
      <c r="BJ42">
        <f ca="1">IF(AND(((COLUMN()-10)&lt;=playercnt),((ROW()-41)&lt;=playercnt)),SUMPRODUCT(INDIRECT(ADDRESS(3,ROW()-31,1)):INDIRECT(ADDRESS(22,ROW()-31,1)),BJ$3:BJ$22),"")</f>
        <v>20</v>
      </c>
      <c r="BK42">
        <f ca="1">IF(AND(((COLUMN()-10)&lt;=playercnt),((ROW()-41)&lt;=playercnt)),SUMPRODUCT(INDIRECT(ADDRESS(3,ROW()-31,1)):INDIRECT(ADDRESS(22,ROW()-31,1)),BK$3:BK$22),"")</f>
        <v>20</v>
      </c>
      <c r="BL42">
        <f ca="1">IF(AND(((COLUMN()-10)&lt;=playercnt),((ROW()-41)&lt;=playercnt)),SUMPRODUCT(INDIRECT(ADDRESS(3,ROW()-31,1)):INDIRECT(ADDRESS(22,ROW()-31,1)),BL$3:BL$22),"")</f>
        <v>20</v>
      </c>
      <c r="BM42">
        <f ca="1">IF(AND(((COLUMN()-10)&lt;=playercnt),((ROW()-41)&lt;=playercnt)),SUMPRODUCT(INDIRECT(ADDRESS(3,ROW()-31,1)):INDIRECT(ADDRESS(22,ROW()-31,1)),BM$3:BM$22),"")</f>
        <v>20</v>
      </c>
      <c r="BN42">
        <f ca="1">IF(AND(((COLUMN()-10)&lt;=playercnt),((ROW()-41)&lt;=playercnt)),SUMPRODUCT(INDIRECT(ADDRESS(3,ROW()-31,1)):INDIRECT(ADDRESS(22,ROW()-31,1)),BN$3:BN$22),"")</f>
        <v>20</v>
      </c>
      <c r="BO42" t="str">
        <f ca="1">IF(AND(((COLUMN()-10)&lt;=playercnt),((ROW()-41)&lt;=playercnt)),SUMPRODUCT(INDIRECT(ADDRESS(3,ROW()-31,1)):INDIRECT(ADDRESS(22,ROW()-31,1)),BO$3:BO$22),"")</f>
        <v/>
      </c>
    </row>
    <row r="43" spans="1:67" x14ac:dyDescent="0.25">
      <c r="A43" s="22">
        <f ca="1">MIN(INDIRECT("R[-1]C2:R["&amp;playercnt-2&amp;"]C2",FALSE))</f>
        <v>0</v>
      </c>
      <c r="B43" s="27" t="str">
        <f t="shared" ca="1" si="23"/>
        <v/>
      </c>
      <c r="C43" t="e">
        <f t="shared" ca="1" si="22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>
        <f ca="1">IF(AND(((COLUMN()-10)&lt;=playercnt),((ROW()-41)&lt;=playercnt)),SUMPRODUCT(INDIRECT(ADDRESS(3,ROW()-31,1)):INDIRECT(ADDRESS(22,ROW()-31,1)),AD$3:AD$22),"")</f>
        <v>20</v>
      </c>
      <c r="AE43">
        <f ca="1">IF(AND(((COLUMN()-10)&lt;=playercnt),((ROW()-41)&lt;=playercnt)),SUMPRODUCT(INDIRECT(ADDRESS(3,ROW()-31,1)):INDIRECT(ADDRESS(22,ROW()-31,1)),AE$3:AE$22),"")</f>
        <v>20</v>
      </c>
      <c r="AF43">
        <f ca="1">IF(AND(((COLUMN()-10)&lt;=playercnt),((ROW()-41)&lt;=playercnt)),SUMPRODUCT(INDIRECT(ADDRESS(3,ROW()-31,1)):INDIRECT(ADDRESS(22,ROW()-31,1)),AF$3:AF$22),"")</f>
        <v>20</v>
      </c>
      <c r="AG43">
        <f ca="1">IF(AND(((COLUMN()-10)&lt;=playercnt),((ROW()-41)&lt;=playercnt)),SUMPRODUCT(INDIRECT(ADDRESS(3,ROW()-31,1)):INDIRECT(ADDRESS(22,ROW()-31,1)),AG$3:AG$22),"")</f>
        <v>20</v>
      </c>
      <c r="AH43">
        <f ca="1">IF(AND(((COLUMN()-10)&lt;=playercnt),((ROW()-41)&lt;=playercnt)),SUMPRODUCT(INDIRECT(ADDRESS(3,ROW()-31,1)):INDIRECT(ADDRESS(22,ROW()-31,1)),AH$3:AH$22),"")</f>
        <v>20</v>
      </c>
      <c r="AI43">
        <f ca="1">IF(AND(((COLUMN()-10)&lt;=playercnt),((ROW()-41)&lt;=playercnt)),SUMPRODUCT(INDIRECT(ADDRESS(3,ROW()-31,1)):INDIRECT(ADDRESS(22,ROW()-31,1)),AI$3:AI$22),"")</f>
        <v>20</v>
      </c>
      <c r="AJ43">
        <f ca="1">IF(AND(((COLUMN()-10)&lt;=playercnt),((ROW()-41)&lt;=playercnt)),SUMPRODUCT(INDIRECT(ADDRESS(3,ROW()-31,1)):INDIRECT(ADDRESS(22,ROW()-31,1)),AJ$3:AJ$22),"")</f>
        <v>20</v>
      </c>
      <c r="AK43">
        <f ca="1">IF(AND(((COLUMN()-10)&lt;=playercnt),((ROW()-41)&lt;=playercnt)),SUMPRODUCT(INDIRECT(ADDRESS(3,ROW()-31,1)):INDIRECT(ADDRESS(22,ROW()-31,1)),AK$3:AK$22),"")</f>
        <v>20</v>
      </c>
      <c r="AL43">
        <f ca="1">IF(AND(((COLUMN()-10)&lt;=playercnt),((ROW()-41)&lt;=playercnt)),SUMPRODUCT(INDIRECT(ADDRESS(3,ROW()-31,1)):INDIRECT(ADDRESS(22,ROW()-31,1)),AL$3:AL$22),"")</f>
        <v>20</v>
      </c>
      <c r="AM43">
        <f ca="1">IF(AND(((COLUMN()-10)&lt;=playercnt),((ROW()-41)&lt;=playercnt)),SUMPRODUCT(INDIRECT(ADDRESS(3,ROW()-31,1)):INDIRECT(ADDRESS(22,ROW()-31,1)),AM$3:AM$22),"")</f>
        <v>20</v>
      </c>
      <c r="AN43">
        <f ca="1">IF(AND(((COLUMN()-10)&lt;=playercnt),((ROW()-41)&lt;=playercnt)),SUMPRODUCT(INDIRECT(ADDRESS(3,ROW()-31,1)):INDIRECT(ADDRESS(22,ROW()-31,1)),AN$3:AN$22),"")</f>
        <v>20</v>
      </c>
      <c r="AO43">
        <f ca="1">IF(AND(((COLUMN()-10)&lt;=playercnt),((ROW()-41)&lt;=playercnt)),SUMPRODUCT(INDIRECT(ADDRESS(3,ROW()-31,1)):INDIRECT(ADDRESS(22,ROW()-31,1)),AO$3:AO$22),"")</f>
        <v>20</v>
      </c>
      <c r="AP43">
        <f ca="1">IF(AND(((COLUMN()-10)&lt;=playercnt),((ROW()-41)&lt;=playercnt)),SUMPRODUCT(INDIRECT(ADDRESS(3,ROW()-31,1)):INDIRECT(ADDRESS(22,ROW()-31,1)),AP$3:AP$22),"")</f>
        <v>20</v>
      </c>
      <c r="AQ43">
        <f ca="1">IF(AND(((COLUMN()-10)&lt;=playercnt),((ROW()-41)&lt;=playercnt)),SUMPRODUCT(INDIRECT(ADDRESS(3,ROW()-31,1)):INDIRECT(ADDRESS(22,ROW()-31,1)),AQ$3:AQ$22),"")</f>
        <v>20</v>
      </c>
      <c r="AR43">
        <f ca="1">IF(AND(((COLUMN()-10)&lt;=playercnt),((ROW()-41)&lt;=playercnt)),SUMPRODUCT(INDIRECT(ADDRESS(3,ROW()-31,1)):INDIRECT(ADDRESS(22,ROW()-31,1)),AR$3:AR$22),"")</f>
        <v>20</v>
      </c>
      <c r="AS43">
        <f ca="1">IF(AND(((COLUMN()-10)&lt;=playercnt),((ROW()-41)&lt;=playercnt)),SUMPRODUCT(INDIRECT(ADDRESS(3,ROW()-31,1)):INDIRECT(ADDRESS(22,ROW()-31,1)),AS$3:AS$22),"")</f>
        <v>20</v>
      </c>
      <c r="AT43">
        <f ca="1">IF(AND(((COLUMN()-10)&lt;=playercnt),((ROW()-41)&lt;=playercnt)),SUMPRODUCT(INDIRECT(ADDRESS(3,ROW()-31,1)):INDIRECT(ADDRESS(22,ROW()-31,1)),AT$3:AT$22),"")</f>
        <v>20</v>
      </c>
      <c r="AU43">
        <f ca="1">IF(AND(((COLUMN()-10)&lt;=playercnt),((ROW()-41)&lt;=playercnt)),SUMPRODUCT(INDIRECT(ADDRESS(3,ROW()-31,1)):INDIRECT(ADDRESS(22,ROW()-31,1)),AU$3:AU$22),"")</f>
        <v>20</v>
      </c>
      <c r="AV43">
        <f ca="1">IF(AND(((COLUMN()-10)&lt;=playercnt),((ROW()-41)&lt;=playercnt)),SUMPRODUCT(INDIRECT(ADDRESS(3,ROW()-31,1)):INDIRECT(ADDRESS(22,ROW()-31,1)),AV$3:AV$22),"")</f>
        <v>20</v>
      </c>
      <c r="AW43">
        <f ca="1">IF(AND(((COLUMN()-10)&lt;=playercnt),((ROW()-41)&lt;=playercnt)),SUMPRODUCT(INDIRECT(ADDRESS(3,ROW()-31,1)):INDIRECT(ADDRESS(22,ROW()-31,1)),AW$3:AW$22),"")</f>
        <v>20</v>
      </c>
      <c r="AX43">
        <f ca="1">IF(AND(((COLUMN()-10)&lt;=playercnt),((ROW()-41)&lt;=playercnt)),SUMPRODUCT(INDIRECT(ADDRESS(3,ROW()-31,1)):INDIRECT(ADDRESS(22,ROW()-31,1)),AX$3:AX$22),"")</f>
        <v>20</v>
      </c>
      <c r="AY43">
        <f ca="1">IF(AND(((COLUMN()-10)&lt;=playercnt),((ROW()-41)&lt;=playercnt)),SUMPRODUCT(INDIRECT(ADDRESS(3,ROW()-31,1)):INDIRECT(ADDRESS(22,ROW()-31,1)),AY$3:AY$22),"")</f>
        <v>20</v>
      </c>
      <c r="AZ43">
        <f ca="1">IF(AND(((COLUMN()-10)&lt;=playercnt),((ROW()-41)&lt;=playercnt)),SUMPRODUCT(INDIRECT(ADDRESS(3,ROW()-31,1)):INDIRECT(ADDRESS(22,ROW()-31,1)),AZ$3:AZ$22),"")</f>
        <v>20</v>
      </c>
      <c r="BA43">
        <f ca="1">IF(AND(((COLUMN()-10)&lt;=playercnt),((ROW()-41)&lt;=playercnt)),SUMPRODUCT(INDIRECT(ADDRESS(3,ROW()-31,1)):INDIRECT(ADDRESS(22,ROW()-31,1)),BA$3:BA$22),"")</f>
        <v>20</v>
      </c>
      <c r="BB43">
        <f ca="1">IF(AND(((COLUMN()-10)&lt;=playercnt),((ROW()-41)&lt;=playercnt)),SUMPRODUCT(INDIRECT(ADDRESS(3,ROW()-31,1)):INDIRECT(ADDRESS(22,ROW()-31,1)),BB$3:BB$22),"")</f>
        <v>20</v>
      </c>
      <c r="BC43">
        <f ca="1">IF(AND(((COLUMN()-10)&lt;=playercnt),((ROW()-41)&lt;=playercnt)),SUMPRODUCT(INDIRECT(ADDRESS(3,ROW()-31,1)):INDIRECT(ADDRESS(22,ROW()-31,1)),BC$3:BC$22),"")</f>
        <v>20</v>
      </c>
      <c r="BD43">
        <f ca="1">IF(AND(((COLUMN()-10)&lt;=playercnt),((ROW()-41)&lt;=playercnt)),SUMPRODUCT(INDIRECT(ADDRESS(3,ROW()-31,1)):INDIRECT(ADDRESS(22,ROW()-31,1)),BD$3:BD$22),"")</f>
        <v>20</v>
      </c>
      <c r="BE43">
        <f ca="1">IF(AND(((COLUMN()-10)&lt;=playercnt),((ROW()-41)&lt;=playercnt)),SUMPRODUCT(INDIRECT(ADDRESS(3,ROW()-31,1)):INDIRECT(ADDRESS(22,ROW()-31,1)),BE$3:BE$22),"")</f>
        <v>20</v>
      </c>
      <c r="BF43">
        <f ca="1">IF(AND(((COLUMN()-10)&lt;=playercnt),((ROW()-41)&lt;=playercnt)),SUMPRODUCT(INDIRECT(ADDRESS(3,ROW()-31,1)):INDIRECT(ADDRESS(22,ROW()-31,1)),BF$3:BF$22),"")</f>
        <v>20</v>
      </c>
      <c r="BG43">
        <f ca="1">IF(AND(((COLUMN()-10)&lt;=playercnt),((ROW()-41)&lt;=playercnt)),SUMPRODUCT(INDIRECT(ADDRESS(3,ROW()-31,1)):INDIRECT(ADDRESS(22,ROW()-31,1)),BG$3:BG$22),"")</f>
        <v>20</v>
      </c>
      <c r="BH43">
        <f ca="1">IF(AND(((COLUMN()-10)&lt;=playercnt),((ROW()-41)&lt;=playercnt)),SUMPRODUCT(INDIRECT(ADDRESS(3,ROW()-31,1)):INDIRECT(ADDRESS(22,ROW()-31,1)),BH$3:BH$22),"")</f>
        <v>20</v>
      </c>
      <c r="BI43">
        <f ca="1">IF(AND(((COLUMN()-10)&lt;=playercnt),((ROW()-41)&lt;=playercnt)),SUMPRODUCT(INDIRECT(ADDRESS(3,ROW()-31,1)):INDIRECT(ADDRESS(22,ROW()-31,1)),BI$3:BI$22),"")</f>
        <v>20</v>
      </c>
      <c r="BJ43">
        <f ca="1">IF(AND(((COLUMN()-10)&lt;=playercnt),((ROW()-41)&lt;=playercnt)),SUMPRODUCT(INDIRECT(ADDRESS(3,ROW()-31,1)):INDIRECT(ADDRESS(22,ROW()-31,1)),BJ$3:BJ$22),"")</f>
        <v>20</v>
      </c>
      <c r="BK43">
        <f ca="1">IF(AND(((COLUMN()-10)&lt;=playercnt),((ROW()-41)&lt;=playercnt)),SUMPRODUCT(INDIRECT(ADDRESS(3,ROW()-31,1)):INDIRECT(ADDRESS(22,ROW()-31,1)),BK$3:BK$22),"")</f>
        <v>20</v>
      </c>
      <c r="BL43">
        <f ca="1">IF(AND(((COLUMN()-10)&lt;=playercnt),((ROW()-41)&lt;=playercnt)),SUMPRODUCT(INDIRECT(ADDRESS(3,ROW()-31,1)):INDIRECT(ADDRESS(22,ROW()-31,1)),BL$3:BL$22),"")</f>
        <v>20</v>
      </c>
      <c r="BM43">
        <f ca="1">IF(AND(((COLUMN()-10)&lt;=playercnt),((ROW()-41)&lt;=playercnt)),SUMPRODUCT(INDIRECT(ADDRESS(3,ROW()-31,1)):INDIRECT(ADDRESS(22,ROW()-31,1)),BM$3:BM$22),"")</f>
        <v>20</v>
      </c>
      <c r="BN43">
        <f ca="1">IF(AND(((COLUMN()-10)&lt;=playercnt),((ROW()-41)&lt;=playercnt)),SUMPRODUCT(INDIRECT(ADDRESS(3,ROW()-31,1)):INDIRECT(ADDRESS(22,ROW()-31,1)),BN$3:BN$22),"")</f>
        <v>20</v>
      </c>
      <c r="BO43" t="str">
        <f ca="1">IF(AND(((COLUMN()-10)&lt;=playercnt),((ROW()-41)&lt;=playercnt)),SUMPRODUCT(INDIRECT(ADDRESS(3,ROW()-31,1)):INDIRECT(ADDRESS(22,ROW()-31,1)),BO$3:BO$22),"")</f>
        <v/>
      </c>
    </row>
    <row r="44" spans="1:67" x14ac:dyDescent="0.25">
      <c r="A44">
        <f ca="1">(A42-A43)*0.1</f>
        <v>0</v>
      </c>
      <c r="B44" s="27" t="str">
        <f t="shared" ca="1" si="23"/>
        <v/>
      </c>
      <c r="C44" t="e">
        <f t="shared" ca="1" si="22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>
        <f ca="1">IF(AND(((COLUMN()-10)&lt;=playercnt),((ROW()-41)&lt;=playercnt)),SUMPRODUCT(INDIRECT(ADDRESS(3,ROW()-31,1)):INDIRECT(ADDRESS(22,ROW()-31,1)),AC$3:AC$22),"")</f>
        <v>20</v>
      </c>
      <c r="AD44">
        <f ca="1">IF(AND(((COLUMN()-10)&lt;=playercnt),((ROW()-41)&lt;=playercnt)),SUMPRODUCT(INDIRECT(ADDRESS(3,ROW()-31,1)):INDIRECT(ADDRESS(22,ROW()-31,1)),AD$3:AD$22),"")</f>
        <v>20</v>
      </c>
      <c r="AE44">
        <f ca="1">IF(AND(((COLUMN()-10)&lt;=playercnt),((ROW()-41)&lt;=playercnt)),SUMPRODUCT(INDIRECT(ADDRESS(3,ROW()-31,1)):INDIRECT(ADDRESS(22,ROW()-31,1)),AE$3:AE$22),"")</f>
        <v>20</v>
      </c>
      <c r="AF44">
        <f ca="1">IF(AND(((COLUMN()-10)&lt;=playercnt),((ROW()-41)&lt;=playercnt)),SUMPRODUCT(INDIRECT(ADDRESS(3,ROW()-31,1)):INDIRECT(ADDRESS(22,ROW()-31,1)),AF$3:AF$22),"")</f>
        <v>20</v>
      </c>
      <c r="AG44">
        <f ca="1">IF(AND(((COLUMN()-10)&lt;=playercnt),((ROW()-41)&lt;=playercnt)),SUMPRODUCT(INDIRECT(ADDRESS(3,ROW()-31,1)):INDIRECT(ADDRESS(22,ROW()-31,1)),AG$3:AG$22),"")</f>
        <v>20</v>
      </c>
      <c r="AH44">
        <f ca="1">IF(AND(((COLUMN()-10)&lt;=playercnt),((ROW()-41)&lt;=playercnt)),SUMPRODUCT(INDIRECT(ADDRESS(3,ROW()-31,1)):INDIRECT(ADDRESS(22,ROW()-31,1)),AH$3:AH$22),"")</f>
        <v>20</v>
      </c>
      <c r="AI44">
        <f ca="1">IF(AND(((COLUMN()-10)&lt;=playercnt),((ROW()-41)&lt;=playercnt)),SUMPRODUCT(INDIRECT(ADDRESS(3,ROW()-31,1)):INDIRECT(ADDRESS(22,ROW()-31,1)),AI$3:AI$22),"")</f>
        <v>20</v>
      </c>
      <c r="AJ44">
        <f ca="1">IF(AND(((COLUMN()-10)&lt;=playercnt),((ROW()-41)&lt;=playercnt)),SUMPRODUCT(INDIRECT(ADDRESS(3,ROW()-31,1)):INDIRECT(ADDRESS(22,ROW()-31,1)),AJ$3:AJ$22),"")</f>
        <v>20</v>
      </c>
      <c r="AK44">
        <f ca="1">IF(AND(((COLUMN()-10)&lt;=playercnt),((ROW()-41)&lt;=playercnt)),SUMPRODUCT(INDIRECT(ADDRESS(3,ROW()-31,1)):INDIRECT(ADDRESS(22,ROW()-31,1)),AK$3:AK$22),"")</f>
        <v>20</v>
      </c>
      <c r="AL44">
        <f ca="1">IF(AND(((COLUMN()-10)&lt;=playercnt),((ROW()-41)&lt;=playercnt)),SUMPRODUCT(INDIRECT(ADDRESS(3,ROW()-31,1)):INDIRECT(ADDRESS(22,ROW()-31,1)),AL$3:AL$22),"")</f>
        <v>20</v>
      </c>
      <c r="AM44">
        <f ca="1">IF(AND(((COLUMN()-10)&lt;=playercnt),((ROW()-41)&lt;=playercnt)),SUMPRODUCT(INDIRECT(ADDRESS(3,ROW()-31,1)):INDIRECT(ADDRESS(22,ROW()-31,1)),AM$3:AM$22),"")</f>
        <v>20</v>
      </c>
      <c r="AN44">
        <f ca="1">IF(AND(((COLUMN()-10)&lt;=playercnt),((ROW()-41)&lt;=playercnt)),SUMPRODUCT(INDIRECT(ADDRESS(3,ROW()-31,1)):INDIRECT(ADDRESS(22,ROW()-31,1)),AN$3:AN$22),"")</f>
        <v>20</v>
      </c>
      <c r="AO44">
        <f ca="1">IF(AND(((COLUMN()-10)&lt;=playercnt),((ROW()-41)&lt;=playercnt)),SUMPRODUCT(INDIRECT(ADDRESS(3,ROW()-31,1)):INDIRECT(ADDRESS(22,ROW()-31,1)),AO$3:AO$22),"")</f>
        <v>20</v>
      </c>
      <c r="AP44">
        <f ca="1">IF(AND(((COLUMN()-10)&lt;=playercnt),((ROW()-41)&lt;=playercnt)),SUMPRODUCT(INDIRECT(ADDRESS(3,ROW()-31,1)):INDIRECT(ADDRESS(22,ROW()-31,1)),AP$3:AP$22),"")</f>
        <v>20</v>
      </c>
      <c r="AQ44">
        <f ca="1">IF(AND(((COLUMN()-10)&lt;=playercnt),((ROW()-41)&lt;=playercnt)),SUMPRODUCT(INDIRECT(ADDRESS(3,ROW()-31,1)):INDIRECT(ADDRESS(22,ROW()-31,1)),AQ$3:AQ$22),"")</f>
        <v>20</v>
      </c>
      <c r="AR44">
        <f ca="1">IF(AND(((COLUMN()-10)&lt;=playercnt),((ROW()-41)&lt;=playercnt)),SUMPRODUCT(INDIRECT(ADDRESS(3,ROW()-31,1)):INDIRECT(ADDRESS(22,ROW()-31,1)),AR$3:AR$22),"")</f>
        <v>20</v>
      </c>
      <c r="AS44">
        <f ca="1">IF(AND(((COLUMN()-10)&lt;=playercnt),((ROW()-41)&lt;=playercnt)),SUMPRODUCT(INDIRECT(ADDRESS(3,ROW()-31,1)):INDIRECT(ADDRESS(22,ROW()-31,1)),AS$3:AS$22),"")</f>
        <v>20</v>
      </c>
      <c r="AT44">
        <f ca="1">IF(AND(((COLUMN()-10)&lt;=playercnt),((ROW()-41)&lt;=playercnt)),SUMPRODUCT(INDIRECT(ADDRESS(3,ROW()-31,1)):INDIRECT(ADDRESS(22,ROW()-31,1)),AT$3:AT$22),"")</f>
        <v>20</v>
      </c>
      <c r="AU44">
        <f ca="1">IF(AND(((COLUMN()-10)&lt;=playercnt),((ROW()-41)&lt;=playercnt)),SUMPRODUCT(INDIRECT(ADDRESS(3,ROW()-31,1)):INDIRECT(ADDRESS(22,ROW()-31,1)),AU$3:AU$22),"")</f>
        <v>20</v>
      </c>
      <c r="AV44">
        <f ca="1">IF(AND(((COLUMN()-10)&lt;=playercnt),((ROW()-41)&lt;=playercnt)),SUMPRODUCT(INDIRECT(ADDRESS(3,ROW()-31,1)):INDIRECT(ADDRESS(22,ROW()-31,1)),AV$3:AV$22),"")</f>
        <v>20</v>
      </c>
      <c r="AW44">
        <f ca="1">IF(AND(((COLUMN()-10)&lt;=playercnt),((ROW()-41)&lt;=playercnt)),SUMPRODUCT(INDIRECT(ADDRESS(3,ROW()-31,1)):INDIRECT(ADDRESS(22,ROW()-31,1)),AW$3:AW$22),"")</f>
        <v>20</v>
      </c>
      <c r="AX44">
        <f ca="1">IF(AND(((COLUMN()-10)&lt;=playercnt),((ROW()-41)&lt;=playercnt)),SUMPRODUCT(INDIRECT(ADDRESS(3,ROW()-31,1)):INDIRECT(ADDRESS(22,ROW()-31,1)),AX$3:AX$22),"")</f>
        <v>20</v>
      </c>
      <c r="AY44">
        <f ca="1">IF(AND(((COLUMN()-10)&lt;=playercnt),((ROW()-41)&lt;=playercnt)),SUMPRODUCT(INDIRECT(ADDRESS(3,ROW()-31,1)):INDIRECT(ADDRESS(22,ROW()-31,1)),AY$3:AY$22),"")</f>
        <v>20</v>
      </c>
      <c r="AZ44">
        <f ca="1">IF(AND(((COLUMN()-10)&lt;=playercnt),((ROW()-41)&lt;=playercnt)),SUMPRODUCT(INDIRECT(ADDRESS(3,ROW()-31,1)):INDIRECT(ADDRESS(22,ROW()-31,1)),AZ$3:AZ$22),"")</f>
        <v>20</v>
      </c>
      <c r="BA44">
        <f ca="1">IF(AND(((COLUMN()-10)&lt;=playercnt),((ROW()-41)&lt;=playercnt)),SUMPRODUCT(INDIRECT(ADDRESS(3,ROW()-31,1)):INDIRECT(ADDRESS(22,ROW()-31,1)),BA$3:BA$22),"")</f>
        <v>20</v>
      </c>
      <c r="BB44">
        <f ca="1">IF(AND(((COLUMN()-10)&lt;=playercnt),((ROW()-41)&lt;=playercnt)),SUMPRODUCT(INDIRECT(ADDRESS(3,ROW()-31,1)):INDIRECT(ADDRESS(22,ROW()-31,1)),BB$3:BB$22),"")</f>
        <v>20</v>
      </c>
      <c r="BC44">
        <f ca="1">IF(AND(((COLUMN()-10)&lt;=playercnt),((ROW()-41)&lt;=playercnt)),SUMPRODUCT(INDIRECT(ADDRESS(3,ROW()-31,1)):INDIRECT(ADDRESS(22,ROW()-31,1)),BC$3:BC$22),"")</f>
        <v>20</v>
      </c>
      <c r="BD44">
        <f ca="1">IF(AND(((COLUMN()-10)&lt;=playercnt),((ROW()-41)&lt;=playercnt)),SUMPRODUCT(INDIRECT(ADDRESS(3,ROW()-31,1)):INDIRECT(ADDRESS(22,ROW()-31,1)),BD$3:BD$22),"")</f>
        <v>20</v>
      </c>
      <c r="BE44">
        <f ca="1">IF(AND(((COLUMN()-10)&lt;=playercnt),((ROW()-41)&lt;=playercnt)),SUMPRODUCT(INDIRECT(ADDRESS(3,ROW()-31,1)):INDIRECT(ADDRESS(22,ROW()-31,1)),BE$3:BE$22),"")</f>
        <v>20</v>
      </c>
      <c r="BF44">
        <f ca="1">IF(AND(((COLUMN()-10)&lt;=playercnt),((ROW()-41)&lt;=playercnt)),SUMPRODUCT(INDIRECT(ADDRESS(3,ROW()-31,1)):INDIRECT(ADDRESS(22,ROW()-31,1)),BF$3:BF$22),"")</f>
        <v>20</v>
      </c>
      <c r="BG44">
        <f ca="1">IF(AND(((COLUMN()-10)&lt;=playercnt),((ROW()-41)&lt;=playercnt)),SUMPRODUCT(INDIRECT(ADDRESS(3,ROW()-31,1)):INDIRECT(ADDRESS(22,ROW()-31,1)),BG$3:BG$22),"")</f>
        <v>20</v>
      </c>
      <c r="BH44">
        <f ca="1">IF(AND(((COLUMN()-10)&lt;=playercnt),((ROW()-41)&lt;=playercnt)),SUMPRODUCT(INDIRECT(ADDRESS(3,ROW()-31,1)):INDIRECT(ADDRESS(22,ROW()-31,1)),BH$3:BH$22),"")</f>
        <v>20</v>
      </c>
      <c r="BI44">
        <f ca="1">IF(AND(((COLUMN()-10)&lt;=playercnt),((ROW()-41)&lt;=playercnt)),SUMPRODUCT(INDIRECT(ADDRESS(3,ROW()-31,1)):INDIRECT(ADDRESS(22,ROW()-31,1)),BI$3:BI$22),"")</f>
        <v>20</v>
      </c>
      <c r="BJ44">
        <f ca="1">IF(AND(((COLUMN()-10)&lt;=playercnt),((ROW()-41)&lt;=playercnt)),SUMPRODUCT(INDIRECT(ADDRESS(3,ROW()-31,1)):INDIRECT(ADDRESS(22,ROW()-31,1)),BJ$3:BJ$22),"")</f>
        <v>20</v>
      </c>
      <c r="BK44">
        <f ca="1">IF(AND(((COLUMN()-10)&lt;=playercnt),((ROW()-41)&lt;=playercnt)),SUMPRODUCT(INDIRECT(ADDRESS(3,ROW()-31,1)):INDIRECT(ADDRESS(22,ROW()-31,1)),BK$3:BK$22),"")</f>
        <v>20</v>
      </c>
      <c r="BL44">
        <f ca="1">IF(AND(((COLUMN()-10)&lt;=playercnt),((ROW()-41)&lt;=playercnt)),SUMPRODUCT(INDIRECT(ADDRESS(3,ROW()-31,1)):INDIRECT(ADDRESS(22,ROW()-31,1)),BL$3:BL$22),"")</f>
        <v>20</v>
      </c>
      <c r="BM44">
        <f ca="1">IF(AND(((COLUMN()-10)&lt;=playercnt),((ROW()-41)&lt;=playercnt)),SUMPRODUCT(INDIRECT(ADDRESS(3,ROW()-31,1)):INDIRECT(ADDRESS(22,ROW()-31,1)),BM$3:BM$22),"")</f>
        <v>20</v>
      </c>
      <c r="BN44">
        <f ca="1">IF(AND(((COLUMN()-10)&lt;=playercnt),((ROW()-41)&lt;=playercnt)),SUMPRODUCT(INDIRECT(ADDRESS(3,ROW()-31,1)):INDIRECT(ADDRESS(22,ROW()-31,1)),BN$3:BN$22),"")</f>
        <v>20</v>
      </c>
      <c r="BO44" t="str">
        <f ca="1">IF(AND(((COLUMN()-10)&lt;=playercnt),((ROW()-41)&lt;=playercnt)),SUMPRODUCT(INDIRECT(ADDRESS(3,ROW()-31,1)):INDIRECT(ADDRESS(22,ROW()-31,1)),BO$3:BO$22),"")</f>
        <v/>
      </c>
    </row>
    <row r="45" spans="1:67" x14ac:dyDescent="0.25">
      <c r="B45" s="27" t="str">
        <f t="shared" ca="1" si="23"/>
        <v/>
      </c>
      <c r="C45" t="e">
        <f t="shared" ca="1" si="22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>
        <f ca="1">IF(AND(((COLUMN()-10)&lt;=playercnt),((ROW()-41)&lt;=playercnt)),SUMPRODUCT(INDIRECT(ADDRESS(3,ROW()-31,1)):INDIRECT(ADDRESS(22,ROW()-31,1)),AD$3:AD$22),"")</f>
        <v>20</v>
      </c>
      <c r="AE45">
        <f ca="1">IF(AND(((COLUMN()-10)&lt;=playercnt),((ROW()-41)&lt;=playercnt)),SUMPRODUCT(INDIRECT(ADDRESS(3,ROW()-31,1)):INDIRECT(ADDRESS(22,ROW()-31,1)),AE$3:AE$22),"")</f>
        <v>20</v>
      </c>
      <c r="AF45">
        <f ca="1">IF(AND(((COLUMN()-10)&lt;=playercnt),((ROW()-41)&lt;=playercnt)),SUMPRODUCT(INDIRECT(ADDRESS(3,ROW()-31,1)):INDIRECT(ADDRESS(22,ROW()-31,1)),AF$3:AF$22),"")</f>
        <v>20</v>
      </c>
      <c r="AG45">
        <f ca="1">IF(AND(((COLUMN()-10)&lt;=playercnt),((ROW()-41)&lt;=playercnt)),SUMPRODUCT(INDIRECT(ADDRESS(3,ROW()-31,1)):INDIRECT(ADDRESS(22,ROW()-31,1)),AG$3:AG$22),"")</f>
        <v>20</v>
      </c>
      <c r="AH45">
        <f ca="1">IF(AND(((COLUMN()-10)&lt;=playercnt),((ROW()-41)&lt;=playercnt)),SUMPRODUCT(INDIRECT(ADDRESS(3,ROW()-31,1)):INDIRECT(ADDRESS(22,ROW()-31,1)),AH$3:AH$22),"")</f>
        <v>20</v>
      </c>
      <c r="AI45">
        <f ca="1">IF(AND(((COLUMN()-10)&lt;=playercnt),((ROW()-41)&lt;=playercnt)),SUMPRODUCT(INDIRECT(ADDRESS(3,ROW()-31,1)):INDIRECT(ADDRESS(22,ROW()-31,1)),AI$3:AI$22),"")</f>
        <v>20</v>
      </c>
      <c r="AJ45">
        <f ca="1">IF(AND(((COLUMN()-10)&lt;=playercnt),((ROW()-41)&lt;=playercnt)),SUMPRODUCT(INDIRECT(ADDRESS(3,ROW()-31,1)):INDIRECT(ADDRESS(22,ROW()-31,1)),AJ$3:AJ$22),"")</f>
        <v>20</v>
      </c>
      <c r="AK45">
        <f ca="1">IF(AND(((COLUMN()-10)&lt;=playercnt),((ROW()-41)&lt;=playercnt)),SUMPRODUCT(INDIRECT(ADDRESS(3,ROW()-31,1)):INDIRECT(ADDRESS(22,ROW()-31,1)),AK$3:AK$22),"")</f>
        <v>20</v>
      </c>
      <c r="AL45">
        <f ca="1">IF(AND(((COLUMN()-10)&lt;=playercnt),((ROW()-41)&lt;=playercnt)),SUMPRODUCT(INDIRECT(ADDRESS(3,ROW()-31,1)):INDIRECT(ADDRESS(22,ROW()-31,1)),AL$3:AL$22),"")</f>
        <v>20</v>
      </c>
      <c r="AM45">
        <f ca="1">IF(AND(((COLUMN()-10)&lt;=playercnt),((ROW()-41)&lt;=playercnt)),SUMPRODUCT(INDIRECT(ADDRESS(3,ROW()-31,1)):INDIRECT(ADDRESS(22,ROW()-31,1)),AM$3:AM$22),"")</f>
        <v>20</v>
      </c>
      <c r="AN45">
        <f ca="1">IF(AND(((COLUMN()-10)&lt;=playercnt),((ROW()-41)&lt;=playercnt)),SUMPRODUCT(INDIRECT(ADDRESS(3,ROW()-31,1)):INDIRECT(ADDRESS(22,ROW()-31,1)),AN$3:AN$22),"")</f>
        <v>20</v>
      </c>
      <c r="AO45">
        <f ca="1">IF(AND(((COLUMN()-10)&lt;=playercnt),((ROW()-41)&lt;=playercnt)),SUMPRODUCT(INDIRECT(ADDRESS(3,ROW()-31,1)):INDIRECT(ADDRESS(22,ROW()-31,1)),AO$3:AO$22),"")</f>
        <v>20</v>
      </c>
      <c r="AP45">
        <f ca="1">IF(AND(((COLUMN()-10)&lt;=playercnt),((ROW()-41)&lt;=playercnt)),SUMPRODUCT(INDIRECT(ADDRESS(3,ROW()-31,1)):INDIRECT(ADDRESS(22,ROW()-31,1)),AP$3:AP$22),"")</f>
        <v>20</v>
      </c>
      <c r="AQ45">
        <f ca="1">IF(AND(((COLUMN()-10)&lt;=playercnt),((ROW()-41)&lt;=playercnt)),SUMPRODUCT(INDIRECT(ADDRESS(3,ROW()-31,1)):INDIRECT(ADDRESS(22,ROW()-31,1)),AQ$3:AQ$22),"")</f>
        <v>20</v>
      </c>
      <c r="AR45">
        <f ca="1">IF(AND(((COLUMN()-10)&lt;=playercnt),((ROW()-41)&lt;=playercnt)),SUMPRODUCT(INDIRECT(ADDRESS(3,ROW()-31,1)):INDIRECT(ADDRESS(22,ROW()-31,1)),AR$3:AR$22),"")</f>
        <v>20</v>
      </c>
      <c r="AS45">
        <f ca="1">IF(AND(((COLUMN()-10)&lt;=playercnt),((ROW()-41)&lt;=playercnt)),SUMPRODUCT(INDIRECT(ADDRESS(3,ROW()-31,1)):INDIRECT(ADDRESS(22,ROW()-31,1)),AS$3:AS$22),"")</f>
        <v>20</v>
      </c>
      <c r="AT45">
        <f ca="1">IF(AND(((COLUMN()-10)&lt;=playercnt),((ROW()-41)&lt;=playercnt)),SUMPRODUCT(INDIRECT(ADDRESS(3,ROW()-31,1)):INDIRECT(ADDRESS(22,ROW()-31,1)),AT$3:AT$22),"")</f>
        <v>20</v>
      </c>
      <c r="AU45">
        <f ca="1">IF(AND(((COLUMN()-10)&lt;=playercnt),((ROW()-41)&lt;=playercnt)),SUMPRODUCT(INDIRECT(ADDRESS(3,ROW()-31,1)):INDIRECT(ADDRESS(22,ROW()-31,1)),AU$3:AU$22),"")</f>
        <v>20</v>
      </c>
      <c r="AV45">
        <f ca="1">IF(AND(((COLUMN()-10)&lt;=playercnt),((ROW()-41)&lt;=playercnt)),SUMPRODUCT(INDIRECT(ADDRESS(3,ROW()-31,1)):INDIRECT(ADDRESS(22,ROW()-31,1)),AV$3:AV$22),"")</f>
        <v>20</v>
      </c>
      <c r="AW45">
        <f ca="1">IF(AND(((COLUMN()-10)&lt;=playercnt),((ROW()-41)&lt;=playercnt)),SUMPRODUCT(INDIRECT(ADDRESS(3,ROW()-31,1)):INDIRECT(ADDRESS(22,ROW()-31,1)),AW$3:AW$22),"")</f>
        <v>20</v>
      </c>
      <c r="AX45">
        <f ca="1">IF(AND(((COLUMN()-10)&lt;=playercnt),((ROW()-41)&lt;=playercnt)),SUMPRODUCT(INDIRECT(ADDRESS(3,ROW()-31,1)):INDIRECT(ADDRESS(22,ROW()-31,1)),AX$3:AX$22),"")</f>
        <v>20</v>
      </c>
      <c r="AY45">
        <f ca="1">IF(AND(((COLUMN()-10)&lt;=playercnt),((ROW()-41)&lt;=playercnt)),SUMPRODUCT(INDIRECT(ADDRESS(3,ROW()-31,1)):INDIRECT(ADDRESS(22,ROW()-31,1)),AY$3:AY$22),"")</f>
        <v>20</v>
      </c>
      <c r="AZ45">
        <f ca="1">IF(AND(((COLUMN()-10)&lt;=playercnt),((ROW()-41)&lt;=playercnt)),SUMPRODUCT(INDIRECT(ADDRESS(3,ROW()-31,1)):INDIRECT(ADDRESS(22,ROW()-31,1)),AZ$3:AZ$22),"")</f>
        <v>20</v>
      </c>
      <c r="BA45">
        <f ca="1">IF(AND(((COLUMN()-10)&lt;=playercnt),((ROW()-41)&lt;=playercnt)),SUMPRODUCT(INDIRECT(ADDRESS(3,ROW()-31,1)):INDIRECT(ADDRESS(22,ROW()-31,1)),BA$3:BA$22),"")</f>
        <v>20</v>
      </c>
      <c r="BB45">
        <f ca="1">IF(AND(((COLUMN()-10)&lt;=playercnt),((ROW()-41)&lt;=playercnt)),SUMPRODUCT(INDIRECT(ADDRESS(3,ROW()-31,1)):INDIRECT(ADDRESS(22,ROW()-31,1)),BB$3:BB$22),"")</f>
        <v>20</v>
      </c>
      <c r="BC45">
        <f ca="1">IF(AND(((COLUMN()-10)&lt;=playercnt),((ROW()-41)&lt;=playercnt)),SUMPRODUCT(INDIRECT(ADDRESS(3,ROW()-31,1)):INDIRECT(ADDRESS(22,ROW()-31,1)),BC$3:BC$22),"")</f>
        <v>20</v>
      </c>
      <c r="BD45">
        <f ca="1">IF(AND(((COLUMN()-10)&lt;=playercnt),((ROW()-41)&lt;=playercnt)),SUMPRODUCT(INDIRECT(ADDRESS(3,ROW()-31,1)):INDIRECT(ADDRESS(22,ROW()-31,1)),BD$3:BD$22),"")</f>
        <v>20</v>
      </c>
      <c r="BE45">
        <f ca="1">IF(AND(((COLUMN()-10)&lt;=playercnt),((ROW()-41)&lt;=playercnt)),SUMPRODUCT(INDIRECT(ADDRESS(3,ROW()-31,1)):INDIRECT(ADDRESS(22,ROW()-31,1)),BE$3:BE$22),"")</f>
        <v>20</v>
      </c>
      <c r="BF45">
        <f ca="1">IF(AND(((COLUMN()-10)&lt;=playercnt),((ROW()-41)&lt;=playercnt)),SUMPRODUCT(INDIRECT(ADDRESS(3,ROW()-31,1)):INDIRECT(ADDRESS(22,ROW()-31,1)),BF$3:BF$22),"")</f>
        <v>20</v>
      </c>
      <c r="BG45">
        <f ca="1">IF(AND(((COLUMN()-10)&lt;=playercnt),((ROW()-41)&lt;=playercnt)),SUMPRODUCT(INDIRECT(ADDRESS(3,ROW()-31,1)):INDIRECT(ADDRESS(22,ROW()-31,1)),BG$3:BG$22),"")</f>
        <v>20</v>
      </c>
      <c r="BH45">
        <f ca="1">IF(AND(((COLUMN()-10)&lt;=playercnt),((ROW()-41)&lt;=playercnt)),SUMPRODUCT(INDIRECT(ADDRESS(3,ROW()-31,1)):INDIRECT(ADDRESS(22,ROW()-31,1)),BH$3:BH$22),"")</f>
        <v>20</v>
      </c>
      <c r="BI45">
        <f ca="1">IF(AND(((COLUMN()-10)&lt;=playercnt),((ROW()-41)&lt;=playercnt)),SUMPRODUCT(INDIRECT(ADDRESS(3,ROW()-31,1)):INDIRECT(ADDRESS(22,ROW()-31,1)),BI$3:BI$22),"")</f>
        <v>20</v>
      </c>
      <c r="BJ45">
        <f ca="1">IF(AND(((COLUMN()-10)&lt;=playercnt),((ROW()-41)&lt;=playercnt)),SUMPRODUCT(INDIRECT(ADDRESS(3,ROW()-31,1)):INDIRECT(ADDRESS(22,ROW()-31,1)),BJ$3:BJ$22),"")</f>
        <v>20</v>
      </c>
      <c r="BK45">
        <f ca="1">IF(AND(((COLUMN()-10)&lt;=playercnt),((ROW()-41)&lt;=playercnt)),SUMPRODUCT(INDIRECT(ADDRESS(3,ROW()-31,1)):INDIRECT(ADDRESS(22,ROW()-31,1)),BK$3:BK$22),"")</f>
        <v>20</v>
      </c>
      <c r="BL45">
        <f ca="1">IF(AND(((COLUMN()-10)&lt;=playercnt),((ROW()-41)&lt;=playercnt)),SUMPRODUCT(INDIRECT(ADDRESS(3,ROW()-31,1)):INDIRECT(ADDRESS(22,ROW()-31,1)),BL$3:BL$22),"")</f>
        <v>20</v>
      </c>
      <c r="BM45">
        <f ca="1">IF(AND(((COLUMN()-10)&lt;=playercnt),((ROW()-41)&lt;=playercnt)),SUMPRODUCT(INDIRECT(ADDRESS(3,ROW()-31,1)):INDIRECT(ADDRESS(22,ROW()-31,1)),BM$3:BM$22),"")</f>
        <v>20</v>
      </c>
      <c r="BN45">
        <f ca="1">IF(AND(((COLUMN()-10)&lt;=playercnt),((ROW()-41)&lt;=playercnt)),SUMPRODUCT(INDIRECT(ADDRESS(3,ROW()-31,1)):INDIRECT(ADDRESS(22,ROW()-31,1)),BN$3:BN$22),"")</f>
        <v>20</v>
      </c>
      <c r="BO45" t="str">
        <f ca="1">IF(AND(((COLUMN()-10)&lt;=playercnt),((ROW()-41)&lt;=playercnt)),SUMPRODUCT(INDIRECT(ADDRESS(3,ROW()-31,1)):INDIRECT(ADDRESS(22,ROW()-31,1)),BO$3:BO$22),"")</f>
        <v/>
      </c>
    </row>
    <row r="46" spans="1:67" x14ac:dyDescent="0.25">
      <c r="B46" s="27" t="str">
        <f t="shared" ca="1" si="23"/>
        <v/>
      </c>
      <c r="C46" t="e">
        <f t="shared" ca="1" si="22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>
        <f ca="1">IF(AND(((COLUMN()-10)&lt;=playercnt),((ROW()-41)&lt;=playercnt)),SUMPRODUCT(INDIRECT(ADDRESS(3,ROW()-31,1)):INDIRECT(ADDRESS(22,ROW()-31,1)),AD$3:AD$22),"")</f>
        <v>20</v>
      </c>
      <c r="AE46">
        <f ca="1">IF(AND(((COLUMN()-10)&lt;=playercnt),((ROW()-41)&lt;=playercnt)),SUMPRODUCT(INDIRECT(ADDRESS(3,ROW()-31,1)):INDIRECT(ADDRESS(22,ROW()-31,1)),AE$3:AE$22),"")</f>
        <v>20</v>
      </c>
      <c r="AF46">
        <f ca="1">IF(AND(((COLUMN()-10)&lt;=playercnt),((ROW()-41)&lt;=playercnt)),SUMPRODUCT(INDIRECT(ADDRESS(3,ROW()-31,1)):INDIRECT(ADDRESS(22,ROW()-31,1)),AF$3:AF$22),"")</f>
        <v>20</v>
      </c>
      <c r="AG46">
        <f ca="1">IF(AND(((COLUMN()-10)&lt;=playercnt),((ROW()-41)&lt;=playercnt)),SUMPRODUCT(INDIRECT(ADDRESS(3,ROW()-31,1)):INDIRECT(ADDRESS(22,ROW()-31,1)),AG$3:AG$22),"")</f>
        <v>20</v>
      </c>
      <c r="AH46">
        <f ca="1">IF(AND(((COLUMN()-10)&lt;=playercnt),((ROW()-41)&lt;=playercnt)),SUMPRODUCT(INDIRECT(ADDRESS(3,ROW()-31,1)):INDIRECT(ADDRESS(22,ROW()-31,1)),AH$3:AH$22),"")</f>
        <v>20</v>
      </c>
      <c r="AI46">
        <f ca="1">IF(AND(((COLUMN()-10)&lt;=playercnt),((ROW()-41)&lt;=playercnt)),SUMPRODUCT(INDIRECT(ADDRESS(3,ROW()-31,1)):INDIRECT(ADDRESS(22,ROW()-31,1)),AI$3:AI$22),"")</f>
        <v>20</v>
      </c>
      <c r="AJ46">
        <f ca="1">IF(AND(((COLUMN()-10)&lt;=playercnt),((ROW()-41)&lt;=playercnt)),SUMPRODUCT(INDIRECT(ADDRESS(3,ROW()-31,1)):INDIRECT(ADDRESS(22,ROW()-31,1)),AJ$3:AJ$22),"")</f>
        <v>20</v>
      </c>
      <c r="AK46">
        <f ca="1">IF(AND(((COLUMN()-10)&lt;=playercnt),((ROW()-41)&lt;=playercnt)),SUMPRODUCT(INDIRECT(ADDRESS(3,ROW()-31,1)):INDIRECT(ADDRESS(22,ROW()-31,1)),AK$3:AK$22),"")</f>
        <v>20</v>
      </c>
      <c r="AL46">
        <f ca="1">IF(AND(((COLUMN()-10)&lt;=playercnt),((ROW()-41)&lt;=playercnt)),SUMPRODUCT(INDIRECT(ADDRESS(3,ROW()-31,1)):INDIRECT(ADDRESS(22,ROW()-31,1)),AL$3:AL$22),"")</f>
        <v>20</v>
      </c>
      <c r="AM46">
        <f ca="1">IF(AND(((COLUMN()-10)&lt;=playercnt),((ROW()-41)&lt;=playercnt)),SUMPRODUCT(INDIRECT(ADDRESS(3,ROW()-31,1)):INDIRECT(ADDRESS(22,ROW()-31,1)),AM$3:AM$22),"")</f>
        <v>20</v>
      </c>
      <c r="AN46">
        <f ca="1">IF(AND(((COLUMN()-10)&lt;=playercnt),((ROW()-41)&lt;=playercnt)),SUMPRODUCT(INDIRECT(ADDRESS(3,ROW()-31,1)):INDIRECT(ADDRESS(22,ROW()-31,1)),AN$3:AN$22),"")</f>
        <v>20</v>
      </c>
      <c r="AO46">
        <f ca="1">IF(AND(((COLUMN()-10)&lt;=playercnt),((ROW()-41)&lt;=playercnt)),SUMPRODUCT(INDIRECT(ADDRESS(3,ROW()-31,1)):INDIRECT(ADDRESS(22,ROW()-31,1)),AO$3:AO$22),"")</f>
        <v>20</v>
      </c>
      <c r="AP46">
        <f ca="1">IF(AND(((COLUMN()-10)&lt;=playercnt),((ROW()-41)&lt;=playercnt)),SUMPRODUCT(INDIRECT(ADDRESS(3,ROW()-31,1)):INDIRECT(ADDRESS(22,ROW()-31,1)),AP$3:AP$22),"")</f>
        <v>20</v>
      </c>
      <c r="AQ46">
        <f ca="1">IF(AND(((COLUMN()-10)&lt;=playercnt),((ROW()-41)&lt;=playercnt)),SUMPRODUCT(INDIRECT(ADDRESS(3,ROW()-31,1)):INDIRECT(ADDRESS(22,ROW()-31,1)),AQ$3:AQ$22),"")</f>
        <v>20</v>
      </c>
      <c r="AR46">
        <f ca="1">IF(AND(((COLUMN()-10)&lt;=playercnt),((ROW()-41)&lt;=playercnt)),SUMPRODUCT(INDIRECT(ADDRESS(3,ROW()-31,1)):INDIRECT(ADDRESS(22,ROW()-31,1)),AR$3:AR$22),"")</f>
        <v>20</v>
      </c>
      <c r="AS46">
        <f ca="1">IF(AND(((COLUMN()-10)&lt;=playercnt),((ROW()-41)&lt;=playercnt)),SUMPRODUCT(INDIRECT(ADDRESS(3,ROW()-31,1)):INDIRECT(ADDRESS(22,ROW()-31,1)),AS$3:AS$22),"")</f>
        <v>20</v>
      </c>
      <c r="AT46">
        <f ca="1">IF(AND(((COLUMN()-10)&lt;=playercnt),((ROW()-41)&lt;=playercnt)),SUMPRODUCT(INDIRECT(ADDRESS(3,ROW()-31,1)):INDIRECT(ADDRESS(22,ROW()-31,1)),AT$3:AT$22),"")</f>
        <v>20</v>
      </c>
      <c r="AU46">
        <f ca="1">IF(AND(((COLUMN()-10)&lt;=playercnt),((ROW()-41)&lt;=playercnt)),SUMPRODUCT(INDIRECT(ADDRESS(3,ROW()-31,1)):INDIRECT(ADDRESS(22,ROW()-31,1)),AU$3:AU$22),"")</f>
        <v>20</v>
      </c>
      <c r="AV46">
        <f ca="1">IF(AND(((COLUMN()-10)&lt;=playercnt),((ROW()-41)&lt;=playercnt)),SUMPRODUCT(INDIRECT(ADDRESS(3,ROW()-31,1)):INDIRECT(ADDRESS(22,ROW()-31,1)),AV$3:AV$22),"")</f>
        <v>20</v>
      </c>
      <c r="AW46">
        <f ca="1">IF(AND(((COLUMN()-10)&lt;=playercnt),((ROW()-41)&lt;=playercnt)),SUMPRODUCT(INDIRECT(ADDRESS(3,ROW()-31,1)):INDIRECT(ADDRESS(22,ROW()-31,1)),AW$3:AW$22),"")</f>
        <v>20</v>
      </c>
      <c r="AX46">
        <f ca="1">IF(AND(((COLUMN()-10)&lt;=playercnt),((ROW()-41)&lt;=playercnt)),SUMPRODUCT(INDIRECT(ADDRESS(3,ROW()-31,1)):INDIRECT(ADDRESS(22,ROW()-31,1)),AX$3:AX$22),"")</f>
        <v>20</v>
      </c>
      <c r="AY46">
        <f ca="1">IF(AND(((COLUMN()-10)&lt;=playercnt),((ROW()-41)&lt;=playercnt)),SUMPRODUCT(INDIRECT(ADDRESS(3,ROW()-31,1)):INDIRECT(ADDRESS(22,ROW()-31,1)),AY$3:AY$22),"")</f>
        <v>20</v>
      </c>
      <c r="AZ46">
        <f ca="1">IF(AND(((COLUMN()-10)&lt;=playercnt),((ROW()-41)&lt;=playercnt)),SUMPRODUCT(INDIRECT(ADDRESS(3,ROW()-31,1)):INDIRECT(ADDRESS(22,ROW()-31,1)),AZ$3:AZ$22),"")</f>
        <v>20</v>
      </c>
      <c r="BA46">
        <f ca="1">IF(AND(((COLUMN()-10)&lt;=playercnt),((ROW()-41)&lt;=playercnt)),SUMPRODUCT(INDIRECT(ADDRESS(3,ROW()-31,1)):INDIRECT(ADDRESS(22,ROW()-31,1)),BA$3:BA$22),"")</f>
        <v>20</v>
      </c>
      <c r="BB46">
        <f ca="1">IF(AND(((COLUMN()-10)&lt;=playercnt),((ROW()-41)&lt;=playercnt)),SUMPRODUCT(INDIRECT(ADDRESS(3,ROW()-31,1)):INDIRECT(ADDRESS(22,ROW()-31,1)),BB$3:BB$22),"")</f>
        <v>20</v>
      </c>
      <c r="BC46">
        <f ca="1">IF(AND(((COLUMN()-10)&lt;=playercnt),((ROW()-41)&lt;=playercnt)),SUMPRODUCT(INDIRECT(ADDRESS(3,ROW()-31,1)):INDIRECT(ADDRESS(22,ROW()-31,1)),BC$3:BC$22),"")</f>
        <v>20</v>
      </c>
      <c r="BD46">
        <f ca="1">IF(AND(((COLUMN()-10)&lt;=playercnt),((ROW()-41)&lt;=playercnt)),SUMPRODUCT(INDIRECT(ADDRESS(3,ROW()-31,1)):INDIRECT(ADDRESS(22,ROW()-31,1)),BD$3:BD$22),"")</f>
        <v>20</v>
      </c>
      <c r="BE46">
        <f ca="1">IF(AND(((COLUMN()-10)&lt;=playercnt),((ROW()-41)&lt;=playercnt)),SUMPRODUCT(INDIRECT(ADDRESS(3,ROW()-31,1)):INDIRECT(ADDRESS(22,ROW()-31,1)),BE$3:BE$22),"")</f>
        <v>20</v>
      </c>
      <c r="BF46">
        <f ca="1">IF(AND(((COLUMN()-10)&lt;=playercnt),((ROW()-41)&lt;=playercnt)),SUMPRODUCT(INDIRECT(ADDRESS(3,ROW()-31,1)):INDIRECT(ADDRESS(22,ROW()-31,1)),BF$3:BF$22),"")</f>
        <v>20</v>
      </c>
      <c r="BG46">
        <f ca="1">IF(AND(((COLUMN()-10)&lt;=playercnt),((ROW()-41)&lt;=playercnt)),SUMPRODUCT(INDIRECT(ADDRESS(3,ROW()-31,1)):INDIRECT(ADDRESS(22,ROW()-31,1)),BG$3:BG$22),"")</f>
        <v>20</v>
      </c>
      <c r="BH46">
        <f ca="1">IF(AND(((COLUMN()-10)&lt;=playercnt),((ROW()-41)&lt;=playercnt)),SUMPRODUCT(INDIRECT(ADDRESS(3,ROW()-31,1)):INDIRECT(ADDRESS(22,ROW()-31,1)),BH$3:BH$22),"")</f>
        <v>20</v>
      </c>
      <c r="BI46">
        <f ca="1">IF(AND(((COLUMN()-10)&lt;=playercnt),((ROW()-41)&lt;=playercnt)),SUMPRODUCT(INDIRECT(ADDRESS(3,ROW()-31,1)):INDIRECT(ADDRESS(22,ROW()-31,1)),BI$3:BI$22),"")</f>
        <v>20</v>
      </c>
      <c r="BJ46">
        <f ca="1">IF(AND(((COLUMN()-10)&lt;=playercnt),((ROW()-41)&lt;=playercnt)),SUMPRODUCT(INDIRECT(ADDRESS(3,ROW()-31,1)):INDIRECT(ADDRESS(22,ROW()-31,1)),BJ$3:BJ$22),"")</f>
        <v>20</v>
      </c>
      <c r="BK46">
        <f ca="1">IF(AND(((COLUMN()-10)&lt;=playercnt),((ROW()-41)&lt;=playercnt)),SUMPRODUCT(INDIRECT(ADDRESS(3,ROW()-31,1)):INDIRECT(ADDRESS(22,ROW()-31,1)),BK$3:BK$22),"")</f>
        <v>20</v>
      </c>
      <c r="BL46">
        <f ca="1">IF(AND(((COLUMN()-10)&lt;=playercnt),((ROW()-41)&lt;=playercnt)),SUMPRODUCT(INDIRECT(ADDRESS(3,ROW()-31,1)):INDIRECT(ADDRESS(22,ROW()-31,1)),BL$3:BL$22),"")</f>
        <v>20</v>
      </c>
      <c r="BM46">
        <f ca="1">IF(AND(((COLUMN()-10)&lt;=playercnt),((ROW()-41)&lt;=playercnt)),SUMPRODUCT(INDIRECT(ADDRESS(3,ROW()-31,1)):INDIRECT(ADDRESS(22,ROW()-31,1)),BM$3:BM$22),"")</f>
        <v>20</v>
      </c>
      <c r="BN46">
        <f ca="1">IF(AND(((COLUMN()-10)&lt;=playercnt),((ROW()-41)&lt;=playercnt)),SUMPRODUCT(INDIRECT(ADDRESS(3,ROW()-31,1)):INDIRECT(ADDRESS(22,ROW()-31,1)),BN$3:BN$22),"")</f>
        <v>20</v>
      </c>
      <c r="BO46" t="str">
        <f ca="1">IF(AND(((COLUMN()-10)&lt;=playercnt),((ROW()-41)&lt;=playercnt)),SUMPRODUCT(INDIRECT(ADDRESS(3,ROW()-31,1)):INDIRECT(ADDRESS(22,ROW()-31,1)),BO$3:BO$22),"")</f>
        <v/>
      </c>
    </row>
    <row r="47" spans="1:67" x14ac:dyDescent="0.25">
      <c r="B47" s="27" t="str">
        <f t="shared" ca="1" si="23"/>
        <v/>
      </c>
      <c r="C47" t="e">
        <f t="shared" ca="1" si="22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>
        <f ca="1">IF(AND(((COLUMN()-10)&lt;=playercnt),((ROW()-41)&lt;=playercnt)),SUMPRODUCT(INDIRECT(ADDRESS(3,ROW()-31,1)):INDIRECT(ADDRESS(22,ROW()-31,1)),AD$3:AD$22),"")</f>
        <v>20</v>
      </c>
      <c r="AE47">
        <f ca="1">IF(AND(((COLUMN()-10)&lt;=playercnt),((ROW()-41)&lt;=playercnt)),SUMPRODUCT(INDIRECT(ADDRESS(3,ROW()-31,1)):INDIRECT(ADDRESS(22,ROW()-31,1)),AE$3:AE$22),"")</f>
        <v>20</v>
      </c>
      <c r="AF47">
        <f ca="1">IF(AND(((COLUMN()-10)&lt;=playercnt),((ROW()-41)&lt;=playercnt)),SUMPRODUCT(INDIRECT(ADDRESS(3,ROW()-31,1)):INDIRECT(ADDRESS(22,ROW()-31,1)),AF$3:AF$22),"")</f>
        <v>20</v>
      </c>
      <c r="AG47">
        <f ca="1">IF(AND(((COLUMN()-10)&lt;=playercnt),((ROW()-41)&lt;=playercnt)),SUMPRODUCT(INDIRECT(ADDRESS(3,ROW()-31,1)):INDIRECT(ADDRESS(22,ROW()-31,1)),AG$3:AG$22),"")</f>
        <v>20</v>
      </c>
      <c r="AH47">
        <f ca="1">IF(AND(((COLUMN()-10)&lt;=playercnt),((ROW()-41)&lt;=playercnt)),SUMPRODUCT(INDIRECT(ADDRESS(3,ROW()-31,1)):INDIRECT(ADDRESS(22,ROW()-31,1)),AH$3:AH$22),"")</f>
        <v>20</v>
      </c>
      <c r="AI47">
        <f ca="1">IF(AND(((COLUMN()-10)&lt;=playercnt),((ROW()-41)&lt;=playercnt)),SUMPRODUCT(INDIRECT(ADDRESS(3,ROW()-31,1)):INDIRECT(ADDRESS(22,ROW()-31,1)),AI$3:AI$22),"")</f>
        <v>20</v>
      </c>
      <c r="AJ47">
        <f ca="1">IF(AND(((COLUMN()-10)&lt;=playercnt),((ROW()-41)&lt;=playercnt)),SUMPRODUCT(INDIRECT(ADDRESS(3,ROW()-31,1)):INDIRECT(ADDRESS(22,ROW()-31,1)),AJ$3:AJ$22),"")</f>
        <v>20</v>
      </c>
      <c r="AK47">
        <f ca="1">IF(AND(((COLUMN()-10)&lt;=playercnt),((ROW()-41)&lt;=playercnt)),SUMPRODUCT(INDIRECT(ADDRESS(3,ROW()-31,1)):INDIRECT(ADDRESS(22,ROW()-31,1)),AK$3:AK$22),"")</f>
        <v>20</v>
      </c>
      <c r="AL47">
        <f ca="1">IF(AND(((COLUMN()-10)&lt;=playercnt),((ROW()-41)&lt;=playercnt)),SUMPRODUCT(INDIRECT(ADDRESS(3,ROW()-31,1)):INDIRECT(ADDRESS(22,ROW()-31,1)),AL$3:AL$22),"")</f>
        <v>20</v>
      </c>
      <c r="AM47">
        <f ca="1">IF(AND(((COLUMN()-10)&lt;=playercnt),((ROW()-41)&lt;=playercnt)),SUMPRODUCT(INDIRECT(ADDRESS(3,ROW()-31,1)):INDIRECT(ADDRESS(22,ROW()-31,1)),AM$3:AM$22),"")</f>
        <v>20</v>
      </c>
      <c r="AN47">
        <f ca="1">IF(AND(((COLUMN()-10)&lt;=playercnt),((ROW()-41)&lt;=playercnt)),SUMPRODUCT(INDIRECT(ADDRESS(3,ROW()-31,1)):INDIRECT(ADDRESS(22,ROW()-31,1)),AN$3:AN$22),"")</f>
        <v>20</v>
      </c>
      <c r="AO47">
        <f ca="1">IF(AND(((COLUMN()-10)&lt;=playercnt),((ROW()-41)&lt;=playercnt)),SUMPRODUCT(INDIRECT(ADDRESS(3,ROW()-31,1)):INDIRECT(ADDRESS(22,ROW()-31,1)),AO$3:AO$22),"")</f>
        <v>20</v>
      </c>
      <c r="AP47">
        <f ca="1">IF(AND(((COLUMN()-10)&lt;=playercnt),((ROW()-41)&lt;=playercnt)),SUMPRODUCT(INDIRECT(ADDRESS(3,ROW()-31,1)):INDIRECT(ADDRESS(22,ROW()-31,1)),AP$3:AP$22),"")</f>
        <v>20</v>
      </c>
      <c r="AQ47">
        <f ca="1">IF(AND(((COLUMN()-10)&lt;=playercnt),((ROW()-41)&lt;=playercnt)),SUMPRODUCT(INDIRECT(ADDRESS(3,ROW()-31,1)):INDIRECT(ADDRESS(22,ROW()-31,1)),AQ$3:AQ$22),"")</f>
        <v>20</v>
      </c>
      <c r="AR47">
        <f ca="1">IF(AND(((COLUMN()-10)&lt;=playercnt),((ROW()-41)&lt;=playercnt)),SUMPRODUCT(INDIRECT(ADDRESS(3,ROW()-31,1)):INDIRECT(ADDRESS(22,ROW()-31,1)),AR$3:AR$22),"")</f>
        <v>20</v>
      </c>
      <c r="AS47">
        <f ca="1">IF(AND(((COLUMN()-10)&lt;=playercnt),((ROW()-41)&lt;=playercnt)),SUMPRODUCT(INDIRECT(ADDRESS(3,ROW()-31,1)):INDIRECT(ADDRESS(22,ROW()-31,1)),AS$3:AS$22),"")</f>
        <v>20</v>
      </c>
      <c r="AT47">
        <f ca="1">IF(AND(((COLUMN()-10)&lt;=playercnt),((ROW()-41)&lt;=playercnt)),SUMPRODUCT(INDIRECT(ADDRESS(3,ROW()-31,1)):INDIRECT(ADDRESS(22,ROW()-31,1)),AT$3:AT$22),"")</f>
        <v>20</v>
      </c>
      <c r="AU47">
        <f ca="1">IF(AND(((COLUMN()-10)&lt;=playercnt),((ROW()-41)&lt;=playercnt)),SUMPRODUCT(INDIRECT(ADDRESS(3,ROW()-31,1)):INDIRECT(ADDRESS(22,ROW()-31,1)),AU$3:AU$22),"")</f>
        <v>20</v>
      </c>
      <c r="AV47">
        <f ca="1">IF(AND(((COLUMN()-10)&lt;=playercnt),((ROW()-41)&lt;=playercnt)),SUMPRODUCT(INDIRECT(ADDRESS(3,ROW()-31,1)):INDIRECT(ADDRESS(22,ROW()-31,1)),AV$3:AV$22),"")</f>
        <v>20</v>
      </c>
      <c r="AW47">
        <f ca="1">IF(AND(((COLUMN()-10)&lt;=playercnt),((ROW()-41)&lt;=playercnt)),SUMPRODUCT(INDIRECT(ADDRESS(3,ROW()-31,1)):INDIRECT(ADDRESS(22,ROW()-31,1)),AW$3:AW$22),"")</f>
        <v>20</v>
      </c>
      <c r="AX47">
        <f ca="1">IF(AND(((COLUMN()-10)&lt;=playercnt),((ROW()-41)&lt;=playercnt)),SUMPRODUCT(INDIRECT(ADDRESS(3,ROW()-31,1)):INDIRECT(ADDRESS(22,ROW()-31,1)),AX$3:AX$22),"")</f>
        <v>20</v>
      </c>
      <c r="AY47">
        <f ca="1">IF(AND(((COLUMN()-10)&lt;=playercnt),((ROW()-41)&lt;=playercnt)),SUMPRODUCT(INDIRECT(ADDRESS(3,ROW()-31,1)):INDIRECT(ADDRESS(22,ROW()-31,1)),AY$3:AY$22),"")</f>
        <v>20</v>
      </c>
      <c r="AZ47">
        <f ca="1">IF(AND(((COLUMN()-10)&lt;=playercnt),((ROW()-41)&lt;=playercnt)),SUMPRODUCT(INDIRECT(ADDRESS(3,ROW()-31,1)):INDIRECT(ADDRESS(22,ROW()-31,1)),AZ$3:AZ$22),"")</f>
        <v>20</v>
      </c>
      <c r="BA47">
        <f ca="1">IF(AND(((COLUMN()-10)&lt;=playercnt),((ROW()-41)&lt;=playercnt)),SUMPRODUCT(INDIRECT(ADDRESS(3,ROW()-31,1)):INDIRECT(ADDRESS(22,ROW()-31,1)),BA$3:BA$22),"")</f>
        <v>20</v>
      </c>
      <c r="BB47">
        <f ca="1">IF(AND(((COLUMN()-10)&lt;=playercnt),((ROW()-41)&lt;=playercnt)),SUMPRODUCT(INDIRECT(ADDRESS(3,ROW()-31,1)):INDIRECT(ADDRESS(22,ROW()-31,1)),BB$3:BB$22),"")</f>
        <v>20</v>
      </c>
      <c r="BC47">
        <f ca="1">IF(AND(((COLUMN()-10)&lt;=playercnt),((ROW()-41)&lt;=playercnt)),SUMPRODUCT(INDIRECT(ADDRESS(3,ROW()-31,1)):INDIRECT(ADDRESS(22,ROW()-31,1)),BC$3:BC$22),"")</f>
        <v>20</v>
      </c>
      <c r="BD47">
        <f ca="1">IF(AND(((COLUMN()-10)&lt;=playercnt),((ROW()-41)&lt;=playercnt)),SUMPRODUCT(INDIRECT(ADDRESS(3,ROW()-31,1)):INDIRECT(ADDRESS(22,ROW()-31,1)),BD$3:BD$22),"")</f>
        <v>20</v>
      </c>
      <c r="BE47">
        <f ca="1">IF(AND(((COLUMN()-10)&lt;=playercnt),((ROW()-41)&lt;=playercnt)),SUMPRODUCT(INDIRECT(ADDRESS(3,ROW()-31,1)):INDIRECT(ADDRESS(22,ROW()-31,1)),BE$3:BE$22),"")</f>
        <v>20</v>
      </c>
      <c r="BF47">
        <f ca="1">IF(AND(((COLUMN()-10)&lt;=playercnt),((ROW()-41)&lt;=playercnt)),SUMPRODUCT(INDIRECT(ADDRESS(3,ROW()-31,1)):INDIRECT(ADDRESS(22,ROW()-31,1)),BF$3:BF$22),"")</f>
        <v>20</v>
      </c>
      <c r="BG47">
        <f ca="1">IF(AND(((COLUMN()-10)&lt;=playercnt),((ROW()-41)&lt;=playercnt)),SUMPRODUCT(INDIRECT(ADDRESS(3,ROW()-31,1)):INDIRECT(ADDRESS(22,ROW()-31,1)),BG$3:BG$22),"")</f>
        <v>20</v>
      </c>
      <c r="BH47">
        <f ca="1">IF(AND(((COLUMN()-10)&lt;=playercnt),((ROW()-41)&lt;=playercnt)),SUMPRODUCT(INDIRECT(ADDRESS(3,ROW()-31,1)):INDIRECT(ADDRESS(22,ROW()-31,1)),BH$3:BH$22),"")</f>
        <v>20</v>
      </c>
      <c r="BI47">
        <f ca="1">IF(AND(((COLUMN()-10)&lt;=playercnt),((ROW()-41)&lt;=playercnt)),SUMPRODUCT(INDIRECT(ADDRESS(3,ROW()-31,1)):INDIRECT(ADDRESS(22,ROW()-31,1)),BI$3:BI$22),"")</f>
        <v>20</v>
      </c>
      <c r="BJ47">
        <f ca="1">IF(AND(((COLUMN()-10)&lt;=playercnt),((ROW()-41)&lt;=playercnt)),SUMPRODUCT(INDIRECT(ADDRESS(3,ROW()-31,1)):INDIRECT(ADDRESS(22,ROW()-31,1)),BJ$3:BJ$22),"")</f>
        <v>20</v>
      </c>
      <c r="BK47">
        <f ca="1">IF(AND(((COLUMN()-10)&lt;=playercnt),((ROW()-41)&lt;=playercnt)),SUMPRODUCT(INDIRECT(ADDRESS(3,ROW()-31,1)):INDIRECT(ADDRESS(22,ROW()-31,1)),BK$3:BK$22),"")</f>
        <v>20</v>
      </c>
      <c r="BL47">
        <f ca="1">IF(AND(((COLUMN()-10)&lt;=playercnt),((ROW()-41)&lt;=playercnt)),SUMPRODUCT(INDIRECT(ADDRESS(3,ROW()-31,1)):INDIRECT(ADDRESS(22,ROW()-31,1)),BL$3:BL$22),"")</f>
        <v>20</v>
      </c>
      <c r="BM47">
        <f ca="1">IF(AND(((COLUMN()-10)&lt;=playercnt),((ROW()-41)&lt;=playercnt)),SUMPRODUCT(INDIRECT(ADDRESS(3,ROW()-31,1)):INDIRECT(ADDRESS(22,ROW()-31,1)),BM$3:BM$22),"")</f>
        <v>20</v>
      </c>
      <c r="BN47">
        <f ca="1">IF(AND(((COLUMN()-10)&lt;=playercnt),((ROW()-41)&lt;=playercnt)),SUMPRODUCT(INDIRECT(ADDRESS(3,ROW()-31,1)):INDIRECT(ADDRESS(22,ROW()-31,1)),BN$3:BN$22),"")</f>
        <v>20</v>
      </c>
      <c r="BO47" t="str">
        <f ca="1">IF(AND(((COLUMN()-10)&lt;=playercnt),((ROW()-41)&lt;=playercnt)),SUMPRODUCT(INDIRECT(ADDRESS(3,ROW()-31,1)):INDIRECT(ADDRESS(22,ROW()-31,1)),BO$3:BO$22),"")</f>
        <v/>
      </c>
    </row>
    <row r="48" spans="1:67" x14ac:dyDescent="0.25">
      <c r="B48" s="27" t="str">
        <f t="shared" ca="1" si="23"/>
        <v/>
      </c>
      <c r="C48" t="e">
        <f t="shared" ca="1" si="22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>
        <f ca="1">IF(AND(((COLUMN()-10)&lt;=playercnt),((ROW()-41)&lt;=playercnt)),SUMPRODUCT(INDIRECT(ADDRESS(3,ROW()-31,1)):INDIRECT(ADDRESS(22,ROW()-31,1)),AD$3:AD$22),"")</f>
        <v>20</v>
      </c>
      <c r="AE48">
        <f ca="1">IF(AND(((COLUMN()-10)&lt;=playercnt),((ROW()-41)&lt;=playercnt)),SUMPRODUCT(INDIRECT(ADDRESS(3,ROW()-31,1)):INDIRECT(ADDRESS(22,ROW()-31,1)),AE$3:AE$22),"")</f>
        <v>20</v>
      </c>
      <c r="AF48">
        <f ca="1">IF(AND(((COLUMN()-10)&lt;=playercnt),((ROW()-41)&lt;=playercnt)),SUMPRODUCT(INDIRECT(ADDRESS(3,ROW()-31,1)):INDIRECT(ADDRESS(22,ROW()-31,1)),AF$3:AF$22),"")</f>
        <v>20</v>
      </c>
      <c r="AG48">
        <f ca="1">IF(AND(((COLUMN()-10)&lt;=playercnt),((ROW()-41)&lt;=playercnt)),SUMPRODUCT(INDIRECT(ADDRESS(3,ROW()-31,1)):INDIRECT(ADDRESS(22,ROW()-31,1)),AG$3:AG$22),"")</f>
        <v>20</v>
      </c>
      <c r="AH48">
        <f ca="1">IF(AND(((COLUMN()-10)&lt;=playercnt),((ROW()-41)&lt;=playercnt)),SUMPRODUCT(INDIRECT(ADDRESS(3,ROW()-31,1)):INDIRECT(ADDRESS(22,ROW()-31,1)),AH$3:AH$22),"")</f>
        <v>20</v>
      </c>
      <c r="AI48">
        <f ca="1">IF(AND(((COLUMN()-10)&lt;=playercnt),((ROW()-41)&lt;=playercnt)),SUMPRODUCT(INDIRECT(ADDRESS(3,ROW()-31,1)):INDIRECT(ADDRESS(22,ROW()-31,1)),AI$3:AI$22),"")</f>
        <v>20</v>
      </c>
      <c r="AJ48">
        <f ca="1">IF(AND(((COLUMN()-10)&lt;=playercnt),((ROW()-41)&lt;=playercnt)),SUMPRODUCT(INDIRECT(ADDRESS(3,ROW()-31,1)):INDIRECT(ADDRESS(22,ROW()-31,1)),AJ$3:AJ$22),"")</f>
        <v>20</v>
      </c>
      <c r="AK48">
        <f ca="1">IF(AND(((COLUMN()-10)&lt;=playercnt),((ROW()-41)&lt;=playercnt)),SUMPRODUCT(INDIRECT(ADDRESS(3,ROW()-31,1)):INDIRECT(ADDRESS(22,ROW()-31,1)),AK$3:AK$22),"")</f>
        <v>20</v>
      </c>
      <c r="AL48">
        <f ca="1">IF(AND(((COLUMN()-10)&lt;=playercnt),((ROW()-41)&lt;=playercnt)),SUMPRODUCT(INDIRECT(ADDRESS(3,ROW()-31,1)):INDIRECT(ADDRESS(22,ROW()-31,1)),AL$3:AL$22),"")</f>
        <v>20</v>
      </c>
      <c r="AM48">
        <f ca="1">IF(AND(((COLUMN()-10)&lt;=playercnt),((ROW()-41)&lt;=playercnt)),SUMPRODUCT(INDIRECT(ADDRESS(3,ROW()-31,1)):INDIRECT(ADDRESS(22,ROW()-31,1)),AM$3:AM$22),"")</f>
        <v>20</v>
      </c>
      <c r="AN48">
        <f ca="1">IF(AND(((COLUMN()-10)&lt;=playercnt),((ROW()-41)&lt;=playercnt)),SUMPRODUCT(INDIRECT(ADDRESS(3,ROW()-31,1)):INDIRECT(ADDRESS(22,ROW()-31,1)),AN$3:AN$22),"")</f>
        <v>20</v>
      </c>
      <c r="AO48">
        <f ca="1">IF(AND(((COLUMN()-10)&lt;=playercnt),((ROW()-41)&lt;=playercnt)),SUMPRODUCT(INDIRECT(ADDRESS(3,ROW()-31,1)):INDIRECT(ADDRESS(22,ROW()-31,1)),AO$3:AO$22),"")</f>
        <v>20</v>
      </c>
      <c r="AP48">
        <f ca="1">IF(AND(((COLUMN()-10)&lt;=playercnt),((ROW()-41)&lt;=playercnt)),SUMPRODUCT(INDIRECT(ADDRESS(3,ROW()-31,1)):INDIRECT(ADDRESS(22,ROW()-31,1)),AP$3:AP$22),"")</f>
        <v>20</v>
      </c>
      <c r="AQ48">
        <f ca="1">IF(AND(((COLUMN()-10)&lt;=playercnt),((ROW()-41)&lt;=playercnt)),SUMPRODUCT(INDIRECT(ADDRESS(3,ROW()-31,1)):INDIRECT(ADDRESS(22,ROW()-31,1)),AQ$3:AQ$22),"")</f>
        <v>20</v>
      </c>
      <c r="AR48">
        <f ca="1">IF(AND(((COLUMN()-10)&lt;=playercnt),((ROW()-41)&lt;=playercnt)),SUMPRODUCT(INDIRECT(ADDRESS(3,ROW()-31,1)):INDIRECT(ADDRESS(22,ROW()-31,1)),AR$3:AR$22),"")</f>
        <v>20</v>
      </c>
      <c r="AS48">
        <f ca="1">IF(AND(((COLUMN()-10)&lt;=playercnt),((ROW()-41)&lt;=playercnt)),SUMPRODUCT(INDIRECT(ADDRESS(3,ROW()-31,1)):INDIRECT(ADDRESS(22,ROW()-31,1)),AS$3:AS$22),"")</f>
        <v>20</v>
      </c>
      <c r="AT48">
        <f ca="1">IF(AND(((COLUMN()-10)&lt;=playercnt),((ROW()-41)&lt;=playercnt)),SUMPRODUCT(INDIRECT(ADDRESS(3,ROW()-31,1)):INDIRECT(ADDRESS(22,ROW()-31,1)),AT$3:AT$22),"")</f>
        <v>20</v>
      </c>
      <c r="AU48">
        <f ca="1">IF(AND(((COLUMN()-10)&lt;=playercnt),((ROW()-41)&lt;=playercnt)),SUMPRODUCT(INDIRECT(ADDRESS(3,ROW()-31,1)):INDIRECT(ADDRESS(22,ROW()-31,1)),AU$3:AU$22),"")</f>
        <v>20</v>
      </c>
      <c r="AV48">
        <f ca="1">IF(AND(((COLUMN()-10)&lt;=playercnt),((ROW()-41)&lt;=playercnt)),SUMPRODUCT(INDIRECT(ADDRESS(3,ROW()-31,1)):INDIRECT(ADDRESS(22,ROW()-31,1)),AV$3:AV$22),"")</f>
        <v>20</v>
      </c>
      <c r="AW48">
        <f ca="1">IF(AND(((COLUMN()-10)&lt;=playercnt),((ROW()-41)&lt;=playercnt)),SUMPRODUCT(INDIRECT(ADDRESS(3,ROW()-31,1)):INDIRECT(ADDRESS(22,ROW()-31,1)),AW$3:AW$22),"")</f>
        <v>20</v>
      </c>
      <c r="AX48">
        <f ca="1">IF(AND(((COLUMN()-10)&lt;=playercnt),((ROW()-41)&lt;=playercnt)),SUMPRODUCT(INDIRECT(ADDRESS(3,ROW()-31,1)):INDIRECT(ADDRESS(22,ROW()-31,1)),AX$3:AX$22),"")</f>
        <v>20</v>
      </c>
      <c r="AY48">
        <f ca="1">IF(AND(((COLUMN()-10)&lt;=playercnt),((ROW()-41)&lt;=playercnt)),SUMPRODUCT(INDIRECT(ADDRESS(3,ROW()-31,1)):INDIRECT(ADDRESS(22,ROW()-31,1)),AY$3:AY$22),"")</f>
        <v>20</v>
      </c>
      <c r="AZ48">
        <f ca="1">IF(AND(((COLUMN()-10)&lt;=playercnt),((ROW()-41)&lt;=playercnt)),SUMPRODUCT(INDIRECT(ADDRESS(3,ROW()-31,1)):INDIRECT(ADDRESS(22,ROW()-31,1)),AZ$3:AZ$22),"")</f>
        <v>20</v>
      </c>
      <c r="BA48">
        <f ca="1">IF(AND(((COLUMN()-10)&lt;=playercnt),((ROW()-41)&lt;=playercnt)),SUMPRODUCT(INDIRECT(ADDRESS(3,ROW()-31,1)):INDIRECT(ADDRESS(22,ROW()-31,1)),BA$3:BA$22),"")</f>
        <v>20</v>
      </c>
      <c r="BB48">
        <f ca="1">IF(AND(((COLUMN()-10)&lt;=playercnt),((ROW()-41)&lt;=playercnt)),SUMPRODUCT(INDIRECT(ADDRESS(3,ROW()-31,1)):INDIRECT(ADDRESS(22,ROW()-31,1)),BB$3:BB$22),"")</f>
        <v>20</v>
      </c>
      <c r="BC48">
        <f ca="1">IF(AND(((COLUMN()-10)&lt;=playercnt),((ROW()-41)&lt;=playercnt)),SUMPRODUCT(INDIRECT(ADDRESS(3,ROW()-31,1)):INDIRECT(ADDRESS(22,ROW()-31,1)),BC$3:BC$22),"")</f>
        <v>20</v>
      </c>
      <c r="BD48">
        <f ca="1">IF(AND(((COLUMN()-10)&lt;=playercnt),((ROW()-41)&lt;=playercnt)),SUMPRODUCT(INDIRECT(ADDRESS(3,ROW()-31,1)):INDIRECT(ADDRESS(22,ROW()-31,1)),BD$3:BD$22),"")</f>
        <v>20</v>
      </c>
      <c r="BE48">
        <f ca="1">IF(AND(((COLUMN()-10)&lt;=playercnt),((ROW()-41)&lt;=playercnt)),SUMPRODUCT(INDIRECT(ADDRESS(3,ROW()-31,1)):INDIRECT(ADDRESS(22,ROW()-31,1)),BE$3:BE$22),"")</f>
        <v>20</v>
      </c>
      <c r="BF48">
        <f ca="1">IF(AND(((COLUMN()-10)&lt;=playercnt),((ROW()-41)&lt;=playercnt)),SUMPRODUCT(INDIRECT(ADDRESS(3,ROW()-31,1)):INDIRECT(ADDRESS(22,ROW()-31,1)),BF$3:BF$22),"")</f>
        <v>20</v>
      </c>
      <c r="BG48">
        <f ca="1">IF(AND(((COLUMN()-10)&lt;=playercnt),((ROW()-41)&lt;=playercnt)),SUMPRODUCT(INDIRECT(ADDRESS(3,ROW()-31,1)):INDIRECT(ADDRESS(22,ROW()-31,1)),BG$3:BG$22),"")</f>
        <v>20</v>
      </c>
      <c r="BH48">
        <f ca="1">IF(AND(((COLUMN()-10)&lt;=playercnt),((ROW()-41)&lt;=playercnt)),SUMPRODUCT(INDIRECT(ADDRESS(3,ROW()-31,1)):INDIRECT(ADDRESS(22,ROW()-31,1)),BH$3:BH$22),"")</f>
        <v>20</v>
      </c>
      <c r="BI48">
        <f ca="1">IF(AND(((COLUMN()-10)&lt;=playercnt),((ROW()-41)&lt;=playercnt)),SUMPRODUCT(INDIRECT(ADDRESS(3,ROW()-31,1)):INDIRECT(ADDRESS(22,ROW()-31,1)),BI$3:BI$22),"")</f>
        <v>20</v>
      </c>
      <c r="BJ48">
        <f ca="1">IF(AND(((COLUMN()-10)&lt;=playercnt),((ROW()-41)&lt;=playercnt)),SUMPRODUCT(INDIRECT(ADDRESS(3,ROW()-31,1)):INDIRECT(ADDRESS(22,ROW()-31,1)),BJ$3:BJ$22),"")</f>
        <v>20</v>
      </c>
      <c r="BK48">
        <f ca="1">IF(AND(((COLUMN()-10)&lt;=playercnt),((ROW()-41)&lt;=playercnt)),SUMPRODUCT(INDIRECT(ADDRESS(3,ROW()-31,1)):INDIRECT(ADDRESS(22,ROW()-31,1)),BK$3:BK$22),"")</f>
        <v>20</v>
      </c>
      <c r="BL48">
        <f ca="1">IF(AND(((COLUMN()-10)&lt;=playercnt),((ROW()-41)&lt;=playercnt)),SUMPRODUCT(INDIRECT(ADDRESS(3,ROW()-31,1)):INDIRECT(ADDRESS(22,ROW()-31,1)),BL$3:BL$22),"")</f>
        <v>20</v>
      </c>
      <c r="BM48">
        <f ca="1">IF(AND(((COLUMN()-10)&lt;=playercnt),((ROW()-41)&lt;=playercnt)),SUMPRODUCT(INDIRECT(ADDRESS(3,ROW()-31,1)):INDIRECT(ADDRESS(22,ROW()-31,1)),BM$3:BM$22),"")</f>
        <v>20</v>
      </c>
      <c r="BN48">
        <f ca="1">IF(AND(((COLUMN()-10)&lt;=playercnt),((ROW()-41)&lt;=playercnt)),SUMPRODUCT(INDIRECT(ADDRESS(3,ROW()-31,1)):INDIRECT(ADDRESS(22,ROW()-31,1)),BN$3:BN$22),"")</f>
        <v>20</v>
      </c>
      <c r="BO48" t="str">
        <f ca="1">IF(AND(((COLUMN()-10)&lt;=playercnt),((ROW()-41)&lt;=playercnt)),SUMPRODUCT(INDIRECT(ADDRESS(3,ROW()-31,1)):INDIRECT(ADDRESS(22,ROW()-31,1)),BO$3:BO$22),"")</f>
        <v/>
      </c>
    </row>
    <row r="49" spans="1:67" x14ac:dyDescent="0.25">
      <c r="B49" s="27" t="str">
        <f t="shared" ca="1" si="23"/>
        <v/>
      </c>
      <c r="C49" t="e">
        <f t="shared" ca="1" si="22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>
        <f ca="1">IF(AND(((COLUMN()-10)&lt;=playercnt),((ROW()-41)&lt;=playercnt)),SUMPRODUCT(INDIRECT(ADDRESS(3,ROW()-31,1)):INDIRECT(ADDRESS(22,ROW()-31,1)),AD$3:AD$22),"")</f>
        <v>20</v>
      </c>
      <c r="AE49">
        <f ca="1">IF(AND(((COLUMN()-10)&lt;=playercnt),((ROW()-41)&lt;=playercnt)),SUMPRODUCT(INDIRECT(ADDRESS(3,ROW()-31,1)):INDIRECT(ADDRESS(22,ROW()-31,1)),AE$3:AE$22),"")</f>
        <v>20</v>
      </c>
      <c r="AF49">
        <f ca="1">IF(AND(((COLUMN()-10)&lt;=playercnt),((ROW()-41)&lt;=playercnt)),SUMPRODUCT(INDIRECT(ADDRESS(3,ROW()-31,1)):INDIRECT(ADDRESS(22,ROW()-31,1)),AF$3:AF$22),"")</f>
        <v>20</v>
      </c>
      <c r="AG49">
        <f ca="1">IF(AND(((COLUMN()-10)&lt;=playercnt),((ROW()-41)&lt;=playercnt)),SUMPRODUCT(INDIRECT(ADDRESS(3,ROW()-31,1)):INDIRECT(ADDRESS(22,ROW()-31,1)),AG$3:AG$22),"")</f>
        <v>20</v>
      </c>
      <c r="AH49">
        <f ca="1">IF(AND(((COLUMN()-10)&lt;=playercnt),((ROW()-41)&lt;=playercnt)),SUMPRODUCT(INDIRECT(ADDRESS(3,ROW()-31,1)):INDIRECT(ADDRESS(22,ROW()-31,1)),AH$3:AH$22),"")</f>
        <v>20</v>
      </c>
      <c r="AI49">
        <f ca="1">IF(AND(((COLUMN()-10)&lt;=playercnt),((ROW()-41)&lt;=playercnt)),SUMPRODUCT(INDIRECT(ADDRESS(3,ROW()-31,1)):INDIRECT(ADDRESS(22,ROW()-31,1)),AI$3:AI$22),"")</f>
        <v>20</v>
      </c>
      <c r="AJ49">
        <f ca="1">IF(AND(((COLUMN()-10)&lt;=playercnt),((ROW()-41)&lt;=playercnt)),SUMPRODUCT(INDIRECT(ADDRESS(3,ROW()-31,1)):INDIRECT(ADDRESS(22,ROW()-31,1)),AJ$3:AJ$22),"")</f>
        <v>20</v>
      </c>
      <c r="AK49">
        <f ca="1">IF(AND(((COLUMN()-10)&lt;=playercnt),((ROW()-41)&lt;=playercnt)),SUMPRODUCT(INDIRECT(ADDRESS(3,ROW()-31,1)):INDIRECT(ADDRESS(22,ROW()-31,1)),AK$3:AK$22),"")</f>
        <v>20</v>
      </c>
      <c r="AL49">
        <f ca="1">IF(AND(((COLUMN()-10)&lt;=playercnt),((ROW()-41)&lt;=playercnt)),SUMPRODUCT(INDIRECT(ADDRESS(3,ROW()-31,1)):INDIRECT(ADDRESS(22,ROW()-31,1)),AL$3:AL$22),"")</f>
        <v>20</v>
      </c>
      <c r="AM49">
        <f ca="1">IF(AND(((COLUMN()-10)&lt;=playercnt),((ROW()-41)&lt;=playercnt)),SUMPRODUCT(INDIRECT(ADDRESS(3,ROW()-31,1)):INDIRECT(ADDRESS(22,ROW()-31,1)),AM$3:AM$22),"")</f>
        <v>20</v>
      </c>
      <c r="AN49">
        <f ca="1">IF(AND(((COLUMN()-10)&lt;=playercnt),((ROW()-41)&lt;=playercnt)),SUMPRODUCT(INDIRECT(ADDRESS(3,ROW()-31,1)):INDIRECT(ADDRESS(22,ROW()-31,1)),AN$3:AN$22),"")</f>
        <v>20</v>
      </c>
      <c r="AO49">
        <f ca="1">IF(AND(((COLUMN()-10)&lt;=playercnt),((ROW()-41)&lt;=playercnt)),SUMPRODUCT(INDIRECT(ADDRESS(3,ROW()-31,1)):INDIRECT(ADDRESS(22,ROW()-31,1)),AO$3:AO$22),"")</f>
        <v>20</v>
      </c>
      <c r="AP49">
        <f ca="1">IF(AND(((COLUMN()-10)&lt;=playercnt),((ROW()-41)&lt;=playercnt)),SUMPRODUCT(INDIRECT(ADDRESS(3,ROW()-31,1)):INDIRECT(ADDRESS(22,ROW()-31,1)),AP$3:AP$22),"")</f>
        <v>20</v>
      </c>
      <c r="AQ49">
        <f ca="1">IF(AND(((COLUMN()-10)&lt;=playercnt),((ROW()-41)&lt;=playercnt)),SUMPRODUCT(INDIRECT(ADDRESS(3,ROW()-31,1)):INDIRECT(ADDRESS(22,ROW()-31,1)),AQ$3:AQ$22),"")</f>
        <v>20</v>
      </c>
      <c r="AR49">
        <f ca="1">IF(AND(((COLUMN()-10)&lt;=playercnt),((ROW()-41)&lt;=playercnt)),SUMPRODUCT(INDIRECT(ADDRESS(3,ROW()-31,1)):INDIRECT(ADDRESS(22,ROW()-31,1)),AR$3:AR$22),"")</f>
        <v>20</v>
      </c>
      <c r="AS49">
        <f ca="1">IF(AND(((COLUMN()-10)&lt;=playercnt),((ROW()-41)&lt;=playercnt)),SUMPRODUCT(INDIRECT(ADDRESS(3,ROW()-31,1)):INDIRECT(ADDRESS(22,ROW()-31,1)),AS$3:AS$22),"")</f>
        <v>20</v>
      </c>
      <c r="AT49">
        <f ca="1">IF(AND(((COLUMN()-10)&lt;=playercnt),((ROW()-41)&lt;=playercnt)),SUMPRODUCT(INDIRECT(ADDRESS(3,ROW()-31,1)):INDIRECT(ADDRESS(22,ROW()-31,1)),AT$3:AT$22),"")</f>
        <v>20</v>
      </c>
      <c r="AU49">
        <f ca="1">IF(AND(((COLUMN()-10)&lt;=playercnt),((ROW()-41)&lt;=playercnt)),SUMPRODUCT(INDIRECT(ADDRESS(3,ROW()-31,1)):INDIRECT(ADDRESS(22,ROW()-31,1)),AU$3:AU$22),"")</f>
        <v>20</v>
      </c>
      <c r="AV49">
        <f ca="1">IF(AND(((COLUMN()-10)&lt;=playercnt),((ROW()-41)&lt;=playercnt)),SUMPRODUCT(INDIRECT(ADDRESS(3,ROW()-31,1)):INDIRECT(ADDRESS(22,ROW()-31,1)),AV$3:AV$22),"")</f>
        <v>20</v>
      </c>
      <c r="AW49">
        <f ca="1">IF(AND(((COLUMN()-10)&lt;=playercnt),((ROW()-41)&lt;=playercnt)),SUMPRODUCT(INDIRECT(ADDRESS(3,ROW()-31,1)):INDIRECT(ADDRESS(22,ROW()-31,1)),AW$3:AW$22),"")</f>
        <v>20</v>
      </c>
      <c r="AX49">
        <f ca="1">IF(AND(((COLUMN()-10)&lt;=playercnt),((ROW()-41)&lt;=playercnt)),SUMPRODUCT(INDIRECT(ADDRESS(3,ROW()-31,1)):INDIRECT(ADDRESS(22,ROW()-31,1)),AX$3:AX$22),"")</f>
        <v>20</v>
      </c>
      <c r="AY49">
        <f ca="1">IF(AND(((COLUMN()-10)&lt;=playercnt),((ROW()-41)&lt;=playercnt)),SUMPRODUCT(INDIRECT(ADDRESS(3,ROW()-31,1)):INDIRECT(ADDRESS(22,ROW()-31,1)),AY$3:AY$22),"")</f>
        <v>20</v>
      </c>
      <c r="AZ49">
        <f ca="1">IF(AND(((COLUMN()-10)&lt;=playercnt),((ROW()-41)&lt;=playercnt)),SUMPRODUCT(INDIRECT(ADDRESS(3,ROW()-31,1)):INDIRECT(ADDRESS(22,ROW()-31,1)),AZ$3:AZ$22),"")</f>
        <v>20</v>
      </c>
      <c r="BA49">
        <f ca="1">IF(AND(((COLUMN()-10)&lt;=playercnt),((ROW()-41)&lt;=playercnt)),SUMPRODUCT(INDIRECT(ADDRESS(3,ROW()-31,1)):INDIRECT(ADDRESS(22,ROW()-31,1)),BA$3:BA$22),"")</f>
        <v>20</v>
      </c>
      <c r="BB49">
        <f ca="1">IF(AND(((COLUMN()-10)&lt;=playercnt),((ROW()-41)&lt;=playercnt)),SUMPRODUCT(INDIRECT(ADDRESS(3,ROW()-31,1)):INDIRECT(ADDRESS(22,ROW()-31,1)),BB$3:BB$22),"")</f>
        <v>20</v>
      </c>
      <c r="BC49">
        <f ca="1">IF(AND(((COLUMN()-10)&lt;=playercnt),((ROW()-41)&lt;=playercnt)),SUMPRODUCT(INDIRECT(ADDRESS(3,ROW()-31,1)):INDIRECT(ADDRESS(22,ROW()-31,1)),BC$3:BC$22),"")</f>
        <v>20</v>
      </c>
      <c r="BD49">
        <f ca="1">IF(AND(((COLUMN()-10)&lt;=playercnt),((ROW()-41)&lt;=playercnt)),SUMPRODUCT(INDIRECT(ADDRESS(3,ROW()-31,1)):INDIRECT(ADDRESS(22,ROW()-31,1)),BD$3:BD$22),"")</f>
        <v>20</v>
      </c>
      <c r="BE49">
        <f ca="1">IF(AND(((COLUMN()-10)&lt;=playercnt),((ROW()-41)&lt;=playercnt)),SUMPRODUCT(INDIRECT(ADDRESS(3,ROW()-31,1)):INDIRECT(ADDRESS(22,ROW()-31,1)),BE$3:BE$22),"")</f>
        <v>20</v>
      </c>
      <c r="BF49">
        <f ca="1">IF(AND(((COLUMN()-10)&lt;=playercnt),((ROW()-41)&lt;=playercnt)),SUMPRODUCT(INDIRECT(ADDRESS(3,ROW()-31,1)):INDIRECT(ADDRESS(22,ROW()-31,1)),BF$3:BF$22),"")</f>
        <v>20</v>
      </c>
      <c r="BG49">
        <f ca="1">IF(AND(((COLUMN()-10)&lt;=playercnt),((ROW()-41)&lt;=playercnt)),SUMPRODUCT(INDIRECT(ADDRESS(3,ROW()-31,1)):INDIRECT(ADDRESS(22,ROW()-31,1)),BG$3:BG$22),"")</f>
        <v>20</v>
      </c>
      <c r="BH49">
        <f ca="1">IF(AND(((COLUMN()-10)&lt;=playercnt),((ROW()-41)&lt;=playercnt)),SUMPRODUCT(INDIRECT(ADDRESS(3,ROW()-31,1)):INDIRECT(ADDRESS(22,ROW()-31,1)),BH$3:BH$22),"")</f>
        <v>20</v>
      </c>
      <c r="BI49">
        <f ca="1">IF(AND(((COLUMN()-10)&lt;=playercnt),((ROW()-41)&lt;=playercnt)),SUMPRODUCT(INDIRECT(ADDRESS(3,ROW()-31,1)):INDIRECT(ADDRESS(22,ROW()-31,1)),BI$3:BI$22),"")</f>
        <v>20</v>
      </c>
      <c r="BJ49">
        <f ca="1">IF(AND(((COLUMN()-10)&lt;=playercnt),((ROW()-41)&lt;=playercnt)),SUMPRODUCT(INDIRECT(ADDRESS(3,ROW()-31,1)):INDIRECT(ADDRESS(22,ROW()-31,1)),BJ$3:BJ$22),"")</f>
        <v>20</v>
      </c>
      <c r="BK49">
        <f ca="1">IF(AND(((COLUMN()-10)&lt;=playercnt),((ROW()-41)&lt;=playercnt)),SUMPRODUCT(INDIRECT(ADDRESS(3,ROW()-31,1)):INDIRECT(ADDRESS(22,ROW()-31,1)),BK$3:BK$22),"")</f>
        <v>20</v>
      </c>
      <c r="BL49">
        <f ca="1">IF(AND(((COLUMN()-10)&lt;=playercnt),((ROW()-41)&lt;=playercnt)),SUMPRODUCT(INDIRECT(ADDRESS(3,ROW()-31,1)):INDIRECT(ADDRESS(22,ROW()-31,1)),BL$3:BL$22),"")</f>
        <v>20</v>
      </c>
      <c r="BM49">
        <f ca="1">IF(AND(((COLUMN()-10)&lt;=playercnt),((ROW()-41)&lt;=playercnt)),SUMPRODUCT(INDIRECT(ADDRESS(3,ROW()-31,1)):INDIRECT(ADDRESS(22,ROW()-31,1)),BM$3:BM$22),"")</f>
        <v>20</v>
      </c>
      <c r="BN49">
        <f ca="1">IF(AND(((COLUMN()-10)&lt;=playercnt),((ROW()-41)&lt;=playercnt)),SUMPRODUCT(INDIRECT(ADDRESS(3,ROW()-31,1)):INDIRECT(ADDRESS(22,ROW()-31,1)),BN$3:BN$22),"")</f>
        <v>20</v>
      </c>
      <c r="BO49" t="str">
        <f ca="1">IF(AND(((COLUMN()-10)&lt;=playercnt),((ROW()-41)&lt;=playercnt)),SUMPRODUCT(INDIRECT(ADDRESS(3,ROW()-31,1)):INDIRECT(ADDRESS(22,ROW()-31,1)),BO$3:BO$22),"")</f>
        <v/>
      </c>
    </row>
    <row r="50" spans="1:67" x14ac:dyDescent="0.25">
      <c r="B50" s="27" t="str">
        <f t="shared" ca="1" si="23"/>
        <v/>
      </c>
      <c r="C50" t="e">
        <f t="shared" ca="1" si="22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>
        <f ca="1">IF(AND(((COLUMN()-10)&lt;=playercnt),((ROW()-41)&lt;=playercnt)),SUMPRODUCT(INDIRECT(ADDRESS(3,ROW()-31,1)):INDIRECT(ADDRESS(22,ROW()-31,1)),AD$3:AD$22),"")</f>
        <v>20</v>
      </c>
      <c r="AE50">
        <f ca="1">IF(AND(((COLUMN()-10)&lt;=playercnt),((ROW()-41)&lt;=playercnt)),SUMPRODUCT(INDIRECT(ADDRESS(3,ROW()-31,1)):INDIRECT(ADDRESS(22,ROW()-31,1)),AE$3:AE$22),"")</f>
        <v>20</v>
      </c>
      <c r="AF50">
        <f ca="1">IF(AND(((COLUMN()-10)&lt;=playercnt),((ROW()-41)&lt;=playercnt)),SUMPRODUCT(INDIRECT(ADDRESS(3,ROW()-31,1)):INDIRECT(ADDRESS(22,ROW()-31,1)),AF$3:AF$22),"")</f>
        <v>20</v>
      </c>
      <c r="AG50">
        <f ca="1">IF(AND(((COLUMN()-10)&lt;=playercnt),((ROW()-41)&lt;=playercnt)),SUMPRODUCT(INDIRECT(ADDRESS(3,ROW()-31,1)):INDIRECT(ADDRESS(22,ROW()-31,1)),AG$3:AG$22),"")</f>
        <v>20</v>
      </c>
      <c r="AH50">
        <f ca="1">IF(AND(((COLUMN()-10)&lt;=playercnt),((ROW()-41)&lt;=playercnt)),SUMPRODUCT(INDIRECT(ADDRESS(3,ROW()-31,1)):INDIRECT(ADDRESS(22,ROW()-31,1)),AH$3:AH$22),"")</f>
        <v>20</v>
      </c>
      <c r="AI50">
        <f ca="1">IF(AND(((COLUMN()-10)&lt;=playercnt),((ROW()-41)&lt;=playercnt)),SUMPRODUCT(INDIRECT(ADDRESS(3,ROW()-31,1)):INDIRECT(ADDRESS(22,ROW()-31,1)),AI$3:AI$22),"")</f>
        <v>20</v>
      </c>
      <c r="AJ50">
        <f ca="1">IF(AND(((COLUMN()-10)&lt;=playercnt),((ROW()-41)&lt;=playercnt)),SUMPRODUCT(INDIRECT(ADDRESS(3,ROW()-31,1)):INDIRECT(ADDRESS(22,ROW()-31,1)),AJ$3:AJ$22),"")</f>
        <v>20</v>
      </c>
      <c r="AK50">
        <f ca="1">IF(AND(((COLUMN()-10)&lt;=playercnt),((ROW()-41)&lt;=playercnt)),SUMPRODUCT(INDIRECT(ADDRESS(3,ROW()-31,1)):INDIRECT(ADDRESS(22,ROW()-31,1)),AK$3:AK$22),"")</f>
        <v>20</v>
      </c>
      <c r="AL50">
        <f ca="1">IF(AND(((COLUMN()-10)&lt;=playercnt),((ROW()-41)&lt;=playercnt)),SUMPRODUCT(INDIRECT(ADDRESS(3,ROW()-31,1)):INDIRECT(ADDRESS(22,ROW()-31,1)),AL$3:AL$22),"")</f>
        <v>20</v>
      </c>
      <c r="AM50">
        <f ca="1">IF(AND(((COLUMN()-10)&lt;=playercnt),((ROW()-41)&lt;=playercnt)),SUMPRODUCT(INDIRECT(ADDRESS(3,ROW()-31,1)):INDIRECT(ADDRESS(22,ROW()-31,1)),AM$3:AM$22),"")</f>
        <v>20</v>
      </c>
      <c r="AN50">
        <f ca="1">IF(AND(((COLUMN()-10)&lt;=playercnt),((ROW()-41)&lt;=playercnt)),SUMPRODUCT(INDIRECT(ADDRESS(3,ROW()-31,1)):INDIRECT(ADDRESS(22,ROW()-31,1)),AN$3:AN$22),"")</f>
        <v>20</v>
      </c>
      <c r="AO50">
        <f ca="1">IF(AND(((COLUMN()-10)&lt;=playercnt),((ROW()-41)&lt;=playercnt)),SUMPRODUCT(INDIRECT(ADDRESS(3,ROW()-31,1)):INDIRECT(ADDRESS(22,ROW()-31,1)),AO$3:AO$22),"")</f>
        <v>20</v>
      </c>
      <c r="AP50">
        <f ca="1">IF(AND(((COLUMN()-10)&lt;=playercnt),((ROW()-41)&lt;=playercnt)),SUMPRODUCT(INDIRECT(ADDRESS(3,ROW()-31,1)):INDIRECT(ADDRESS(22,ROW()-31,1)),AP$3:AP$22),"")</f>
        <v>20</v>
      </c>
      <c r="AQ50">
        <f ca="1">IF(AND(((COLUMN()-10)&lt;=playercnt),((ROW()-41)&lt;=playercnt)),SUMPRODUCT(INDIRECT(ADDRESS(3,ROW()-31,1)):INDIRECT(ADDRESS(22,ROW()-31,1)),AQ$3:AQ$22),"")</f>
        <v>20</v>
      </c>
      <c r="AR50">
        <f ca="1">IF(AND(((COLUMN()-10)&lt;=playercnt),((ROW()-41)&lt;=playercnt)),SUMPRODUCT(INDIRECT(ADDRESS(3,ROW()-31,1)):INDIRECT(ADDRESS(22,ROW()-31,1)),AR$3:AR$22),"")</f>
        <v>20</v>
      </c>
      <c r="AS50">
        <f ca="1">IF(AND(((COLUMN()-10)&lt;=playercnt),((ROW()-41)&lt;=playercnt)),SUMPRODUCT(INDIRECT(ADDRESS(3,ROW()-31,1)):INDIRECT(ADDRESS(22,ROW()-31,1)),AS$3:AS$22),"")</f>
        <v>20</v>
      </c>
      <c r="AT50">
        <f ca="1">IF(AND(((COLUMN()-10)&lt;=playercnt),((ROW()-41)&lt;=playercnt)),SUMPRODUCT(INDIRECT(ADDRESS(3,ROW()-31,1)):INDIRECT(ADDRESS(22,ROW()-31,1)),AT$3:AT$22),"")</f>
        <v>20</v>
      </c>
      <c r="AU50">
        <f ca="1">IF(AND(((COLUMN()-10)&lt;=playercnt),((ROW()-41)&lt;=playercnt)),SUMPRODUCT(INDIRECT(ADDRESS(3,ROW()-31,1)):INDIRECT(ADDRESS(22,ROW()-31,1)),AU$3:AU$22),"")</f>
        <v>20</v>
      </c>
      <c r="AV50">
        <f ca="1">IF(AND(((COLUMN()-10)&lt;=playercnt),((ROW()-41)&lt;=playercnt)),SUMPRODUCT(INDIRECT(ADDRESS(3,ROW()-31,1)):INDIRECT(ADDRESS(22,ROW()-31,1)),AV$3:AV$22),"")</f>
        <v>20</v>
      </c>
      <c r="AW50">
        <f ca="1">IF(AND(((COLUMN()-10)&lt;=playercnt),((ROW()-41)&lt;=playercnt)),SUMPRODUCT(INDIRECT(ADDRESS(3,ROW()-31,1)):INDIRECT(ADDRESS(22,ROW()-31,1)),AW$3:AW$22),"")</f>
        <v>20</v>
      </c>
      <c r="AX50">
        <f ca="1">IF(AND(((COLUMN()-10)&lt;=playercnt),((ROW()-41)&lt;=playercnt)),SUMPRODUCT(INDIRECT(ADDRESS(3,ROW()-31,1)):INDIRECT(ADDRESS(22,ROW()-31,1)),AX$3:AX$22),"")</f>
        <v>20</v>
      </c>
      <c r="AY50">
        <f ca="1">IF(AND(((COLUMN()-10)&lt;=playercnt),((ROW()-41)&lt;=playercnt)),SUMPRODUCT(INDIRECT(ADDRESS(3,ROW()-31,1)):INDIRECT(ADDRESS(22,ROW()-31,1)),AY$3:AY$22),"")</f>
        <v>20</v>
      </c>
      <c r="AZ50">
        <f ca="1">IF(AND(((COLUMN()-10)&lt;=playercnt),((ROW()-41)&lt;=playercnt)),SUMPRODUCT(INDIRECT(ADDRESS(3,ROW()-31,1)):INDIRECT(ADDRESS(22,ROW()-31,1)),AZ$3:AZ$22),"")</f>
        <v>20</v>
      </c>
      <c r="BA50">
        <f ca="1">IF(AND(((COLUMN()-10)&lt;=playercnt),((ROW()-41)&lt;=playercnt)),SUMPRODUCT(INDIRECT(ADDRESS(3,ROW()-31,1)):INDIRECT(ADDRESS(22,ROW()-31,1)),BA$3:BA$22),"")</f>
        <v>20</v>
      </c>
      <c r="BB50">
        <f ca="1">IF(AND(((COLUMN()-10)&lt;=playercnt),((ROW()-41)&lt;=playercnt)),SUMPRODUCT(INDIRECT(ADDRESS(3,ROW()-31,1)):INDIRECT(ADDRESS(22,ROW()-31,1)),BB$3:BB$22),"")</f>
        <v>20</v>
      </c>
      <c r="BC50">
        <f ca="1">IF(AND(((COLUMN()-10)&lt;=playercnt),((ROW()-41)&lt;=playercnt)),SUMPRODUCT(INDIRECT(ADDRESS(3,ROW()-31,1)):INDIRECT(ADDRESS(22,ROW()-31,1)),BC$3:BC$22),"")</f>
        <v>20</v>
      </c>
      <c r="BD50">
        <f ca="1">IF(AND(((COLUMN()-10)&lt;=playercnt),((ROW()-41)&lt;=playercnt)),SUMPRODUCT(INDIRECT(ADDRESS(3,ROW()-31,1)):INDIRECT(ADDRESS(22,ROW()-31,1)),BD$3:BD$22),"")</f>
        <v>20</v>
      </c>
      <c r="BE50">
        <f ca="1">IF(AND(((COLUMN()-10)&lt;=playercnt),((ROW()-41)&lt;=playercnt)),SUMPRODUCT(INDIRECT(ADDRESS(3,ROW()-31,1)):INDIRECT(ADDRESS(22,ROW()-31,1)),BE$3:BE$22),"")</f>
        <v>20</v>
      </c>
      <c r="BF50">
        <f ca="1">IF(AND(((COLUMN()-10)&lt;=playercnt),((ROW()-41)&lt;=playercnt)),SUMPRODUCT(INDIRECT(ADDRESS(3,ROW()-31,1)):INDIRECT(ADDRESS(22,ROW()-31,1)),BF$3:BF$22),"")</f>
        <v>20</v>
      </c>
      <c r="BG50">
        <f ca="1">IF(AND(((COLUMN()-10)&lt;=playercnt),((ROW()-41)&lt;=playercnt)),SUMPRODUCT(INDIRECT(ADDRESS(3,ROW()-31,1)):INDIRECT(ADDRESS(22,ROW()-31,1)),BG$3:BG$22),"")</f>
        <v>20</v>
      </c>
      <c r="BH50">
        <f ca="1">IF(AND(((COLUMN()-10)&lt;=playercnt),((ROW()-41)&lt;=playercnt)),SUMPRODUCT(INDIRECT(ADDRESS(3,ROW()-31,1)):INDIRECT(ADDRESS(22,ROW()-31,1)),BH$3:BH$22),"")</f>
        <v>20</v>
      </c>
      <c r="BI50">
        <f ca="1">IF(AND(((COLUMN()-10)&lt;=playercnt),((ROW()-41)&lt;=playercnt)),SUMPRODUCT(INDIRECT(ADDRESS(3,ROW()-31,1)):INDIRECT(ADDRESS(22,ROW()-31,1)),BI$3:BI$22),"")</f>
        <v>20</v>
      </c>
      <c r="BJ50">
        <f ca="1">IF(AND(((COLUMN()-10)&lt;=playercnt),((ROW()-41)&lt;=playercnt)),SUMPRODUCT(INDIRECT(ADDRESS(3,ROW()-31,1)):INDIRECT(ADDRESS(22,ROW()-31,1)),BJ$3:BJ$22),"")</f>
        <v>20</v>
      </c>
      <c r="BK50">
        <f ca="1">IF(AND(((COLUMN()-10)&lt;=playercnt),((ROW()-41)&lt;=playercnt)),SUMPRODUCT(INDIRECT(ADDRESS(3,ROW()-31,1)):INDIRECT(ADDRESS(22,ROW()-31,1)),BK$3:BK$22),"")</f>
        <v>20</v>
      </c>
      <c r="BL50">
        <f ca="1">IF(AND(((COLUMN()-10)&lt;=playercnt),((ROW()-41)&lt;=playercnt)),SUMPRODUCT(INDIRECT(ADDRESS(3,ROW()-31,1)):INDIRECT(ADDRESS(22,ROW()-31,1)),BL$3:BL$22),"")</f>
        <v>20</v>
      </c>
      <c r="BM50">
        <f ca="1">IF(AND(((COLUMN()-10)&lt;=playercnt),((ROW()-41)&lt;=playercnt)),SUMPRODUCT(INDIRECT(ADDRESS(3,ROW()-31,1)):INDIRECT(ADDRESS(22,ROW()-31,1)),BM$3:BM$22),"")</f>
        <v>20</v>
      </c>
      <c r="BN50">
        <f ca="1">IF(AND(((COLUMN()-10)&lt;=playercnt),((ROW()-41)&lt;=playercnt)),SUMPRODUCT(INDIRECT(ADDRESS(3,ROW()-31,1)):INDIRECT(ADDRESS(22,ROW()-31,1)),BN$3:BN$22),"")</f>
        <v>20</v>
      </c>
      <c r="BO50" t="str">
        <f ca="1">IF(AND(((COLUMN()-10)&lt;=playercnt),((ROW()-41)&lt;=playercnt)),SUMPRODUCT(INDIRECT(ADDRESS(3,ROW()-31,1)):INDIRECT(ADDRESS(22,ROW()-31,1)),BO$3:BO$22),"")</f>
        <v/>
      </c>
    </row>
    <row r="51" spans="1:67" x14ac:dyDescent="0.25">
      <c r="B51" s="27" t="str">
        <f t="shared" ca="1" si="23"/>
        <v/>
      </c>
      <c r="C51" t="e">
        <f t="shared" ca="1" si="22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>
        <f ca="1">IF(AND(((COLUMN()-10)&lt;=playercnt),((ROW()-41)&lt;=playercnt)),SUMPRODUCT(INDIRECT(ADDRESS(3,ROW()-31,1)):INDIRECT(ADDRESS(22,ROW()-31,1)),AD$3:AD$22),"")</f>
        <v>20</v>
      </c>
      <c r="AE51">
        <f ca="1">IF(AND(((COLUMN()-10)&lt;=playercnt),((ROW()-41)&lt;=playercnt)),SUMPRODUCT(INDIRECT(ADDRESS(3,ROW()-31,1)):INDIRECT(ADDRESS(22,ROW()-31,1)),AE$3:AE$22),"")</f>
        <v>20</v>
      </c>
      <c r="AF51">
        <f ca="1">IF(AND(((COLUMN()-10)&lt;=playercnt),((ROW()-41)&lt;=playercnt)),SUMPRODUCT(INDIRECT(ADDRESS(3,ROW()-31,1)):INDIRECT(ADDRESS(22,ROW()-31,1)),AF$3:AF$22),"")</f>
        <v>20</v>
      </c>
      <c r="AG51">
        <f ca="1">IF(AND(((COLUMN()-10)&lt;=playercnt),((ROW()-41)&lt;=playercnt)),SUMPRODUCT(INDIRECT(ADDRESS(3,ROW()-31,1)):INDIRECT(ADDRESS(22,ROW()-31,1)),AG$3:AG$22),"")</f>
        <v>20</v>
      </c>
      <c r="AH51">
        <f ca="1">IF(AND(((COLUMN()-10)&lt;=playercnt),((ROW()-41)&lt;=playercnt)),SUMPRODUCT(INDIRECT(ADDRESS(3,ROW()-31,1)):INDIRECT(ADDRESS(22,ROW()-31,1)),AH$3:AH$22),"")</f>
        <v>20</v>
      </c>
      <c r="AI51">
        <f ca="1">IF(AND(((COLUMN()-10)&lt;=playercnt),((ROW()-41)&lt;=playercnt)),SUMPRODUCT(INDIRECT(ADDRESS(3,ROW()-31,1)):INDIRECT(ADDRESS(22,ROW()-31,1)),AI$3:AI$22),"")</f>
        <v>20</v>
      </c>
      <c r="AJ51">
        <f ca="1">IF(AND(((COLUMN()-10)&lt;=playercnt),((ROW()-41)&lt;=playercnt)),SUMPRODUCT(INDIRECT(ADDRESS(3,ROW()-31,1)):INDIRECT(ADDRESS(22,ROW()-31,1)),AJ$3:AJ$22),"")</f>
        <v>20</v>
      </c>
      <c r="AK51">
        <f ca="1">IF(AND(((COLUMN()-10)&lt;=playercnt),((ROW()-41)&lt;=playercnt)),SUMPRODUCT(INDIRECT(ADDRESS(3,ROW()-31,1)):INDIRECT(ADDRESS(22,ROW()-31,1)),AK$3:AK$22),"")</f>
        <v>20</v>
      </c>
      <c r="AL51">
        <f ca="1">IF(AND(((COLUMN()-10)&lt;=playercnt),((ROW()-41)&lt;=playercnt)),SUMPRODUCT(INDIRECT(ADDRESS(3,ROW()-31,1)):INDIRECT(ADDRESS(22,ROW()-31,1)),AL$3:AL$22),"")</f>
        <v>20</v>
      </c>
      <c r="AM51">
        <f ca="1">IF(AND(((COLUMN()-10)&lt;=playercnt),((ROW()-41)&lt;=playercnt)),SUMPRODUCT(INDIRECT(ADDRESS(3,ROW()-31,1)):INDIRECT(ADDRESS(22,ROW()-31,1)),AM$3:AM$22),"")</f>
        <v>20</v>
      </c>
      <c r="AN51">
        <f ca="1">IF(AND(((COLUMN()-10)&lt;=playercnt),((ROW()-41)&lt;=playercnt)),SUMPRODUCT(INDIRECT(ADDRESS(3,ROW()-31,1)):INDIRECT(ADDRESS(22,ROW()-31,1)),AN$3:AN$22),"")</f>
        <v>20</v>
      </c>
      <c r="AO51">
        <f ca="1">IF(AND(((COLUMN()-10)&lt;=playercnt),((ROW()-41)&lt;=playercnt)),SUMPRODUCT(INDIRECT(ADDRESS(3,ROW()-31,1)):INDIRECT(ADDRESS(22,ROW()-31,1)),AO$3:AO$22),"")</f>
        <v>20</v>
      </c>
      <c r="AP51">
        <f ca="1">IF(AND(((COLUMN()-10)&lt;=playercnt),((ROW()-41)&lt;=playercnt)),SUMPRODUCT(INDIRECT(ADDRESS(3,ROW()-31,1)):INDIRECT(ADDRESS(22,ROW()-31,1)),AP$3:AP$22),"")</f>
        <v>20</v>
      </c>
      <c r="AQ51">
        <f ca="1">IF(AND(((COLUMN()-10)&lt;=playercnt),((ROW()-41)&lt;=playercnt)),SUMPRODUCT(INDIRECT(ADDRESS(3,ROW()-31,1)):INDIRECT(ADDRESS(22,ROW()-31,1)),AQ$3:AQ$22),"")</f>
        <v>20</v>
      </c>
      <c r="AR51">
        <f ca="1">IF(AND(((COLUMN()-10)&lt;=playercnt),((ROW()-41)&lt;=playercnt)),SUMPRODUCT(INDIRECT(ADDRESS(3,ROW()-31,1)):INDIRECT(ADDRESS(22,ROW()-31,1)),AR$3:AR$22),"")</f>
        <v>20</v>
      </c>
      <c r="AS51">
        <f ca="1">IF(AND(((COLUMN()-10)&lt;=playercnt),((ROW()-41)&lt;=playercnt)),SUMPRODUCT(INDIRECT(ADDRESS(3,ROW()-31,1)):INDIRECT(ADDRESS(22,ROW()-31,1)),AS$3:AS$22),"")</f>
        <v>20</v>
      </c>
      <c r="AT51">
        <f ca="1">IF(AND(((COLUMN()-10)&lt;=playercnt),((ROW()-41)&lt;=playercnt)),SUMPRODUCT(INDIRECT(ADDRESS(3,ROW()-31,1)):INDIRECT(ADDRESS(22,ROW()-31,1)),AT$3:AT$22),"")</f>
        <v>20</v>
      </c>
      <c r="AU51">
        <f ca="1">IF(AND(((COLUMN()-10)&lt;=playercnt),((ROW()-41)&lt;=playercnt)),SUMPRODUCT(INDIRECT(ADDRESS(3,ROW()-31,1)):INDIRECT(ADDRESS(22,ROW()-31,1)),AU$3:AU$22),"")</f>
        <v>20</v>
      </c>
      <c r="AV51">
        <f ca="1">IF(AND(((COLUMN()-10)&lt;=playercnt),((ROW()-41)&lt;=playercnt)),SUMPRODUCT(INDIRECT(ADDRESS(3,ROW()-31,1)):INDIRECT(ADDRESS(22,ROW()-31,1)),AV$3:AV$22),"")</f>
        <v>20</v>
      </c>
      <c r="AW51">
        <f ca="1">IF(AND(((COLUMN()-10)&lt;=playercnt),((ROW()-41)&lt;=playercnt)),SUMPRODUCT(INDIRECT(ADDRESS(3,ROW()-31,1)):INDIRECT(ADDRESS(22,ROW()-31,1)),AW$3:AW$22),"")</f>
        <v>20</v>
      </c>
      <c r="AX51">
        <f ca="1">IF(AND(((COLUMN()-10)&lt;=playercnt),((ROW()-41)&lt;=playercnt)),SUMPRODUCT(INDIRECT(ADDRESS(3,ROW()-31,1)):INDIRECT(ADDRESS(22,ROW()-31,1)),AX$3:AX$22),"")</f>
        <v>20</v>
      </c>
      <c r="AY51">
        <f ca="1">IF(AND(((COLUMN()-10)&lt;=playercnt),((ROW()-41)&lt;=playercnt)),SUMPRODUCT(INDIRECT(ADDRESS(3,ROW()-31,1)):INDIRECT(ADDRESS(22,ROW()-31,1)),AY$3:AY$22),"")</f>
        <v>20</v>
      </c>
      <c r="AZ51">
        <f ca="1">IF(AND(((COLUMN()-10)&lt;=playercnt),((ROW()-41)&lt;=playercnt)),SUMPRODUCT(INDIRECT(ADDRESS(3,ROW()-31,1)):INDIRECT(ADDRESS(22,ROW()-31,1)),AZ$3:AZ$22),"")</f>
        <v>20</v>
      </c>
      <c r="BA51">
        <f ca="1">IF(AND(((COLUMN()-10)&lt;=playercnt),((ROW()-41)&lt;=playercnt)),SUMPRODUCT(INDIRECT(ADDRESS(3,ROW()-31,1)):INDIRECT(ADDRESS(22,ROW()-31,1)),BA$3:BA$22),"")</f>
        <v>20</v>
      </c>
      <c r="BB51">
        <f ca="1">IF(AND(((COLUMN()-10)&lt;=playercnt),((ROW()-41)&lt;=playercnt)),SUMPRODUCT(INDIRECT(ADDRESS(3,ROW()-31,1)):INDIRECT(ADDRESS(22,ROW()-31,1)),BB$3:BB$22),"")</f>
        <v>20</v>
      </c>
      <c r="BC51">
        <f ca="1">IF(AND(((COLUMN()-10)&lt;=playercnt),((ROW()-41)&lt;=playercnt)),SUMPRODUCT(INDIRECT(ADDRESS(3,ROW()-31,1)):INDIRECT(ADDRESS(22,ROW()-31,1)),BC$3:BC$22),"")</f>
        <v>20</v>
      </c>
      <c r="BD51">
        <f ca="1">IF(AND(((COLUMN()-10)&lt;=playercnt),((ROW()-41)&lt;=playercnt)),SUMPRODUCT(INDIRECT(ADDRESS(3,ROW()-31,1)):INDIRECT(ADDRESS(22,ROW()-31,1)),BD$3:BD$22),"")</f>
        <v>20</v>
      </c>
      <c r="BE51">
        <f ca="1">IF(AND(((COLUMN()-10)&lt;=playercnt),((ROW()-41)&lt;=playercnt)),SUMPRODUCT(INDIRECT(ADDRESS(3,ROW()-31,1)):INDIRECT(ADDRESS(22,ROW()-31,1)),BE$3:BE$22),"")</f>
        <v>20</v>
      </c>
      <c r="BF51">
        <f ca="1">IF(AND(((COLUMN()-10)&lt;=playercnt),((ROW()-41)&lt;=playercnt)),SUMPRODUCT(INDIRECT(ADDRESS(3,ROW()-31,1)):INDIRECT(ADDRESS(22,ROW()-31,1)),BF$3:BF$22),"")</f>
        <v>20</v>
      </c>
      <c r="BG51">
        <f ca="1">IF(AND(((COLUMN()-10)&lt;=playercnt),((ROW()-41)&lt;=playercnt)),SUMPRODUCT(INDIRECT(ADDRESS(3,ROW()-31,1)):INDIRECT(ADDRESS(22,ROW()-31,1)),BG$3:BG$22),"")</f>
        <v>20</v>
      </c>
      <c r="BH51">
        <f ca="1">IF(AND(((COLUMN()-10)&lt;=playercnt),((ROW()-41)&lt;=playercnt)),SUMPRODUCT(INDIRECT(ADDRESS(3,ROW()-31,1)):INDIRECT(ADDRESS(22,ROW()-31,1)),BH$3:BH$22),"")</f>
        <v>20</v>
      </c>
      <c r="BI51">
        <f ca="1">IF(AND(((COLUMN()-10)&lt;=playercnt),((ROW()-41)&lt;=playercnt)),SUMPRODUCT(INDIRECT(ADDRESS(3,ROW()-31,1)):INDIRECT(ADDRESS(22,ROW()-31,1)),BI$3:BI$22),"")</f>
        <v>20</v>
      </c>
      <c r="BJ51">
        <f ca="1">IF(AND(((COLUMN()-10)&lt;=playercnt),((ROW()-41)&lt;=playercnt)),SUMPRODUCT(INDIRECT(ADDRESS(3,ROW()-31,1)):INDIRECT(ADDRESS(22,ROW()-31,1)),BJ$3:BJ$22),"")</f>
        <v>20</v>
      </c>
      <c r="BK51">
        <f ca="1">IF(AND(((COLUMN()-10)&lt;=playercnt),((ROW()-41)&lt;=playercnt)),SUMPRODUCT(INDIRECT(ADDRESS(3,ROW()-31,1)):INDIRECT(ADDRESS(22,ROW()-31,1)),BK$3:BK$22),"")</f>
        <v>20</v>
      </c>
      <c r="BL51">
        <f ca="1">IF(AND(((COLUMN()-10)&lt;=playercnt),((ROW()-41)&lt;=playercnt)),SUMPRODUCT(INDIRECT(ADDRESS(3,ROW()-31,1)):INDIRECT(ADDRESS(22,ROW()-31,1)),BL$3:BL$22),"")</f>
        <v>20</v>
      </c>
      <c r="BM51">
        <f ca="1">IF(AND(((COLUMN()-10)&lt;=playercnt),((ROW()-41)&lt;=playercnt)),SUMPRODUCT(INDIRECT(ADDRESS(3,ROW()-31,1)):INDIRECT(ADDRESS(22,ROW()-31,1)),BM$3:BM$22),"")</f>
        <v>20</v>
      </c>
      <c r="BN51">
        <f ca="1">IF(AND(((COLUMN()-10)&lt;=playercnt),((ROW()-41)&lt;=playercnt)),SUMPRODUCT(INDIRECT(ADDRESS(3,ROW()-31,1)):INDIRECT(ADDRESS(22,ROW()-31,1)),BN$3:BN$22),"")</f>
        <v>20</v>
      </c>
      <c r="BO51" t="str">
        <f ca="1">IF(AND(((COLUMN()-10)&lt;=playercnt),((ROW()-41)&lt;=playercnt)),SUMPRODUCT(INDIRECT(ADDRESS(3,ROW()-31,1)):INDIRECT(ADDRESS(22,ROW()-31,1)),BO$3:BO$22),"")</f>
        <v/>
      </c>
    </row>
    <row r="52" spans="1:67" x14ac:dyDescent="0.25">
      <c r="B52" s="27" t="str">
        <f t="shared" ca="1" si="23"/>
        <v/>
      </c>
      <c r="C52" t="e">
        <f t="shared" ca="1" si="22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>
        <f ca="1">IF(AND(((COLUMN()-10)&lt;=playercnt),((ROW()-41)&lt;=playercnt)),SUMPRODUCT(INDIRECT(ADDRESS(3,ROW()-31,1)):INDIRECT(ADDRESS(22,ROW()-31,1)),AD$3:AD$22),"")</f>
        <v>20</v>
      </c>
      <c r="AE52">
        <f ca="1">IF(AND(((COLUMN()-10)&lt;=playercnt),((ROW()-41)&lt;=playercnt)),SUMPRODUCT(INDIRECT(ADDRESS(3,ROW()-31,1)):INDIRECT(ADDRESS(22,ROW()-31,1)),AE$3:AE$22),"")</f>
        <v>20</v>
      </c>
      <c r="AF52">
        <f ca="1">IF(AND(((COLUMN()-10)&lt;=playercnt),((ROW()-41)&lt;=playercnt)),SUMPRODUCT(INDIRECT(ADDRESS(3,ROW()-31,1)):INDIRECT(ADDRESS(22,ROW()-31,1)),AF$3:AF$22),"")</f>
        <v>20</v>
      </c>
      <c r="AG52">
        <f ca="1">IF(AND(((COLUMN()-10)&lt;=playercnt),((ROW()-41)&lt;=playercnt)),SUMPRODUCT(INDIRECT(ADDRESS(3,ROW()-31,1)):INDIRECT(ADDRESS(22,ROW()-31,1)),AG$3:AG$22),"")</f>
        <v>20</v>
      </c>
      <c r="AH52">
        <f ca="1">IF(AND(((COLUMN()-10)&lt;=playercnt),((ROW()-41)&lt;=playercnt)),SUMPRODUCT(INDIRECT(ADDRESS(3,ROW()-31,1)):INDIRECT(ADDRESS(22,ROW()-31,1)),AH$3:AH$22),"")</f>
        <v>20</v>
      </c>
      <c r="AI52">
        <f ca="1">IF(AND(((COLUMN()-10)&lt;=playercnt),((ROW()-41)&lt;=playercnt)),SUMPRODUCT(INDIRECT(ADDRESS(3,ROW()-31,1)):INDIRECT(ADDRESS(22,ROW()-31,1)),AI$3:AI$22),"")</f>
        <v>20</v>
      </c>
      <c r="AJ52">
        <f ca="1">IF(AND(((COLUMN()-10)&lt;=playercnt),((ROW()-41)&lt;=playercnt)),SUMPRODUCT(INDIRECT(ADDRESS(3,ROW()-31,1)):INDIRECT(ADDRESS(22,ROW()-31,1)),AJ$3:AJ$22),"")</f>
        <v>20</v>
      </c>
      <c r="AK52">
        <f ca="1">IF(AND(((COLUMN()-10)&lt;=playercnt),((ROW()-41)&lt;=playercnt)),SUMPRODUCT(INDIRECT(ADDRESS(3,ROW()-31,1)):INDIRECT(ADDRESS(22,ROW()-31,1)),AK$3:AK$22),"")</f>
        <v>20</v>
      </c>
      <c r="AL52">
        <f ca="1">IF(AND(((COLUMN()-10)&lt;=playercnt),((ROW()-41)&lt;=playercnt)),SUMPRODUCT(INDIRECT(ADDRESS(3,ROW()-31,1)):INDIRECT(ADDRESS(22,ROW()-31,1)),AL$3:AL$22),"")</f>
        <v>20</v>
      </c>
      <c r="AM52">
        <f ca="1">IF(AND(((COLUMN()-10)&lt;=playercnt),((ROW()-41)&lt;=playercnt)),SUMPRODUCT(INDIRECT(ADDRESS(3,ROW()-31,1)):INDIRECT(ADDRESS(22,ROW()-31,1)),AM$3:AM$22),"")</f>
        <v>20</v>
      </c>
      <c r="AN52">
        <f ca="1">IF(AND(((COLUMN()-10)&lt;=playercnt),((ROW()-41)&lt;=playercnt)),SUMPRODUCT(INDIRECT(ADDRESS(3,ROW()-31,1)):INDIRECT(ADDRESS(22,ROW()-31,1)),AN$3:AN$22),"")</f>
        <v>20</v>
      </c>
      <c r="AO52">
        <f ca="1">IF(AND(((COLUMN()-10)&lt;=playercnt),((ROW()-41)&lt;=playercnt)),SUMPRODUCT(INDIRECT(ADDRESS(3,ROW()-31,1)):INDIRECT(ADDRESS(22,ROW()-31,1)),AO$3:AO$22),"")</f>
        <v>20</v>
      </c>
      <c r="AP52">
        <f ca="1">IF(AND(((COLUMN()-10)&lt;=playercnt),((ROW()-41)&lt;=playercnt)),SUMPRODUCT(INDIRECT(ADDRESS(3,ROW()-31,1)):INDIRECT(ADDRESS(22,ROW()-31,1)),AP$3:AP$22),"")</f>
        <v>20</v>
      </c>
      <c r="AQ52">
        <f ca="1">IF(AND(((COLUMN()-10)&lt;=playercnt),((ROW()-41)&lt;=playercnt)),SUMPRODUCT(INDIRECT(ADDRESS(3,ROW()-31,1)):INDIRECT(ADDRESS(22,ROW()-31,1)),AQ$3:AQ$22),"")</f>
        <v>20</v>
      </c>
      <c r="AR52">
        <f ca="1">IF(AND(((COLUMN()-10)&lt;=playercnt),((ROW()-41)&lt;=playercnt)),SUMPRODUCT(INDIRECT(ADDRESS(3,ROW()-31,1)):INDIRECT(ADDRESS(22,ROW()-31,1)),AR$3:AR$22),"")</f>
        <v>20</v>
      </c>
      <c r="AS52">
        <f ca="1">IF(AND(((COLUMN()-10)&lt;=playercnt),((ROW()-41)&lt;=playercnt)),SUMPRODUCT(INDIRECT(ADDRESS(3,ROW()-31,1)):INDIRECT(ADDRESS(22,ROW()-31,1)),AS$3:AS$22),"")</f>
        <v>20</v>
      </c>
      <c r="AT52">
        <f ca="1">IF(AND(((COLUMN()-10)&lt;=playercnt),((ROW()-41)&lt;=playercnt)),SUMPRODUCT(INDIRECT(ADDRESS(3,ROW()-31,1)):INDIRECT(ADDRESS(22,ROW()-31,1)),AT$3:AT$22),"")</f>
        <v>20</v>
      </c>
      <c r="AU52">
        <f ca="1">IF(AND(((COLUMN()-10)&lt;=playercnt),((ROW()-41)&lt;=playercnt)),SUMPRODUCT(INDIRECT(ADDRESS(3,ROW()-31,1)):INDIRECT(ADDRESS(22,ROW()-31,1)),AU$3:AU$22),"")</f>
        <v>20</v>
      </c>
      <c r="AV52">
        <f ca="1">IF(AND(((COLUMN()-10)&lt;=playercnt),((ROW()-41)&lt;=playercnt)),SUMPRODUCT(INDIRECT(ADDRESS(3,ROW()-31,1)):INDIRECT(ADDRESS(22,ROW()-31,1)),AV$3:AV$22),"")</f>
        <v>20</v>
      </c>
      <c r="AW52">
        <f ca="1">IF(AND(((COLUMN()-10)&lt;=playercnt),((ROW()-41)&lt;=playercnt)),SUMPRODUCT(INDIRECT(ADDRESS(3,ROW()-31,1)):INDIRECT(ADDRESS(22,ROW()-31,1)),AW$3:AW$22),"")</f>
        <v>20</v>
      </c>
      <c r="AX52">
        <f ca="1">IF(AND(((COLUMN()-10)&lt;=playercnt),((ROW()-41)&lt;=playercnt)),SUMPRODUCT(INDIRECT(ADDRESS(3,ROW()-31,1)):INDIRECT(ADDRESS(22,ROW()-31,1)),AX$3:AX$22),"")</f>
        <v>20</v>
      </c>
      <c r="AY52">
        <f ca="1">IF(AND(((COLUMN()-10)&lt;=playercnt),((ROW()-41)&lt;=playercnt)),SUMPRODUCT(INDIRECT(ADDRESS(3,ROW()-31,1)):INDIRECT(ADDRESS(22,ROW()-31,1)),AY$3:AY$22),"")</f>
        <v>20</v>
      </c>
      <c r="AZ52">
        <f ca="1">IF(AND(((COLUMN()-10)&lt;=playercnt),((ROW()-41)&lt;=playercnt)),SUMPRODUCT(INDIRECT(ADDRESS(3,ROW()-31,1)):INDIRECT(ADDRESS(22,ROW()-31,1)),AZ$3:AZ$22),"")</f>
        <v>20</v>
      </c>
      <c r="BA52">
        <f ca="1">IF(AND(((COLUMN()-10)&lt;=playercnt),((ROW()-41)&lt;=playercnt)),SUMPRODUCT(INDIRECT(ADDRESS(3,ROW()-31,1)):INDIRECT(ADDRESS(22,ROW()-31,1)),BA$3:BA$22),"")</f>
        <v>20</v>
      </c>
      <c r="BB52">
        <f ca="1">IF(AND(((COLUMN()-10)&lt;=playercnt),((ROW()-41)&lt;=playercnt)),SUMPRODUCT(INDIRECT(ADDRESS(3,ROW()-31,1)):INDIRECT(ADDRESS(22,ROW()-31,1)),BB$3:BB$22),"")</f>
        <v>20</v>
      </c>
      <c r="BC52">
        <f ca="1">IF(AND(((COLUMN()-10)&lt;=playercnt),((ROW()-41)&lt;=playercnt)),SUMPRODUCT(INDIRECT(ADDRESS(3,ROW()-31,1)):INDIRECT(ADDRESS(22,ROW()-31,1)),BC$3:BC$22),"")</f>
        <v>20</v>
      </c>
      <c r="BD52">
        <f ca="1">IF(AND(((COLUMN()-10)&lt;=playercnt),((ROW()-41)&lt;=playercnt)),SUMPRODUCT(INDIRECT(ADDRESS(3,ROW()-31,1)):INDIRECT(ADDRESS(22,ROW()-31,1)),BD$3:BD$22),"")</f>
        <v>20</v>
      </c>
      <c r="BE52">
        <f ca="1">IF(AND(((COLUMN()-10)&lt;=playercnt),((ROW()-41)&lt;=playercnt)),SUMPRODUCT(INDIRECT(ADDRESS(3,ROW()-31,1)):INDIRECT(ADDRESS(22,ROW()-31,1)),BE$3:BE$22),"")</f>
        <v>20</v>
      </c>
      <c r="BF52">
        <f ca="1">IF(AND(((COLUMN()-10)&lt;=playercnt),((ROW()-41)&lt;=playercnt)),SUMPRODUCT(INDIRECT(ADDRESS(3,ROW()-31,1)):INDIRECT(ADDRESS(22,ROW()-31,1)),BF$3:BF$22),"")</f>
        <v>20</v>
      </c>
      <c r="BG52">
        <f ca="1">IF(AND(((COLUMN()-10)&lt;=playercnt),((ROW()-41)&lt;=playercnt)),SUMPRODUCT(INDIRECT(ADDRESS(3,ROW()-31,1)):INDIRECT(ADDRESS(22,ROW()-31,1)),BG$3:BG$22),"")</f>
        <v>20</v>
      </c>
      <c r="BH52">
        <f ca="1">IF(AND(((COLUMN()-10)&lt;=playercnt),((ROW()-41)&lt;=playercnt)),SUMPRODUCT(INDIRECT(ADDRESS(3,ROW()-31,1)):INDIRECT(ADDRESS(22,ROW()-31,1)),BH$3:BH$22),"")</f>
        <v>20</v>
      </c>
      <c r="BI52">
        <f ca="1">IF(AND(((COLUMN()-10)&lt;=playercnt),((ROW()-41)&lt;=playercnt)),SUMPRODUCT(INDIRECT(ADDRESS(3,ROW()-31,1)):INDIRECT(ADDRESS(22,ROW()-31,1)),BI$3:BI$22),"")</f>
        <v>20</v>
      </c>
      <c r="BJ52">
        <f ca="1">IF(AND(((COLUMN()-10)&lt;=playercnt),((ROW()-41)&lt;=playercnt)),SUMPRODUCT(INDIRECT(ADDRESS(3,ROW()-31,1)):INDIRECT(ADDRESS(22,ROW()-31,1)),BJ$3:BJ$22),"")</f>
        <v>20</v>
      </c>
      <c r="BK52">
        <f ca="1">IF(AND(((COLUMN()-10)&lt;=playercnt),((ROW()-41)&lt;=playercnt)),SUMPRODUCT(INDIRECT(ADDRESS(3,ROW()-31,1)):INDIRECT(ADDRESS(22,ROW()-31,1)),BK$3:BK$22),"")</f>
        <v>20</v>
      </c>
      <c r="BL52">
        <f ca="1">IF(AND(((COLUMN()-10)&lt;=playercnt),((ROW()-41)&lt;=playercnt)),SUMPRODUCT(INDIRECT(ADDRESS(3,ROW()-31,1)):INDIRECT(ADDRESS(22,ROW()-31,1)),BL$3:BL$22),"")</f>
        <v>20</v>
      </c>
      <c r="BM52">
        <f ca="1">IF(AND(((COLUMN()-10)&lt;=playercnt),((ROW()-41)&lt;=playercnt)),SUMPRODUCT(INDIRECT(ADDRESS(3,ROW()-31,1)):INDIRECT(ADDRESS(22,ROW()-31,1)),BM$3:BM$22),"")</f>
        <v>20</v>
      </c>
      <c r="BN52">
        <f ca="1">IF(AND(((COLUMN()-10)&lt;=playercnt),((ROW()-41)&lt;=playercnt)),SUMPRODUCT(INDIRECT(ADDRESS(3,ROW()-31,1)):INDIRECT(ADDRESS(22,ROW()-31,1)),BN$3:BN$22),"")</f>
        <v>20</v>
      </c>
      <c r="BO52" t="str">
        <f ca="1">IF(AND(((COLUMN()-10)&lt;=playercnt),((ROW()-41)&lt;=playercnt)),SUMPRODUCT(INDIRECT(ADDRESS(3,ROW()-31,1)):INDIRECT(ADDRESS(22,ROW()-31,1)),BO$3:BO$22),"")</f>
        <v/>
      </c>
    </row>
    <row r="53" spans="1:67" x14ac:dyDescent="0.25">
      <c r="B53" s="27" t="str">
        <f t="shared" ca="1" si="23"/>
        <v/>
      </c>
      <c r="C53" t="e">
        <f t="shared" ca="1" si="22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>
        <f ca="1">IF(AND(((COLUMN()-10)&lt;=playercnt),((ROW()-41)&lt;=playercnt)),SUMPRODUCT(INDIRECT(ADDRESS(3,ROW()-31,1)):INDIRECT(ADDRESS(22,ROW()-31,1)),AD$3:AD$22),"")</f>
        <v>20</v>
      </c>
      <c r="AE53">
        <f ca="1">IF(AND(((COLUMN()-10)&lt;=playercnt),((ROW()-41)&lt;=playercnt)),SUMPRODUCT(INDIRECT(ADDRESS(3,ROW()-31,1)):INDIRECT(ADDRESS(22,ROW()-31,1)),AE$3:AE$22),"")</f>
        <v>20</v>
      </c>
      <c r="AF53">
        <f ca="1">IF(AND(((COLUMN()-10)&lt;=playercnt),((ROW()-41)&lt;=playercnt)),SUMPRODUCT(INDIRECT(ADDRESS(3,ROW()-31,1)):INDIRECT(ADDRESS(22,ROW()-31,1)),AF$3:AF$22),"")</f>
        <v>20</v>
      </c>
      <c r="AG53">
        <f ca="1">IF(AND(((COLUMN()-10)&lt;=playercnt),((ROW()-41)&lt;=playercnt)),SUMPRODUCT(INDIRECT(ADDRESS(3,ROW()-31,1)):INDIRECT(ADDRESS(22,ROW()-31,1)),AG$3:AG$22),"")</f>
        <v>20</v>
      </c>
      <c r="AH53">
        <f ca="1">IF(AND(((COLUMN()-10)&lt;=playercnt),((ROW()-41)&lt;=playercnt)),SUMPRODUCT(INDIRECT(ADDRESS(3,ROW()-31,1)):INDIRECT(ADDRESS(22,ROW()-31,1)),AH$3:AH$22),"")</f>
        <v>20</v>
      </c>
      <c r="AI53">
        <f ca="1">IF(AND(((COLUMN()-10)&lt;=playercnt),((ROW()-41)&lt;=playercnt)),SUMPRODUCT(INDIRECT(ADDRESS(3,ROW()-31,1)):INDIRECT(ADDRESS(22,ROW()-31,1)),AI$3:AI$22),"")</f>
        <v>20</v>
      </c>
      <c r="AJ53">
        <f ca="1">IF(AND(((COLUMN()-10)&lt;=playercnt),((ROW()-41)&lt;=playercnt)),SUMPRODUCT(INDIRECT(ADDRESS(3,ROW()-31,1)):INDIRECT(ADDRESS(22,ROW()-31,1)),AJ$3:AJ$22),"")</f>
        <v>20</v>
      </c>
      <c r="AK53">
        <f ca="1">IF(AND(((COLUMN()-10)&lt;=playercnt),((ROW()-41)&lt;=playercnt)),SUMPRODUCT(INDIRECT(ADDRESS(3,ROW()-31,1)):INDIRECT(ADDRESS(22,ROW()-31,1)),AK$3:AK$22),"")</f>
        <v>20</v>
      </c>
      <c r="AL53">
        <f ca="1">IF(AND(((COLUMN()-10)&lt;=playercnt),((ROW()-41)&lt;=playercnt)),SUMPRODUCT(INDIRECT(ADDRESS(3,ROW()-31,1)):INDIRECT(ADDRESS(22,ROW()-31,1)),AL$3:AL$22),"")</f>
        <v>20</v>
      </c>
      <c r="AM53">
        <f ca="1">IF(AND(((COLUMN()-10)&lt;=playercnt),((ROW()-41)&lt;=playercnt)),SUMPRODUCT(INDIRECT(ADDRESS(3,ROW()-31,1)):INDIRECT(ADDRESS(22,ROW()-31,1)),AM$3:AM$22),"")</f>
        <v>20</v>
      </c>
      <c r="AN53">
        <f ca="1">IF(AND(((COLUMN()-10)&lt;=playercnt),((ROW()-41)&lt;=playercnt)),SUMPRODUCT(INDIRECT(ADDRESS(3,ROW()-31,1)):INDIRECT(ADDRESS(22,ROW()-31,1)),AN$3:AN$22),"")</f>
        <v>20</v>
      </c>
      <c r="AO53">
        <f ca="1">IF(AND(((COLUMN()-10)&lt;=playercnt),((ROW()-41)&lt;=playercnt)),SUMPRODUCT(INDIRECT(ADDRESS(3,ROW()-31,1)):INDIRECT(ADDRESS(22,ROW()-31,1)),AO$3:AO$22),"")</f>
        <v>20</v>
      </c>
      <c r="AP53">
        <f ca="1">IF(AND(((COLUMN()-10)&lt;=playercnt),((ROW()-41)&lt;=playercnt)),SUMPRODUCT(INDIRECT(ADDRESS(3,ROW()-31,1)):INDIRECT(ADDRESS(22,ROW()-31,1)),AP$3:AP$22),"")</f>
        <v>20</v>
      </c>
      <c r="AQ53">
        <f ca="1">IF(AND(((COLUMN()-10)&lt;=playercnt),((ROW()-41)&lt;=playercnt)),SUMPRODUCT(INDIRECT(ADDRESS(3,ROW()-31,1)):INDIRECT(ADDRESS(22,ROW()-31,1)),AQ$3:AQ$22),"")</f>
        <v>20</v>
      </c>
      <c r="AR53">
        <f ca="1">IF(AND(((COLUMN()-10)&lt;=playercnt),((ROW()-41)&lt;=playercnt)),SUMPRODUCT(INDIRECT(ADDRESS(3,ROW()-31,1)):INDIRECT(ADDRESS(22,ROW()-31,1)),AR$3:AR$22),"")</f>
        <v>20</v>
      </c>
      <c r="AS53">
        <f ca="1">IF(AND(((COLUMN()-10)&lt;=playercnt),((ROW()-41)&lt;=playercnt)),SUMPRODUCT(INDIRECT(ADDRESS(3,ROW()-31,1)):INDIRECT(ADDRESS(22,ROW()-31,1)),AS$3:AS$22),"")</f>
        <v>20</v>
      </c>
      <c r="AT53">
        <f ca="1">IF(AND(((COLUMN()-10)&lt;=playercnt),((ROW()-41)&lt;=playercnt)),SUMPRODUCT(INDIRECT(ADDRESS(3,ROW()-31,1)):INDIRECT(ADDRESS(22,ROW()-31,1)),AT$3:AT$22),"")</f>
        <v>20</v>
      </c>
      <c r="AU53">
        <f ca="1">IF(AND(((COLUMN()-10)&lt;=playercnt),((ROW()-41)&lt;=playercnt)),SUMPRODUCT(INDIRECT(ADDRESS(3,ROW()-31,1)):INDIRECT(ADDRESS(22,ROW()-31,1)),AU$3:AU$22),"")</f>
        <v>20</v>
      </c>
      <c r="AV53">
        <f ca="1">IF(AND(((COLUMN()-10)&lt;=playercnt),((ROW()-41)&lt;=playercnt)),SUMPRODUCT(INDIRECT(ADDRESS(3,ROW()-31,1)):INDIRECT(ADDRESS(22,ROW()-31,1)),AV$3:AV$22),"")</f>
        <v>20</v>
      </c>
      <c r="AW53">
        <f ca="1">IF(AND(((COLUMN()-10)&lt;=playercnt),((ROW()-41)&lt;=playercnt)),SUMPRODUCT(INDIRECT(ADDRESS(3,ROW()-31,1)):INDIRECT(ADDRESS(22,ROW()-31,1)),AW$3:AW$22),"")</f>
        <v>20</v>
      </c>
      <c r="AX53">
        <f ca="1">IF(AND(((COLUMN()-10)&lt;=playercnt),((ROW()-41)&lt;=playercnt)),SUMPRODUCT(INDIRECT(ADDRESS(3,ROW()-31,1)):INDIRECT(ADDRESS(22,ROW()-31,1)),AX$3:AX$22),"")</f>
        <v>20</v>
      </c>
      <c r="AY53">
        <f ca="1">IF(AND(((COLUMN()-10)&lt;=playercnt),((ROW()-41)&lt;=playercnt)),SUMPRODUCT(INDIRECT(ADDRESS(3,ROW()-31,1)):INDIRECT(ADDRESS(22,ROW()-31,1)),AY$3:AY$22),"")</f>
        <v>20</v>
      </c>
      <c r="AZ53">
        <f ca="1">IF(AND(((COLUMN()-10)&lt;=playercnt),((ROW()-41)&lt;=playercnt)),SUMPRODUCT(INDIRECT(ADDRESS(3,ROW()-31,1)):INDIRECT(ADDRESS(22,ROW()-31,1)),AZ$3:AZ$22),"")</f>
        <v>20</v>
      </c>
      <c r="BA53">
        <f ca="1">IF(AND(((COLUMN()-10)&lt;=playercnt),((ROW()-41)&lt;=playercnt)),SUMPRODUCT(INDIRECT(ADDRESS(3,ROW()-31,1)):INDIRECT(ADDRESS(22,ROW()-31,1)),BA$3:BA$22),"")</f>
        <v>20</v>
      </c>
      <c r="BB53">
        <f ca="1">IF(AND(((COLUMN()-10)&lt;=playercnt),((ROW()-41)&lt;=playercnt)),SUMPRODUCT(INDIRECT(ADDRESS(3,ROW()-31,1)):INDIRECT(ADDRESS(22,ROW()-31,1)),BB$3:BB$22),"")</f>
        <v>20</v>
      </c>
      <c r="BC53">
        <f ca="1">IF(AND(((COLUMN()-10)&lt;=playercnt),((ROW()-41)&lt;=playercnt)),SUMPRODUCT(INDIRECT(ADDRESS(3,ROW()-31,1)):INDIRECT(ADDRESS(22,ROW()-31,1)),BC$3:BC$22),"")</f>
        <v>20</v>
      </c>
      <c r="BD53">
        <f ca="1">IF(AND(((COLUMN()-10)&lt;=playercnt),((ROW()-41)&lt;=playercnt)),SUMPRODUCT(INDIRECT(ADDRESS(3,ROW()-31,1)):INDIRECT(ADDRESS(22,ROW()-31,1)),BD$3:BD$22),"")</f>
        <v>20</v>
      </c>
      <c r="BE53">
        <f ca="1">IF(AND(((COLUMN()-10)&lt;=playercnt),((ROW()-41)&lt;=playercnt)),SUMPRODUCT(INDIRECT(ADDRESS(3,ROW()-31,1)):INDIRECT(ADDRESS(22,ROW()-31,1)),BE$3:BE$22),"")</f>
        <v>20</v>
      </c>
      <c r="BF53">
        <f ca="1">IF(AND(((COLUMN()-10)&lt;=playercnt),((ROW()-41)&lt;=playercnt)),SUMPRODUCT(INDIRECT(ADDRESS(3,ROW()-31,1)):INDIRECT(ADDRESS(22,ROW()-31,1)),BF$3:BF$22),"")</f>
        <v>20</v>
      </c>
      <c r="BG53">
        <f ca="1">IF(AND(((COLUMN()-10)&lt;=playercnt),((ROW()-41)&lt;=playercnt)),SUMPRODUCT(INDIRECT(ADDRESS(3,ROW()-31,1)):INDIRECT(ADDRESS(22,ROW()-31,1)),BG$3:BG$22),"")</f>
        <v>20</v>
      </c>
      <c r="BH53">
        <f ca="1">IF(AND(((COLUMN()-10)&lt;=playercnt),((ROW()-41)&lt;=playercnt)),SUMPRODUCT(INDIRECT(ADDRESS(3,ROW()-31,1)):INDIRECT(ADDRESS(22,ROW()-31,1)),BH$3:BH$22),"")</f>
        <v>20</v>
      </c>
      <c r="BI53">
        <f ca="1">IF(AND(((COLUMN()-10)&lt;=playercnt),((ROW()-41)&lt;=playercnt)),SUMPRODUCT(INDIRECT(ADDRESS(3,ROW()-31,1)):INDIRECT(ADDRESS(22,ROW()-31,1)),BI$3:BI$22),"")</f>
        <v>20</v>
      </c>
      <c r="BJ53">
        <f ca="1">IF(AND(((COLUMN()-10)&lt;=playercnt),((ROW()-41)&lt;=playercnt)),SUMPRODUCT(INDIRECT(ADDRESS(3,ROW()-31,1)):INDIRECT(ADDRESS(22,ROW()-31,1)),BJ$3:BJ$22),"")</f>
        <v>20</v>
      </c>
      <c r="BK53">
        <f ca="1">IF(AND(((COLUMN()-10)&lt;=playercnt),((ROW()-41)&lt;=playercnt)),SUMPRODUCT(INDIRECT(ADDRESS(3,ROW()-31,1)):INDIRECT(ADDRESS(22,ROW()-31,1)),BK$3:BK$22),"")</f>
        <v>20</v>
      </c>
      <c r="BL53">
        <f ca="1">IF(AND(((COLUMN()-10)&lt;=playercnt),((ROW()-41)&lt;=playercnt)),SUMPRODUCT(INDIRECT(ADDRESS(3,ROW()-31,1)):INDIRECT(ADDRESS(22,ROW()-31,1)),BL$3:BL$22),"")</f>
        <v>20</v>
      </c>
      <c r="BM53">
        <f ca="1">IF(AND(((COLUMN()-10)&lt;=playercnt),((ROW()-41)&lt;=playercnt)),SUMPRODUCT(INDIRECT(ADDRESS(3,ROW()-31,1)):INDIRECT(ADDRESS(22,ROW()-31,1)),BM$3:BM$22),"")</f>
        <v>20</v>
      </c>
      <c r="BN53">
        <f ca="1">IF(AND(((COLUMN()-10)&lt;=playercnt),((ROW()-41)&lt;=playercnt)),SUMPRODUCT(INDIRECT(ADDRESS(3,ROW()-31,1)):INDIRECT(ADDRESS(22,ROW()-31,1)),BN$3:BN$22),"")</f>
        <v>20</v>
      </c>
      <c r="BO53" t="str">
        <f ca="1">IF(AND(((COLUMN()-10)&lt;=playercnt),((ROW()-41)&lt;=playercnt)),SUMPRODUCT(INDIRECT(ADDRESS(3,ROW()-31,1)):INDIRECT(ADDRESS(22,ROW()-31,1)),BO$3:BO$22),"")</f>
        <v/>
      </c>
    </row>
    <row r="54" spans="1:67" x14ac:dyDescent="0.25">
      <c r="A54" s="22"/>
      <c r="B54" s="27" t="str">
        <f t="shared" ca="1" si="23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>
        <f ca="1">IF(AND(((COLUMN()-10)&lt;=playercnt),((ROW()-41)&lt;=playercnt)),SUMPRODUCT(INDIRECT(ADDRESS(3,ROW()-31,1)):INDIRECT(ADDRESS(22,ROW()-31,1)),AD$3:AD$22),"")</f>
        <v>20</v>
      </c>
      <c r="AE54">
        <f ca="1">IF(AND(((COLUMN()-10)&lt;=playercnt),((ROW()-41)&lt;=playercnt)),SUMPRODUCT(INDIRECT(ADDRESS(3,ROW()-31,1)):INDIRECT(ADDRESS(22,ROW()-31,1)),AE$3:AE$22),"")</f>
        <v>20</v>
      </c>
      <c r="AF54">
        <f ca="1">IF(AND(((COLUMN()-10)&lt;=playercnt),((ROW()-41)&lt;=playercnt)),SUMPRODUCT(INDIRECT(ADDRESS(3,ROW()-31,1)):INDIRECT(ADDRESS(22,ROW()-31,1)),AF$3:AF$22),"")</f>
        <v>20</v>
      </c>
      <c r="AG54">
        <f ca="1">IF(AND(((COLUMN()-10)&lt;=playercnt),((ROW()-41)&lt;=playercnt)),SUMPRODUCT(INDIRECT(ADDRESS(3,ROW()-31,1)):INDIRECT(ADDRESS(22,ROW()-31,1)),AG$3:AG$22),"")</f>
        <v>20</v>
      </c>
      <c r="AH54">
        <f ca="1">IF(AND(((COLUMN()-10)&lt;=playercnt),((ROW()-41)&lt;=playercnt)),SUMPRODUCT(INDIRECT(ADDRESS(3,ROW()-31,1)):INDIRECT(ADDRESS(22,ROW()-31,1)),AH$3:AH$22),"")</f>
        <v>20</v>
      </c>
      <c r="AI54">
        <f ca="1">IF(AND(((COLUMN()-10)&lt;=playercnt),((ROW()-41)&lt;=playercnt)),SUMPRODUCT(INDIRECT(ADDRESS(3,ROW()-31,1)):INDIRECT(ADDRESS(22,ROW()-31,1)),AI$3:AI$22),"")</f>
        <v>20</v>
      </c>
      <c r="AJ54">
        <f ca="1">IF(AND(((COLUMN()-10)&lt;=playercnt),((ROW()-41)&lt;=playercnt)),SUMPRODUCT(INDIRECT(ADDRESS(3,ROW()-31,1)):INDIRECT(ADDRESS(22,ROW()-31,1)),AJ$3:AJ$22),"")</f>
        <v>20</v>
      </c>
      <c r="AK54">
        <f ca="1">IF(AND(((COLUMN()-10)&lt;=playercnt),((ROW()-41)&lt;=playercnt)),SUMPRODUCT(INDIRECT(ADDRESS(3,ROW()-31,1)):INDIRECT(ADDRESS(22,ROW()-31,1)),AK$3:AK$22),"")</f>
        <v>20</v>
      </c>
      <c r="AL54">
        <f ca="1">IF(AND(((COLUMN()-10)&lt;=playercnt),((ROW()-41)&lt;=playercnt)),SUMPRODUCT(INDIRECT(ADDRESS(3,ROW()-31,1)):INDIRECT(ADDRESS(22,ROW()-31,1)),AL$3:AL$22),"")</f>
        <v>20</v>
      </c>
      <c r="AM54">
        <f ca="1">IF(AND(((COLUMN()-10)&lt;=playercnt),((ROW()-41)&lt;=playercnt)),SUMPRODUCT(INDIRECT(ADDRESS(3,ROW()-31,1)):INDIRECT(ADDRESS(22,ROW()-31,1)),AM$3:AM$22),"")</f>
        <v>20</v>
      </c>
      <c r="AN54">
        <f ca="1">IF(AND(((COLUMN()-10)&lt;=playercnt),((ROW()-41)&lt;=playercnt)),SUMPRODUCT(INDIRECT(ADDRESS(3,ROW()-31,1)):INDIRECT(ADDRESS(22,ROW()-31,1)),AN$3:AN$22),"")</f>
        <v>20</v>
      </c>
      <c r="AO54">
        <f ca="1">IF(AND(((COLUMN()-10)&lt;=playercnt),((ROW()-41)&lt;=playercnt)),SUMPRODUCT(INDIRECT(ADDRESS(3,ROW()-31,1)):INDIRECT(ADDRESS(22,ROW()-31,1)),AO$3:AO$22),"")</f>
        <v>20</v>
      </c>
      <c r="AP54">
        <f ca="1">IF(AND(((COLUMN()-10)&lt;=playercnt),((ROW()-41)&lt;=playercnt)),SUMPRODUCT(INDIRECT(ADDRESS(3,ROW()-31,1)):INDIRECT(ADDRESS(22,ROW()-31,1)),AP$3:AP$22),"")</f>
        <v>20</v>
      </c>
      <c r="AQ54">
        <f ca="1">IF(AND(((COLUMN()-10)&lt;=playercnt),((ROW()-41)&lt;=playercnt)),SUMPRODUCT(INDIRECT(ADDRESS(3,ROW()-31,1)):INDIRECT(ADDRESS(22,ROW()-31,1)),AQ$3:AQ$22),"")</f>
        <v>20</v>
      </c>
      <c r="AR54">
        <f ca="1">IF(AND(((COLUMN()-10)&lt;=playercnt),((ROW()-41)&lt;=playercnt)),SUMPRODUCT(INDIRECT(ADDRESS(3,ROW()-31,1)):INDIRECT(ADDRESS(22,ROW()-31,1)),AR$3:AR$22),"")</f>
        <v>20</v>
      </c>
      <c r="AS54">
        <f ca="1">IF(AND(((COLUMN()-10)&lt;=playercnt),((ROW()-41)&lt;=playercnt)),SUMPRODUCT(INDIRECT(ADDRESS(3,ROW()-31,1)):INDIRECT(ADDRESS(22,ROW()-31,1)),AS$3:AS$22),"")</f>
        <v>20</v>
      </c>
      <c r="AT54">
        <f ca="1">IF(AND(((COLUMN()-10)&lt;=playercnt),((ROW()-41)&lt;=playercnt)),SUMPRODUCT(INDIRECT(ADDRESS(3,ROW()-31,1)):INDIRECT(ADDRESS(22,ROW()-31,1)),AT$3:AT$22),"")</f>
        <v>20</v>
      </c>
      <c r="AU54">
        <f ca="1">IF(AND(((COLUMN()-10)&lt;=playercnt),((ROW()-41)&lt;=playercnt)),SUMPRODUCT(INDIRECT(ADDRESS(3,ROW()-31,1)):INDIRECT(ADDRESS(22,ROW()-31,1)),AU$3:AU$22),"")</f>
        <v>20</v>
      </c>
      <c r="AV54">
        <f ca="1">IF(AND(((COLUMN()-10)&lt;=playercnt),((ROW()-41)&lt;=playercnt)),SUMPRODUCT(INDIRECT(ADDRESS(3,ROW()-31,1)):INDIRECT(ADDRESS(22,ROW()-31,1)),AV$3:AV$22),"")</f>
        <v>20</v>
      </c>
      <c r="AW54">
        <f ca="1">IF(AND(((COLUMN()-10)&lt;=playercnt),((ROW()-41)&lt;=playercnt)),SUMPRODUCT(INDIRECT(ADDRESS(3,ROW()-31,1)):INDIRECT(ADDRESS(22,ROW()-31,1)),AW$3:AW$22),"")</f>
        <v>20</v>
      </c>
      <c r="AX54">
        <f ca="1">IF(AND(((COLUMN()-10)&lt;=playercnt),((ROW()-41)&lt;=playercnt)),SUMPRODUCT(INDIRECT(ADDRESS(3,ROW()-31,1)):INDIRECT(ADDRESS(22,ROW()-31,1)),AX$3:AX$22),"")</f>
        <v>20</v>
      </c>
      <c r="AY54">
        <f ca="1">IF(AND(((COLUMN()-10)&lt;=playercnt),((ROW()-41)&lt;=playercnt)),SUMPRODUCT(INDIRECT(ADDRESS(3,ROW()-31,1)):INDIRECT(ADDRESS(22,ROW()-31,1)),AY$3:AY$22),"")</f>
        <v>20</v>
      </c>
      <c r="AZ54">
        <f ca="1">IF(AND(((COLUMN()-10)&lt;=playercnt),((ROW()-41)&lt;=playercnt)),SUMPRODUCT(INDIRECT(ADDRESS(3,ROW()-31,1)):INDIRECT(ADDRESS(22,ROW()-31,1)),AZ$3:AZ$22),"")</f>
        <v>20</v>
      </c>
      <c r="BA54">
        <f ca="1">IF(AND(((COLUMN()-10)&lt;=playercnt),((ROW()-41)&lt;=playercnt)),SUMPRODUCT(INDIRECT(ADDRESS(3,ROW()-31,1)):INDIRECT(ADDRESS(22,ROW()-31,1)),BA$3:BA$22),"")</f>
        <v>20</v>
      </c>
      <c r="BB54">
        <f ca="1">IF(AND(((COLUMN()-10)&lt;=playercnt),((ROW()-41)&lt;=playercnt)),SUMPRODUCT(INDIRECT(ADDRESS(3,ROW()-31,1)):INDIRECT(ADDRESS(22,ROW()-31,1)),BB$3:BB$22),"")</f>
        <v>20</v>
      </c>
      <c r="BC54">
        <f ca="1">IF(AND(((COLUMN()-10)&lt;=playercnt),((ROW()-41)&lt;=playercnt)),SUMPRODUCT(INDIRECT(ADDRESS(3,ROW()-31,1)):INDIRECT(ADDRESS(22,ROW()-31,1)),BC$3:BC$22),"")</f>
        <v>20</v>
      </c>
      <c r="BD54">
        <f ca="1">IF(AND(((COLUMN()-10)&lt;=playercnt),((ROW()-41)&lt;=playercnt)),SUMPRODUCT(INDIRECT(ADDRESS(3,ROW()-31,1)):INDIRECT(ADDRESS(22,ROW()-31,1)),BD$3:BD$22),"")</f>
        <v>20</v>
      </c>
      <c r="BE54">
        <f ca="1">IF(AND(((COLUMN()-10)&lt;=playercnt),((ROW()-41)&lt;=playercnt)),SUMPRODUCT(INDIRECT(ADDRESS(3,ROW()-31,1)):INDIRECT(ADDRESS(22,ROW()-31,1)),BE$3:BE$22),"")</f>
        <v>20</v>
      </c>
      <c r="BF54">
        <f ca="1">IF(AND(((COLUMN()-10)&lt;=playercnt),((ROW()-41)&lt;=playercnt)),SUMPRODUCT(INDIRECT(ADDRESS(3,ROW()-31,1)):INDIRECT(ADDRESS(22,ROW()-31,1)),BF$3:BF$22),"")</f>
        <v>20</v>
      </c>
      <c r="BG54">
        <f ca="1">IF(AND(((COLUMN()-10)&lt;=playercnt),((ROW()-41)&lt;=playercnt)),SUMPRODUCT(INDIRECT(ADDRESS(3,ROW()-31,1)):INDIRECT(ADDRESS(22,ROW()-31,1)),BG$3:BG$22),"")</f>
        <v>20</v>
      </c>
      <c r="BH54">
        <f ca="1">IF(AND(((COLUMN()-10)&lt;=playercnt),((ROW()-41)&lt;=playercnt)),SUMPRODUCT(INDIRECT(ADDRESS(3,ROW()-31,1)):INDIRECT(ADDRESS(22,ROW()-31,1)),BH$3:BH$22),"")</f>
        <v>20</v>
      </c>
      <c r="BI54">
        <f ca="1">IF(AND(((COLUMN()-10)&lt;=playercnt),((ROW()-41)&lt;=playercnt)),SUMPRODUCT(INDIRECT(ADDRESS(3,ROW()-31,1)):INDIRECT(ADDRESS(22,ROW()-31,1)),BI$3:BI$22),"")</f>
        <v>20</v>
      </c>
      <c r="BJ54">
        <f ca="1">IF(AND(((COLUMN()-10)&lt;=playercnt),((ROW()-41)&lt;=playercnt)),SUMPRODUCT(INDIRECT(ADDRESS(3,ROW()-31,1)):INDIRECT(ADDRESS(22,ROW()-31,1)),BJ$3:BJ$22),"")</f>
        <v>20</v>
      </c>
      <c r="BK54">
        <f ca="1">IF(AND(((COLUMN()-10)&lt;=playercnt),((ROW()-41)&lt;=playercnt)),SUMPRODUCT(INDIRECT(ADDRESS(3,ROW()-31,1)):INDIRECT(ADDRESS(22,ROW()-31,1)),BK$3:BK$22),"")</f>
        <v>20</v>
      </c>
      <c r="BL54">
        <f ca="1">IF(AND(((COLUMN()-10)&lt;=playercnt),((ROW()-41)&lt;=playercnt)),SUMPRODUCT(INDIRECT(ADDRESS(3,ROW()-31,1)):INDIRECT(ADDRESS(22,ROW()-31,1)),BL$3:BL$22),"")</f>
        <v>20</v>
      </c>
      <c r="BM54">
        <f ca="1">IF(AND(((COLUMN()-10)&lt;=playercnt),((ROW()-41)&lt;=playercnt)),SUMPRODUCT(INDIRECT(ADDRESS(3,ROW()-31,1)):INDIRECT(ADDRESS(22,ROW()-31,1)),BM$3:BM$22),"")</f>
        <v>20</v>
      </c>
      <c r="BN54">
        <f ca="1">IF(AND(((COLUMN()-10)&lt;=playercnt),((ROW()-41)&lt;=playercnt)),SUMPRODUCT(INDIRECT(ADDRESS(3,ROW()-31,1)):INDIRECT(ADDRESS(22,ROW()-31,1)),BN$3:BN$22),"")</f>
        <v>20</v>
      </c>
      <c r="BO54" t="str">
        <f ca="1">IF(AND(((COLUMN()-10)&lt;=playercnt),((ROW()-41)&lt;=playercnt)),SUMPRODUCT(INDIRECT(ADDRESS(3,ROW()-31,1)):INDIRECT(ADDRESS(22,ROW()-31,1)),BO$3:BO$22),"")</f>
        <v/>
      </c>
    </row>
    <row r="55" spans="1:67" x14ac:dyDescent="0.25">
      <c r="B55" s="27" t="str">
        <f t="shared" ca="1" si="23"/>
        <v/>
      </c>
      <c r="C55" t="e">
        <f t="shared" ref="C55:C98" ca="1" si="24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>
        <f ca="1">IF(AND(((COLUMN()-10)&lt;=playercnt),((ROW()-41)&lt;=playercnt)),SUMPRODUCT(INDIRECT(ADDRESS(3,ROW()-31,1)):INDIRECT(ADDRESS(22,ROW()-31,1)),AD$3:AD$22),"")</f>
        <v>20</v>
      </c>
      <c r="AE55">
        <f ca="1">IF(AND(((COLUMN()-10)&lt;=playercnt),((ROW()-41)&lt;=playercnt)),SUMPRODUCT(INDIRECT(ADDRESS(3,ROW()-31,1)):INDIRECT(ADDRESS(22,ROW()-31,1)),AE$3:AE$22),"")</f>
        <v>20</v>
      </c>
      <c r="AF55">
        <f ca="1">IF(AND(((COLUMN()-10)&lt;=playercnt),((ROW()-41)&lt;=playercnt)),SUMPRODUCT(INDIRECT(ADDRESS(3,ROW()-31,1)):INDIRECT(ADDRESS(22,ROW()-31,1)),AF$3:AF$22),"")</f>
        <v>20</v>
      </c>
      <c r="AG55">
        <f ca="1">IF(AND(((COLUMN()-10)&lt;=playercnt),((ROW()-41)&lt;=playercnt)),SUMPRODUCT(INDIRECT(ADDRESS(3,ROW()-31,1)):INDIRECT(ADDRESS(22,ROW()-31,1)),AG$3:AG$22),"")</f>
        <v>20</v>
      </c>
      <c r="AH55">
        <f ca="1">IF(AND(((COLUMN()-10)&lt;=playercnt),((ROW()-41)&lt;=playercnt)),SUMPRODUCT(INDIRECT(ADDRESS(3,ROW()-31,1)):INDIRECT(ADDRESS(22,ROW()-31,1)),AH$3:AH$22),"")</f>
        <v>20</v>
      </c>
      <c r="AI55">
        <f ca="1">IF(AND(((COLUMN()-10)&lt;=playercnt),((ROW()-41)&lt;=playercnt)),SUMPRODUCT(INDIRECT(ADDRESS(3,ROW()-31,1)):INDIRECT(ADDRESS(22,ROW()-31,1)),AI$3:AI$22),"")</f>
        <v>20</v>
      </c>
      <c r="AJ55">
        <f ca="1">IF(AND(((COLUMN()-10)&lt;=playercnt),((ROW()-41)&lt;=playercnt)),SUMPRODUCT(INDIRECT(ADDRESS(3,ROW()-31,1)):INDIRECT(ADDRESS(22,ROW()-31,1)),AJ$3:AJ$22),"")</f>
        <v>20</v>
      </c>
      <c r="AK55">
        <f ca="1">IF(AND(((COLUMN()-10)&lt;=playercnt),((ROW()-41)&lt;=playercnt)),SUMPRODUCT(INDIRECT(ADDRESS(3,ROW()-31,1)):INDIRECT(ADDRESS(22,ROW()-31,1)),AK$3:AK$22),"")</f>
        <v>20</v>
      </c>
      <c r="AL55">
        <f ca="1">IF(AND(((COLUMN()-10)&lt;=playercnt),((ROW()-41)&lt;=playercnt)),SUMPRODUCT(INDIRECT(ADDRESS(3,ROW()-31,1)):INDIRECT(ADDRESS(22,ROW()-31,1)),AL$3:AL$22),"")</f>
        <v>20</v>
      </c>
      <c r="AM55">
        <f ca="1">IF(AND(((COLUMN()-10)&lt;=playercnt),((ROW()-41)&lt;=playercnt)),SUMPRODUCT(INDIRECT(ADDRESS(3,ROW()-31,1)):INDIRECT(ADDRESS(22,ROW()-31,1)),AM$3:AM$22),"")</f>
        <v>20</v>
      </c>
      <c r="AN55">
        <f ca="1">IF(AND(((COLUMN()-10)&lt;=playercnt),((ROW()-41)&lt;=playercnt)),SUMPRODUCT(INDIRECT(ADDRESS(3,ROW()-31,1)):INDIRECT(ADDRESS(22,ROW()-31,1)),AN$3:AN$22),"")</f>
        <v>20</v>
      </c>
      <c r="AO55">
        <f ca="1">IF(AND(((COLUMN()-10)&lt;=playercnt),((ROW()-41)&lt;=playercnt)),SUMPRODUCT(INDIRECT(ADDRESS(3,ROW()-31,1)):INDIRECT(ADDRESS(22,ROW()-31,1)),AO$3:AO$22),"")</f>
        <v>20</v>
      </c>
      <c r="AP55">
        <f ca="1">IF(AND(((COLUMN()-10)&lt;=playercnt),((ROW()-41)&lt;=playercnt)),SUMPRODUCT(INDIRECT(ADDRESS(3,ROW()-31,1)):INDIRECT(ADDRESS(22,ROW()-31,1)),AP$3:AP$22),"")</f>
        <v>20</v>
      </c>
      <c r="AQ55">
        <f ca="1">IF(AND(((COLUMN()-10)&lt;=playercnt),((ROW()-41)&lt;=playercnt)),SUMPRODUCT(INDIRECT(ADDRESS(3,ROW()-31,1)):INDIRECT(ADDRESS(22,ROW()-31,1)),AQ$3:AQ$22),"")</f>
        <v>20</v>
      </c>
      <c r="AR55">
        <f ca="1">IF(AND(((COLUMN()-10)&lt;=playercnt),((ROW()-41)&lt;=playercnt)),SUMPRODUCT(INDIRECT(ADDRESS(3,ROW()-31,1)):INDIRECT(ADDRESS(22,ROW()-31,1)),AR$3:AR$22),"")</f>
        <v>20</v>
      </c>
      <c r="AS55">
        <f ca="1">IF(AND(((COLUMN()-10)&lt;=playercnt),((ROW()-41)&lt;=playercnt)),SUMPRODUCT(INDIRECT(ADDRESS(3,ROW()-31,1)):INDIRECT(ADDRESS(22,ROW()-31,1)),AS$3:AS$22),"")</f>
        <v>20</v>
      </c>
      <c r="AT55">
        <f ca="1">IF(AND(((COLUMN()-10)&lt;=playercnt),((ROW()-41)&lt;=playercnt)),SUMPRODUCT(INDIRECT(ADDRESS(3,ROW()-31,1)):INDIRECT(ADDRESS(22,ROW()-31,1)),AT$3:AT$22),"")</f>
        <v>20</v>
      </c>
      <c r="AU55">
        <f ca="1">IF(AND(((COLUMN()-10)&lt;=playercnt),((ROW()-41)&lt;=playercnt)),SUMPRODUCT(INDIRECT(ADDRESS(3,ROW()-31,1)):INDIRECT(ADDRESS(22,ROW()-31,1)),AU$3:AU$22),"")</f>
        <v>20</v>
      </c>
      <c r="AV55">
        <f ca="1">IF(AND(((COLUMN()-10)&lt;=playercnt),((ROW()-41)&lt;=playercnt)),SUMPRODUCT(INDIRECT(ADDRESS(3,ROW()-31,1)):INDIRECT(ADDRESS(22,ROW()-31,1)),AV$3:AV$22),"")</f>
        <v>20</v>
      </c>
      <c r="AW55">
        <f ca="1">IF(AND(((COLUMN()-10)&lt;=playercnt),((ROW()-41)&lt;=playercnt)),SUMPRODUCT(INDIRECT(ADDRESS(3,ROW()-31,1)):INDIRECT(ADDRESS(22,ROW()-31,1)),AW$3:AW$22),"")</f>
        <v>20</v>
      </c>
      <c r="AX55">
        <f ca="1">IF(AND(((COLUMN()-10)&lt;=playercnt),((ROW()-41)&lt;=playercnt)),SUMPRODUCT(INDIRECT(ADDRESS(3,ROW()-31,1)):INDIRECT(ADDRESS(22,ROW()-31,1)),AX$3:AX$22),"")</f>
        <v>20</v>
      </c>
      <c r="AY55">
        <f ca="1">IF(AND(((COLUMN()-10)&lt;=playercnt),((ROW()-41)&lt;=playercnt)),SUMPRODUCT(INDIRECT(ADDRESS(3,ROW()-31,1)):INDIRECT(ADDRESS(22,ROW()-31,1)),AY$3:AY$22),"")</f>
        <v>20</v>
      </c>
      <c r="AZ55">
        <f ca="1">IF(AND(((COLUMN()-10)&lt;=playercnt),((ROW()-41)&lt;=playercnt)),SUMPRODUCT(INDIRECT(ADDRESS(3,ROW()-31,1)):INDIRECT(ADDRESS(22,ROW()-31,1)),AZ$3:AZ$22),"")</f>
        <v>20</v>
      </c>
      <c r="BA55">
        <f ca="1">IF(AND(((COLUMN()-10)&lt;=playercnt),((ROW()-41)&lt;=playercnt)),SUMPRODUCT(INDIRECT(ADDRESS(3,ROW()-31,1)):INDIRECT(ADDRESS(22,ROW()-31,1)),BA$3:BA$22),"")</f>
        <v>20</v>
      </c>
      <c r="BB55">
        <f ca="1">IF(AND(((COLUMN()-10)&lt;=playercnt),((ROW()-41)&lt;=playercnt)),SUMPRODUCT(INDIRECT(ADDRESS(3,ROW()-31,1)):INDIRECT(ADDRESS(22,ROW()-31,1)),BB$3:BB$22),"")</f>
        <v>20</v>
      </c>
      <c r="BC55">
        <f ca="1">IF(AND(((COLUMN()-10)&lt;=playercnt),((ROW()-41)&lt;=playercnt)),SUMPRODUCT(INDIRECT(ADDRESS(3,ROW()-31,1)):INDIRECT(ADDRESS(22,ROW()-31,1)),BC$3:BC$22),"")</f>
        <v>20</v>
      </c>
      <c r="BD55">
        <f ca="1">IF(AND(((COLUMN()-10)&lt;=playercnt),((ROW()-41)&lt;=playercnt)),SUMPRODUCT(INDIRECT(ADDRESS(3,ROW()-31,1)):INDIRECT(ADDRESS(22,ROW()-31,1)),BD$3:BD$22),"")</f>
        <v>20</v>
      </c>
      <c r="BE55">
        <f ca="1">IF(AND(((COLUMN()-10)&lt;=playercnt),((ROW()-41)&lt;=playercnt)),SUMPRODUCT(INDIRECT(ADDRESS(3,ROW()-31,1)):INDIRECT(ADDRESS(22,ROW()-31,1)),BE$3:BE$22),"")</f>
        <v>20</v>
      </c>
      <c r="BF55">
        <f ca="1">IF(AND(((COLUMN()-10)&lt;=playercnt),((ROW()-41)&lt;=playercnt)),SUMPRODUCT(INDIRECT(ADDRESS(3,ROW()-31,1)):INDIRECT(ADDRESS(22,ROW()-31,1)),BF$3:BF$22),"")</f>
        <v>20</v>
      </c>
      <c r="BG55">
        <f ca="1">IF(AND(((COLUMN()-10)&lt;=playercnt),((ROW()-41)&lt;=playercnt)),SUMPRODUCT(INDIRECT(ADDRESS(3,ROW()-31,1)):INDIRECT(ADDRESS(22,ROW()-31,1)),BG$3:BG$22),"")</f>
        <v>20</v>
      </c>
      <c r="BH55">
        <f ca="1">IF(AND(((COLUMN()-10)&lt;=playercnt),((ROW()-41)&lt;=playercnt)),SUMPRODUCT(INDIRECT(ADDRESS(3,ROW()-31,1)):INDIRECT(ADDRESS(22,ROW()-31,1)),BH$3:BH$22),"")</f>
        <v>20</v>
      </c>
      <c r="BI55">
        <f ca="1">IF(AND(((COLUMN()-10)&lt;=playercnt),((ROW()-41)&lt;=playercnt)),SUMPRODUCT(INDIRECT(ADDRESS(3,ROW()-31,1)):INDIRECT(ADDRESS(22,ROW()-31,1)),BI$3:BI$22),"")</f>
        <v>20</v>
      </c>
      <c r="BJ55">
        <f ca="1">IF(AND(((COLUMN()-10)&lt;=playercnt),((ROW()-41)&lt;=playercnt)),SUMPRODUCT(INDIRECT(ADDRESS(3,ROW()-31,1)):INDIRECT(ADDRESS(22,ROW()-31,1)),BJ$3:BJ$22),"")</f>
        <v>20</v>
      </c>
      <c r="BK55">
        <f ca="1">IF(AND(((COLUMN()-10)&lt;=playercnt),((ROW()-41)&lt;=playercnt)),SUMPRODUCT(INDIRECT(ADDRESS(3,ROW()-31,1)):INDIRECT(ADDRESS(22,ROW()-31,1)),BK$3:BK$22),"")</f>
        <v>20</v>
      </c>
      <c r="BL55">
        <f ca="1">IF(AND(((COLUMN()-10)&lt;=playercnt),((ROW()-41)&lt;=playercnt)),SUMPRODUCT(INDIRECT(ADDRESS(3,ROW()-31,1)):INDIRECT(ADDRESS(22,ROW()-31,1)),BL$3:BL$22),"")</f>
        <v>20</v>
      </c>
      <c r="BM55">
        <f ca="1">IF(AND(((COLUMN()-10)&lt;=playercnt),((ROW()-41)&lt;=playercnt)),SUMPRODUCT(INDIRECT(ADDRESS(3,ROW()-31,1)):INDIRECT(ADDRESS(22,ROW()-31,1)),BM$3:BM$22),"")</f>
        <v>20</v>
      </c>
      <c r="BN55">
        <f ca="1">IF(AND(((COLUMN()-10)&lt;=playercnt),((ROW()-41)&lt;=playercnt)),SUMPRODUCT(INDIRECT(ADDRESS(3,ROW()-31,1)):INDIRECT(ADDRESS(22,ROW()-31,1)),BN$3:BN$22),"")</f>
        <v>20</v>
      </c>
      <c r="BO55" t="str">
        <f ca="1">IF(AND(((COLUMN()-10)&lt;=playercnt),((ROW()-41)&lt;=playercnt)),SUMPRODUCT(INDIRECT(ADDRESS(3,ROW()-31,1)):INDIRECT(ADDRESS(22,ROW()-31,1)),BO$3:BO$22),"")</f>
        <v/>
      </c>
    </row>
    <row r="56" spans="1:67" x14ac:dyDescent="0.25">
      <c r="B56" s="27" t="str">
        <f t="shared" ca="1" si="23"/>
        <v/>
      </c>
      <c r="C56" t="e">
        <f t="shared" ca="1" si="24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>
        <f ca="1">IF(AND(((COLUMN()-10)&lt;=playercnt),((ROW()-41)&lt;=playercnt)),SUMPRODUCT(INDIRECT(ADDRESS(3,ROW()-31,1)):INDIRECT(ADDRESS(22,ROW()-31,1)),AD$3:AD$22),"")</f>
        <v>20</v>
      </c>
      <c r="AE56">
        <f ca="1">IF(AND(((COLUMN()-10)&lt;=playercnt),((ROW()-41)&lt;=playercnt)),SUMPRODUCT(INDIRECT(ADDRESS(3,ROW()-31,1)):INDIRECT(ADDRESS(22,ROW()-31,1)),AE$3:AE$22),"")</f>
        <v>20</v>
      </c>
      <c r="AF56">
        <f ca="1">IF(AND(((COLUMN()-10)&lt;=playercnt),((ROW()-41)&lt;=playercnt)),SUMPRODUCT(INDIRECT(ADDRESS(3,ROW()-31,1)):INDIRECT(ADDRESS(22,ROW()-31,1)),AF$3:AF$22),"")</f>
        <v>20</v>
      </c>
      <c r="AG56">
        <f ca="1">IF(AND(((COLUMN()-10)&lt;=playercnt),((ROW()-41)&lt;=playercnt)),SUMPRODUCT(INDIRECT(ADDRESS(3,ROW()-31,1)):INDIRECT(ADDRESS(22,ROW()-31,1)),AG$3:AG$22),"")</f>
        <v>20</v>
      </c>
      <c r="AH56">
        <f ca="1">IF(AND(((COLUMN()-10)&lt;=playercnt),((ROW()-41)&lt;=playercnt)),SUMPRODUCT(INDIRECT(ADDRESS(3,ROW()-31,1)):INDIRECT(ADDRESS(22,ROW()-31,1)),AH$3:AH$22),"")</f>
        <v>20</v>
      </c>
      <c r="AI56">
        <f ca="1">IF(AND(((COLUMN()-10)&lt;=playercnt),((ROW()-41)&lt;=playercnt)),SUMPRODUCT(INDIRECT(ADDRESS(3,ROW()-31,1)):INDIRECT(ADDRESS(22,ROW()-31,1)),AI$3:AI$22),"")</f>
        <v>20</v>
      </c>
      <c r="AJ56">
        <f ca="1">IF(AND(((COLUMN()-10)&lt;=playercnt),((ROW()-41)&lt;=playercnt)),SUMPRODUCT(INDIRECT(ADDRESS(3,ROW()-31,1)):INDIRECT(ADDRESS(22,ROW()-31,1)),AJ$3:AJ$22),"")</f>
        <v>20</v>
      </c>
      <c r="AK56">
        <f ca="1">IF(AND(((COLUMN()-10)&lt;=playercnt),((ROW()-41)&lt;=playercnt)),SUMPRODUCT(INDIRECT(ADDRESS(3,ROW()-31,1)):INDIRECT(ADDRESS(22,ROW()-31,1)),AK$3:AK$22),"")</f>
        <v>20</v>
      </c>
      <c r="AL56">
        <f ca="1">IF(AND(((COLUMN()-10)&lt;=playercnt),((ROW()-41)&lt;=playercnt)),SUMPRODUCT(INDIRECT(ADDRESS(3,ROW()-31,1)):INDIRECT(ADDRESS(22,ROW()-31,1)),AL$3:AL$22),"")</f>
        <v>20</v>
      </c>
      <c r="AM56">
        <f ca="1">IF(AND(((COLUMN()-10)&lt;=playercnt),((ROW()-41)&lt;=playercnt)),SUMPRODUCT(INDIRECT(ADDRESS(3,ROW()-31,1)):INDIRECT(ADDRESS(22,ROW()-31,1)),AM$3:AM$22),"")</f>
        <v>20</v>
      </c>
      <c r="AN56">
        <f ca="1">IF(AND(((COLUMN()-10)&lt;=playercnt),((ROW()-41)&lt;=playercnt)),SUMPRODUCT(INDIRECT(ADDRESS(3,ROW()-31,1)):INDIRECT(ADDRESS(22,ROW()-31,1)),AN$3:AN$22),"")</f>
        <v>20</v>
      </c>
      <c r="AO56">
        <f ca="1">IF(AND(((COLUMN()-10)&lt;=playercnt),((ROW()-41)&lt;=playercnt)),SUMPRODUCT(INDIRECT(ADDRESS(3,ROW()-31,1)):INDIRECT(ADDRESS(22,ROW()-31,1)),AO$3:AO$22),"")</f>
        <v>20</v>
      </c>
      <c r="AP56">
        <f ca="1">IF(AND(((COLUMN()-10)&lt;=playercnt),((ROW()-41)&lt;=playercnt)),SUMPRODUCT(INDIRECT(ADDRESS(3,ROW()-31,1)):INDIRECT(ADDRESS(22,ROW()-31,1)),AP$3:AP$22),"")</f>
        <v>20</v>
      </c>
      <c r="AQ56">
        <f ca="1">IF(AND(((COLUMN()-10)&lt;=playercnt),((ROW()-41)&lt;=playercnt)),SUMPRODUCT(INDIRECT(ADDRESS(3,ROW()-31,1)):INDIRECT(ADDRESS(22,ROW()-31,1)),AQ$3:AQ$22),"")</f>
        <v>20</v>
      </c>
      <c r="AR56">
        <f ca="1">IF(AND(((COLUMN()-10)&lt;=playercnt),((ROW()-41)&lt;=playercnt)),SUMPRODUCT(INDIRECT(ADDRESS(3,ROW()-31,1)):INDIRECT(ADDRESS(22,ROW()-31,1)),AR$3:AR$22),"")</f>
        <v>20</v>
      </c>
      <c r="AS56">
        <f ca="1">IF(AND(((COLUMN()-10)&lt;=playercnt),((ROW()-41)&lt;=playercnt)),SUMPRODUCT(INDIRECT(ADDRESS(3,ROW()-31,1)):INDIRECT(ADDRESS(22,ROW()-31,1)),AS$3:AS$22),"")</f>
        <v>20</v>
      </c>
      <c r="AT56">
        <f ca="1">IF(AND(((COLUMN()-10)&lt;=playercnt),((ROW()-41)&lt;=playercnt)),SUMPRODUCT(INDIRECT(ADDRESS(3,ROW()-31,1)):INDIRECT(ADDRESS(22,ROW()-31,1)),AT$3:AT$22),"")</f>
        <v>20</v>
      </c>
      <c r="AU56">
        <f ca="1">IF(AND(((COLUMN()-10)&lt;=playercnt),((ROW()-41)&lt;=playercnt)),SUMPRODUCT(INDIRECT(ADDRESS(3,ROW()-31,1)):INDIRECT(ADDRESS(22,ROW()-31,1)),AU$3:AU$22),"")</f>
        <v>20</v>
      </c>
      <c r="AV56">
        <f ca="1">IF(AND(((COLUMN()-10)&lt;=playercnt),((ROW()-41)&lt;=playercnt)),SUMPRODUCT(INDIRECT(ADDRESS(3,ROW()-31,1)):INDIRECT(ADDRESS(22,ROW()-31,1)),AV$3:AV$22),"")</f>
        <v>20</v>
      </c>
      <c r="AW56">
        <f ca="1">IF(AND(((COLUMN()-10)&lt;=playercnt),((ROW()-41)&lt;=playercnt)),SUMPRODUCT(INDIRECT(ADDRESS(3,ROW()-31,1)):INDIRECT(ADDRESS(22,ROW()-31,1)),AW$3:AW$22),"")</f>
        <v>20</v>
      </c>
      <c r="AX56">
        <f ca="1">IF(AND(((COLUMN()-10)&lt;=playercnt),((ROW()-41)&lt;=playercnt)),SUMPRODUCT(INDIRECT(ADDRESS(3,ROW()-31,1)):INDIRECT(ADDRESS(22,ROW()-31,1)),AX$3:AX$22),"")</f>
        <v>20</v>
      </c>
      <c r="AY56">
        <f ca="1">IF(AND(((COLUMN()-10)&lt;=playercnt),((ROW()-41)&lt;=playercnt)),SUMPRODUCT(INDIRECT(ADDRESS(3,ROW()-31,1)):INDIRECT(ADDRESS(22,ROW()-31,1)),AY$3:AY$22),"")</f>
        <v>20</v>
      </c>
      <c r="AZ56">
        <f ca="1">IF(AND(((COLUMN()-10)&lt;=playercnt),((ROW()-41)&lt;=playercnt)),SUMPRODUCT(INDIRECT(ADDRESS(3,ROW()-31,1)):INDIRECT(ADDRESS(22,ROW()-31,1)),AZ$3:AZ$22),"")</f>
        <v>20</v>
      </c>
      <c r="BA56">
        <f ca="1">IF(AND(((COLUMN()-10)&lt;=playercnt),((ROW()-41)&lt;=playercnt)),SUMPRODUCT(INDIRECT(ADDRESS(3,ROW()-31,1)):INDIRECT(ADDRESS(22,ROW()-31,1)),BA$3:BA$22),"")</f>
        <v>20</v>
      </c>
      <c r="BB56">
        <f ca="1">IF(AND(((COLUMN()-10)&lt;=playercnt),((ROW()-41)&lt;=playercnt)),SUMPRODUCT(INDIRECT(ADDRESS(3,ROW()-31,1)):INDIRECT(ADDRESS(22,ROW()-31,1)),BB$3:BB$22),"")</f>
        <v>20</v>
      </c>
      <c r="BC56">
        <f ca="1">IF(AND(((COLUMN()-10)&lt;=playercnt),((ROW()-41)&lt;=playercnt)),SUMPRODUCT(INDIRECT(ADDRESS(3,ROW()-31,1)):INDIRECT(ADDRESS(22,ROW()-31,1)),BC$3:BC$22),"")</f>
        <v>20</v>
      </c>
      <c r="BD56">
        <f ca="1">IF(AND(((COLUMN()-10)&lt;=playercnt),((ROW()-41)&lt;=playercnt)),SUMPRODUCT(INDIRECT(ADDRESS(3,ROW()-31,1)):INDIRECT(ADDRESS(22,ROW()-31,1)),BD$3:BD$22),"")</f>
        <v>20</v>
      </c>
      <c r="BE56">
        <f ca="1">IF(AND(((COLUMN()-10)&lt;=playercnt),((ROW()-41)&lt;=playercnt)),SUMPRODUCT(INDIRECT(ADDRESS(3,ROW()-31,1)):INDIRECT(ADDRESS(22,ROW()-31,1)),BE$3:BE$22),"")</f>
        <v>20</v>
      </c>
      <c r="BF56">
        <f ca="1">IF(AND(((COLUMN()-10)&lt;=playercnt),((ROW()-41)&lt;=playercnt)),SUMPRODUCT(INDIRECT(ADDRESS(3,ROW()-31,1)):INDIRECT(ADDRESS(22,ROW()-31,1)),BF$3:BF$22),"")</f>
        <v>20</v>
      </c>
      <c r="BG56">
        <f ca="1">IF(AND(((COLUMN()-10)&lt;=playercnt),((ROW()-41)&lt;=playercnt)),SUMPRODUCT(INDIRECT(ADDRESS(3,ROW()-31,1)):INDIRECT(ADDRESS(22,ROW()-31,1)),BG$3:BG$22),"")</f>
        <v>20</v>
      </c>
      <c r="BH56">
        <f ca="1">IF(AND(((COLUMN()-10)&lt;=playercnt),((ROW()-41)&lt;=playercnt)),SUMPRODUCT(INDIRECT(ADDRESS(3,ROW()-31,1)):INDIRECT(ADDRESS(22,ROW()-31,1)),BH$3:BH$22),"")</f>
        <v>20</v>
      </c>
      <c r="BI56">
        <f ca="1">IF(AND(((COLUMN()-10)&lt;=playercnt),((ROW()-41)&lt;=playercnt)),SUMPRODUCT(INDIRECT(ADDRESS(3,ROW()-31,1)):INDIRECT(ADDRESS(22,ROW()-31,1)),BI$3:BI$22),"")</f>
        <v>20</v>
      </c>
      <c r="BJ56">
        <f ca="1">IF(AND(((COLUMN()-10)&lt;=playercnt),((ROW()-41)&lt;=playercnt)),SUMPRODUCT(INDIRECT(ADDRESS(3,ROW()-31,1)):INDIRECT(ADDRESS(22,ROW()-31,1)),BJ$3:BJ$22),"")</f>
        <v>20</v>
      </c>
      <c r="BK56">
        <f ca="1">IF(AND(((COLUMN()-10)&lt;=playercnt),((ROW()-41)&lt;=playercnt)),SUMPRODUCT(INDIRECT(ADDRESS(3,ROW()-31,1)):INDIRECT(ADDRESS(22,ROW()-31,1)),BK$3:BK$22),"")</f>
        <v>20</v>
      </c>
      <c r="BL56">
        <f ca="1">IF(AND(((COLUMN()-10)&lt;=playercnt),((ROW()-41)&lt;=playercnt)),SUMPRODUCT(INDIRECT(ADDRESS(3,ROW()-31,1)):INDIRECT(ADDRESS(22,ROW()-31,1)),BL$3:BL$22),"")</f>
        <v>20</v>
      </c>
      <c r="BM56">
        <f ca="1">IF(AND(((COLUMN()-10)&lt;=playercnt),((ROW()-41)&lt;=playercnt)),SUMPRODUCT(INDIRECT(ADDRESS(3,ROW()-31,1)):INDIRECT(ADDRESS(22,ROW()-31,1)),BM$3:BM$22),"")</f>
        <v>20</v>
      </c>
      <c r="BN56">
        <f ca="1">IF(AND(((COLUMN()-10)&lt;=playercnt),((ROW()-41)&lt;=playercnt)),SUMPRODUCT(INDIRECT(ADDRESS(3,ROW()-31,1)):INDIRECT(ADDRESS(22,ROW()-31,1)),BN$3:BN$22),"")</f>
        <v>20</v>
      </c>
      <c r="BO56" t="str">
        <f ca="1">IF(AND(((COLUMN()-10)&lt;=playercnt),((ROW()-41)&lt;=playercnt)),SUMPRODUCT(INDIRECT(ADDRESS(3,ROW()-31,1)):INDIRECT(ADDRESS(22,ROW()-31,1)),BO$3:BO$22),"")</f>
        <v/>
      </c>
    </row>
    <row r="57" spans="1:67" x14ac:dyDescent="0.25">
      <c r="B57" s="27" t="str">
        <f t="shared" ca="1" si="23"/>
        <v/>
      </c>
      <c r="C57" t="e">
        <f t="shared" ca="1" si="24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>
        <f ca="1">IF(AND(((COLUMN()-10)&lt;=playercnt),((ROW()-41)&lt;=playercnt)),SUMPRODUCT(INDIRECT(ADDRESS(3,ROW()-31,1)):INDIRECT(ADDRESS(22,ROW()-31,1)),AD$3:AD$22),"")</f>
        <v>20</v>
      </c>
      <c r="AE57">
        <f ca="1">IF(AND(((COLUMN()-10)&lt;=playercnt),((ROW()-41)&lt;=playercnt)),SUMPRODUCT(INDIRECT(ADDRESS(3,ROW()-31,1)):INDIRECT(ADDRESS(22,ROW()-31,1)),AE$3:AE$22),"")</f>
        <v>20</v>
      </c>
      <c r="AF57">
        <f ca="1">IF(AND(((COLUMN()-10)&lt;=playercnt),((ROW()-41)&lt;=playercnt)),SUMPRODUCT(INDIRECT(ADDRESS(3,ROW()-31,1)):INDIRECT(ADDRESS(22,ROW()-31,1)),AF$3:AF$22),"")</f>
        <v>20</v>
      </c>
      <c r="AG57">
        <f ca="1">IF(AND(((COLUMN()-10)&lt;=playercnt),((ROW()-41)&lt;=playercnt)),SUMPRODUCT(INDIRECT(ADDRESS(3,ROW()-31,1)):INDIRECT(ADDRESS(22,ROW()-31,1)),AG$3:AG$22),"")</f>
        <v>20</v>
      </c>
      <c r="AH57">
        <f ca="1">IF(AND(((COLUMN()-10)&lt;=playercnt),((ROW()-41)&lt;=playercnt)),SUMPRODUCT(INDIRECT(ADDRESS(3,ROW()-31,1)):INDIRECT(ADDRESS(22,ROW()-31,1)),AH$3:AH$22),"")</f>
        <v>20</v>
      </c>
      <c r="AI57">
        <f ca="1">IF(AND(((COLUMN()-10)&lt;=playercnt),((ROW()-41)&lt;=playercnt)),SUMPRODUCT(INDIRECT(ADDRESS(3,ROW()-31,1)):INDIRECT(ADDRESS(22,ROW()-31,1)),AI$3:AI$22),"")</f>
        <v>20</v>
      </c>
      <c r="AJ57">
        <f ca="1">IF(AND(((COLUMN()-10)&lt;=playercnt),((ROW()-41)&lt;=playercnt)),SUMPRODUCT(INDIRECT(ADDRESS(3,ROW()-31,1)):INDIRECT(ADDRESS(22,ROW()-31,1)),AJ$3:AJ$22),"")</f>
        <v>20</v>
      </c>
      <c r="AK57">
        <f ca="1">IF(AND(((COLUMN()-10)&lt;=playercnt),((ROW()-41)&lt;=playercnt)),SUMPRODUCT(INDIRECT(ADDRESS(3,ROW()-31,1)):INDIRECT(ADDRESS(22,ROW()-31,1)),AK$3:AK$22),"")</f>
        <v>20</v>
      </c>
      <c r="AL57">
        <f ca="1">IF(AND(((COLUMN()-10)&lt;=playercnt),((ROW()-41)&lt;=playercnt)),SUMPRODUCT(INDIRECT(ADDRESS(3,ROW()-31,1)):INDIRECT(ADDRESS(22,ROW()-31,1)),AL$3:AL$22),"")</f>
        <v>20</v>
      </c>
      <c r="AM57">
        <f ca="1">IF(AND(((COLUMN()-10)&lt;=playercnt),((ROW()-41)&lt;=playercnt)),SUMPRODUCT(INDIRECT(ADDRESS(3,ROW()-31,1)):INDIRECT(ADDRESS(22,ROW()-31,1)),AM$3:AM$22),"")</f>
        <v>20</v>
      </c>
      <c r="AN57">
        <f ca="1">IF(AND(((COLUMN()-10)&lt;=playercnt),((ROW()-41)&lt;=playercnt)),SUMPRODUCT(INDIRECT(ADDRESS(3,ROW()-31,1)):INDIRECT(ADDRESS(22,ROW()-31,1)),AN$3:AN$22),"")</f>
        <v>20</v>
      </c>
      <c r="AO57">
        <f ca="1">IF(AND(((COLUMN()-10)&lt;=playercnt),((ROW()-41)&lt;=playercnt)),SUMPRODUCT(INDIRECT(ADDRESS(3,ROW()-31,1)):INDIRECT(ADDRESS(22,ROW()-31,1)),AO$3:AO$22),"")</f>
        <v>20</v>
      </c>
      <c r="AP57">
        <f ca="1">IF(AND(((COLUMN()-10)&lt;=playercnt),((ROW()-41)&lt;=playercnt)),SUMPRODUCT(INDIRECT(ADDRESS(3,ROW()-31,1)):INDIRECT(ADDRESS(22,ROW()-31,1)),AP$3:AP$22),"")</f>
        <v>20</v>
      </c>
      <c r="AQ57">
        <f ca="1">IF(AND(((COLUMN()-10)&lt;=playercnt),((ROW()-41)&lt;=playercnt)),SUMPRODUCT(INDIRECT(ADDRESS(3,ROW()-31,1)):INDIRECT(ADDRESS(22,ROW()-31,1)),AQ$3:AQ$22),"")</f>
        <v>20</v>
      </c>
      <c r="AR57">
        <f ca="1">IF(AND(((COLUMN()-10)&lt;=playercnt),((ROW()-41)&lt;=playercnt)),SUMPRODUCT(INDIRECT(ADDRESS(3,ROW()-31,1)):INDIRECT(ADDRESS(22,ROW()-31,1)),AR$3:AR$22),"")</f>
        <v>20</v>
      </c>
      <c r="AS57">
        <f ca="1">IF(AND(((COLUMN()-10)&lt;=playercnt),((ROW()-41)&lt;=playercnt)),SUMPRODUCT(INDIRECT(ADDRESS(3,ROW()-31,1)):INDIRECT(ADDRESS(22,ROW()-31,1)),AS$3:AS$22),"")</f>
        <v>20</v>
      </c>
      <c r="AT57">
        <f ca="1">IF(AND(((COLUMN()-10)&lt;=playercnt),((ROW()-41)&lt;=playercnt)),SUMPRODUCT(INDIRECT(ADDRESS(3,ROW()-31,1)):INDIRECT(ADDRESS(22,ROW()-31,1)),AT$3:AT$22),"")</f>
        <v>20</v>
      </c>
      <c r="AU57">
        <f ca="1">IF(AND(((COLUMN()-10)&lt;=playercnt),((ROW()-41)&lt;=playercnt)),SUMPRODUCT(INDIRECT(ADDRESS(3,ROW()-31,1)):INDIRECT(ADDRESS(22,ROW()-31,1)),AU$3:AU$22),"")</f>
        <v>20</v>
      </c>
      <c r="AV57">
        <f ca="1">IF(AND(((COLUMN()-10)&lt;=playercnt),((ROW()-41)&lt;=playercnt)),SUMPRODUCT(INDIRECT(ADDRESS(3,ROW()-31,1)):INDIRECT(ADDRESS(22,ROW()-31,1)),AV$3:AV$22),"")</f>
        <v>20</v>
      </c>
      <c r="AW57">
        <f ca="1">IF(AND(((COLUMN()-10)&lt;=playercnt),((ROW()-41)&lt;=playercnt)),SUMPRODUCT(INDIRECT(ADDRESS(3,ROW()-31,1)):INDIRECT(ADDRESS(22,ROW()-31,1)),AW$3:AW$22),"")</f>
        <v>20</v>
      </c>
      <c r="AX57">
        <f ca="1">IF(AND(((COLUMN()-10)&lt;=playercnt),((ROW()-41)&lt;=playercnt)),SUMPRODUCT(INDIRECT(ADDRESS(3,ROW()-31,1)):INDIRECT(ADDRESS(22,ROW()-31,1)),AX$3:AX$22),"")</f>
        <v>20</v>
      </c>
      <c r="AY57">
        <f ca="1">IF(AND(((COLUMN()-10)&lt;=playercnt),((ROW()-41)&lt;=playercnt)),SUMPRODUCT(INDIRECT(ADDRESS(3,ROW()-31,1)):INDIRECT(ADDRESS(22,ROW()-31,1)),AY$3:AY$22),"")</f>
        <v>20</v>
      </c>
      <c r="AZ57">
        <f ca="1">IF(AND(((COLUMN()-10)&lt;=playercnt),((ROW()-41)&lt;=playercnt)),SUMPRODUCT(INDIRECT(ADDRESS(3,ROW()-31,1)):INDIRECT(ADDRESS(22,ROW()-31,1)),AZ$3:AZ$22),"")</f>
        <v>20</v>
      </c>
      <c r="BA57">
        <f ca="1">IF(AND(((COLUMN()-10)&lt;=playercnt),((ROW()-41)&lt;=playercnt)),SUMPRODUCT(INDIRECT(ADDRESS(3,ROW()-31,1)):INDIRECT(ADDRESS(22,ROW()-31,1)),BA$3:BA$22),"")</f>
        <v>20</v>
      </c>
      <c r="BB57">
        <f ca="1">IF(AND(((COLUMN()-10)&lt;=playercnt),((ROW()-41)&lt;=playercnt)),SUMPRODUCT(INDIRECT(ADDRESS(3,ROW()-31,1)):INDIRECT(ADDRESS(22,ROW()-31,1)),BB$3:BB$22),"")</f>
        <v>20</v>
      </c>
      <c r="BC57">
        <f ca="1">IF(AND(((COLUMN()-10)&lt;=playercnt),((ROW()-41)&lt;=playercnt)),SUMPRODUCT(INDIRECT(ADDRESS(3,ROW()-31,1)):INDIRECT(ADDRESS(22,ROW()-31,1)),BC$3:BC$22),"")</f>
        <v>20</v>
      </c>
      <c r="BD57">
        <f ca="1">IF(AND(((COLUMN()-10)&lt;=playercnt),((ROW()-41)&lt;=playercnt)),SUMPRODUCT(INDIRECT(ADDRESS(3,ROW()-31,1)):INDIRECT(ADDRESS(22,ROW()-31,1)),BD$3:BD$22),"")</f>
        <v>20</v>
      </c>
      <c r="BE57">
        <f ca="1">IF(AND(((COLUMN()-10)&lt;=playercnt),((ROW()-41)&lt;=playercnt)),SUMPRODUCT(INDIRECT(ADDRESS(3,ROW()-31,1)):INDIRECT(ADDRESS(22,ROW()-31,1)),BE$3:BE$22),"")</f>
        <v>20</v>
      </c>
      <c r="BF57">
        <f ca="1">IF(AND(((COLUMN()-10)&lt;=playercnt),((ROW()-41)&lt;=playercnt)),SUMPRODUCT(INDIRECT(ADDRESS(3,ROW()-31,1)):INDIRECT(ADDRESS(22,ROW()-31,1)),BF$3:BF$22),"")</f>
        <v>20</v>
      </c>
      <c r="BG57">
        <f ca="1">IF(AND(((COLUMN()-10)&lt;=playercnt),((ROW()-41)&lt;=playercnt)),SUMPRODUCT(INDIRECT(ADDRESS(3,ROW()-31,1)):INDIRECT(ADDRESS(22,ROW()-31,1)),BG$3:BG$22),"")</f>
        <v>20</v>
      </c>
      <c r="BH57">
        <f ca="1">IF(AND(((COLUMN()-10)&lt;=playercnt),((ROW()-41)&lt;=playercnt)),SUMPRODUCT(INDIRECT(ADDRESS(3,ROW()-31,1)):INDIRECT(ADDRESS(22,ROW()-31,1)),BH$3:BH$22),"")</f>
        <v>20</v>
      </c>
      <c r="BI57">
        <f ca="1">IF(AND(((COLUMN()-10)&lt;=playercnt),((ROW()-41)&lt;=playercnt)),SUMPRODUCT(INDIRECT(ADDRESS(3,ROW()-31,1)):INDIRECT(ADDRESS(22,ROW()-31,1)),BI$3:BI$22),"")</f>
        <v>20</v>
      </c>
      <c r="BJ57">
        <f ca="1">IF(AND(((COLUMN()-10)&lt;=playercnt),((ROW()-41)&lt;=playercnt)),SUMPRODUCT(INDIRECT(ADDRESS(3,ROW()-31,1)):INDIRECT(ADDRESS(22,ROW()-31,1)),BJ$3:BJ$22),"")</f>
        <v>20</v>
      </c>
      <c r="BK57">
        <f ca="1">IF(AND(((COLUMN()-10)&lt;=playercnt),((ROW()-41)&lt;=playercnt)),SUMPRODUCT(INDIRECT(ADDRESS(3,ROW()-31,1)):INDIRECT(ADDRESS(22,ROW()-31,1)),BK$3:BK$22),"")</f>
        <v>20</v>
      </c>
      <c r="BL57">
        <f ca="1">IF(AND(((COLUMN()-10)&lt;=playercnt),((ROW()-41)&lt;=playercnt)),SUMPRODUCT(INDIRECT(ADDRESS(3,ROW()-31,1)):INDIRECT(ADDRESS(22,ROW()-31,1)),BL$3:BL$22),"")</f>
        <v>20</v>
      </c>
      <c r="BM57">
        <f ca="1">IF(AND(((COLUMN()-10)&lt;=playercnt),((ROW()-41)&lt;=playercnt)),SUMPRODUCT(INDIRECT(ADDRESS(3,ROW()-31,1)):INDIRECT(ADDRESS(22,ROW()-31,1)),BM$3:BM$22),"")</f>
        <v>20</v>
      </c>
      <c r="BN57">
        <f ca="1">IF(AND(((COLUMN()-10)&lt;=playercnt),((ROW()-41)&lt;=playercnt)),SUMPRODUCT(INDIRECT(ADDRESS(3,ROW()-31,1)):INDIRECT(ADDRESS(22,ROW()-31,1)),BN$3:BN$22),"")</f>
        <v>20</v>
      </c>
      <c r="BO57" t="str">
        <f ca="1">IF(AND(((COLUMN()-10)&lt;=playercnt),((ROW()-41)&lt;=playercnt)),SUMPRODUCT(INDIRECT(ADDRESS(3,ROW()-31,1)):INDIRECT(ADDRESS(22,ROW()-31,1)),BO$3:BO$22),"")</f>
        <v/>
      </c>
    </row>
    <row r="58" spans="1:67" x14ac:dyDescent="0.25">
      <c r="B58" s="27" t="str">
        <f t="shared" ca="1" si="23"/>
        <v/>
      </c>
      <c r="C58" t="e">
        <f t="shared" ca="1" si="24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>
        <f ca="1">IF(AND(((COLUMN()-10)&lt;=playercnt),((ROW()-41)&lt;=playercnt)),SUMPRODUCT(INDIRECT(ADDRESS(3,ROW()-31,1)):INDIRECT(ADDRESS(22,ROW()-31,1)),AD$3:AD$22),"")</f>
        <v>20</v>
      </c>
      <c r="AE58">
        <f ca="1">IF(AND(((COLUMN()-10)&lt;=playercnt),((ROW()-41)&lt;=playercnt)),SUMPRODUCT(INDIRECT(ADDRESS(3,ROW()-31,1)):INDIRECT(ADDRESS(22,ROW()-31,1)),AE$3:AE$22),"")</f>
        <v>20</v>
      </c>
      <c r="AF58">
        <f ca="1">IF(AND(((COLUMN()-10)&lt;=playercnt),((ROW()-41)&lt;=playercnt)),SUMPRODUCT(INDIRECT(ADDRESS(3,ROW()-31,1)):INDIRECT(ADDRESS(22,ROW()-31,1)),AF$3:AF$22),"")</f>
        <v>20</v>
      </c>
      <c r="AG58">
        <f ca="1">IF(AND(((COLUMN()-10)&lt;=playercnt),((ROW()-41)&lt;=playercnt)),SUMPRODUCT(INDIRECT(ADDRESS(3,ROW()-31,1)):INDIRECT(ADDRESS(22,ROW()-31,1)),AG$3:AG$22),"")</f>
        <v>20</v>
      </c>
      <c r="AH58">
        <f ca="1">IF(AND(((COLUMN()-10)&lt;=playercnt),((ROW()-41)&lt;=playercnt)),SUMPRODUCT(INDIRECT(ADDRESS(3,ROW()-31,1)):INDIRECT(ADDRESS(22,ROW()-31,1)),AH$3:AH$22),"")</f>
        <v>20</v>
      </c>
      <c r="AI58">
        <f ca="1">IF(AND(((COLUMN()-10)&lt;=playercnt),((ROW()-41)&lt;=playercnt)),SUMPRODUCT(INDIRECT(ADDRESS(3,ROW()-31,1)):INDIRECT(ADDRESS(22,ROW()-31,1)),AI$3:AI$22),"")</f>
        <v>20</v>
      </c>
      <c r="AJ58">
        <f ca="1">IF(AND(((COLUMN()-10)&lt;=playercnt),((ROW()-41)&lt;=playercnt)),SUMPRODUCT(INDIRECT(ADDRESS(3,ROW()-31,1)):INDIRECT(ADDRESS(22,ROW()-31,1)),AJ$3:AJ$22),"")</f>
        <v>20</v>
      </c>
      <c r="AK58">
        <f ca="1">IF(AND(((COLUMN()-10)&lt;=playercnt),((ROW()-41)&lt;=playercnt)),SUMPRODUCT(INDIRECT(ADDRESS(3,ROW()-31,1)):INDIRECT(ADDRESS(22,ROW()-31,1)),AK$3:AK$22),"")</f>
        <v>20</v>
      </c>
      <c r="AL58">
        <f ca="1">IF(AND(((COLUMN()-10)&lt;=playercnt),((ROW()-41)&lt;=playercnt)),SUMPRODUCT(INDIRECT(ADDRESS(3,ROW()-31,1)):INDIRECT(ADDRESS(22,ROW()-31,1)),AL$3:AL$22),"")</f>
        <v>20</v>
      </c>
      <c r="AM58">
        <f ca="1">IF(AND(((COLUMN()-10)&lt;=playercnt),((ROW()-41)&lt;=playercnt)),SUMPRODUCT(INDIRECT(ADDRESS(3,ROW()-31,1)):INDIRECT(ADDRESS(22,ROW()-31,1)),AM$3:AM$22),"")</f>
        <v>20</v>
      </c>
      <c r="AN58">
        <f ca="1">IF(AND(((COLUMN()-10)&lt;=playercnt),((ROW()-41)&lt;=playercnt)),SUMPRODUCT(INDIRECT(ADDRESS(3,ROW()-31,1)):INDIRECT(ADDRESS(22,ROW()-31,1)),AN$3:AN$22),"")</f>
        <v>20</v>
      </c>
      <c r="AO58">
        <f ca="1">IF(AND(((COLUMN()-10)&lt;=playercnt),((ROW()-41)&lt;=playercnt)),SUMPRODUCT(INDIRECT(ADDRESS(3,ROW()-31,1)):INDIRECT(ADDRESS(22,ROW()-31,1)),AO$3:AO$22),"")</f>
        <v>20</v>
      </c>
      <c r="AP58">
        <f ca="1">IF(AND(((COLUMN()-10)&lt;=playercnt),((ROW()-41)&lt;=playercnt)),SUMPRODUCT(INDIRECT(ADDRESS(3,ROW()-31,1)):INDIRECT(ADDRESS(22,ROW()-31,1)),AP$3:AP$22),"")</f>
        <v>20</v>
      </c>
      <c r="AQ58">
        <f ca="1">IF(AND(((COLUMN()-10)&lt;=playercnt),((ROW()-41)&lt;=playercnt)),SUMPRODUCT(INDIRECT(ADDRESS(3,ROW()-31,1)):INDIRECT(ADDRESS(22,ROW()-31,1)),AQ$3:AQ$22),"")</f>
        <v>20</v>
      </c>
      <c r="AR58">
        <f ca="1">IF(AND(((COLUMN()-10)&lt;=playercnt),((ROW()-41)&lt;=playercnt)),SUMPRODUCT(INDIRECT(ADDRESS(3,ROW()-31,1)):INDIRECT(ADDRESS(22,ROW()-31,1)),AR$3:AR$22),"")</f>
        <v>20</v>
      </c>
      <c r="AS58">
        <f ca="1">IF(AND(((COLUMN()-10)&lt;=playercnt),((ROW()-41)&lt;=playercnt)),SUMPRODUCT(INDIRECT(ADDRESS(3,ROW()-31,1)):INDIRECT(ADDRESS(22,ROW()-31,1)),AS$3:AS$22),"")</f>
        <v>20</v>
      </c>
      <c r="AT58">
        <f ca="1">IF(AND(((COLUMN()-10)&lt;=playercnt),((ROW()-41)&lt;=playercnt)),SUMPRODUCT(INDIRECT(ADDRESS(3,ROW()-31,1)):INDIRECT(ADDRESS(22,ROW()-31,1)),AT$3:AT$22),"")</f>
        <v>20</v>
      </c>
      <c r="AU58">
        <f ca="1">IF(AND(((COLUMN()-10)&lt;=playercnt),((ROW()-41)&lt;=playercnt)),SUMPRODUCT(INDIRECT(ADDRESS(3,ROW()-31,1)):INDIRECT(ADDRESS(22,ROW()-31,1)),AU$3:AU$22),"")</f>
        <v>20</v>
      </c>
      <c r="AV58">
        <f ca="1">IF(AND(((COLUMN()-10)&lt;=playercnt),((ROW()-41)&lt;=playercnt)),SUMPRODUCT(INDIRECT(ADDRESS(3,ROW()-31,1)):INDIRECT(ADDRESS(22,ROW()-31,1)),AV$3:AV$22),"")</f>
        <v>20</v>
      </c>
      <c r="AW58">
        <f ca="1">IF(AND(((COLUMN()-10)&lt;=playercnt),((ROW()-41)&lt;=playercnt)),SUMPRODUCT(INDIRECT(ADDRESS(3,ROW()-31,1)):INDIRECT(ADDRESS(22,ROW()-31,1)),AW$3:AW$22),"")</f>
        <v>20</v>
      </c>
      <c r="AX58">
        <f ca="1">IF(AND(((COLUMN()-10)&lt;=playercnt),((ROW()-41)&lt;=playercnt)),SUMPRODUCT(INDIRECT(ADDRESS(3,ROW()-31,1)):INDIRECT(ADDRESS(22,ROW()-31,1)),AX$3:AX$22),"")</f>
        <v>20</v>
      </c>
      <c r="AY58">
        <f ca="1">IF(AND(((COLUMN()-10)&lt;=playercnt),((ROW()-41)&lt;=playercnt)),SUMPRODUCT(INDIRECT(ADDRESS(3,ROW()-31,1)):INDIRECT(ADDRESS(22,ROW()-31,1)),AY$3:AY$22),"")</f>
        <v>20</v>
      </c>
      <c r="AZ58">
        <f ca="1">IF(AND(((COLUMN()-10)&lt;=playercnt),((ROW()-41)&lt;=playercnt)),SUMPRODUCT(INDIRECT(ADDRESS(3,ROW()-31,1)):INDIRECT(ADDRESS(22,ROW()-31,1)),AZ$3:AZ$22),"")</f>
        <v>20</v>
      </c>
      <c r="BA58">
        <f ca="1">IF(AND(((COLUMN()-10)&lt;=playercnt),((ROW()-41)&lt;=playercnt)),SUMPRODUCT(INDIRECT(ADDRESS(3,ROW()-31,1)):INDIRECT(ADDRESS(22,ROW()-31,1)),BA$3:BA$22),"")</f>
        <v>20</v>
      </c>
      <c r="BB58">
        <f ca="1">IF(AND(((COLUMN()-10)&lt;=playercnt),((ROW()-41)&lt;=playercnt)),SUMPRODUCT(INDIRECT(ADDRESS(3,ROW()-31,1)):INDIRECT(ADDRESS(22,ROW()-31,1)),BB$3:BB$22),"")</f>
        <v>20</v>
      </c>
      <c r="BC58">
        <f ca="1">IF(AND(((COLUMN()-10)&lt;=playercnt),((ROW()-41)&lt;=playercnt)),SUMPRODUCT(INDIRECT(ADDRESS(3,ROW()-31,1)):INDIRECT(ADDRESS(22,ROW()-31,1)),BC$3:BC$22),"")</f>
        <v>20</v>
      </c>
      <c r="BD58">
        <f ca="1">IF(AND(((COLUMN()-10)&lt;=playercnt),((ROW()-41)&lt;=playercnt)),SUMPRODUCT(INDIRECT(ADDRESS(3,ROW()-31,1)):INDIRECT(ADDRESS(22,ROW()-31,1)),BD$3:BD$22),"")</f>
        <v>20</v>
      </c>
      <c r="BE58">
        <f ca="1">IF(AND(((COLUMN()-10)&lt;=playercnt),((ROW()-41)&lt;=playercnt)),SUMPRODUCT(INDIRECT(ADDRESS(3,ROW()-31,1)):INDIRECT(ADDRESS(22,ROW()-31,1)),BE$3:BE$22),"")</f>
        <v>20</v>
      </c>
      <c r="BF58">
        <f ca="1">IF(AND(((COLUMN()-10)&lt;=playercnt),((ROW()-41)&lt;=playercnt)),SUMPRODUCT(INDIRECT(ADDRESS(3,ROW()-31,1)):INDIRECT(ADDRESS(22,ROW()-31,1)),BF$3:BF$22),"")</f>
        <v>20</v>
      </c>
      <c r="BG58">
        <f ca="1">IF(AND(((COLUMN()-10)&lt;=playercnt),((ROW()-41)&lt;=playercnt)),SUMPRODUCT(INDIRECT(ADDRESS(3,ROW()-31,1)):INDIRECT(ADDRESS(22,ROW()-31,1)),BG$3:BG$22),"")</f>
        <v>20</v>
      </c>
      <c r="BH58">
        <f ca="1">IF(AND(((COLUMN()-10)&lt;=playercnt),((ROW()-41)&lt;=playercnt)),SUMPRODUCT(INDIRECT(ADDRESS(3,ROW()-31,1)):INDIRECT(ADDRESS(22,ROW()-31,1)),BH$3:BH$22),"")</f>
        <v>20</v>
      </c>
      <c r="BI58">
        <f ca="1">IF(AND(((COLUMN()-10)&lt;=playercnt),((ROW()-41)&lt;=playercnt)),SUMPRODUCT(INDIRECT(ADDRESS(3,ROW()-31,1)):INDIRECT(ADDRESS(22,ROW()-31,1)),BI$3:BI$22),"")</f>
        <v>20</v>
      </c>
      <c r="BJ58">
        <f ca="1">IF(AND(((COLUMN()-10)&lt;=playercnt),((ROW()-41)&lt;=playercnt)),SUMPRODUCT(INDIRECT(ADDRESS(3,ROW()-31,1)):INDIRECT(ADDRESS(22,ROW()-31,1)),BJ$3:BJ$22),"")</f>
        <v>20</v>
      </c>
      <c r="BK58">
        <f ca="1">IF(AND(((COLUMN()-10)&lt;=playercnt),((ROW()-41)&lt;=playercnt)),SUMPRODUCT(INDIRECT(ADDRESS(3,ROW()-31,1)):INDIRECT(ADDRESS(22,ROW()-31,1)),BK$3:BK$22),"")</f>
        <v>20</v>
      </c>
      <c r="BL58">
        <f ca="1">IF(AND(((COLUMN()-10)&lt;=playercnt),((ROW()-41)&lt;=playercnt)),SUMPRODUCT(INDIRECT(ADDRESS(3,ROW()-31,1)):INDIRECT(ADDRESS(22,ROW()-31,1)),BL$3:BL$22),"")</f>
        <v>20</v>
      </c>
      <c r="BM58">
        <f ca="1">IF(AND(((COLUMN()-10)&lt;=playercnt),((ROW()-41)&lt;=playercnt)),SUMPRODUCT(INDIRECT(ADDRESS(3,ROW()-31,1)):INDIRECT(ADDRESS(22,ROW()-31,1)),BM$3:BM$22),"")</f>
        <v>20</v>
      </c>
      <c r="BN58">
        <f ca="1">IF(AND(((COLUMN()-10)&lt;=playercnt),((ROW()-41)&lt;=playercnt)),SUMPRODUCT(INDIRECT(ADDRESS(3,ROW()-31,1)):INDIRECT(ADDRESS(22,ROW()-31,1)),BN$3:BN$22),"")</f>
        <v>20</v>
      </c>
      <c r="BO58" t="str">
        <f ca="1">IF(AND(((COLUMN()-10)&lt;=playercnt),((ROW()-41)&lt;=playercnt)),SUMPRODUCT(INDIRECT(ADDRESS(3,ROW()-31,1)):INDIRECT(ADDRESS(22,ROW()-31,1)),BO$3:BO$22),"")</f>
        <v/>
      </c>
    </row>
    <row r="59" spans="1:67" x14ac:dyDescent="0.25">
      <c r="B59" s="27" t="str">
        <f t="shared" ca="1" si="23"/>
        <v/>
      </c>
      <c r="C59" t="e">
        <f t="shared" ca="1" si="24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>
        <f ca="1">IF(AND(((COLUMN()-10)&lt;=playercnt),((ROW()-41)&lt;=playercnt)),SUMPRODUCT(INDIRECT(ADDRESS(3,ROW()-31,1)):INDIRECT(ADDRESS(22,ROW()-31,1)),AD$3:AD$22),"")</f>
        <v>20</v>
      </c>
      <c r="AE59">
        <f ca="1">IF(AND(((COLUMN()-10)&lt;=playercnt),((ROW()-41)&lt;=playercnt)),SUMPRODUCT(INDIRECT(ADDRESS(3,ROW()-31,1)):INDIRECT(ADDRESS(22,ROW()-31,1)),AE$3:AE$22),"")</f>
        <v>20</v>
      </c>
      <c r="AF59">
        <f ca="1">IF(AND(((COLUMN()-10)&lt;=playercnt),((ROW()-41)&lt;=playercnt)),SUMPRODUCT(INDIRECT(ADDRESS(3,ROW()-31,1)):INDIRECT(ADDRESS(22,ROW()-31,1)),AF$3:AF$22),"")</f>
        <v>20</v>
      </c>
      <c r="AG59">
        <f ca="1">IF(AND(((COLUMN()-10)&lt;=playercnt),((ROW()-41)&lt;=playercnt)),SUMPRODUCT(INDIRECT(ADDRESS(3,ROW()-31,1)):INDIRECT(ADDRESS(22,ROW()-31,1)),AG$3:AG$22),"")</f>
        <v>20</v>
      </c>
      <c r="AH59">
        <f ca="1">IF(AND(((COLUMN()-10)&lt;=playercnt),((ROW()-41)&lt;=playercnt)),SUMPRODUCT(INDIRECT(ADDRESS(3,ROW()-31,1)):INDIRECT(ADDRESS(22,ROW()-31,1)),AH$3:AH$22),"")</f>
        <v>20</v>
      </c>
      <c r="AI59">
        <f ca="1">IF(AND(((COLUMN()-10)&lt;=playercnt),((ROW()-41)&lt;=playercnt)),SUMPRODUCT(INDIRECT(ADDRESS(3,ROW()-31,1)):INDIRECT(ADDRESS(22,ROW()-31,1)),AI$3:AI$22),"")</f>
        <v>20</v>
      </c>
      <c r="AJ59">
        <f ca="1">IF(AND(((COLUMN()-10)&lt;=playercnt),((ROW()-41)&lt;=playercnt)),SUMPRODUCT(INDIRECT(ADDRESS(3,ROW()-31,1)):INDIRECT(ADDRESS(22,ROW()-31,1)),AJ$3:AJ$22),"")</f>
        <v>20</v>
      </c>
      <c r="AK59">
        <f ca="1">IF(AND(((COLUMN()-10)&lt;=playercnt),((ROW()-41)&lt;=playercnt)),SUMPRODUCT(INDIRECT(ADDRESS(3,ROW()-31,1)):INDIRECT(ADDRESS(22,ROW()-31,1)),AK$3:AK$22),"")</f>
        <v>20</v>
      </c>
      <c r="AL59">
        <f ca="1">IF(AND(((COLUMN()-10)&lt;=playercnt),((ROW()-41)&lt;=playercnt)),SUMPRODUCT(INDIRECT(ADDRESS(3,ROW()-31,1)):INDIRECT(ADDRESS(22,ROW()-31,1)),AL$3:AL$22),"")</f>
        <v>20</v>
      </c>
      <c r="AM59">
        <f ca="1">IF(AND(((COLUMN()-10)&lt;=playercnt),((ROW()-41)&lt;=playercnt)),SUMPRODUCT(INDIRECT(ADDRESS(3,ROW()-31,1)):INDIRECT(ADDRESS(22,ROW()-31,1)),AM$3:AM$22),"")</f>
        <v>20</v>
      </c>
      <c r="AN59">
        <f ca="1">IF(AND(((COLUMN()-10)&lt;=playercnt),((ROW()-41)&lt;=playercnt)),SUMPRODUCT(INDIRECT(ADDRESS(3,ROW()-31,1)):INDIRECT(ADDRESS(22,ROW()-31,1)),AN$3:AN$22),"")</f>
        <v>20</v>
      </c>
      <c r="AO59">
        <f ca="1">IF(AND(((COLUMN()-10)&lt;=playercnt),((ROW()-41)&lt;=playercnt)),SUMPRODUCT(INDIRECT(ADDRESS(3,ROW()-31,1)):INDIRECT(ADDRESS(22,ROW()-31,1)),AO$3:AO$22),"")</f>
        <v>20</v>
      </c>
      <c r="AP59">
        <f ca="1">IF(AND(((COLUMN()-10)&lt;=playercnt),((ROW()-41)&lt;=playercnt)),SUMPRODUCT(INDIRECT(ADDRESS(3,ROW()-31,1)):INDIRECT(ADDRESS(22,ROW()-31,1)),AP$3:AP$22),"")</f>
        <v>20</v>
      </c>
      <c r="AQ59">
        <f ca="1">IF(AND(((COLUMN()-10)&lt;=playercnt),((ROW()-41)&lt;=playercnt)),SUMPRODUCT(INDIRECT(ADDRESS(3,ROW()-31,1)):INDIRECT(ADDRESS(22,ROW()-31,1)),AQ$3:AQ$22),"")</f>
        <v>20</v>
      </c>
      <c r="AR59">
        <f ca="1">IF(AND(((COLUMN()-10)&lt;=playercnt),((ROW()-41)&lt;=playercnt)),SUMPRODUCT(INDIRECT(ADDRESS(3,ROW()-31,1)):INDIRECT(ADDRESS(22,ROW()-31,1)),AR$3:AR$22),"")</f>
        <v>20</v>
      </c>
      <c r="AS59">
        <f ca="1">IF(AND(((COLUMN()-10)&lt;=playercnt),((ROW()-41)&lt;=playercnt)),SUMPRODUCT(INDIRECT(ADDRESS(3,ROW()-31,1)):INDIRECT(ADDRESS(22,ROW()-31,1)),AS$3:AS$22),"")</f>
        <v>20</v>
      </c>
      <c r="AT59">
        <f ca="1">IF(AND(((COLUMN()-10)&lt;=playercnt),((ROW()-41)&lt;=playercnt)),SUMPRODUCT(INDIRECT(ADDRESS(3,ROW()-31,1)):INDIRECT(ADDRESS(22,ROW()-31,1)),AT$3:AT$22),"")</f>
        <v>20</v>
      </c>
      <c r="AU59">
        <f ca="1">IF(AND(((COLUMN()-10)&lt;=playercnt),((ROW()-41)&lt;=playercnt)),SUMPRODUCT(INDIRECT(ADDRESS(3,ROW()-31,1)):INDIRECT(ADDRESS(22,ROW()-31,1)),AU$3:AU$22),"")</f>
        <v>20</v>
      </c>
      <c r="AV59">
        <f ca="1">IF(AND(((COLUMN()-10)&lt;=playercnt),((ROW()-41)&lt;=playercnt)),SUMPRODUCT(INDIRECT(ADDRESS(3,ROW()-31,1)):INDIRECT(ADDRESS(22,ROW()-31,1)),AV$3:AV$22),"")</f>
        <v>20</v>
      </c>
      <c r="AW59">
        <f ca="1">IF(AND(((COLUMN()-10)&lt;=playercnt),((ROW()-41)&lt;=playercnt)),SUMPRODUCT(INDIRECT(ADDRESS(3,ROW()-31,1)):INDIRECT(ADDRESS(22,ROW()-31,1)),AW$3:AW$22),"")</f>
        <v>20</v>
      </c>
      <c r="AX59">
        <f ca="1">IF(AND(((COLUMN()-10)&lt;=playercnt),((ROW()-41)&lt;=playercnt)),SUMPRODUCT(INDIRECT(ADDRESS(3,ROW()-31,1)):INDIRECT(ADDRESS(22,ROW()-31,1)),AX$3:AX$22),"")</f>
        <v>20</v>
      </c>
      <c r="AY59">
        <f ca="1">IF(AND(((COLUMN()-10)&lt;=playercnt),((ROW()-41)&lt;=playercnt)),SUMPRODUCT(INDIRECT(ADDRESS(3,ROW()-31,1)):INDIRECT(ADDRESS(22,ROW()-31,1)),AY$3:AY$22),"")</f>
        <v>20</v>
      </c>
      <c r="AZ59">
        <f ca="1">IF(AND(((COLUMN()-10)&lt;=playercnt),((ROW()-41)&lt;=playercnt)),SUMPRODUCT(INDIRECT(ADDRESS(3,ROW()-31,1)):INDIRECT(ADDRESS(22,ROW()-31,1)),AZ$3:AZ$22),"")</f>
        <v>20</v>
      </c>
      <c r="BA59">
        <f ca="1">IF(AND(((COLUMN()-10)&lt;=playercnt),((ROW()-41)&lt;=playercnt)),SUMPRODUCT(INDIRECT(ADDRESS(3,ROW()-31,1)):INDIRECT(ADDRESS(22,ROW()-31,1)),BA$3:BA$22),"")</f>
        <v>20</v>
      </c>
      <c r="BB59">
        <f ca="1">IF(AND(((COLUMN()-10)&lt;=playercnt),((ROW()-41)&lt;=playercnt)),SUMPRODUCT(INDIRECT(ADDRESS(3,ROW()-31,1)):INDIRECT(ADDRESS(22,ROW()-31,1)),BB$3:BB$22),"")</f>
        <v>20</v>
      </c>
      <c r="BC59">
        <f ca="1">IF(AND(((COLUMN()-10)&lt;=playercnt),((ROW()-41)&lt;=playercnt)),SUMPRODUCT(INDIRECT(ADDRESS(3,ROW()-31,1)):INDIRECT(ADDRESS(22,ROW()-31,1)),BC$3:BC$22),"")</f>
        <v>20</v>
      </c>
      <c r="BD59">
        <f ca="1">IF(AND(((COLUMN()-10)&lt;=playercnt),((ROW()-41)&lt;=playercnt)),SUMPRODUCT(INDIRECT(ADDRESS(3,ROW()-31,1)):INDIRECT(ADDRESS(22,ROW()-31,1)),BD$3:BD$22),"")</f>
        <v>20</v>
      </c>
      <c r="BE59">
        <f ca="1">IF(AND(((COLUMN()-10)&lt;=playercnt),((ROW()-41)&lt;=playercnt)),SUMPRODUCT(INDIRECT(ADDRESS(3,ROW()-31,1)):INDIRECT(ADDRESS(22,ROW()-31,1)),BE$3:BE$22),"")</f>
        <v>20</v>
      </c>
      <c r="BF59">
        <f ca="1">IF(AND(((COLUMN()-10)&lt;=playercnt),((ROW()-41)&lt;=playercnt)),SUMPRODUCT(INDIRECT(ADDRESS(3,ROW()-31,1)):INDIRECT(ADDRESS(22,ROW()-31,1)),BF$3:BF$22),"")</f>
        <v>20</v>
      </c>
      <c r="BG59">
        <f ca="1">IF(AND(((COLUMN()-10)&lt;=playercnt),((ROW()-41)&lt;=playercnt)),SUMPRODUCT(INDIRECT(ADDRESS(3,ROW()-31,1)):INDIRECT(ADDRESS(22,ROW()-31,1)),BG$3:BG$22),"")</f>
        <v>20</v>
      </c>
      <c r="BH59">
        <f ca="1">IF(AND(((COLUMN()-10)&lt;=playercnt),((ROW()-41)&lt;=playercnt)),SUMPRODUCT(INDIRECT(ADDRESS(3,ROW()-31,1)):INDIRECT(ADDRESS(22,ROW()-31,1)),BH$3:BH$22),"")</f>
        <v>20</v>
      </c>
      <c r="BI59">
        <f ca="1">IF(AND(((COLUMN()-10)&lt;=playercnt),((ROW()-41)&lt;=playercnt)),SUMPRODUCT(INDIRECT(ADDRESS(3,ROW()-31,1)):INDIRECT(ADDRESS(22,ROW()-31,1)),BI$3:BI$22),"")</f>
        <v>20</v>
      </c>
      <c r="BJ59">
        <f ca="1">IF(AND(((COLUMN()-10)&lt;=playercnt),((ROW()-41)&lt;=playercnt)),SUMPRODUCT(INDIRECT(ADDRESS(3,ROW()-31,1)):INDIRECT(ADDRESS(22,ROW()-31,1)),BJ$3:BJ$22),"")</f>
        <v>20</v>
      </c>
      <c r="BK59">
        <f ca="1">IF(AND(((COLUMN()-10)&lt;=playercnt),((ROW()-41)&lt;=playercnt)),SUMPRODUCT(INDIRECT(ADDRESS(3,ROW()-31,1)):INDIRECT(ADDRESS(22,ROW()-31,1)),BK$3:BK$22),"")</f>
        <v>20</v>
      </c>
      <c r="BL59">
        <f ca="1">IF(AND(((COLUMN()-10)&lt;=playercnt),((ROW()-41)&lt;=playercnt)),SUMPRODUCT(INDIRECT(ADDRESS(3,ROW()-31,1)):INDIRECT(ADDRESS(22,ROW()-31,1)),BL$3:BL$22),"")</f>
        <v>20</v>
      </c>
      <c r="BM59">
        <f ca="1">IF(AND(((COLUMN()-10)&lt;=playercnt),((ROW()-41)&lt;=playercnt)),SUMPRODUCT(INDIRECT(ADDRESS(3,ROW()-31,1)):INDIRECT(ADDRESS(22,ROW()-31,1)),BM$3:BM$22),"")</f>
        <v>20</v>
      </c>
      <c r="BN59">
        <f ca="1">IF(AND(((COLUMN()-10)&lt;=playercnt),((ROW()-41)&lt;=playercnt)),SUMPRODUCT(INDIRECT(ADDRESS(3,ROW()-31,1)):INDIRECT(ADDRESS(22,ROW()-31,1)),BN$3:BN$22),"")</f>
        <v>20</v>
      </c>
      <c r="BO59" t="str">
        <f ca="1">IF(AND(((COLUMN()-10)&lt;=playercnt),((ROW()-41)&lt;=playercnt)),SUMPRODUCT(INDIRECT(ADDRESS(3,ROW()-31,1)):INDIRECT(ADDRESS(22,ROW()-31,1)),BO$3:BO$22),"")</f>
        <v/>
      </c>
    </row>
    <row r="60" spans="1:67" x14ac:dyDescent="0.25">
      <c r="B60" s="27" t="str">
        <f t="shared" ca="1" si="23"/>
        <v/>
      </c>
      <c r="C60" t="e">
        <f t="shared" ca="1" si="24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>
        <f ca="1">IF(AND(((COLUMN()-10)&lt;=playercnt),((ROW()-41)&lt;=playercnt)),SUMPRODUCT(INDIRECT(ADDRESS(3,ROW()-31,1)):INDIRECT(ADDRESS(22,ROW()-31,1)),AD$3:AD$22),"")</f>
        <v>20</v>
      </c>
      <c r="AE60">
        <f ca="1">IF(AND(((COLUMN()-10)&lt;=playercnt),((ROW()-41)&lt;=playercnt)),SUMPRODUCT(INDIRECT(ADDRESS(3,ROW()-31,1)):INDIRECT(ADDRESS(22,ROW()-31,1)),AE$3:AE$22),"")</f>
        <v>20</v>
      </c>
      <c r="AF60">
        <f ca="1">IF(AND(((COLUMN()-10)&lt;=playercnt),((ROW()-41)&lt;=playercnt)),SUMPRODUCT(INDIRECT(ADDRESS(3,ROW()-31,1)):INDIRECT(ADDRESS(22,ROW()-31,1)),AF$3:AF$22),"")</f>
        <v>20</v>
      </c>
      <c r="AG60">
        <f ca="1">IF(AND(((COLUMN()-10)&lt;=playercnt),((ROW()-41)&lt;=playercnt)),SUMPRODUCT(INDIRECT(ADDRESS(3,ROW()-31,1)):INDIRECT(ADDRESS(22,ROW()-31,1)),AG$3:AG$22),"")</f>
        <v>20</v>
      </c>
      <c r="AH60">
        <f ca="1">IF(AND(((COLUMN()-10)&lt;=playercnt),((ROW()-41)&lt;=playercnt)),SUMPRODUCT(INDIRECT(ADDRESS(3,ROW()-31,1)):INDIRECT(ADDRESS(22,ROW()-31,1)),AH$3:AH$22),"")</f>
        <v>20</v>
      </c>
      <c r="AI60">
        <f ca="1">IF(AND(((COLUMN()-10)&lt;=playercnt),((ROW()-41)&lt;=playercnt)),SUMPRODUCT(INDIRECT(ADDRESS(3,ROW()-31,1)):INDIRECT(ADDRESS(22,ROW()-31,1)),AI$3:AI$22),"")</f>
        <v>20</v>
      </c>
      <c r="AJ60">
        <f ca="1">IF(AND(((COLUMN()-10)&lt;=playercnt),((ROW()-41)&lt;=playercnt)),SUMPRODUCT(INDIRECT(ADDRESS(3,ROW()-31,1)):INDIRECT(ADDRESS(22,ROW()-31,1)),AJ$3:AJ$22),"")</f>
        <v>20</v>
      </c>
      <c r="AK60">
        <f ca="1">IF(AND(((COLUMN()-10)&lt;=playercnt),((ROW()-41)&lt;=playercnt)),SUMPRODUCT(INDIRECT(ADDRESS(3,ROW()-31,1)):INDIRECT(ADDRESS(22,ROW()-31,1)),AK$3:AK$22),"")</f>
        <v>20</v>
      </c>
      <c r="AL60">
        <f ca="1">IF(AND(((COLUMN()-10)&lt;=playercnt),((ROW()-41)&lt;=playercnt)),SUMPRODUCT(INDIRECT(ADDRESS(3,ROW()-31,1)):INDIRECT(ADDRESS(22,ROW()-31,1)),AL$3:AL$22),"")</f>
        <v>20</v>
      </c>
      <c r="AM60">
        <f ca="1">IF(AND(((COLUMN()-10)&lt;=playercnt),((ROW()-41)&lt;=playercnt)),SUMPRODUCT(INDIRECT(ADDRESS(3,ROW()-31,1)):INDIRECT(ADDRESS(22,ROW()-31,1)),AM$3:AM$22),"")</f>
        <v>20</v>
      </c>
      <c r="AN60">
        <f ca="1">IF(AND(((COLUMN()-10)&lt;=playercnt),((ROW()-41)&lt;=playercnt)),SUMPRODUCT(INDIRECT(ADDRESS(3,ROW()-31,1)):INDIRECT(ADDRESS(22,ROW()-31,1)),AN$3:AN$22),"")</f>
        <v>20</v>
      </c>
      <c r="AO60">
        <f ca="1">IF(AND(((COLUMN()-10)&lt;=playercnt),((ROW()-41)&lt;=playercnt)),SUMPRODUCT(INDIRECT(ADDRESS(3,ROW()-31,1)):INDIRECT(ADDRESS(22,ROW()-31,1)),AO$3:AO$22),"")</f>
        <v>20</v>
      </c>
      <c r="AP60">
        <f ca="1">IF(AND(((COLUMN()-10)&lt;=playercnt),((ROW()-41)&lt;=playercnt)),SUMPRODUCT(INDIRECT(ADDRESS(3,ROW()-31,1)):INDIRECT(ADDRESS(22,ROW()-31,1)),AP$3:AP$22),"")</f>
        <v>20</v>
      </c>
      <c r="AQ60">
        <f ca="1">IF(AND(((COLUMN()-10)&lt;=playercnt),((ROW()-41)&lt;=playercnt)),SUMPRODUCT(INDIRECT(ADDRESS(3,ROW()-31,1)):INDIRECT(ADDRESS(22,ROW()-31,1)),AQ$3:AQ$22),"")</f>
        <v>20</v>
      </c>
      <c r="AR60">
        <f ca="1">IF(AND(((COLUMN()-10)&lt;=playercnt),((ROW()-41)&lt;=playercnt)),SUMPRODUCT(INDIRECT(ADDRESS(3,ROW()-31,1)):INDIRECT(ADDRESS(22,ROW()-31,1)),AR$3:AR$22),"")</f>
        <v>20</v>
      </c>
      <c r="AS60">
        <f ca="1">IF(AND(((COLUMN()-10)&lt;=playercnt),((ROW()-41)&lt;=playercnt)),SUMPRODUCT(INDIRECT(ADDRESS(3,ROW()-31,1)):INDIRECT(ADDRESS(22,ROW()-31,1)),AS$3:AS$22),"")</f>
        <v>20</v>
      </c>
      <c r="AT60">
        <f ca="1">IF(AND(((COLUMN()-10)&lt;=playercnt),((ROW()-41)&lt;=playercnt)),SUMPRODUCT(INDIRECT(ADDRESS(3,ROW()-31,1)):INDIRECT(ADDRESS(22,ROW()-31,1)),AT$3:AT$22),"")</f>
        <v>20</v>
      </c>
      <c r="AU60">
        <f ca="1">IF(AND(((COLUMN()-10)&lt;=playercnt),((ROW()-41)&lt;=playercnt)),SUMPRODUCT(INDIRECT(ADDRESS(3,ROW()-31,1)):INDIRECT(ADDRESS(22,ROW()-31,1)),AU$3:AU$22),"")</f>
        <v>20</v>
      </c>
      <c r="AV60">
        <f ca="1">IF(AND(((COLUMN()-10)&lt;=playercnt),((ROW()-41)&lt;=playercnt)),SUMPRODUCT(INDIRECT(ADDRESS(3,ROW()-31,1)):INDIRECT(ADDRESS(22,ROW()-31,1)),AV$3:AV$22),"")</f>
        <v>20</v>
      </c>
      <c r="AW60">
        <f ca="1">IF(AND(((COLUMN()-10)&lt;=playercnt),((ROW()-41)&lt;=playercnt)),SUMPRODUCT(INDIRECT(ADDRESS(3,ROW()-31,1)):INDIRECT(ADDRESS(22,ROW()-31,1)),AW$3:AW$22),"")</f>
        <v>20</v>
      </c>
      <c r="AX60">
        <f ca="1">IF(AND(((COLUMN()-10)&lt;=playercnt),((ROW()-41)&lt;=playercnt)),SUMPRODUCT(INDIRECT(ADDRESS(3,ROW()-31,1)):INDIRECT(ADDRESS(22,ROW()-31,1)),AX$3:AX$22),"")</f>
        <v>20</v>
      </c>
      <c r="AY60">
        <f ca="1">IF(AND(((COLUMN()-10)&lt;=playercnt),((ROW()-41)&lt;=playercnt)),SUMPRODUCT(INDIRECT(ADDRESS(3,ROW()-31,1)):INDIRECT(ADDRESS(22,ROW()-31,1)),AY$3:AY$22),"")</f>
        <v>20</v>
      </c>
      <c r="AZ60">
        <f ca="1">IF(AND(((COLUMN()-10)&lt;=playercnt),((ROW()-41)&lt;=playercnt)),SUMPRODUCT(INDIRECT(ADDRESS(3,ROW()-31,1)):INDIRECT(ADDRESS(22,ROW()-31,1)),AZ$3:AZ$22),"")</f>
        <v>20</v>
      </c>
      <c r="BA60">
        <f ca="1">IF(AND(((COLUMN()-10)&lt;=playercnt),((ROW()-41)&lt;=playercnt)),SUMPRODUCT(INDIRECT(ADDRESS(3,ROW()-31,1)):INDIRECT(ADDRESS(22,ROW()-31,1)),BA$3:BA$22),"")</f>
        <v>20</v>
      </c>
      <c r="BB60">
        <f ca="1">IF(AND(((COLUMN()-10)&lt;=playercnt),((ROW()-41)&lt;=playercnt)),SUMPRODUCT(INDIRECT(ADDRESS(3,ROW()-31,1)):INDIRECT(ADDRESS(22,ROW()-31,1)),BB$3:BB$22),"")</f>
        <v>20</v>
      </c>
      <c r="BC60">
        <f ca="1">IF(AND(((COLUMN()-10)&lt;=playercnt),((ROW()-41)&lt;=playercnt)),SUMPRODUCT(INDIRECT(ADDRESS(3,ROW()-31,1)):INDIRECT(ADDRESS(22,ROW()-31,1)),BC$3:BC$22),"")</f>
        <v>20</v>
      </c>
      <c r="BD60">
        <f ca="1">IF(AND(((COLUMN()-10)&lt;=playercnt),((ROW()-41)&lt;=playercnt)),SUMPRODUCT(INDIRECT(ADDRESS(3,ROW()-31,1)):INDIRECT(ADDRESS(22,ROW()-31,1)),BD$3:BD$22),"")</f>
        <v>20</v>
      </c>
      <c r="BE60">
        <f ca="1">IF(AND(((COLUMN()-10)&lt;=playercnt),((ROW()-41)&lt;=playercnt)),SUMPRODUCT(INDIRECT(ADDRESS(3,ROW()-31,1)):INDIRECT(ADDRESS(22,ROW()-31,1)),BE$3:BE$22),"")</f>
        <v>20</v>
      </c>
      <c r="BF60">
        <f ca="1">IF(AND(((COLUMN()-10)&lt;=playercnt),((ROW()-41)&lt;=playercnt)),SUMPRODUCT(INDIRECT(ADDRESS(3,ROW()-31,1)):INDIRECT(ADDRESS(22,ROW()-31,1)),BF$3:BF$22),"")</f>
        <v>20</v>
      </c>
      <c r="BG60">
        <f ca="1">IF(AND(((COLUMN()-10)&lt;=playercnt),((ROW()-41)&lt;=playercnt)),SUMPRODUCT(INDIRECT(ADDRESS(3,ROW()-31,1)):INDIRECT(ADDRESS(22,ROW()-31,1)),BG$3:BG$22),"")</f>
        <v>20</v>
      </c>
      <c r="BH60">
        <f ca="1">IF(AND(((COLUMN()-10)&lt;=playercnt),((ROW()-41)&lt;=playercnt)),SUMPRODUCT(INDIRECT(ADDRESS(3,ROW()-31,1)):INDIRECT(ADDRESS(22,ROW()-31,1)),BH$3:BH$22),"")</f>
        <v>20</v>
      </c>
      <c r="BI60">
        <f ca="1">IF(AND(((COLUMN()-10)&lt;=playercnt),((ROW()-41)&lt;=playercnt)),SUMPRODUCT(INDIRECT(ADDRESS(3,ROW()-31,1)):INDIRECT(ADDRESS(22,ROW()-31,1)),BI$3:BI$22),"")</f>
        <v>20</v>
      </c>
      <c r="BJ60">
        <f ca="1">IF(AND(((COLUMN()-10)&lt;=playercnt),((ROW()-41)&lt;=playercnt)),SUMPRODUCT(INDIRECT(ADDRESS(3,ROW()-31,1)):INDIRECT(ADDRESS(22,ROW()-31,1)),BJ$3:BJ$22),"")</f>
        <v>20</v>
      </c>
      <c r="BK60">
        <f ca="1">IF(AND(((COLUMN()-10)&lt;=playercnt),((ROW()-41)&lt;=playercnt)),SUMPRODUCT(INDIRECT(ADDRESS(3,ROW()-31,1)):INDIRECT(ADDRESS(22,ROW()-31,1)),BK$3:BK$22),"")</f>
        <v>20</v>
      </c>
      <c r="BL60">
        <f ca="1">IF(AND(((COLUMN()-10)&lt;=playercnt),((ROW()-41)&lt;=playercnt)),SUMPRODUCT(INDIRECT(ADDRESS(3,ROW()-31,1)):INDIRECT(ADDRESS(22,ROW()-31,1)),BL$3:BL$22),"")</f>
        <v>20</v>
      </c>
      <c r="BM60">
        <f ca="1">IF(AND(((COLUMN()-10)&lt;=playercnt),((ROW()-41)&lt;=playercnt)),SUMPRODUCT(INDIRECT(ADDRESS(3,ROW()-31,1)):INDIRECT(ADDRESS(22,ROW()-31,1)),BM$3:BM$22),"")</f>
        <v>20</v>
      </c>
      <c r="BN60">
        <f ca="1">IF(AND(((COLUMN()-10)&lt;=playercnt),((ROW()-41)&lt;=playercnt)),SUMPRODUCT(INDIRECT(ADDRESS(3,ROW()-31,1)):INDIRECT(ADDRESS(22,ROW()-31,1)),BN$3:BN$22),"")</f>
        <v>20</v>
      </c>
      <c r="BO60" t="str">
        <f ca="1">IF(AND(((COLUMN()-10)&lt;=playercnt),((ROW()-41)&lt;=playercnt)),SUMPRODUCT(INDIRECT(ADDRESS(3,ROW()-31,1)):INDIRECT(ADDRESS(22,ROW()-31,1)),BO$3:BO$22),"")</f>
        <v/>
      </c>
    </row>
    <row r="61" spans="1:67" x14ac:dyDescent="0.25">
      <c r="B61" s="27" t="str">
        <f t="shared" ca="1" si="23"/>
        <v/>
      </c>
      <c r="C61" t="e">
        <f t="shared" ca="1" si="24"/>
        <v>#REF!</v>
      </c>
      <c r="G61">
        <f ca="1">IF(AND(((COLUMN()-10)&lt;=playercnt),((ROW()-41)&lt;=playercnt)),SUMPRODUCT(INDIRECT(ADDRESS(3,ROW()-31,1)):INDIRECT(ADDRESS(22,ROW()-31,1)),G$3:G$22),"")</f>
        <v>20</v>
      </c>
      <c r="H61" t="e">
        <f ca="1">IF(AND(((COLUMN()-10)&lt;=playercnt),((ROW()-41)&lt;=playercnt)),SUMPRODUCT(INDIRECT(ADDRESS(3,ROW()-31,1)):INDIRECT(ADDRESS(22,ROW()-31,1)),H$3:H$22),"")</f>
        <v>#REF!</v>
      </c>
      <c r="I61" t="e">
        <f ca="1">IF(AND(((COLUMN()-10)&lt;=playercnt),((ROW()-41)&lt;=playercnt)),SUMPRODUCT(INDIRECT(ADDRESS(3,ROW()-31,1)):INDIRECT(ADDRESS(22,ROW()-31,1)),I$3:I$22),"")</f>
        <v>#REF!</v>
      </c>
      <c r="J61">
        <f ca="1">IF(AND(((COLUMN()-10)&lt;=playercnt),((ROW()-41)&lt;=playercnt)),SUMPRODUCT(INDIRECT(ADDRESS(3,ROW()-31,1)):INDIRECT(ADDRESS(22,ROW()-31,1)),J$3:J$22),"")</f>
        <v>20</v>
      </c>
      <c r="K61">
        <f ca="1">IF(AND(((COLUMN()-10)&lt;=playercnt),((ROW()-41)&lt;=playercnt)),SUMPRODUCT(INDIRECT(ADDRESS(3,ROW()-31,1)):INDIRECT(ADDRESS(22,ROW()-31,1)),K$3:K$22),"")</f>
        <v>20</v>
      </c>
      <c r="L61">
        <f ca="1">IF(AND(((COLUMN()-10)&lt;=playercnt),((ROW()-41)&lt;=playercnt)),SUMPRODUCT(INDIRECT(ADDRESS(3,ROW()-31,1)):INDIRECT(ADDRESS(22,ROW()-31,1)),L$3:L$22),"")</f>
        <v>20</v>
      </c>
      <c r="M61">
        <f ca="1">IF(AND(((COLUMN()-10)&lt;=playercnt),((ROW()-41)&lt;=playercnt)),SUMPRODUCT(INDIRECT(ADDRESS(3,ROW()-31,1)):INDIRECT(ADDRESS(22,ROW()-31,1)),M$3:M$22),"")</f>
        <v>20</v>
      </c>
      <c r="N61">
        <f ca="1">IF(AND(((COLUMN()-10)&lt;=playercnt),((ROW()-41)&lt;=playercnt)),SUMPRODUCT(INDIRECT(ADDRESS(3,ROW()-31,1)):INDIRECT(ADDRESS(22,ROW()-31,1)),N$3:N$22),"")</f>
        <v>20</v>
      </c>
      <c r="O61">
        <f ca="1">IF(AND(((COLUMN()-10)&lt;=playercnt),((ROW()-41)&lt;=playercnt)),SUMPRODUCT(INDIRECT(ADDRESS(3,ROW()-31,1)):INDIRECT(ADDRESS(22,ROW()-31,1)),O$3:O$22),"")</f>
        <v>20</v>
      </c>
      <c r="P61">
        <f ca="1">IF(AND(((COLUMN()-10)&lt;=playercnt),((ROW()-41)&lt;=playercnt)),SUMPRODUCT(INDIRECT(ADDRESS(3,ROW()-31,1)):INDIRECT(ADDRESS(22,ROW()-31,1)),P$3:P$22),"")</f>
        <v>20</v>
      </c>
      <c r="Q61">
        <f ca="1">IF(AND(((COLUMN()-10)&lt;=playercnt),((ROW()-41)&lt;=playercnt)),SUMPRODUCT(INDIRECT(ADDRESS(3,ROW()-31,1)):INDIRECT(ADDRESS(22,ROW()-31,1)),Q$3:Q$22),"")</f>
        <v>20</v>
      </c>
      <c r="R61">
        <f ca="1">IF(AND(((COLUMN()-10)&lt;=playercnt),((ROW()-41)&lt;=playercnt)),SUMPRODUCT(INDIRECT(ADDRESS(3,ROW()-31,1)):INDIRECT(ADDRESS(22,ROW()-31,1)),R$3:R$22),"")</f>
        <v>20</v>
      </c>
      <c r="S61">
        <f ca="1">IF(AND(((COLUMN()-10)&lt;=playercnt),((ROW()-41)&lt;=playercnt)),SUMPRODUCT(INDIRECT(ADDRESS(3,ROW()-31,1)):INDIRECT(ADDRESS(22,ROW()-31,1)),S$3:S$22),"")</f>
        <v>20</v>
      </c>
      <c r="T61">
        <f ca="1">IF(AND(((COLUMN()-10)&lt;=playercnt),((ROW()-41)&lt;=playercnt)),SUMPRODUCT(INDIRECT(ADDRESS(3,ROW()-31,1)):INDIRECT(ADDRESS(22,ROW()-31,1)),T$3:T$22),"")</f>
        <v>20</v>
      </c>
      <c r="U61">
        <f ca="1">IF(AND(((COLUMN()-10)&lt;=playercnt),((ROW()-41)&lt;=playercnt)),SUMPRODUCT(INDIRECT(ADDRESS(3,ROW()-31,1)):INDIRECT(ADDRESS(22,ROW()-31,1)),U$3:U$22),"")</f>
        <v>20</v>
      </c>
      <c r="V61">
        <f ca="1">IF(AND(((COLUMN()-10)&lt;=playercnt),((ROW()-41)&lt;=playercnt)),SUMPRODUCT(INDIRECT(ADDRESS(3,ROW()-31,1)):INDIRECT(ADDRESS(22,ROW()-31,1)),V$3:V$22),"")</f>
        <v>20</v>
      </c>
      <c r="W61">
        <f ca="1">IF(AND(((COLUMN()-10)&lt;=playercnt),((ROW()-41)&lt;=playercnt)),SUMPRODUCT(INDIRECT(ADDRESS(3,ROW()-31,1)):INDIRECT(ADDRESS(22,ROW()-31,1)),W$3:W$22),"")</f>
        <v>20</v>
      </c>
      <c r="X61">
        <f ca="1">IF(AND(((COLUMN()-10)&lt;=playercnt),((ROW()-41)&lt;=playercnt)),SUMPRODUCT(INDIRECT(ADDRESS(3,ROW()-31,1)):INDIRECT(ADDRESS(22,ROW()-31,1)),X$3:X$22),"")</f>
        <v>20</v>
      </c>
      <c r="Y61">
        <f ca="1">IF(AND(((COLUMN()-10)&lt;=playercnt),((ROW()-41)&lt;=playercnt)),SUMPRODUCT(INDIRECT(ADDRESS(3,ROW()-31,1)):INDIRECT(ADDRESS(22,ROW()-31,1)),Y$3:Y$22),"")</f>
        <v>20</v>
      </c>
      <c r="Z61">
        <f ca="1">IF(AND(((COLUMN()-10)&lt;=playercnt),((ROW()-41)&lt;=playercnt)),SUMPRODUCT(INDIRECT(ADDRESS(3,ROW()-31,1)):INDIRECT(ADDRESS(22,ROW()-31,1)),Z$3:Z$22),"")</f>
        <v>20</v>
      </c>
      <c r="AA61">
        <f ca="1">IF(AND(((COLUMN()-10)&lt;=playercnt),((ROW()-41)&lt;=playercnt)),SUMPRODUCT(INDIRECT(ADDRESS(3,ROW()-31,1)):INDIRECT(ADDRESS(22,ROW()-31,1)),AA$3:AA$22),"")</f>
        <v>20</v>
      </c>
      <c r="AB61">
        <f ca="1">IF(AND(((COLUMN()-10)&lt;=playercnt),((ROW()-41)&lt;=playercnt)),SUMPRODUCT(INDIRECT(ADDRESS(3,ROW()-31,1)):INDIRECT(ADDRESS(22,ROW()-31,1)),AB$3:AB$22),"")</f>
        <v>20</v>
      </c>
      <c r="AC61">
        <f ca="1">IF(AND(((COLUMN()-10)&lt;=playercnt),((ROW()-41)&lt;=playercnt)),SUMPRODUCT(INDIRECT(ADDRESS(3,ROW()-31,1)):INDIRECT(ADDRESS(22,ROW()-31,1)),AC$3:AC$22),"")</f>
        <v>20</v>
      </c>
      <c r="AD61">
        <f ca="1">IF(AND(((COLUMN()-10)&lt;=playercnt),((ROW()-41)&lt;=playercnt)),SUMPRODUCT(INDIRECT(ADDRESS(3,ROW()-31,1)):INDIRECT(ADDRESS(22,ROW()-31,1)),AD$3:AD$22),"")</f>
        <v>20</v>
      </c>
      <c r="AE61">
        <f ca="1">IF(AND(((COLUMN()-10)&lt;=playercnt),((ROW()-41)&lt;=playercnt)),SUMPRODUCT(INDIRECT(ADDRESS(3,ROW()-31,1)):INDIRECT(ADDRESS(22,ROW()-31,1)),AE$3:AE$22),"")</f>
        <v>20</v>
      </c>
      <c r="AF61">
        <f ca="1">IF(AND(((COLUMN()-10)&lt;=playercnt),((ROW()-41)&lt;=playercnt)),SUMPRODUCT(INDIRECT(ADDRESS(3,ROW()-31,1)):INDIRECT(ADDRESS(22,ROW()-31,1)),AF$3:AF$22),"")</f>
        <v>20</v>
      </c>
      <c r="AG61">
        <f ca="1">IF(AND(((COLUMN()-10)&lt;=playercnt),((ROW()-41)&lt;=playercnt)),SUMPRODUCT(INDIRECT(ADDRESS(3,ROW()-31,1)):INDIRECT(ADDRESS(22,ROW()-31,1)),AG$3:AG$22),"")</f>
        <v>20</v>
      </c>
      <c r="AH61">
        <f ca="1">IF(AND(((COLUMN()-10)&lt;=playercnt),((ROW()-41)&lt;=playercnt)),SUMPRODUCT(INDIRECT(ADDRESS(3,ROW()-31,1)):INDIRECT(ADDRESS(22,ROW()-31,1)),AH$3:AH$22),"")</f>
        <v>20</v>
      </c>
      <c r="AI61">
        <f ca="1">IF(AND(((COLUMN()-10)&lt;=playercnt),((ROW()-41)&lt;=playercnt)),SUMPRODUCT(INDIRECT(ADDRESS(3,ROW()-31,1)):INDIRECT(ADDRESS(22,ROW()-31,1)),AI$3:AI$22),"")</f>
        <v>20</v>
      </c>
      <c r="AJ61">
        <f ca="1">IF(AND(((COLUMN()-10)&lt;=playercnt),((ROW()-41)&lt;=playercnt)),SUMPRODUCT(INDIRECT(ADDRESS(3,ROW()-31,1)):INDIRECT(ADDRESS(22,ROW()-31,1)),AJ$3:AJ$22),"")</f>
        <v>20</v>
      </c>
      <c r="AK61">
        <f ca="1">IF(AND(((COLUMN()-10)&lt;=playercnt),((ROW()-41)&lt;=playercnt)),SUMPRODUCT(INDIRECT(ADDRESS(3,ROW()-31,1)):INDIRECT(ADDRESS(22,ROW()-31,1)),AK$3:AK$22),"")</f>
        <v>20</v>
      </c>
      <c r="AL61">
        <f ca="1">IF(AND(((COLUMN()-10)&lt;=playercnt),((ROW()-41)&lt;=playercnt)),SUMPRODUCT(INDIRECT(ADDRESS(3,ROW()-31,1)):INDIRECT(ADDRESS(22,ROW()-31,1)),AL$3:AL$22),"")</f>
        <v>20</v>
      </c>
      <c r="AM61">
        <f ca="1">IF(AND(((COLUMN()-10)&lt;=playercnt),((ROW()-41)&lt;=playercnt)),SUMPRODUCT(INDIRECT(ADDRESS(3,ROW()-31,1)):INDIRECT(ADDRESS(22,ROW()-31,1)),AM$3:AM$22),"")</f>
        <v>20</v>
      </c>
      <c r="AN61">
        <f ca="1">IF(AND(((COLUMN()-10)&lt;=playercnt),((ROW()-41)&lt;=playercnt)),SUMPRODUCT(INDIRECT(ADDRESS(3,ROW()-31,1)):INDIRECT(ADDRESS(22,ROW()-31,1)),AN$3:AN$22),"")</f>
        <v>20</v>
      </c>
      <c r="AO61">
        <f ca="1">IF(AND(((COLUMN()-10)&lt;=playercnt),((ROW()-41)&lt;=playercnt)),SUMPRODUCT(INDIRECT(ADDRESS(3,ROW()-31,1)):INDIRECT(ADDRESS(22,ROW()-31,1)),AO$3:AO$22),"")</f>
        <v>20</v>
      </c>
      <c r="AP61">
        <f ca="1">IF(AND(((COLUMN()-10)&lt;=playercnt),((ROW()-41)&lt;=playercnt)),SUMPRODUCT(INDIRECT(ADDRESS(3,ROW()-31,1)):INDIRECT(ADDRESS(22,ROW()-31,1)),AP$3:AP$22),"")</f>
        <v>20</v>
      </c>
      <c r="AQ61">
        <f ca="1">IF(AND(((COLUMN()-10)&lt;=playercnt),((ROW()-41)&lt;=playercnt)),SUMPRODUCT(INDIRECT(ADDRESS(3,ROW()-31,1)):INDIRECT(ADDRESS(22,ROW()-31,1)),AQ$3:AQ$22),"")</f>
        <v>20</v>
      </c>
      <c r="AR61">
        <f ca="1">IF(AND(((COLUMN()-10)&lt;=playercnt),((ROW()-41)&lt;=playercnt)),SUMPRODUCT(INDIRECT(ADDRESS(3,ROW()-31,1)):INDIRECT(ADDRESS(22,ROW()-31,1)),AR$3:AR$22),"")</f>
        <v>20</v>
      </c>
      <c r="AS61">
        <f ca="1">IF(AND(((COLUMN()-10)&lt;=playercnt),((ROW()-41)&lt;=playercnt)),SUMPRODUCT(INDIRECT(ADDRESS(3,ROW()-31,1)):INDIRECT(ADDRESS(22,ROW()-31,1)),AS$3:AS$22),"")</f>
        <v>20</v>
      </c>
      <c r="AT61">
        <f ca="1">IF(AND(((COLUMN()-10)&lt;=playercnt),((ROW()-41)&lt;=playercnt)),SUMPRODUCT(INDIRECT(ADDRESS(3,ROW()-31,1)):INDIRECT(ADDRESS(22,ROW()-31,1)),AT$3:AT$22),"")</f>
        <v>20</v>
      </c>
      <c r="AU61">
        <f ca="1">IF(AND(((COLUMN()-10)&lt;=playercnt),((ROW()-41)&lt;=playercnt)),SUMPRODUCT(INDIRECT(ADDRESS(3,ROW()-31,1)):INDIRECT(ADDRESS(22,ROW()-31,1)),AU$3:AU$22),"")</f>
        <v>20</v>
      </c>
      <c r="AV61">
        <f ca="1">IF(AND(((COLUMN()-10)&lt;=playercnt),((ROW()-41)&lt;=playercnt)),SUMPRODUCT(INDIRECT(ADDRESS(3,ROW()-31,1)):INDIRECT(ADDRESS(22,ROW()-31,1)),AV$3:AV$22),"")</f>
        <v>20</v>
      </c>
      <c r="AW61">
        <f ca="1">IF(AND(((COLUMN()-10)&lt;=playercnt),((ROW()-41)&lt;=playercnt)),SUMPRODUCT(INDIRECT(ADDRESS(3,ROW()-31,1)):INDIRECT(ADDRESS(22,ROW()-31,1)),AW$3:AW$22),"")</f>
        <v>20</v>
      </c>
      <c r="AX61">
        <f ca="1">IF(AND(((COLUMN()-10)&lt;=playercnt),((ROW()-41)&lt;=playercnt)),SUMPRODUCT(INDIRECT(ADDRESS(3,ROW()-31,1)):INDIRECT(ADDRESS(22,ROW()-31,1)),AX$3:AX$22),"")</f>
        <v>20</v>
      </c>
      <c r="AY61">
        <f ca="1">IF(AND(((COLUMN()-10)&lt;=playercnt),((ROW()-41)&lt;=playercnt)),SUMPRODUCT(INDIRECT(ADDRESS(3,ROW()-31,1)):INDIRECT(ADDRESS(22,ROW()-31,1)),AY$3:AY$22),"")</f>
        <v>20</v>
      </c>
      <c r="AZ61">
        <f ca="1">IF(AND(((COLUMN()-10)&lt;=playercnt),((ROW()-41)&lt;=playercnt)),SUMPRODUCT(INDIRECT(ADDRESS(3,ROW()-31,1)):INDIRECT(ADDRESS(22,ROW()-31,1)),AZ$3:AZ$22),"")</f>
        <v>20</v>
      </c>
      <c r="BA61">
        <f ca="1">IF(AND(((COLUMN()-10)&lt;=playercnt),((ROW()-41)&lt;=playercnt)),SUMPRODUCT(INDIRECT(ADDRESS(3,ROW()-31,1)):INDIRECT(ADDRESS(22,ROW()-31,1)),BA$3:BA$22),"")</f>
        <v>20</v>
      </c>
      <c r="BB61">
        <f ca="1">IF(AND(((COLUMN()-10)&lt;=playercnt),((ROW()-41)&lt;=playercnt)),SUMPRODUCT(INDIRECT(ADDRESS(3,ROW()-31,1)):INDIRECT(ADDRESS(22,ROW()-31,1)),BB$3:BB$22),"")</f>
        <v>20</v>
      </c>
      <c r="BC61">
        <f ca="1">IF(AND(((COLUMN()-10)&lt;=playercnt),((ROW()-41)&lt;=playercnt)),SUMPRODUCT(INDIRECT(ADDRESS(3,ROW()-31,1)):INDIRECT(ADDRESS(22,ROW()-31,1)),BC$3:BC$22),"")</f>
        <v>20</v>
      </c>
      <c r="BD61">
        <f ca="1">IF(AND(((COLUMN()-10)&lt;=playercnt),((ROW()-41)&lt;=playercnt)),SUMPRODUCT(INDIRECT(ADDRESS(3,ROW()-31,1)):INDIRECT(ADDRESS(22,ROW()-31,1)),BD$3:BD$22),"")</f>
        <v>20</v>
      </c>
      <c r="BE61">
        <f ca="1">IF(AND(((COLUMN()-10)&lt;=playercnt),((ROW()-41)&lt;=playercnt)),SUMPRODUCT(INDIRECT(ADDRESS(3,ROW()-31,1)):INDIRECT(ADDRESS(22,ROW()-31,1)),BE$3:BE$22),"")</f>
        <v>20</v>
      </c>
      <c r="BF61">
        <f ca="1">IF(AND(((COLUMN()-10)&lt;=playercnt),((ROW()-41)&lt;=playercnt)),SUMPRODUCT(INDIRECT(ADDRESS(3,ROW()-31,1)):INDIRECT(ADDRESS(22,ROW()-31,1)),BF$3:BF$22),"")</f>
        <v>20</v>
      </c>
      <c r="BG61">
        <f ca="1">IF(AND(((COLUMN()-10)&lt;=playercnt),((ROW()-41)&lt;=playercnt)),SUMPRODUCT(INDIRECT(ADDRESS(3,ROW()-31,1)):INDIRECT(ADDRESS(22,ROW()-31,1)),BG$3:BG$22),"")</f>
        <v>20</v>
      </c>
      <c r="BH61">
        <f ca="1">IF(AND(((COLUMN()-10)&lt;=playercnt),((ROW()-41)&lt;=playercnt)),SUMPRODUCT(INDIRECT(ADDRESS(3,ROW()-31,1)):INDIRECT(ADDRESS(22,ROW()-31,1)),BH$3:BH$22),"")</f>
        <v>20</v>
      </c>
      <c r="BI61">
        <f ca="1">IF(AND(((COLUMN()-10)&lt;=playercnt),((ROW()-41)&lt;=playercnt)),SUMPRODUCT(INDIRECT(ADDRESS(3,ROW()-31,1)):INDIRECT(ADDRESS(22,ROW()-31,1)),BI$3:BI$22),"")</f>
        <v>20</v>
      </c>
      <c r="BJ61">
        <f ca="1">IF(AND(((COLUMN()-10)&lt;=playercnt),((ROW()-41)&lt;=playercnt)),SUMPRODUCT(INDIRECT(ADDRESS(3,ROW()-31,1)):INDIRECT(ADDRESS(22,ROW()-31,1)),BJ$3:BJ$22),"")</f>
        <v>20</v>
      </c>
      <c r="BK61">
        <f ca="1">IF(AND(((COLUMN()-10)&lt;=playercnt),((ROW()-41)&lt;=playercnt)),SUMPRODUCT(INDIRECT(ADDRESS(3,ROW()-31,1)):INDIRECT(ADDRESS(22,ROW()-31,1)),BK$3:BK$22),"")</f>
        <v>20</v>
      </c>
      <c r="BL61">
        <f ca="1">IF(AND(((COLUMN()-10)&lt;=playercnt),((ROW()-41)&lt;=playercnt)),SUMPRODUCT(INDIRECT(ADDRESS(3,ROW()-31,1)):INDIRECT(ADDRESS(22,ROW()-31,1)),BL$3:BL$22),"")</f>
        <v>20</v>
      </c>
      <c r="BM61">
        <f ca="1">IF(AND(((COLUMN()-10)&lt;=playercnt),((ROW()-41)&lt;=playercnt)),SUMPRODUCT(INDIRECT(ADDRESS(3,ROW()-31,1)):INDIRECT(ADDRESS(22,ROW()-31,1)),BM$3:BM$22),"")</f>
        <v>20</v>
      </c>
      <c r="BN61">
        <f ca="1">IF(AND(((COLUMN()-10)&lt;=playercnt),((ROW()-41)&lt;=playercnt)),SUMPRODUCT(INDIRECT(ADDRESS(3,ROW()-31,1)):INDIRECT(ADDRESS(22,ROW()-31,1)),BN$3:BN$22),"")</f>
        <v>20</v>
      </c>
      <c r="BO61" t="str">
        <f ca="1">IF(AND(((COLUMN()-10)&lt;=playercnt),((ROW()-41)&lt;=playercnt)),SUMPRODUCT(INDIRECT(ADDRESS(3,ROW()-31,1)):INDIRECT(ADDRESS(22,ROW()-31,1)),BO$3:BO$22),"")</f>
        <v/>
      </c>
    </row>
    <row r="62" spans="1:67" x14ac:dyDescent="0.25">
      <c r="B62" s="27" t="str">
        <f t="shared" ca="1" si="23"/>
        <v/>
      </c>
      <c r="C62" t="e">
        <f t="shared" ca="1" si="24"/>
        <v>#REF!</v>
      </c>
      <c r="G62">
        <f ca="1">IF(AND(((COLUMN()-10)&lt;=playercnt),((ROW()-41)&lt;=playercnt)),SUMPRODUCT(INDIRECT(ADDRESS(3,ROW()-31,1)):INDIRECT(ADDRESS(22,ROW()-31,1)),G$3:G$22),"")</f>
        <v>20</v>
      </c>
      <c r="H62" t="e">
        <f ca="1">IF(AND(((COLUMN()-10)&lt;=playercnt),((ROW()-41)&lt;=playercnt)),SUMPRODUCT(INDIRECT(ADDRESS(3,ROW()-31,1)):INDIRECT(ADDRESS(22,ROW()-31,1)),H$3:H$22),"")</f>
        <v>#REF!</v>
      </c>
      <c r="I62" t="e">
        <f ca="1">IF(AND(((COLUMN()-10)&lt;=playercnt),((ROW()-41)&lt;=playercnt)),SUMPRODUCT(INDIRECT(ADDRESS(3,ROW()-31,1)):INDIRECT(ADDRESS(22,ROW()-31,1)),I$3:I$22),"")</f>
        <v>#REF!</v>
      </c>
      <c r="J62">
        <f ca="1">IF(AND(((COLUMN()-10)&lt;=playercnt),((ROW()-41)&lt;=playercnt)),SUMPRODUCT(INDIRECT(ADDRESS(3,ROW()-31,1)):INDIRECT(ADDRESS(22,ROW()-31,1)),J$3:J$22),"")</f>
        <v>20</v>
      </c>
      <c r="K62">
        <f ca="1">IF(AND(((COLUMN()-10)&lt;=playercnt),((ROW()-41)&lt;=playercnt)),SUMPRODUCT(INDIRECT(ADDRESS(3,ROW()-31,1)):INDIRECT(ADDRESS(22,ROW()-31,1)),K$3:K$22),"")</f>
        <v>20</v>
      </c>
      <c r="L62">
        <f ca="1">IF(AND(((COLUMN()-10)&lt;=playercnt),((ROW()-41)&lt;=playercnt)),SUMPRODUCT(INDIRECT(ADDRESS(3,ROW()-31,1)):INDIRECT(ADDRESS(22,ROW()-31,1)),L$3:L$22),"")</f>
        <v>20</v>
      </c>
      <c r="M62">
        <f ca="1">IF(AND(((COLUMN()-10)&lt;=playercnt),((ROW()-41)&lt;=playercnt)),SUMPRODUCT(INDIRECT(ADDRESS(3,ROW()-31,1)):INDIRECT(ADDRESS(22,ROW()-31,1)),M$3:M$22),"")</f>
        <v>20</v>
      </c>
      <c r="N62">
        <f ca="1">IF(AND(((COLUMN()-10)&lt;=playercnt),((ROW()-41)&lt;=playercnt)),SUMPRODUCT(INDIRECT(ADDRESS(3,ROW()-31,1)):INDIRECT(ADDRESS(22,ROW()-31,1)),N$3:N$22),"")</f>
        <v>20</v>
      </c>
      <c r="O62">
        <f ca="1">IF(AND(((COLUMN()-10)&lt;=playercnt),((ROW()-41)&lt;=playercnt)),SUMPRODUCT(INDIRECT(ADDRESS(3,ROW()-31,1)):INDIRECT(ADDRESS(22,ROW()-31,1)),O$3:O$22),"")</f>
        <v>20</v>
      </c>
      <c r="P62">
        <f ca="1">IF(AND(((COLUMN()-10)&lt;=playercnt),((ROW()-41)&lt;=playercnt)),SUMPRODUCT(INDIRECT(ADDRESS(3,ROW()-31,1)):INDIRECT(ADDRESS(22,ROW()-31,1)),P$3:P$22),"")</f>
        <v>20</v>
      </c>
      <c r="Q62">
        <f ca="1">IF(AND(((COLUMN()-10)&lt;=playercnt),((ROW()-41)&lt;=playercnt)),SUMPRODUCT(INDIRECT(ADDRESS(3,ROW()-31,1)):INDIRECT(ADDRESS(22,ROW()-31,1)),Q$3:Q$22),"")</f>
        <v>20</v>
      </c>
      <c r="R62">
        <f ca="1">IF(AND(((COLUMN()-10)&lt;=playercnt),((ROW()-41)&lt;=playercnt)),SUMPRODUCT(INDIRECT(ADDRESS(3,ROW()-31,1)):INDIRECT(ADDRESS(22,ROW()-31,1)),R$3:R$22),"")</f>
        <v>20</v>
      </c>
      <c r="S62">
        <f ca="1">IF(AND(((COLUMN()-10)&lt;=playercnt),((ROW()-41)&lt;=playercnt)),SUMPRODUCT(INDIRECT(ADDRESS(3,ROW()-31,1)):INDIRECT(ADDRESS(22,ROW()-31,1)),S$3:S$22),"")</f>
        <v>20</v>
      </c>
      <c r="T62">
        <f ca="1">IF(AND(((COLUMN()-10)&lt;=playercnt),((ROW()-41)&lt;=playercnt)),SUMPRODUCT(INDIRECT(ADDRESS(3,ROW()-31,1)):INDIRECT(ADDRESS(22,ROW()-31,1)),T$3:T$22),"")</f>
        <v>20</v>
      </c>
      <c r="U62">
        <f ca="1">IF(AND(((COLUMN()-10)&lt;=playercnt),((ROW()-41)&lt;=playercnt)),SUMPRODUCT(INDIRECT(ADDRESS(3,ROW()-31,1)):INDIRECT(ADDRESS(22,ROW()-31,1)),U$3:U$22),"")</f>
        <v>20</v>
      </c>
      <c r="V62">
        <f ca="1">IF(AND(((COLUMN()-10)&lt;=playercnt),((ROW()-41)&lt;=playercnt)),SUMPRODUCT(INDIRECT(ADDRESS(3,ROW()-31,1)):INDIRECT(ADDRESS(22,ROW()-31,1)),V$3:V$22),"")</f>
        <v>20</v>
      </c>
      <c r="W62">
        <f ca="1">IF(AND(((COLUMN()-10)&lt;=playercnt),((ROW()-41)&lt;=playercnt)),SUMPRODUCT(INDIRECT(ADDRESS(3,ROW()-31,1)):INDIRECT(ADDRESS(22,ROW()-31,1)),W$3:W$22),"")</f>
        <v>20</v>
      </c>
      <c r="X62">
        <f ca="1">IF(AND(((COLUMN()-10)&lt;=playercnt),((ROW()-41)&lt;=playercnt)),SUMPRODUCT(INDIRECT(ADDRESS(3,ROW()-31,1)):INDIRECT(ADDRESS(22,ROW()-31,1)),X$3:X$22),"")</f>
        <v>20</v>
      </c>
      <c r="Y62">
        <f ca="1">IF(AND(((COLUMN()-10)&lt;=playercnt),((ROW()-41)&lt;=playercnt)),SUMPRODUCT(INDIRECT(ADDRESS(3,ROW()-31,1)):INDIRECT(ADDRESS(22,ROW()-31,1)),Y$3:Y$22),"")</f>
        <v>20</v>
      </c>
      <c r="Z62">
        <f ca="1">IF(AND(((COLUMN()-10)&lt;=playercnt),((ROW()-41)&lt;=playercnt)),SUMPRODUCT(INDIRECT(ADDRESS(3,ROW()-31,1)):INDIRECT(ADDRESS(22,ROW()-31,1)),Z$3:Z$22),"")</f>
        <v>20</v>
      </c>
      <c r="AA62">
        <f ca="1">IF(AND(((COLUMN()-10)&lt;=playercnt),((ROW()-41)&lt;=playercnt)),SUMPRODUCT(INDIRECT(ADDRESS(3,ROW()-31,1)):INDIRECT(ADDRESS(22,ROW()-31,1)),AA$3:AA$22),"")</f>
        <v>20</v>
      </c>
      <c r="AB62">
        <f ca="1">IF(AND(((COLUMN()-10)&lt;=playercnt),((ROW()-41)&lt;=playercnt)),SUMPRODUCT(INDIRECT(ADDRESS(3,ROW()-31,1)):INDIRECT(ADDRESS(22,ROW()-31,1)),AB$3:AB$22),"")</f>
        <v>20</v>
      </c>
      <c r="AC62">
        <f ca="1">IF(AND(((COLUMN()-10)&lt;=playercnt),((ROW()-41)&lt;=playercnt)),SUMPRODUCT(INDIRECT(ADDRESS(3,ROW()-31,1)):INDIRECT(ADDRESS(22,ROW()-31,1)),AC$3:AC$22),"")</f>
        <v>20</v>
      </c>
      <c r="AD62">
        <f ca="1">IF(AND(((COLUMN()-10)&lt;=playercnt),((ROW()-41)&lt;=playercnt)),SUMPRODUCT(INDIRECT(ADDRESS(3,ROW()-31,1)):INDIRECT(ADDRESS(22,ROW()-31,1)),AD$3:AD$22),"")</f>
        <v>20</v>
      </c>
      <c r="AE62">
        <f ca="1">IF(AND(((COLUMN()-10)&lt;=playercnt),((ROW()-41)&lt;=playercnt)),SUMPRODUCT(INDIRECT(ADDRESS(3,ROW()-31,1)):INDIRECT(ADDRESS(22,ROW()-31,1)),AE$3:AE$22),"")</f>
        <v>20</v>
      </c>
      <c r="AF62">
        <f ca="1">IF(AND(((COLUMN()-10)&lt;=playercnt),((ROW()-41)&lt;=playercnt)),SUMPRODUCT(INDIRECT(ADDRESS(3,ROW()-31,1)):INDIRECT(ADDRESS(22,ROW()-31,1)),AF$3:AF$22),"")</f>
        <v>20</v>
      </c>
      <c r="AG62">
        <f ca="1">IF(AND(((COLUMN()-10)&lt;=playercnt),((ROW()-41)&lt;=playercnt)),SUMPRODUCT(INDIRECT(ADDRESS(3,ROW()-31,1)):INDIRECT(ADDRESS(22,ROW()-31,1)),AG$3:AG$22),"")</f>
        <v>20</v>
      </c>
      <c r="AH62">
        <f ca="1">IF(AND(((COLUMN()-10)&lt;=playercnt),((ROW()-41)&lt;=playercnt)),SUMPRODUCT(INDIRECT(ADDRESS(3,ROW()-31,1)):INDIRECT(ADDRESS(22,ROW()-31,1)),AH$3:AH$22),"")</f>
        <v>20</v>
      </c>
      <c r="AI62">
        <f ca="1">IF(AND(((COLUMN()-10)&lt;=playercnt),((ROW()-41)&lt;=playercnt)),SUMPRODUCT(INDIRECT(ADDRESS(3,ROW()-31,1)):INDIRECT(ADDRESS(22,ROW()-31,1)),AI$3:AI$22),"")</f>
        <v>20</v>
      </c>
      <c r="AJ62">
        <f ca="1">IF(AND(((COLUMN()-10)&lt;=playercnt),((ROW()-41)&lt;=playercnt)),SUMPRODUCT(INDIRECT(ADDRESS(3,ROW()-31,1)):INDIRECT(ADDRESS(22,ROW()-31,1)),AJ$3:AJ$22),"")</f>
        <v>20</v>
      </c>
      <c r="AK62">
        <f ca="1">IF(AND(((COLUMN()-10)&lt;=playercnt),((ROW()-41)&lt;=playercnt)),SUMPRODUCT(INDIRECT(ADDRESS(3,ROW()-31,1)):INDIRECT(ADDRESS(22,ROW()-31,1)),AK$3:AK$22),"")</f>
        <v>20</v>
      </c>
      <c r="AL62">
        <f ca="1">IF(AND(((COLUMN()-10)&lt;=playercnt),((ROW()-41)&lt;=playercnt)),SUMPRODUCT(INDIRECT(ADDRESS(3,ROW()-31,1)):INDIRECT(ADDRESS(22,ROW()-31,1)),AL$3:AL$22),"")</f>
        <v>20</v>
      </c>
      <c r="AM62">
        <f ca="1">IF(AND(((COLUMN()-10)&lt;=playercnt),((ROW()-41)&lt;=playercnt)),SUMPRODUCT(INDIRECT(ADDRESS(3,ROW()-31,1)):INDIRECT(ADDRESS(22,ROW()-31,1)),AM$3:AM$22),"")</f>
        <v>20</v>
      </c>
      <c r="AN62">
        <f ca="1">IF(AND(((COLUMN()-10)&lt;=playercnt),((ROW()-41)&lt;=playercnt)),SUMPRODUCT(INDIRECT(ADDRESS(3,ROW()-31,1)):INDIRECT(ADDRESS(22,ROW()-31,1)),AN$3:AN$22),"")</f>
        <v>20</v>
      </c>
      <c r="AO62">
        <f ca="1">IF(AND(((COLUMN()-10)&lt;=playercnt),((ROW()-41)&lt;=playercnt)),SUMPRODUCT(INDIRECT(ADDRESS(3,ROW()-31,1)):INDIRECT(ADDRESS(22,ROW()-31,1)),AO$3:AO$22),"")</f>
        <v>20</v>
      </c>
      <c r="AP62">
        <f ca="1">IF(AND(((COLUMN()-10)&lt;=playercnt),((ROW()-41)&lt;=playercnt)),SUMPRODUCT(INDIRECT(ADDRESS(3,ROW()-31,1)):INDIRECT(ADDRESS(22,ROW()-31,1)),AP$3:AP$22),"")</f>
        <v>20</v>
      </c>
      <c r="AQ62">
        <f ca="1">IF(AND(((COLUMN()-10)&lt;=playercnt),((ROW()-41)&lt;=playercnt)),SUMPRODUCT(INDIRECT(ADDRESS(3,ROW()-31,1)):INDIRECT(ADDRESS(22,ROW()-31,1)),AQ$3:AQ$22),"")</f>
        <v>20</v>
      </c>
      <c r="AR62">
        <f ca="1">IF(AND(((COLUMN()-10)&lt;=playercnt),((ROW()-41)&lt;=playercnt)),SUMPRODUCT(INDIRECT(ADDRESS(3,ROW()-31,1)):INDIRECT(ADDRESS(22,ROW()-31,1)),AR$3:AR$22),"")</f>
        <v>20</v>
      </c>
      <c r="AS62">
        <f ca="1">IF(AND(((COLUMN()-10)&lt;=playercnt),((ROW()-41)&lt;=playercnt)),SUMPRODUCT(INDIRECT(ADDRESS(3,ROW()-31,1)):INDIRECT(ADDRESS(22,ROW()-31,1)),AS$3:AS$22),"")</f>
        <v>20</v>
      </c>
      <c r="AT62">
        <f ca="1">IF(AND(((COLUMN()-10)&lt;=playercnt),((ROW()-41)&lt;=playercnt)),SUMPRODUCT(INDIRECT(ADDRESS(3,ROW()-31,1)):INDIRECT(ADDRESS(22,ROW()-31,1)),AT$3:AT$22),"")</f>
        <v>20</v>
      </c>
      <c r="AU62">
        <f ca="1">IF(AND(((COLUMN()-10)&lt;=playercnt),((ROW()-41)&lt;=playercnt)),SUMPRODUCT(INDIRECT(ADDRESS(3,ROW()-31,1)):INDIRECT(ADDRESS(22,ROW()-31,1)),AU$3:AU$22),"")</f>
        <v>20</v>
      </c>
      <c r="AV62">
        <f ca="1">IF(AND(((COLUMN()-10)&lt;=playercnt),((ROW()-41)&lt;=playercnt)),SUMPRODUCT(INDIRECT(ADDRESS(3,ROW()-31,1)):INDIRECT(ADDRESS(22,ROW()-31,1)),AV$3:AV$22),"")</f>
        <v>20</v>
      </c>
      <c r="AW62">
        <f ca="1">IF(AND(((COLUMN()-10)&lt;=playercnt),((ROW()-41)&lt;=playercnt)),SUMPRODUCT(INDIRECT(ADDRESS(3,ROW()-31,1)):INDIRECT(ADDRESS(22,ROW()-31,1)),AW$3:AW$22),"")</f>
        <v>20</v>
      </c>
      <c r="AX62">
        <f ca="1">IF(AND(((COLUMN()-10)&lt;=playercnt),((ROW()-41)&lt;=playercnt)),SUMPRODUCT(INDIRECT(ADDRESS(3,ROW()-31,1)):INDIRECT(ADDRESS(22,ROW()-31,1)),AX$3:AX$22),"")</f>
        <v>20</v>
      </c>
      <c r="AY62">
        <f ca="1">IF(AND(((COLUMN()-10)&lt;=playercnt),((ROW()-41)&lt;=playercnt)),SUMPRODUCT(INDIRECT(ADDRESS(3,ROW()-31,1)):INDIRECT(ADDRESS(22,ROW()-31,1)),AY$3:AY$22),"")</f>
        <v>20</v>
      </c>
      <c r="AZ62">
        <f ca="1">IF(AND(((COLUMN()-10)&lt;=playercnt),((ROW()-41)&lt;=playercnt)),SUMPRODUCT(INDIRECT(ADDRESS(3,ROW()-31,1)):INDIRECT(ADDRESS(22,ROW()-31,1)),AZ$3:AZ$22),"")</f>
        <v>20</v>
      </c>
      <c r="BA62">
        <f ca="1">IF(AND(((COLUMN()-10)&lt;=playercnt),((ROW()-41)&lt;=playercnt)),SUMPRODUCT(INDIRECT(ADDRESS(3,ROW()-31,1)):INDIRECT(ADDRESS(22,ROW()-31,1)),BA$3:BA$22),"")</f>
        <v>20</v>
      </c>
      <c r="BB62">
        <f ca="1">IF(AND(((COLUMN()-10)&lt;=playercnt),((ROW()-41)&lt;=playercnt)),SUMPRODUCT(INDIRECT(ADDRESS(3,ROW()-31,1)):INDIRECT(ADDRESS(22,ROW()-31,1)),BB$3:BB$22),"")</f>
        <v>20</v>
      </c>
      <c r="BC62">
        <f ca="1">IF(AND(((COLUMN()-10)&lt;=playercnt),((ROW()-41)&lt;=playercnt)),SUMPRODUCT(INDIRECT(ADDRESS(3,ROW()-31,1)):INDIRECT(ADDRESS(22,ROW()-31,1)),BC$3:BC$22),"")</f>
        <v>20</v>
      </c>
      <c r="BD62">
        <f ca="1">IF(AND(((COLUMN()-10)&lt;=playercnt),((ROW()-41)&lt;=playercnt)),SUMPRODUCT(INDIRECT(ADDRESS(3,ROW()-31,1)):INDIRECT(ADDRESS(22,ROW()-31,1)),BD$3:BD$22),"")</f>
        <v>20</v>
      </c>
      <c r="BE62">
        <f ca="1">IF(AND(((COLUMN()-10)&lt;=playercnt),((ROW()-41)&lt;=playercnt)),SUMPRODUCT(INDIRECT(ADDRESS(3,ROW()-31,1)):INDIRECT(ADDRESS(22,ROW()-31,1)),BE$3:BE$22),"")</f>
        <v>20</v>
      </c>
      <c r="BF62">
        <f ca="1">IF(AND(((COLUMN()-10)&lt;=playercnt),((ROW()-41)&lt;=playercnt)),SUMPRODUCT(INDIRECT(ADDRESS(3,ROW()-31,1)):INDIRECT(ADDRESS(22,ROW()-31,1)),BF$3:BF$22),"")</f>
        <v>20</v>
      </c>
      <c r="BG62">
        <f ca="1">IF(AND(((COLUMN()-10)&lt;=playercnt),((ROW()-41)&lt;=playercnt)),SUMPRODUCT(INDIRECT(ADDRESS(3,ROW()-31,1)):INDIRECT(ADDRESS(22,ROW()-31,1)),BG$3:BG$22),"")</f>
        <v>20</v>
      </c>
      <c r="BH62">
        <f ca="1">IF(AND(((COLUMN()-10)&lt;=playercnt),((ROW()-41)&lt;=playercnt)),SUMPRODUCT(INDIRECT(ADDRESS(3,ROW()-31,1)):INDIRECT(ADDRESS(22,ROW()-31,1)),BH$3:BH$22),"")</f>
        <v>20</v>
      </c>
      <c r="BI62">
        <f ca="1">IF(AND(((COLUMN()-10)&lt;=playercnt),((ROW()-41)&lt;=playercnt)),SUMPRODUCT(INDIRECT(ADDRESS(3,ROW()-31,1)):INDIRECT(ADDRESS(22,ROW()-31,1)),BI$3:BI$22),"")</f>
        <v>20</v>
      </c>
      <c r="BJ62">
        <f ca="1">IF(AND(((COLUMN()-10)&lt;=playercnt),((ROW()-41)&lt;=playercnt)),SUMPRODUCT(INDIRECT(ADDRESS(3,ROW()-31,1)):INDIRECT(ADDRESS(22,ROW()-31,1)),BJ$3:BJ$22),"")</f>
        <v>20</v>
      </c>
      <c r="BK62">
        <f ca="1">IF(AND(((COLUMN()-10)&lt;=playercnt),((ROW()-41)&lt;=playercnt)),SUMPRODUCT(INDIRECT(ADDRESS(3,ROW()-31,1)):INDIRECT(ADDRESS(22,ROW()-31,1)),BK$3:BK$22),"")</f>
        <v>20</v>
      </c>
      <c r="BL62">
        <f ca="1">IF(AND(((COLUMN()-10)&lt;=playercnt),((ROW()-41)&lt;=playercnt)),SUMPRODUCT(INDIRECT(ADDRESS(3,ROW()-31,1)):INDIRECT(ADDRESS(22,ROW()-31,1)),BL$3:BL$22),"")</f>
        <v>20</v>
      </c>
      <c r="BM62">
        <f ca="1">IF(AND(((COLUMN()-10)&lt;=playercnt),((ROW()-41)&lt;=playercnt)),SUMPRODUCT(INDIRECT(ADDRESS(3,ROW()-31,1)):INDIRECT(ADDRESS(22,ROW()-31,1)),BM$3:BM$22),"")</f>
        <v>20</v>
      </c>
      <c r="BN62">
        <f ca="1">IF(AND(((COLUMN()-10)&lt;=playercnt),((ROW()-41)&lt;=playercnt)),SUMPRODUCT(INDIRECT(ADDRESS(3,ROW()-31,1)):INDIRECT(ADDRESS(22,ROW()-31,1)),BN$3:BN$22),"")</f>
        <v>20</v>
      </c>
      <c r="BO62" t="str">
        <f ca="1">IF(AND(((COLUMN()-10)&lt;=playercnt),((ROW()-41)&lt;=playercnt)),SUMPRODUCT(INDIRECT(ADDRESS(3,ROW()-31,1)):INDIRECT(ADDRESS(22,ROW()-31,1)),BO$3:BO$22),"")</f>
        <v/>
      </c>
    </row>
    <row r="63" spans="1:67" x14ac:dyDescent="0.25">
      <c r="B63" s="27" t="str">
        <f t="shared" ca="1" si="23"/>
        <v/>
      </c>
      <c r="C63" t="e">
        <f t="shared" ca="1" si="24"/>
        <v>#REF!</v>
      </c>
      <c r="G63">
        <f ca="1">IF(AND(((COLUMN()-10)&lt;=playercnt),((ROW()-41)&lt;=playercnt)),SUMPRODUCT(INDIRECT(ADDRESS(3,ROW()-31,1)):INDIRECT(ADDRESS(22,ROW()-31,1)),G$3:G$22),"")</f>
        <v>20</v>
      </c>
      <c r="H63" t="e">
        <f ca="1">IF(AND(((COLUMN()-10)&lt;=playercnt),((ROW()-41)&lt;=playercnt)),SUMPRODUCT(INDIRECT(ADDRESS(3,ROW()-31,1)):INDIRECT(ADDRESS(22,ROW()-31,1)),H$3:H$22),"")</f>
        <v>#REF!</v>
      </c>
      <c r="I63" t="e">
        <f ca="1">IF(AND(((COLUMN()-10)&lt;=playercnt),((ROW()-41)&lt;=playercnt)),SUMPRODUCT(INDIRECT(ADDRESS(3,ROW()-31,1)):INDIRECT(ADDRESS(22,ROW()-31,1)),I$3:I$22),"")</f>
        <v>#REF!</v>
      </c>
      <c r="J63">
        <f ca="1">IF(AND(((COLUMN()-10)&lt;=playercnt),((ROW()-41)&lt;=playercnt)),SUMPRODUCT(INDIRECT(ADDRESS(3,ROW()-31,1)):INDIRECT(ADDRESS(22,ROW()-31,1)),J$3:J$22),"")</f>
        <v>20</v>
      </c>
      <c r="K63">
        <f ca="1">IF(AND(((COLUMN()-10)&lt;=playercnt),((ROW()-41)&lt;=playercnt)),SUMPRODUCT(INDIRECT(ADDRESS(3,ROW()-31,1)):INDIRECT(ADDRESS(22,ROW()-31,1)),K$3:K$22),"")</f>
        <v>20</v>
      </c>
      <c r="L63">
        <f ca="1">IF(AND(((COLUMN()-10)&lt;=playercnt),((ROW()-41)&lt;=playercnt)),SUMPRODUCT(INDIRECT(ADDRESS(3,ROW()-31,1)):INDIRECT(ADDRESS(22,ROW()-31,1)),L$3:L$22),"")</f>
        <v>20</v>
      </c>
      <c r="M63">
        <f ca="1">IF(AND(((COLUMN()-10)&lt;=playercnt),((ROW()-41)&lt;=playercnt)),SUMPRODUCT(INDIRECT(ADDRESS(3,ROW()-31,1)):INDIRECT(ADDRESS(22,ROW()-31,1)),M$3:M$22),"")</f>
        <v>20</v>
      </c>
      <c r="N63">
        <f ca="1">IF(AND(((COLUMN()-10)&lt;=playercnt),((ROW()-41)&lt;=playercnt)),SUMPRODUCT(INDIRECT(ADDRESS(3,ROW()-31,1)):INDIRECT(ADDRESS(22,ROW()-31,1)),N$3:N$22),"")</f>
        <v>20</v>
      </c>
      <c r="O63">
        <f ca="1">IF(AND(((COLUMN()-10)&lt;=playercnt),((ROW()-41)&lt;=playercnt)),SUMPRODUCT(INDIRECT(ADDRESS(3,ROW()-31,1)):INDIRECT(ADDRESS(22,ROW()-31,1)),O$3:O$22),"")</f>
        <v>20</v>
      </c>
      <c r="P63">
        <f ca="1">IF(AND(((COLUMN()-10)&lt;=playercnt),((ROW()-41)&lt;=playercnt)),SUMPRODUCT(INDIRECT(ADDRESS(3,ROW()-31,1)):INDIRECT(ADDRESS(22,ROW()-31,1)),P$3:P$22),"")</f>
        <v>20</v>
      </c>
      <c r="Q63">
        <f ca="1">IF(AND(((COLUMN()-10)&lt;=playercnt),((ROW()-41)&lt;=playercnt)),SUMPRODUCT(INDIRECT(ADDRESS(3,ROW()-31,1)):INDIRECT(ADDRESS(22,ROW()-31,1)),Q$3:Q$22),"")</f>
        <v>20</v>
      </c>
      <c r="R63">
        <f ca="1">IF(AND(((COLUMN()-10)&lt;=playercnt),((ROW()-41)&lt;=playercnt)),SUMPRODUCT(INDIRECT(ADDRESS(3,ROW()-31,1)):INDIRECT(ADDRESS(22,ROW()-31,1)),R$3:R$22),"")</f>
        <v>20</v>
      </c>
      <c r="S63">
        <f ca="1">IF(AND(((COLUMN()-10)&lt;=playercnt),((ROW()-41)&lt;=playercnt)),SUMPRODUCT(INDIRECT(ADDRESS(3,ROW()-31,1)):INDIRECT(ADDRESS(22,ROW()-31,1)),S$3:S$22),"")</f>
        <v>20</v>
      </c>
      <c r="T63">
        <f ca="1">IF(AND(((COLUMN()-10)&lt;=playercnt),((ROW()-41)&lt;=playercnt)),SUMPRODUCT(INDIRECT(ADDRESS(3,ROW()-31,1)):INDIRECT(ADDRESS(22,ROW()-31,1)),T$3:T$22),"")</f>
        <v>20</v>
      </c>
      <c r="U63">
        <f ca="1">IF(AND(((COLUMN()-10)&lt;=playercnt),((ROW()-41)&lt;=playercnt)),SUMPRODUCT(INDIRECT(ADDRESS(3,ROW()-31,1)):INDIRECT(ADDRESS(22,ROW()-31,1)),U$3:U$22),"")</f>
        <v>20</v>
      </c>
      <c r="V63">
        <f ca="1">IF(AND(((COLUMN()-10)&lt;=playercnt),((ROW()-41)&lt;=playercnt)),SUMPRODUCT(INDIRECT(ADDRESS(3,ROW()-31,1)):INDIRECT(ADDRESS(22,ROW()-31,1)),V$3:V$22),"")</f>
        <v>20</v>
      </c>
      <c r="W63">
        <f ca="1">IF(AND(((COLUMN()-10)&lt;=playercnt),((ROW()-41)&lt;=playercnt)),SUMPRODUCT(INDIRECT(ADDRESS(3,ROW()-31,1)):INDIRECT(ADDRESS(22,ROW()-31,1)),W$3:W$22),"")</f>
        <v>20</v>
      </c>
      <c r="X63">
        <f ca="1">IF(AND(((COLUMN()-10)&lt;=playercnt),((ROW()-41)&lt;=playercnt)),SUMPRODUCT(INDIRECT(ADDRESS(3,ROW()-31,1)):INDIRECT(ADDRESS(22,ROW()-31,1)),X$3:X$22),"")</f>
        <v>20</v>
      </c>
      <c r="Y63">
        <f ca="1">IF(AND(((COLUMN()-10)&lt;=playercnt),((ROW()-41)&lt;=playercnt)),SUMPRODUCT(INDIRECT(ADDRESS(3,ROW()-31,1)):INDIRECT(ADDRESS(22,ROW()-31,1)),Y$3:Y$22),"")</f>
        <v>20</v>
      </c>
      <c r="Z63">
        <f ca="1">IF(AND(((COLUMN()-10)&lt;=playercnt),((ROW()-41)&lt;=playercnt)),SUMPRODUCT(INDIRECT(ADDRESS(3,ROW()-31,1)):INDIRECT(ADDRESS(22,ROW()-31,1)),Z$3:Z$22),"")</f>
        <v>20</v>
      </c>
      <c r="AA63">
        <f ca="1">IF(AND(((COLUMN()-10)&lt;=playercnt),((ROW()-41)&lt;=playercnt)),SUMPRODUCT(INDIRECT(ADDRESS(3,ROW()-31,1)):INDIRECT(ADDRESS(22,ROW()-31,1)),AA$3:AA$22),"")</f>
        <v>20</v>
      </c>
      <c r="AB63">
        <f ca="1">IF(AND(((COLUMN()-10)&lt;=playercnt),((ROW()-41)&lt;=playercnt)),SUMPRODUCT(INDIRECT(ADDRESS(3,ROW()-31,1)):INDIRECT(ADDRESS(22,ROW()-31,1)),AB$3:AB$22),"")</f>
        <v>20</v>
      </c>
      <c r="AC63">
        <f ca="1">IF(AND(((COLUMN()-10)&lt;=playercnt),((ROW()-41)&lt;=playercnt)),SUMPRODUCT(INDIRECT(ADDRESS(3,ROW()-31,1)):INDIRECT(ADDRESS(22,ROW()-31,1)),AC$3:AC$22),"")</f>
        <v>20</v>
      </c>
      <c r="AD63">
        <f ca="1">IF(AND(((COLUMN()-10)&lt;=playercnt),((ROW()-41)&lt;=playercnt)),SUMPRODUCT(INDIRECT(ADDRESS(3,ROW()-31,1)):INDIRECT(ADDRESS(22,ROW()-31,1)),AD$3:AD$22),"")</f>
        <v>20</v>
      </c>
      <c r="AE63">
        <f ca="1">IF(AND(((COLUMN()-10)&lt;=playercnt),((ROW()-41)&lt;=playercnt)),SUMPRODUCT(INDIRECT(ADDRESS(3,ROW()-31,1)):INDIRECT(ADDRESS(22,ROW()-31,1)),AE$3:AE$22),"")</f>
        <v>20</v>
      </c>
      <c r="AF63">
        <f ca="1">IF(AND(((COLUMN()-10)&lt;=playercnt),((ROW()-41)&lt;=playercnt)),SUMPRODUCT(INDIRECT(ADDRESS(3,ROW()-31,1)):INDIRECT(ADDRESS(22,ROW()-31,1)),AF$3:AF$22),"")</f>
        <v>20</v>
      </c>
      <c r="AG63">
        <f ca="1">IF(AND(((COLUMN()-10)&lt;=playercnt),((ROW()-41)&lt;=playercnt)),SUMPRODUCT(INDIRECT(ADDRESS(3,ROW()-31,1)):INDIRECT(ADDRESS(22,ROW()-31,1)),AG$3:AG$22),"")</f>
        <v>20</v>
      </c>
      <c r="AH63">
        <f ca="1">IF(AND(((COLUMN()-10)&lt;=playercnt),((ROW()-41)&lt;=playercnt)),SUMPRODUCT(INDIRECT(ADDRESS(3,ROW()-31,1)):INDIRECT(ADDRESS(22,ROW()-31,1)),AH$3:AH$22),"")</f>
        <v>20</v>
      </c>
      <c r="AI63">
        <f ca="1">IF(AND(((COLUMN()-10)&lt;=playercnt),((ROW()-41)&lt;=playercnt)),SUMPRODUCT(INDIRECT(ADDRESS(3,ROW()-31,1)):INDIRECT(ADDRESS(22,ROW()-31,1)),AI$3:AI$22),"")</f>
        <v>20</v>
      </c>
      <c r="AJ63">
        <f ca="1">IF(AND(((COLUMN()-10)&lt;=playercnt),((ROW()-41)&lt;=playercnt)),SUMPRODUCT(INDIRECT(ADDRESS(3,ROW()-31,1)):INDIRECT(ADDRESS(22,ROW()-31,1)),AJ$3:AJ$22),"")</f>
        <v>20</v>
      </c>
      <c r="AK63">
        <f ca="1">IF(AND(((COLUMN()-10)&lt;=playercnt),((ROW()-41)&lt;=playercnt)),SUMPRODUCT(INDIRECT(ADDRESS(3,ROW()-31,1)):INDIRECT(ADDRESS(22,ROW()-31,1)),AK$3:AK$22),"")</f>
        <v>20</v>
      </c>
      <c r="AL63">
        <f ca="1">IF(AND(((COLUMN()-10)&lt;=playercnt),((ROW()-41)&lt;=playercnt)),SUMPRODUCT(INDIRECT(ADDRESS(3,ROW()-31,1)):INDIRECT(ADDRESS(22,ROW()-31,1)),AL$3:AL$22),"")</f>
        <v>20</v>
      </c>
      <c r="AM63">
        <f ca="1">IF(AND(((COLUMN()-10)&lt;=playercnt),((ROW()-41)&lt;=playercnt)),SUMPRODUCT(INDIRECT(ADDRESS(3,ROW()-31,1)):INDIRECT(ADDRESS(22,ROW()-31,1)),AM$3:AM$22),"")</f>
        <v>20</v>
      </c>
      <c r="AN63">
        <f ca="1">IF(AND(((COLUMN()-10)&lt;=playercnt),((ROW()-41)&lt;=playercnt)),SUMPRODUCT(INDIRECT(ADDRESS(3,ROW()-31,1)):INDIRECT(ADDRESS(22,ROW()-31,1)),AN$3:AN$22),"")</f>
        <v>20</v>
      </c>
      <c r="AO63">
        <f ca="1">IF(AND(((COLUMN()-10)&lt;=playercnt),((ROW()-41)&lt;=playercnt)),SUMPRODUCT(INDIRECT(ADDRESS(3,ROW()-31,1)):INDIRECT(ADDRESS(22,ROW()-31,1)),AO$3:AO$22),"")</f>
        <v>20</v>
      </c>
      <c r="AP63">
        <f ca="1">IF(AND(((COLUMN()-10)&lt;=playercnt),((ROW()-41)&lt;=playercnt)),SUMPRODUCT(INDIRECT(ADDRESS(3,ROW()-31,1)):INDIRECT(ADDRESS(22,ROW()-31,1)),AP$3:AP$22),"")</f>
        <v>20</v>
      </c>
      <c r="AQ63">
        <f ca="1">IF(AND(((COLUMN()-10)&lt;=playercnt),((ROW()-41)&lt;=playercnt)),SUMPRODUCT(INDIRECT(ADDRESS(3,ROW()-31,1)):INDIRECT(ADDRESS(22,ROW()-31,1)),AQ$3:AQ$22),"")</f>
        <v>20</v>
      </c>
      <c r="AR63">
        <f ca="1">IF(AND(((COLUMN()-10)&lt;=playercnt),((ROW()-41)&lt;=playercnt)),SUMPRODUCT(INDIRECT(ADDRESS(3,ROW()-31,1)):INDIRECT(ADDRESS(22,ROW()-31,1)),AR$3:AR$22),"")</f>
        <v>20</v>
      </c>
      <c r="AS63">
        <f ca="1">IF(AND(((COLUMN()-10)&lt;=playercnt),((ROW()-41)&lt;=playercnt)),SUMPRODUCT(INDIRECT(ADDRESS(3,ROW()-31,1)):INDIRECT(ADDRESS(22,ROW()-31,1)),AS$3:AS$22),"")</f>
        <v>20</v>
      </c>
      <c r="AT63">
        <f ca="1">IF(AND(((COLUMN()-10)&lt;=playercnt),((ROW()-41)&lt;=playercnt)),SUMPRODUCT(INDIRECT(ADDRESS(3,ROW()-31,1)):INDIRECT(ADDRESS(22,ROW()-31,1)),AT$3:AT$22),"")</f>
        <v>20</v>
      </c>
      <c r="AU63">
        <f ca="1">IF(AND(((COLUMN()-10)&lt;=playercnt),((ROW()-41)&lt;=playercnt)),SUMPRODUCT(INDIRECT(ADDRESS(3,ROW()-31,1)):INDIRECT(ADDRESS(22,ROW()-31,1)),AU$3:AU$22),"")</f>
        <v>20</v>
      </c>
      <c r="AV63">
        <f ca="1">IF(AND(((COLUMN()-10)&lt;=playercnt),((ROW()-41)&lt;=playercnt)),SUMPRODUCT(INDIRECT(ADDRESS(3,ROW()-31,1)):INDIRECT(ADDRESS(22,ROW()-31,1)),AV$3:AV$22),"")</f>
        <v>20</v>
      </c>
      <c r="AW63">
        <f ca="1">IF(AND(((COLUMN()-10)&lt;=playercnt),((ROW()-41)&lt;=playercnt)),SUMPRODUCT(INDIRECT(ADDRESS(3,ROW()-31,1)):INDIRECT(ADDRESS(22,ROW()-31,1)),AW$3:AW$22),"")</f>
        <v>20</v>
      </c>
      <c r="AX63">
        <f ca="1">IF(AND(((COLUMN()-10)&lt;=playercnt),((ROW()-41)&lt;=playercnt)),SUMPRODUCT(INDIRECT(ADDRESS(3,ROW()-31,1)):INDIRECT(ADDRESS(22,ROW()-31,1)),AX$3:AX$22),"")</f>
        <v>20</v>
      </c>
      <c r="AY63">
        <f ca="1">IF(AND(((COLUMN()-10)&lt;=playercnt),((ROW()-41)&lt;=playercnt)),SUMPRODUCT(INDIRECT(ADDRESS(3,ROW()-31,1)):INDIRECT(ADDRESS(22,ROW()-31,1)),AY$3:AY$22),"")</f>
        <v>20</v>
      </c>
      <c r="AZ63">
        <f ca="1">IF(AND(((COLUMN()-10)&lt;=playercnt),((ROW()-41)&lt;=playercnt)),SUMPRODUCT(INDIRECT(ADDRESS(3,ROW()-31,1)):INDIRECT(ADDRESS(22,ROW()-31,1)),AZ$3:AZ$22),"")</f>
        <v>20</v>
      </c>
      <c r="BA63">
        <f ca="1">IF(AND(((COLUMN()-10)&lt;=playercnt),((ROW()-41)&lt;=playercnt)),SUMPRODUCT(INDIRECT(ADDRESS(3,ROW()-31,1)):INDIRECT(ADDRESS(22,ROW()-31,1)),BA$3:BA$22),"")</f>
        <v>20</v>
      </c>
      <c r="BB63">
        <f ca="1">IF(AND(((COLUMN()-10)&lt;=playercnt),((ROW()-41)&lt;=playercnt)),SUMPRODUCT(INDIRECT(ADDRESS(3,ROW()-31,1)):INDIRECT(ADDRESS(22,ROW()-31,1)),BB$3:BB$22),"")</f>
        <v>20</v>
      </c>
      <c r="BC63">
        <f ca="1">IF(AND(((COLUMN()-10)&lt;=playercnt),((ROW()-41)&lt;=playercnt)),SUMPRODUCT(INDIRECT(ADDRESS(3,ROW()-31,1)):INDIRECT(ADDRESS(22,ROW()-31,1)),BC$3:BC$22),"")</f>
        <v>20</v>
      </c>
      <c r="BD63">
        <f ca="1">IF(AND(((COLUMN()-10)&lt;=playercnt),((ROW()-41)&lt;=playercnt)),SUMPRODUCT(INDIRECT(ADDRESS(3,ROW()-31,1)):INDIRECT(ADDRESS(22,ROW()-31,1)),BD$3:BD$22),"")</f>
        <v>20</v>
      </c>
      <c r="BE63">
        <f ca="1">IF(AND(((COLUMN()-10)&lt;=playercnt),((ROW()-41)&lt;=playercnt)),SUMPRODUCT(INDIRECT(ADDRESS(3,ROW()-31,1)):INDIRECT(ADDRESS(22,ROW()-31,1)),BE$3:BE$22),"")</f>
        <v>20</v>
      </c>
      <c r="BF63">
        <f ca="1">IF(AND(((COLUMN()-10)&lt;=playercnt),((ROW()-41)&lt;=playercnt)),SUMPRODUCT(INDIRECT(ADDRESS(3,ROW()-31,1)):INDIRECT(ADDRESS(22,ROW()-31,1)),BF$3:BF$22),"")</f>
        <v>20</v>
      </c>
      <c r="BG63">
        <f ca="1">IF(AND(((COLUMN()-10)&lt;=playercnt),((ROW()-41)&lt;=playercnt)),SUMPRODUCT(INDIRECT(ADDRESS(3,ROW()-31,1)):INDIRECT(ADDRESS(22,ROW()-31,1)),BG$3:BG$22),"")</f>
        <v>20</v>
      </c>
      <c r="BH63">
        <f ca="1">IF(AND(((COLUMN()-10)&lt;=playercnt),((ROW()-41)&lt;=playercnt)),SUMPRODUCT(INDIRECT(ADDRESS(3,ROW()-31,1)):INDIRECT(ADDRESS(22,ROW()-31,1)),BH$3:BH$22),"")</f>
        <v>20</v>
      </c>
      <c r="BI63">
        <f ca="1">IF(AND(((COLUMN()-10)&lt;=playercnt),((ROW()-41)&lt;=playercnt)),SUMPRODUCT(INDIRECT(ADDRESS(3,ROW()-31,1)):INDIRECT(ADDRESS(22,ROW()-31,1)),BI$3:BI$22),"")</f>
        <v>20</v>
      </c>
      <c r="BJ63">
        <f ca="1">IF(AND(((COLUMN()-10)&lt;=playercnt),((ROW()-41)&lt;=playercnt)),SUMPRODUCT(INDIRECT(ADDRESS(3,ROW()-31,1)):INDIRECT(ADDRESS(22,ROW()-31,1)),BJ$3:BJ$22),"")</f>
        <v>20</v>
      </c>
      <c r="BK63">
        <f ca="1">IF(AND(((COLUMN()-10)&lt;=playercnt),((ROW()-41)&lt;=playercnt)),SUMPRODUCT(INDIRECT(ADDRESS(3,ROW()-31,1)):INDIRECT(ADDRESS(22,ROW()-31,1)),BK$3:BK$22),"")</f>
        <v>20</v>
      </c>
      <c r="BL63">
        <f ca="1">IF(AND(((COLUMN()-10)&lt;=playercnt),((ROW()-41)&lt;=playercnt)),SUMPRODUCT(INDIRECT(ADDRESS(3,ROW()-31,1)):INDIRECT(ADDRESS(22,ROW()-31,1)),BL$3:BL$22),"")</f>
        <v>20</v>
      </c>
      <c r="BM63">
        <f ca="1">IF(AND(((COLUMN()-10)&lt;=playercnt),((ROW()-41)&lt;=playercnt)),SUMPRODUCT(INDIRECT(ADDRESS(3,ROW()-31,1)):INDIRECT(ADDRESS(22,ROW()-31,1)),BM$3:BM$22),"")</f>
        <v>20</v>
      </c>
      <c r="BN63">
        <f ca="1">IF(AND(((COLUMN()-10)&lt;=playercnt),((ROW()-41)&lt;=playercnt)),SUMPRODUCT(INDIRECT(ADDRESS(3,ROW()-31,1)):INDIRECT(ADDRESS(22,ROW()-31,1)),BN$3:BN$22),"")</f>
        <v>20</v>
      </c>
      <c r="BO63" t="str">
        <f ca="1">IF(AND(((COLUMN()-10)&lt;=playercnt),((ROW()-41)&lt;=playercnt)),SUMPRODUCT(INDIRECT(ADDRESS(3,ROW()-31,1)):INDIRECT(ADDRESS(22,ROW()-31,1)),BO$3:BO$22),"")</f>
        <v/>
      </c>
    </row>
    <row r="64" spans="1:67" x14ac:dyDescent="0.25">
      <c r="B64" s="27" t="str">
        <f t="shared" ca="1" si="23"/>
        <v/>
      </c>
      <c r="C64" t="e">
        <f t="shared" ca="1" si="24"/>
        <v>#REF!</v>
      </c>
      <c r="G64">
        <f ca="1">IF(AND(((COLUMN()-10)&lt;=playercnt),((ROW()-41)&lt;=playercnt)),SUMPRODUCT(INDIRECT(ADDRESS(3,ROW()-31,1)):INDIRECT(ADDRESS(22,ROW()-31,1)),G$3:G$22),"")</f>
        <v>20</v>
      </c>
      <c r="H64" t="e">
        <f ca="1">IF(AND(((COLUMN()-10)&lt;=playercnt),((ROW()-41)&lt;=playercnt)),SUMPRODUCT(INDIRECT(ADDRESS(3,ROW()-31,1)):INDIRECT(ADDRESS(22,ROW()-31,1)),H$3:H$22),"")</f>
        <v>#REF!</v>
      </c>
      <c r="I64" t="e">
        <f ca="1">IF(AND(((COLUMN()-10)&lt;=playercnt),((ROW()-41)&lt;=playercnt)),SUMPRODUCT(INDIRECT(ADDRESS(3,ROW()-31,1)):INDIRECT(ADDRESS(22,ROW()-31,1)),I$3:I$22),"")</f>
        <v>#REF!</v>
      </c>
      <c r="J64">
        <f ca="1">IF(AND(((COLUMN()-10)&lt;=playercnt),((ROW()-41)&lt;=playercnt)),SUMPRODUCT(INDIRECT(ADDRESS(3,ROW()-31,1)):INDIRECT(ADDRESS(22,ROW()-31,1)),J$3:J$22),"")</f>
        <v>20</v>
      </c>
      <c r="K64">
        <f ca="1">IF(AND(((COLUMN()-10)&lt;=playercnt),((ROW()-41)&lt;=playercnt)),SUMPRODUCT(INDIRECT(ADDRESS(3,ROW()-31,1)):INDIRECT(ADDRESS(22,ROW()-31,1)),K$3:K$22),"")</f>
        <v>20</v>
      </c>
      <c r="L64">
        <f ca="1">IF(AND(((COLUMN()-10)&lt;=playercnt),((ROW()-41)&lt;=playercnt)),SUMPRODUCT(INDIRECT(ADDRESS(3,ROW()-31,1)):INDIRECT(ADDRESS(22,ROW()-31,1)),L$3:L$22),"")</f>
        <v>20</v>
      </c>
      <c r="M64">
        <f ca="1">IF(AND(((COLUMN()-10)&lt;=playercnt),((ROW()-41)&lt;=playercnt)),SUMPRODUCT(INDIRECT(ADDRESS(3,ROW()-31,1)):INDIRECT(ADDRESS(22,ROW()-31,1)),M$3:M$22),"")</f>
        <v>20</v>
      </c>
      <c r="N64">
        <f ca="1">IF(AND(((COLUMN()-10)&lt;=playercnt),((ROW()-41)&lt;=playercnt)),SUMPRODUCT(INDIRECT(ADDRESS(3,ROW()-31,1)):INDIRECT(ADDRESS(22,ROW()-31,1)),N$3:N$22),"")</f>
        <v>20</v>
      </c>
      <c r="O64">
        <f ca="1">IF(AND(((COLUMN()-10)&lt;=playercnt),((ROW()-41)&lt;=playercnt)),SUMPRODUCT(INDIRECT(ADDRESS(3,ROW()-31,1)):INDIRECT(ADDRESS(22,ROW()-31,1)),O$3:O$22),"")</f>
        <v>20</v>
      </c>
      <c r="P64">
        <f ca="1">IF(AND(((COLUMN()-10)&lt;=playercnt),((ROW()-41)&lt;=playercnt)),SUMPRODUCT(INDIRECT(ADDRESS(3,ROW()-31,1)):INDIRECT(ADDRESS(22,ROW()-31,1)),P$3:P$22),"")</f>
        <v>20</v>
      </c>
      <c r="Q64">
        <f ca="1">IF(AND(((COLUMN()-10)&lt;=playercnt),((ROW()-41)&lt;=playercnt)),SUMPRODUCT(INDIRECT(ADDRESS(3,ROW()-31,1)):INDIRECT(ADDRESS(22,ROW()-31,1)),Q$3:Q$22),"")</f>
        <v>20</v>
      </c>
      <c r="R64">
        <f ca="1">IF(AND(((COLUMN()-10)&lt;=playercnt),((ROW()-41)&lt;=playercnt)),SUMPRODUCT(INDIRECT(ADDRESS(3,ROW()-31,1)):INDIRECT(ADDRESS(22,ROW()-31,1)),R$3:R$22),"")</f>
        <v>20</v>
      </c>
      <c r="S64">
        <f ca="1">IF(AND(((COLUMN()-10)&lt;=playercnt),((ROW()-41)&lt;=playercnt)),SUMPRODUCT(INDIRECT(ADDRESS(3,ROW()-31,1)):INDIRECT(ADDRESS(22,ROW()-31,1)),S$3:S$22),"")</f>
        <v>20</v>
      </c>
      <c r="T64">
        <f ca="1">IF(AND(((COLUMN()-10)&lt;=playercnt),((ROW()-41)&lt;=playercnt)),SUMPRODUCT(INDIRECT(ADDRESS(3,ROW()-31,1)):INDIRECT(ADDRESS(22,ROW()-31,1)),T$3:T$22),"")</f>
        <v>20</v>
      </c>
      <c r="U64">
        <f ca="1">IF(AND(((COLUMN()-10)&lt;=playercnt),((ROW()-41)&lt;=playercnt)),SUMPRODUCT(INDIRECT(ADDRESS(3,ROW()-31,1)):INDIRECT(ADDRESS(22,ROW()-31,1)),U$3:U$22),"")</f>
        <v>20</v>
      </c>
      <c r="V64">
        <f ca="1">IF(AND(((COLUMN()-10)&lt;=playercnt),((ROW()-41)&lt;=playercnt)),SUMPRODUCT(INDIRECT(ADDRESS(3,ROW()-31,1)):INDIRECT(ADDRESS(22,ROW()-31,1)),V$3:V$22),"")</f>
        <v>20</v>
      </c>
      <c r="W64">
        <f ca="1">IF(AND(((COLUMN()-10)&lt;=playercnt),((ROW()-41)&lt;=playercnt)),SUMPRODUCT(INDIRECT(ADDRESS(3,ROW()-31,1)):INDIRECT(ADDRESS(22,ROW()-31,1)),W$3:W$22),"")</f>
        <v>20</v>
      </c>
      <c r="X64">
        <f ca="1">IF(AND(((COLUMN()-10)&lt;=playercnt),((ROW()-41)&lt;=playercnt)),SUMPRODUCT(INDIRECT(ADDRESS(3,ROW()-31,1)):INDIRECT(ADDRESS(22,ROW()-31,1)),X$3:X$22),"")</f>
        <v>20</v>
      </c>
      <c r="Y64">
        <f ca="1">IF(AND(((COLUMN()-10)&lt;=playercnt),((ROW()-41)&lt;=playercnt)),SUMPRODUCT(INDIRECT(ADDRESS(3,ROW()-31,1)):INDIRECT(ADDRESS(22,ROW()-31,1)),Y$3:Y$22),"")</f>
        <v>20</v>
      </c>
      <c r="Z64">
        <f ca="1">IF(AND(((COLUMN()-10)&lt;=playercnt),((ROW()-41)&lt;=playercnt)),SUMPRODUCT(INDIRECT(ADDRESS(3,ROW()-31,1)):INDIRECT(ADDRESS(22,ROW()-31,1)),Z$3:Z$22),"")</f>
        <v>20</v>
      </c>
      <c r="AA64">
        <f ca="1">IF(AND(((COLUMN()-10)&lt;=playercnt),((ROW()-41)&lt;=playercnt)),SUMPRODUCT(INDIRECT(ADDRESS(3,ROW()-31,1)):INDIRECT(ADDRESS(22,ROW()-31,1)),AA$3:AA$22),"")</f>
        <v>20</v>
      </c>
      <c r="AB64">
        <f ca="1">IF(AND(((COLUMN()-10)&lt;=playercnt),((ROW()-41)&lt;=playercnt)),SUMPRODUCT(INDIRECT(ADDRESS(3,ROW()-31,1)):INDIRECT(ADDRESS(22,ROW()-31,1)),AB$3:AB$22),"")</f>
        <v>20</v>
      </c>
      <c r="AC64">
        <f ca="1">IF(AND(((COLUMN()-10)&lt;=playercnt),((ROW()-41)&lt;=playercnt)),SUMPRODUCT(INDIRECT(ADDRESS(3,ROW()-31,1)):INDIRECT(ADDRESS(22,ROW()-31,1)),AC$3:AC$22),"")</f>
        <v>20</v>
      </c>
      <c r="AD64">
        <f ca="1">IF(AND(((COLUMN()-10)&lt;=playercnt),((ROW()-41)&lt;=playercnt)),SUMPRODUCT(INDIRECT(ADDRESS(3,ROW()-31,1)):INDIRECT(ADDRESS(22,ROW()-31,1)),AD$3:AD$22),"")</f>
        <v>20</v>
      </c>
      <c r="AE64">
        <f ca="1">IF(AND(((COLUMN()-10)&lt;=playercnt),((ROW()-41)&lt;=playercnt)),SUMPRODUCT(INDIRECT(ADDRESS(3,ROW()-31,1)):INDIRECT(ADDRESS(22,ROW()-31,1)),AE$3:AE$22),"")</f>
        <v>20</v>
      </c>
      <c r="AF64">
        <f ca="1">IF(AND(((COLUMN()-10)&lt;=playercnt),((ROW()-41)&lt;=playercnt)),SUMPRODUCT(INDIRECT(ADDRESS(3,ROW()-31,1)):INDIRECT(ADDRESS(22,ROW()-31,1)),AF$3:AF$22),"")</f>
        <v>20</v>
      </c>
      <c r="AG64">
        <f ca="1">IF(AND(((COLUMN()-10)&lt;=playercnt),((ROW()-41)&lt;=playercnt)),SUMPRODUCT(INDIRECT(ADDRESS(3,ROW()-31,1)):INDIRECT(ADDRESS(22,ROW()-31,1)),AG$3:AG$22),"")</f>
        <v>20</v>
      </c>
      <c r="AH64">
        <f ca="1">IF(AND(((COLUMN()-10)&lt;=playercnt),((ROW()-41)&lt;=playercnt)),SUMPRODUCT(INDIRECT(ADDRESS(3,ROW()-31,1)):INDIRECT(ADDRESS(22,ROW()-31,1)),AH$3:AH$22),"")</f>
        <v>20</v>
      </c>
      <c r="AI64">
        <f ca="1">IF(AND(((COLUMN()-10)&lt;=playercnt),((ROW()-41)&lt;=playercnt)),SUMPRODUCT(INDIRECT(ADDRESS(3,ROW()-31,1)):INDIRECT(ADDRESS(22,ROW()-31,1)),AI$3:AI$22),"")</f>
        <v>20</v>
      </c>
      <c r="AJ64">
        <f ca="1">IF(AND(((COLUMN()-10)&lt;=playercnt),((ROW()-41)&lt;=playercnt)),SUMPRODUCT(INDIRECT(ADDRESS(3,ROW()-31,1)):INDIRECT(ADDRESS(22,ROW()-31,1)),AJ$3:AJ$22),"")</f>
        <v>20</v>
      </c>
      <c r="AK64">
        <f ca="1">IF(AND(((COLUMN()-10)&lt;=playercnt),((ROW()-41)&lt;=playercnt)),SUMPRODUCT(INDIRECT(ADDRESS(3,ROW()-31,1)):INDIRECT(ADDRESS(22,ROW()-31,1)),AK$3:AK$22),"")</f>
        <v>20</v>
      </c>
      <c r="AL64">
        <f ca="1">IF(AND(((COLUMN()-10)&lt;=playercnt),((ROW()-41)&lt;=playercnt)),SUMPRODUCT(INDIRECT(ADDRESS(3,ROW()-31,1)):INDIRECT(ADDRESS(22,ROW()-31,1)),AL$3:AL$22),"")</f>
        <v>20</v>
      </c>
      <c r="AM64">
        <f ca="1">IF(AND(((COLUMN()-10)&lt;=playercnt),((ROW()-41)&lt;=playercnt)),SUMPRODUCT(INDIRECT(ADDRESS(3,ROW()-31,1)):INDIRECT(ADDRESS(22,ROW()-31,1)),AM$3:AM$22),"")</f>
        <v>20</v>
      </c>
      <c r="AN64">
        <f ca="1">IF(AND(((COLUMN()-10)&lt;=playercnt),((ROW()-41)&lt;=playercnt)),SUMPRODUCT(INDIRECT(ADDRESS(3,ROW()-31,1)):INDIRECT(ADDRESS(22,ROW()-31,1)),AN$3:AN$22),"")</f>
        <v>20</v>
      </c>
      <c r="AO64">
        <f ca="1">IF(AND(((COLUMN()-10)&lt;=playercnt),((ROW()-41)&lt;=playercnt)),SUMPRODUCT(INDIRECT(ADDRESS(3,ROW()-31,1)):INDIRECT(ADDRESS(22,ROW()-31,1)),AO$3:AO$22),"")</f>
        <v>20</v>
      </c>
      <c r="AP64">
        <f ca="1">IF(AND(((COLUMN()-10)&lt;=playercnt),((ROW()-41)&lt;=playercnt)),SUMPRODUCT(INDIRECT(ADDRESS(3,ROW()-31,1)):INDIRECT(ADDRESS(22,ROW()-31,1)),AP$3:AP$22),"")</f>
        <v>20</v>
      </c>
      <c r="AQ64">
        <f ca="1">IF(AND(((COLUMN()-10)&lt;=playercnt),((ROW()-41)&lt;=playercnt)),SUMPRODUCT(INDIRECT(ADDRESS(3,ROW()-31,1)):INDIRECT(ADDRESS(22,ROW()-31,1)),AQ$3:AQ$22),"")</f>
        <v>20</v>
      </c>
      <c r="AR64">
        <f ca="1">IF(AND(((COLUMN()-10)&lt;=playercnt),((ROW()-41)&lt;=playercnt)),SUMPRODUCT(INDIRECT(ADDRESS(3,ROW()-31,1)):INDIRECT(ADDRESS(22,ROW()-31,1)),AR$3:AR$22),"")</f>
        <v>20</v>
      </c>
      <c r="AS64">
        <f ca="1">IF(AND(((COLUMN()-10)&lt;=playercnt),((ROW()-41)&lt;=playercnt)),SUMPRODUCT(INDIRECT(ADDRESS(3,ROW()-31,1)):INDIRECT(ADDRESS(22,ROW()-31,1)),AS$3:AS$22),"")</f>
        <v>20</v>
      </c>
      <c r="AT64">
        <f ca="1">IF(AND(((COLUMN()-10)&lt;=playercnt),((ROW()-41)&lt;=playercnt)),SUMPRODUCT(INDIRECT(ADDRESS(3,ROW()-31,1)):INDIRECT(ADDRESS(22,ROW()-31,1)),AT$3:AT$22),"")</f>
        <v>20</v>
      </c>
      <c r="AU64">
        <f ca="1">IF(AND(((COLUMN()-10)&lt;=playercnt),((ROW()-41)&lt;=playercnt)),SUMPRODUCT(INDIRECT(ADDRESS(3,ROW()-31,1)):INDIRECT(ADDRESS(22,ROW()-31,1)),AU$3:AU$22),"")</f>
        <v>20</v>
      </c>
      <c r="AV64">
        <f ca="1">IF(AND(((COLUMN()-10)&lt;=playercnt),((ROW()-41)&lt;=playercnt)),SUMPRODUCT(INDIRECT(ADDRESS(3,ROW()-31,1)):INDIRECT(ADDRESS(22,ROW()-31,1)),AV$3:AV$22),"")</f>
        <v>20</v>
      </c>
      <c r="AW64">
        <f ca="1">IF(AND(((COLUMN()-10)&lt;=playercnt),((ROW()-41)&lt;=playercnt)),SUMPRODUCT(INDIRECT(ADDRESS(3,ROW()-31,1)):INDIRECT(ADDRESS(22,ROW()-31,1)),AW$3:AW$22),"")</f>
        <v>20</v>
      </c>
      <c r="AX64">
        <f ca="1">IF(AND(((COLUMN()-10)&lt;=playercnt),((ROW()-41)&lt;=playercnt)),SUMPRODUCT(INDIRECT(ADDRESS(3,ROW()-31,1)):INDIRECT(ADDRESS(22,ROW()-31,1)),AX$3:AX$22),"")</f>
        <v>20</v>
      </c>
      <c r="AY64">
        <f ca="1">IF(AND(((COLUMN()-10)&lt;=playercnt),((ROW()-41)&lt;=playercnt)),SUMPRODUCT(INDIRECT(ADDRESS(3,ROW()-31,1)):INDIRECT(ADDRESS(22,ROW()-31,1)),AY$3:AY$22),"")</f>
        <v>20</v>
      </c>
      <c r="AZ64">
        <f ca="1">IF(AND(((COLUMN()-10)&lt;=playercnt),((ROW()-41)&lt;=playercnt)),SUMPRODUCT(INDIRECT(ADDRESS(3,ROW()-31,1)):INDIRECT(ADDRESS(22,ROW()-31,1)),AZ$3:AZ$22),"")</f>
        <v>20</v>
      </c>
      <c r="BA64">
        <f ca="1">IF(AND(((COLUMN()-10)&lt;=playercnt),((ROW()-41)&lt;=playercnt)),SUMPRODUCT(INDIRECT(ADDRESS(3,ROW()-31,1)):INDIRECT(ADDRESS(22,ROW()-31,1)),BA$3:BA$22),"")</f>
        <v>20</v>
      </c>
      <c r="BB64">
        <f ca="1">IF(AND(((COLUMN()-10)&lt;=playercnt),((ROW()-41)&lt;=playercnt)),SUMPRODUCT(INDIRECT(ADDRESS(3,ROW()-31,1)):INDIRECT(ADDRESS(22,ROW()-31,1)),BB$3:BB$22),"")</f>
        <v>20</v>
      </c>
      <c r="BC64">
        <f ca="1">IF(AND(((COLUMN()-10)&lt;=playercnt),((ROW()-41)&lt;=playercnt)),SUMPRODUCT(INDIRECT(ADDRESS(3,ROW()-31,1)):INDIRECT(ADDRESS(22,ROW()-31,1)),BC$3:BC$22),"")</f>
        <v>20</v>
      </c>
      <c r="BD64">
        <f ca="1">IF(AND(((COLUMN()-10)&lt;=playercnt),((ROW()-41)&lt;=playercnt)),SUMPRODUCT(INDIRECT(ADDRESS(3,ROW()-31,1)):INDIRECT(ADDRESS(22,ROW()-31,1)),BD$3:BD$22),"")</f>
        <v>20</v>
      </c>
      <c r="BE64">
        <f ca="1">IF(AND(((COLUMN()-10)&lt;=playercnt),((ROW()-41)&lt;=playercnt)),SUMPRODUCT(INDIRECT(ADDRESS(3,ROW()-31,1)):INDIRECT(ADDRESS(22,ROW()-31,1)),BE$3:BE$22),"")</f>
        <v>20</v>
      </c>
      <c r="BF64">
        <f ca="1">IF(AND(((COLUMN()-10)&lt;=playercnt),((ROW()-41)&lt;=playercnt)),SUMPRODUCT(INDIRECT(ADDRESS(3,ROW()-31,1)):INDIRECT(ADDRESS(22,ROW()-31,1)),BF$3:BF$22),"")</f>
        <v>20</v>
      </c>
      <c r="BG64">
        <f ca="1">IF(AND(((COLUMN()-10)&lt;=playercnt),((ROW()-41)&lt;=playercnt)),SUMPRODUCT(INDIRECT(ADDRESS(3,ROW()-31,1)):INDIRECT(ADDRESS(22,ROW()-31,1)),BG$3:BG$22),"")</f>
        <v>20</v>
      </c>
      <c r="BH64">
        <f ca="1">IF(AND(((COLUMN()-10)&lt;=playercnt),((ROW()-41)&lt;=playercnt)),SUMPRODUCT(INDIRECT(ADDRESS(3,ROW()-31,1)):INDIRECT(ADDRESS(22,ROW()-31,1)),BH$3:BH$22),"")</f>
        <v>20</v>
      </c>
      <c r="BI64">
        <f ca="1">IF(AND(((COLUMN()-10)&lt;=playercnt),((ROW()-41)&lt;=playercnt)),SUMPRODUCT(INDIRECT(ADDRESS(3,ROW()-31,1)):INDIRECT(ADDRESS(22,ROW()-31,1)),BI$3:BI$22),"")</f>
        <v>20</v>
      </c>
      <c r="BJ64">
        <f ca="1">IF(AND(((COLUMN()-10)&lt;=playercnt),((ROW()-41)&lt;=playercnt)),SUMPRODUCT(INDIRECT(ADDRESS(3,ROW()-31,1)):INDIRECT(ADDRESS(22,ROW()-31,1)),BJ$3:BJ$22),"")</f>
        <v>20</v>
      </c>
      <c r="BK64">
        <f ca="1">IF(AND(((COLUMN()-10)&lt;=playercnt),((ROW()-41)&lt;=playercnt)),SUMPRODUCT(INDIRECT(ADDRESS(3,ROW()-31,1)):INDIRECT(ADDRESS(22,ROW()-31,1)),BK$3:BK$22),"")</f>
        <v>20</v>
      </c>
      <c r="BL64">
        <f ca="1">IF(AND(((COLUMN()-10)&lt;=playercnt),((ROW()-41)&lt;=playercnt)),SUMPRODUCT(INDIRECT(ADDRESS(3,ROW()-31,1)):INDIRECT(ADDRESS(22,ROW()-31,1)),BL$3:BL$22),"")</f>
        <v>20</v>
      </c>
      <c r="BM64">
        <f ca="1">IF(AND(((COLUMN()-10)&lt;=playercnt),((ROW()-41)&lt;=playercnt)),SUMPRODUCT(INDIRECT(ADDRESS(3,ROW()-31,1)):INDIRECT(ADDRESS(22,ROW()-31,1)),BM$3:BM$22),"")</f>
        <v>20</v>
      </c>
      <c r="BN64">
        <f ca="1">IF(AND(((COLUMN()-10)&lt;=playercnt),((ROW()-41)&lt;=playercnt)),SUMPRODUCT(INDIRECT(ADDRESS(3,ROW()-31,1)):INDIRECT(ADDRESS(22,ROW()-31,1)),BN$3:BN$22),"")</f>
        <v>20</v>
      </c>
      <c r="BO64" t="str">
        <f ca="1">IF(AND(((COLUMN()-10)&lt;=playercnt),((ROW()-41)&lt;=playercnt)),SUMPRODUCT(INDIRECT(ADDRESS(3,ROW()-31,1)):INDIRECT(ADDRESS(22,ROW()-31,1)),BO$3:BO$22),"")</f>
        <v/>
      </c>
    </row>
    <row r="65" spans="2:67" x14ac:dyDescent="0.25">
      <c r="B65" s="27" t="str">
        <f t="shared" ca="1" si="23"/>
        <v/>
      </c>
      <c r="C65" t="e">
        <f t="shared" ca="1" si="24"/>
        <v>#REF!</v>
      </c>
      <c r="G65">
        <f ca="1">IF(AND(((COLUMN()-10)&lt;=playercnt),((ROW()-41)&lt;=playercnt)),SUMPRODUCT(INDIRECT(ADDRESS(3,ROW()-31,1)):INDIRECT(ADDRESS(22,ROW()-31,1)),G$3:G$22),"")</f>
        <v>20</v>
      </c>
      <c r="H65" t="e">
        <f ca="1">IF(AND(((COLUMN()-10)&lt;=playercnt),((ROW()-41)&lt;=playercnt)),SUMPRODUCT(INDIRECT(ADDRESS(3,ROW()-31,1)):INDIRECT(ADDRESS(22,ROW()-31,1)),H$3:H$22),"")</f>
        <v>#REF!</v>
      </c>
      <c r="I65" t="e">
        <f ca="1">IF(AND(((COLUMN()-10)&lt;=playercnt),((ROW()-41)&lt;=playercnt)),SUMPRODUCT(INDIRECT(ADDRESS(3,ROW()-31,1)):INDIRECT(ADDRESS(22,ROW()-31,1)),I$3:I$22),"")</f>
        <v>#REF!</v>
      </c>
      <c r="J65">
        <f ca="1">IF(AND(((COLUMN()-10)&lt;=playercnt),((ROW()-41)&lt;=playercnt)),SUMPRODUCT(INDIRECT(ADDRESS(3,ROW()-31,1)):INDIRECT(ADDRESS(22,ROW()-31,1)),J$3:J$22),"")</f>
        <v>20</v>
      </c>
      <c r="K65">
        <f ca="1">IF(AND(((COLUMN()-10)&lt;=playercnt),((ROW()-41)&lt;=playercnt)),SUMPRODUCT(INDIRECT(ADDRESS(3,ROW()-31,1)):INDIRECT(ADDRESS(22,ROW()-31,1)),K$3:K$22),"")</f>
        <v>20</v>
      </c>
      <c r="L65">
        <f ca="1">IF(AND(((COLUMN()-10)&lt;=playercnt),((ROW()-41)&lt;=playercnt)),SUMPRODUCT(INDIRECT(ADDRESS(3,ROW()-31,1)):INDIRECT(ADDRESS(22,ROW()-31,1)),L$3:L$22),"")</f>
        <v>20</v>
      </c>
      <c r="M65">
        <f ca="1">IF(AND(((COLUMN()-10)&lt;=playercnt),((ROW()-41)&lt;=playercnt)),SUMPRODUCT(INDIRECT(ADDRESS(3,ROW()-31,1)):INDIRECT(ADDRESS(22,ROW()-31,1)),M$3:M$22),"")</f>
        <v>20</v>
      </c>
      <c r="N65">
        <f ca="1">IF(AND(((COLUMN()-10)&lt;=playercnt),((ROW()-41)&lt;=playercnt)),SUMPRODUCT(INDIRECT(ADDRESS(3,ROW()-31,1)):INDIRECT(ADDRESS(22,ROW()-31,1)),N$3:N$22),"")</f>
        <v>20</v>
      </c>
      <c r="O65">
        <f ca="1">IF(AND(((COLUMN()-10)&lt;=playercnt),((ROW()-41)&lt;=playercnt)),SUMPRODUCT(INDIRECT(ADDRESS(3,ROW()-31,1)):INDIRECT(ADDRESS(22,ROW()-31,1)),O$3:O$22),"")</f>
        <v>20</v>
      </c>
      <c r="P65">
        <f ca="1">IF(AND(((COLUMN()-10)&lt;=playercnt),((ROW()-41)&lt;=playercnt)),SUMPRODUCT(INDIRECT(ADDRESS(3,ROW()-31,1)):INDIRECT(ADDRESS(22,ROW()-31,1)),P$3:P$22),"")</f>
        <v>20</v>
      </c>
      <c r="Q65">
        <f ca="1">IF(AND(((COLUMN()-10)&lt;=playercnt),((ROW()-41)&lt;=playercnt)),SUMPRODUCT(INDIRECT(ADDRESS(3,ROW()-31,1)):INDIRECT(ADDRESS(22,ROW()-31,1)),Q$3:Q$22),"")</f>
        <v>20</v>
      </c>
      <c r="R65">
        <f ca="1">IF(AND(((COLUMN()-10)&lt;=playercnt),((ROW()-41)&lt;=playercnt)),SUMPRODUCT(INDIRECT(ADDRESS(3,ROW()-31,1)):INDIRECT(ADDRESS(22,ROW()-31,1)),R$3:R$22),"")</f>
        <v>20</v>
      </c>
      <c r="S65">
        <f ca="1">IF(AND(((COLUMN()-10)&lt;=playercnt),((ROW()-41)&lt;=playercnt)),SUMPRODUCT(INDIRECT(ADDRESS(3,ROW()-31,1)):INDIRECT(ADDRESS(22,ROW()-31,1)),S$3:S$22),"")</f>
        <v>20</v>
      </c>
      <c r="T65">
        <f ca="1">IF(AND(((COLUMN()-10)&lt;=playercnt),((ROW()-41)&lt;=playercnt)),SUMPRODUCT(INDIRECT(ADDRESS(3,ROW()-31,1)):INDIRECT(ADDRESS(22,ROW()-31,1)),T$3:T$22),"")</f>
        <v>20</v>
      </c>
      <c r="U65">
        <f ca="1">IF(AND(((COLUMN()-10)&lt;=playercnt),((ROW()-41)&lt;=playercnt)),SUMPRODUCT(INDIRECT(ADDRESS(3,ROW()-31,1)):INDIRECT(ADDRESS(22,ROW()-31,1)),U$3:U$22),"")</f>
        <v>20</v>
      </c>
      <c r="V65">
        <f ca="1">IF(AND(((COLUMN()-10)&lt;=playercnt),((ROW()-41)&lt;=playercnt)),SUMPRODUCT(INDIRECT(ADDRESS(3,ROW()-31,1)):INDIRECT(ADDRESS(22,ROW()-31,1)),V$3:V$22),"")</f>
        <v>20</v>
      </c>
      <c r="W65">
        <f ca="1">IF(AND(((COLUMN()-10)&lt;=playercnt),((ROW()-41)&lt;=playercnt)),SUMPRODUCT(INDIRECT(ADDRESS(3,ROW()-31,1)):INDIRECT(ADDRESS(22,ROW()-31,1)),W$3:W$22),"")</f>
        <v>20</v>
      </c>
      <c r="X65">
        <f ca="1">IF(AND(((COLUMN()-10)&lt;=playercnt),((ROW()-41)&lt;=playercnt)),SUMPRODUCT(INDIRECT(ADDRESS(3,ROW()-31,1)):INDIRECT(ADDRESS(22,ROW()-31,1)),X$3:X$22),"")</f>
        <v>20</v>
      </c>
      <c r="Y65">
        <f ca="1">IF(AND(((COLUMN()-10)&lt;=playercnt),((ROW()-41)&lt;=playercnt)),SUMPRODUCT(INDIRECT(ADDRESS(3,ROW()-31,1)):INDIRECT(ADDRESS(22,ROW()-31,1)),Y$3:Y$22),"")</f>
        <v>20</v>
      </c>
      <c r="Z65">
        <f ca="1">IF(AND(((COLUMN()-10)&lt;=playercnt),((ROW()-41)&lt;=playercnt)),SUMPRODUCT(INDIRECT(ADDRESS(3,ROW()-31,1)):INDIRECT(ADDRESS(22,ROW()-31,1)),Z$3:Z$22),"")</f>
        <v>20</v>
      </c>
      <c r="AA65">
        <f ca="1">IF(AND(((COLUMN()-10)&lt;=playercnt),((ROW()-41)&lt;=playercnt)),SUMPRODUCT(INDIRECT(ADDRESS(3,ROW()-31,1)):INDIRECT(ADDRESS(22,ROW()-31,1)),AA$3:AA$22),"")</f>
        <v>20</v>
      </c>
      <c r="AB65">
        <f ca="1">IF(AND(((COLUMN()-10)&lt;=playercnt),((ROW()-41)&lt;=playercnt)),SUMPRODUCT(INDIRECT(ADDRESS(3,ROW()-31,1)):INDIRECT(ADDRESS(22,ROW()-31,1)),AB$3:AB$22),"")</f>
        <v>20</v>
      </c>
      <c r="AC65">
        <f ca="1">IF(AND(((COLUMN()-10)&lt;=playercnt),((ROW()-41)&lt;=playercnt)),SUMPRODUCT(INDIRECT(ADDRESS(3,ROW()-31,1)):INDIRECT(ADDRESS(22,ROW()-31,1)),AC$3:AC$22),"")</f>
        <v>20</v>
      </c>
      <c r="AD65">
        <f ca="1">IF(AND(((COLUMN()-10)&lt;=playercnt),((ROW()-41)&lt;=playercnt)),SUMPRODUCT(INDIRECT(ADDRESS(3,ROW()-31,1)):INDIRECT(ADDRESS(22,ROW()-31,1)),AD$3:AD$22),"")</f>
        <v>20</v>
      </c>
      <c r="AE65">
        <f ca="1">IF(AND(((COLUMN()-10)&lt;=playercnt),((ROW()-41)&lt;=playercnt)),SUMPRODUCT(INDIRECT(ADDRESS(3,ROW()-31,1)):INDIRECT(ADDRESS(22,ROW()-31,1)),AE$3:AE$22),"")</f>
        <v>20</v>
      </c>
      <c r="AF65">
        <f ca="1">IF(AND(((COLUMN()-10)&lt;=playercnt),((ROW()-41)&lt;=playercnt)),SUMPRODUCT(INDIRECT(ADDRESS(3,ROW()-31,1)):INDIRECT(ADDRESS(22,ROW()-31,1)),AF$3:AF$22),"")</f>
        <v>20</v>
      </c>
      <c r="AG65">
        <f ca="1">IF(AND(((COLUMN()-10)&lt;=playercnt),((ROW()-41)&lt;=playercnt)),SUMPRODUCT(INDIRECT(ADDRESS(3,ROW()-31,1)):INDIRECT(ADDRESS(22,ROW()-31,1)),AG$3:AG$22),"")</f>
        <v>20</v>
      </c>
      <c r="AH65">
        <f ca="1">IF(AND(((COLUMN()-10)&lt;=playercnt),((ROW()-41)&lt;=playercnt)),SUMPRODUCT(INDIRECT(ADDRESS(3,ROW()-31,1)):INDIRECT(ADDRESS(22,ROW()-31,1)),AH$3:AH$22),"")</f>
        <v>20</v>
      </c>
      <c r="AI65">
        <f ca="1">IF(AND(((COLUMN()-10)&lt;=playercnt),((ROW()-41)&lt;=playercnt)),SUMPRODUCT(INDIRECT(ADDRESS(3,ROW()-31,1)):INDIRECT(ADDRESS(22,ROW()-31,1)),AI$3:AI$22),"")</f>
        <v>20</v>
      </c>
      <c r="AJ65">
        <f ca="1">IF(AND(((COLUMN()-10)&lt;=playercnt),((ROW()-41)&lt;=playercnt)),SUMPRODUCT(INDIRECT(ADDRESS(3,ROW()-31,1)):INDIRECT(ADDRESS(22,ROW()-31,1)),AJ$3:AJ$22),"")</f>
        <v>20</v>
      </c>
      <c r="AK65">
        <f ca="1">IF(AND(((COLUMN()-10)&lt;=playercnt),((ROW()-41)&lt;=playercnt)),SUMPRODUCT(INDIRECT(ADDRESS(3,ROW()-31,1)):INDIRECT(ADDRESS(22,ROW()-31,1)),AK$3:AK$22),"")</f>
        <v>20</v>
      </c>
      <c r="AL65">
        <f ca="1">IF(AND(((COLUMN()-10)&lt;=playercnt),((ROW()-41)&lt;=playercnt)),SUMPRODUCT(INDIRECT(ADDRESS(3,ROW()-31,1)):INDIRECT(ADDRESS(22,ROW()-31,1)),AL$3:AL$22),"")</f>
        <v>20</v>
      </c>
      <c r="AM65">
        <f ca="1">IF(AND(((COLUMN()-10)&lt;=playercnt),((ROW()-41)&lt;=playercnt)),SUMPRODUCT(INDIRECT(ADDRESS(3,ROW()-31,1)):INDIRECT(ADDRESS(22,ROW()-31,1)),AM$3:AM$22),"")</f>
        <v>20</v>
      </c>
      <c r="AN65">
        <f ca="1">IF(AND(((COLUMN()-10)&lt;=playercnt),((ROW()-41)&lt;=playercnt)),SUMPRODUCT(INDIRECT(ADDRESS(3,ROW()-31,1)):INDIRECT(ADDRESS(22,ROW()-31,1)),AN$3:AN$22),"")</f>
        <v>20</v>
      </c>
      <c r="AO65">
        <f ca="1">IF(AND(((COLUMN()-10)&lt;=playercnt),((ROW()-41)&lt;=playercnt)),SUMPRODUCT(INDIRECT(ADDRESS(3,ROW()-31,1)):INDIRECT(ADDRESS(22,ROW()-31,1)),AO$3:AO$22),"")</f>
        <v>20</v>
      </c>
      <c r="AP65">
        <f ca="1">IF(AND(((COLUMN()-10)&lt;=playercnt),((ROW()-41)&lt;=playercnt)),SUMPRODUCT(INDIRECT(ADDRESS(3,ROW()-31,1)):INDIRECT(ADDRESS(22,ROW()-31,1)),AP$3:AP$22),"")</f>
        <v>20</v>
      </c>
      <c r="AQ65">
        <f ca="1">IF(AND(((COLUMN()-10)&lt;=playercnt),((ROW()-41)&lt;=playercnt)),SUMPRODUCT(INDIRECT(ADDRESS(3,ROW()-31,1)):INDIRECT(ADDRESS(22,ROW()-31,1)),AQ$3:AQ$22),"")</f>
        <v>20</v>
      </c>
      <c r="AR65">
        <f ca="1">IF(AND(((COLUMN()-10)&lt;=playercnt),((ROW()-41)&lt;=playercnt)),SUMPRODUCT(INDIRECT(ADDRESS(3,ROW()-31,1)):INDIRECT(ADDRESS(22,ROW()-31,1)),AR$3:AR$22),"")</f>
        <v>20</v>
      </c>
      <c r="AS65">
        <f ca="1">IF(AND(((COLUMN()-10)&lt;=playercnt),((ROW()-41)&lt;=playercnt)),SUMPRODUCT(INDIRECT(ADDRESS(3,ROW()-31,1)):INDIRECT(ADDRESS(22,ROW()-31,1)),AS$3:AS$22),"")</f>
        <v>20</v>
      </c>
      <c r="AT65">
        <f ca="1">IF(AND(((COLUMN()-10)&lt;=playercnt),((ROW()-41)&lt;=playercnt)),SUMPRODUCT(INDIRECT(ADDRESS(3,ROW()-31,1)):INDIRECT(ADDRESS(22,ROW()-31,1)),AT$3:AT$22),"")</f>
        <v>20</v>
      </c>
      <c r="AU65">
        <f ca="1">IF(AND(((COLUMN()-10)&lt;=playercnt),((ROW()-41)&lt;=playercnt)),SUMPRODUCT(INDIRECT(ADDRESS(3,ROW()-31,1)):INDIRECT(ADDRESS(22,ROW()-31,1)),AU$3:AU$22),"")</f>
        <v>20</v>
      </c>
      <c r="AV65">
        <f ca="1">IF(AND(((COLUMN()-10)&lt;=playercnt),((ROW()-41)&lt;=playercnt)),SUMPRODUCT(INDIRECT(ADDRESS(3,ROW()-31,1)):INDIRECT(ADDRESS(22,ROW()-31,1)),AV$3:AV$22),"")</f>
        <v>20</v>
      </c>
      <c r="AW65">
        <f ca="1">IF(AND(((COLUMN()-10)&lt;=playercnt),((ROW()-41)&lt;=playercnt)),SUMPRODUCT(INDIRECT(ADDRESS(3,ROW()-31,1)):INDIRECT(ADDRESS(22,ROW()-31,1)),AW$3:AW$22),"")</f>
        <v>20</v>
      </c>
      <c r="AX65">
        <f ca="1">IF(AND(((COLUMN()-10)&lt;=playercnt),((ROW()-41)&lt;=playercnt)),SUMPRODUCT(INDIRECT(ADDRESS(3,ROW()-31,1)):INDIRECT(ADDRESS(22,ROW()-31,1)),AX$3:AX$22),"")</f>
        <v>20</v>
      </c>
      <c r="AY65">
        <f ca="1">IF(AND(((COLUMN()-10)&lt;=playercnt),((ROW()-41)&lt;=playercnt)),SUMPRODUCT(INDIRECT(ADDRESS(3,ROW()-31,1)):INDIRECT(ADDRESS(22,ROW()-31,1)),AY$3:AY$22),"")</f>
        <v>20</v>
      </c>
      <c r="AZ65">
        <f ca="1">IF(AND(((COLUMN()-10)&lt;=playercnt),((ROW()-41)&lt;=playercnt)),SUMPRODUCT(INDIRECT(ADDRESS(3,ROW()-31,1)):INDIRECT(ADDRESS(22,ROW()-31,1)),AZ$3:AZ$22),"")</f>
        <v>20</v>
      </c>
      <c r="BA65">
        <f ca="1">IF(AND(((COLUMN()-10)&lt;=playercnt),((ROW()-41)&lt;=playercnt)),SUMPRODUCT(INDIRECT(ADDRESS(3,ROW()-31,1)):INDIRECT(ADDRESS(22,ROW()-31,1)),BA$3:BA$22),"")</f>
        <v>20</v>
      </c>
      <c r="BB65">
        <f ca="1">IF(AND(((COLUMN()-10)&lt;=playercnt),((ROW()-41)&lt;=playercnt)),SUMPRODUCT(INDIRECT(ADDRESS(3,ROW()-31,1)):INDIRECT(ADDRESS(22,ROW()-31,1)),BB$3:BB$22),"")</f>
        <v>20</v>
      </c>
      <c r="BC65">
        <f ca="1">IF(AND(((COLUMN()-10)&lt;=playercnt),((ROW()-41)&lt;=playercnt)),SUMPRODUCT(INDIRECT(ADDRESS(3,ROW()-31,1)):INDIRECT(ADDRESS(22,ROW()-31,1)),BC$3:BC$22),"")</f>
        <v>20</v>
      </c>
      <c r="BD65">
        <f ca="1">IF(AND(((COLUMN()-10)&lt;=playercnt),((ROW()-41)&lt;=playercnt)),SUMPRODUCT(INDIRECT(ADDRESS(3,ROW()-31,1)):INDIRECT(ADDRESS(22,ROW()-31,1)),BD$3:BD$22),"")</f>
        <v>20</v>
      </c>
      <c r="BE65">
        <f ca="1">IF(AND(((COLUMN()-10)&lt;=playercnt),((ROW()-41)&lt;=playercnt)),SUMPRODUCT(INDIRECT(ADDRESS(3,ROW()-31,1)):INDIRECT(ADDRESS(22,ROW()-31,1)),BE$3:BE$22),"")</f>
        <v>20</v>
      </c>
      <c r="BF65">
        <f ca="1">IF(AND(((COLUMN()-10)&lt;=playercnt),((ROW()-41)&lt;=playercnt)),SUMPRODUCT(INDIRECT(ADDRESS(3,ROW()-31,1)):INDIRECT(ADDRESS(22,ROW()-31,1)),BF$3:BF$22),"")</f>
        <v>20</v>
      </c>
      <c r="BG65">
        <f ca="1">IF(AND(((COLUMN()-10)&lt;=playercnt),((ROW()-41)&lt;=playercnt)),SUMPRODUCT(INDIRECT(ADDRESS(3,ROW()-31,1)):INDIRECT(ADDRESS(22,ROW()-31,1)),BG$3:BG$22),"")</f>
        <v>20</v>
      </c>
      <c r="BH65">
        <f ca="1">IF(AND(((COLUMN()-10)&lt;=playercnt),((ROW()-41)&lt;=playercnt)),SUMPRODUCT(INDIRECT(ADDRESS(3,ROW()-31,1)):INDIRECT(ADDRESS(22,ROW()-31,1)),BH$3:BH$22),"")</f>
        <v>20</v>
      </c>
      <c r="BI65">
        <f ca="1">IF(AND(((COLUMN()-10)&lt;=playercnt),((ROW()-41)&lt;=playercnt)),SUMPRODUCT(INDIRECT(ADDRESS(3,ROW()-31,1)):INDIRECT(ADDRESS(22,ROW()-31,1)),BI$3:BI$22),"")</f>
        <v>20</v>
      </c>
      <c r="BJ65">
        <f ca="1">IF(AND(((COLUMN()-10)&lt;=playercnt),((ROW()-41)&lt;=playercnt)),SUMPRODUCT(INDIRECT(ADDRESS(3,ROW()-31,1)):INDIRECT(ADDRESS(22,ROW()-31,1)),BJ$3:BJ$22),"")</f>
        <v>20</v>
      </c>
      <c r="BK65">
        <f ca="1">IF(AND(((COLUMN()-10)&lt;=playercnt),((ROW()-41)&lt;=playercnt)),SUMPRODUCT(INDIRECT(ADDRESS(3,ROW()-31,1)):INDIRECT(ADDRESS(22,ROW()-31,1)),BK$3:BK$22),"")</f>
        <v>20</v>
      </c>
      <c r="BL65">
        <f ca="1">IF(AND(((COLUMN()-10)&lt;=playercnt),((ROW()-41)&lt;=playercnt)),SUMPRODUCT(INDIRECT(ADDRESS(3,ROW()-31,1)):INDIRECT(ADDRESS(22,ROW()-31,1)),BL$3:BL$22),"")</f>
        <v>20</v>
      </c>
      <c r="BM65">
        <f ca="1">IF(AND(((COLUMN()-10)&lt;=playercnt),((ROW()-41)&lt;=playercnt)),SUMPRODUCT(INDIRECT(ADDRESS(3,ROW()-31,1)):INDIRECT(ADDRESS(22,ROW()-31,1)),BM$3:BM$22),"")</f>
        <v>20</v>
      </c>
      <c r="BN65">
        <f ca="1">IF(AND(((COLUMN()-10)&lt;=playercnt),((ROW()-41)&lt;=playercnt)),SUMPRODUCT(INDIRECT(ADDRESS(3,ROW()-31,1)):INDIRECT(ADDRESS(22,ROW()-31,1)),BN$3:BN$22),"")</f>
        <v>20</v>
      </c>
      <c r="BO65" t="str">
        <f ca="1">IF(AND(((COLUMN()-10)&lt;=playercnt),((ROW()-41)&lt;=playercnt)),SUMPRODUCT(INDIRECT(ADDRESS(3,ROW()-31,1)):INDIRECT(ADDRESS(22,ROW()-31,1)),BO$3:BO$22),"")</f>
        <v/>
      </c>
    </row>
    <row r="66" spans="2:67" x14ac:dyDescent="0.25">
      <c r="B66" s="27" t="str">
        <f t="shared" ca="1" si="23"/>
        <v/>
      </c>
      <c r="C66" t="e">
        <f t="shared" ca="1" si="24"/>
        <v>#REF!</v>
      </c>
      <c r="G66">
        <f ca="1">IF(AND(((COLUMN()-10)&lt;=playercnt),((ROW()-41)&lt;=playercnt)),SUMPRODUCT(INDIRECT(ADDRESS(3,ROW()-31,1)):INDIRECT(ADDRESS(22,ROW()-31,1)),G$3:G$22),"")</f>
        <v>20</v>
      </c>
      <c r="H66" t="e">
        <f ca="1">IF(AND(((COLUMN()-10)&lt;=playercnt),((ROW()-41)&lt;=playercnt)),SUMPRODUCT(INDIRECT(ADDRESS(3,ROW()-31,1)):INDIRECT(ADDRESS(22,ROW()-31,1)),H$3:H$22),"")</f>
        <v>#REF!</v>
      </c>
      <c r="I66" t="e">
        <f ca="1">IF(AND(((COLUMN()-10)&lt;=playercnt),((ROW()-41)&lt;=playercnt)),SUMPRODUCT(INDIRECT(ADDRESS(3,ROW()-31,1)):INDIRECT(ADDRESS(22,ROW()-31,1)),I$3:I$22),"")</f>
        <v>#REF!</v>
      </c>
      <c r="J66">
        <f ca="1">IF(AND(((COLUMN()-10)&lt;=playercnt),((ROW()-41)&lt;=playercnt)),SUMPRODUCT(INDIRECT(ADDRESS(3,ROW()-31,1)):INDIRECT(ADDRESS(22,ROW()-31,1)),J$3:J$22),"")</f>
        <v>20</v>
      </c>
      <c r="K66">
        <f ca="1">IF(AND(((COLUMN()-10)&lt;=playercnt),((ROW()-41)&lt;=playercnt)),SUMPRODUCT(INDIRECT(ADDRESS(3,ROW()-31,1)):INDIRECT(ADDRESS(22,ROW()-31,1)),K$3:K$22),"")</f>
        <v>20</v>
      </c>
      <c r="L66">
        <f ca="1">IF(AND(((COLUMN()-10)&lt;=playercnt),((ROW()-41)&lt;=playercnt)),SUMPRODUCT(INDIRECT(ADDRESS(3,ROW()-31,1)):INDIRECT(ADDRESS(22,ROW()-31,1)),L$3:L$22),"")</f>
        <v>20</v>
      </c>
      <c r="M66">
        <f ca="1">IF(AND(((COLUMN()-10)&lt;=playercnt),((ROW()-41)&lt;=playercnt)),SUMPRODUCT(INDIRECT(ADDRESS(3,ROW()-31,1)):INDIRECT(ADDRESS(22,ROW()-31,1)),M$3:M$22),"")</f>
        <v>20</v>
      </c>
      <c r="N66">
        <f ca="1">IF(AND(((COLUMN()-10)&lt;=playercnt),((ROW()-41)&lt;=playercnt)),SUMPRODUCT(INDIRECT(ADDRESS(3,ROW()-31,1)):INDIRECT(ADDRESS(22,ROW()-31,1)),N$3:N$22),"")</f>
        <v>20</v>
      </c>
      <c r="O66">
        <f ca="1">IF(AND(((COLUMN()-10)&lt;=playercnt),((ROW()-41)&lt;=playercnt)),SUMPRODUCT(INDIRECT(ADDRESS(3,ROW()-31,1)):INDIRECT(ADDRESS(22,ROW()-31,1)),O$3:O$22),"")</f>
        <v>20</v>
      </c>
      <c r="P66">
        <f ca="1">IF(AND(((COLUMN()-10)&lt;=playercnt),((ROW()-41)&lt;=playercnt)),SUMPRODUCT(INDIRECT(ADDRESS(3,ROW()-31,1)):INDIRECT(ADDRESS(22,ROW()-31,1)),P$3:P$22),"")</f>
        <v>20</v>
      </c>
      <c r="Q66">
        <f ca="1">IF(AND(((COLUMN()-10)&lt;=playercnt),((ROW()-41)&lt;=playercnt)),SUMPRODUCT(INDIRECT(ADDRESS(3,ROW()-31,1)):INDIRECT(ADDRESS(22,ROW()-31,1)),Q$3:Q$22),"")</f>
        <v>20</v>
      </c>
      <c r="R66">
        <f ca="1">IF(AND(((COLUMN()-10)&lt;=playercnt),((ROW()-41)&lt;=playercnt)),SUMPRODUCT(INDIRECT(ADDRESS(3,ROW()-31,1)):INDIRECT(ADDRESS(22,ROW()-31,1)),R$3:R$22),"")</f>
        <v>20</v>
      </c>
      <c r="S66">
        <f ca="1">IF(AND(((COLUMN()-10)&lt;=playercnt),((ROW()-41)&lt;=playercnt)),SUMPRODUCT(INDIRECT(ADDRESS(3,ROW()-31,1)):INDIRECT(ADDRESS(22,ROW()-31,1)),S$3:S$22),"")</f>
        <v>20</v>
      </c>
      <c r="T66">
        <f ca="1">IF(AND(((COLUMN()-10)&lt;=playercnt),((ROW()-41)&lt;=playercnt)),SUMPRODUCT(INDIRECT(ADDRESS(3,ROW()-31,1)):INDIRECT(ADDRESS(22,ROW()-31,1)),T$3:T$22),"")</f>
        <v>20</v>
      </c>
      <c r="U66">
        <f ca="1">IF(AND(((COLUMN()-10)&lt;=playercnt),((ROW()-41)&lt;=playercnt)),SUMPRODUCT(INDIRECT(ADDRESS(3,ROW()-31,1)):INDIRECT(ADDRESS(22,ROW()-31,1)),U$3:U$22),"")</f>
        <v>20</v>
      </c>
      <c r="V66">
        <f ca="1">IF(AND(((COLUMN()-10)&lt;=playercnt),((ROW()-41)&lt;=playercnt)),SUMPRODUCT(INDIRECT(ADDRESS(3,ROW()-31,1)):INDIRECT(ADDRESS(22,ROW()-31,1)),V$3:V$22),"")</f>
        <v>20</v>
      </c>
      <c r="W66">
        <f ca="1">IF(AND(((COLUMN()-10)&lt;=playercnt),((ROW()-41)&lt;=playercnt)),SUMPRODUCT(INDIRECT(ADDRESS(3,ROW()-31,1)):INDIRECT(ADDRESS(22,ROW()-31,1)),W$3:W$22),"")</f>
        <v>20</v>
      </c>
      <c r="X66">
        <f ca="1">IF(AND(((COLUMN()-10)&lt;=playercnt),((ROW()-41)&lt;=playercnt)),SUMPRODUCT(INDIRECT(ADDRESS(3,ROW()-31,1)):INDIRECT(ADDRESS(22,ROW()-31,1)),X$3:X$22),"")</f>
        <v>20</v>
      </c>
      <c r="Y66">
        <f ca="1">IF(AND(((COLUMN()-10)&lt;=playercnt),((ROW()-41)&lt;=playercnt)),SUMPRODUCT(INDIRECT(ADDRESS(3,ROW()-31,1)):INDIRECT(ADDRESS(22,ROW()-31,1)),Y$3:Y$22),"")</f>
        <v>20</v>
      </c>
      <c r="Z66">
        <f ca="1">IF(AND(((COLUMN()-10)&lt;=playercnt),((ROW()-41)&lt;=playercnt)),SUMPRODUCT(INDIRECT(ADDRESS(3,ROW()-31,1)):INDIRECT(ADDRESS(22,ROW()-31,1)),Z$3:Z$22),"")</f>
        <v>20</v>
      </c>
      <c r="AA66">
        <f ca="1">IF(AND(((COLUMN()-10)&lt;=playercnt),((ROW()-41)&lt;=playercnt)),SUMPRODUCT(INDIRECT(ADDRESS(3,ROW()-31,1)):INDIRECT(ADDRESS(22,ROW()-31,1)),AA$3:AA$22),"")</f>
        <v>20</v>
      </c>
      <c r="AB66">
        <f ca="1">IF(AND(((COLUMN()-10)&lt;=playercnt),((ROW()-41)&lt;=playercnt)),SUMPRODUCT(INDIRECT(ADDRESS(3,ROW()-31,1)):INDIRECT(ADDRESS(22,ROW()-31,1)),AB$3:AB$22),"")</f>
        <v>20</v>
      </c>
      <c r="AC66">
        <f ca="1">IF(AND(((COLUMN()-10)&lt;=playercnt),((ROW()-41)&lt;=playercnt)),SUMPRODUCT(INDIRECT(ADDRESS(3,ROW()-31,1)):INDIRECT(ADDRESS(22,ROW()-31,1)),AC$3:AC$22),"")</f>
        <v>20</v>
      </c>
      <c r="AD66">
        <f ca="1">IF(AND(((COLUMN()-10)&lt;=playercnt),((ROW()-41)&lt;=playercnt)),SUMPRODUCT(INDIRECT(ADDRESS(3,ROW()-31,1)):INDIRECT(ADDRESS(22,ROW()-31,1)),AD$3:AD$22),"")</f>
        <v>20</v>
      </c>
      <c r="AE66">
        <f ca="1">IF(AND(((COLUMN()-10)&lt;=playercnt),((ROW()-41)&lt;=playercnt)),SUMPRODUCT(INDIRECT(ADDRESS(3,ROW()-31,1)):INDIRECT(ADDRESS(22,ROW()-31,1)),AE$3:AE$22),"")</f>
        <v>20</v>
      </c>
      <c r="AF66">
        <f ca="1">IF(AND(((COLUMN()-10)&lt;=playercnt),((ROW()-41)&lt;=playercnt)),SUMPRODUCT(INDIRECT(ADDRESS(3,ROW()-31,1)):INDIRECT(ADDRESS(22,ROW()-31,1)),AF$3:AF$22),"")</f>
        <v>20</v>
      </c>
      <c r="AG66">
        <f ca="1">IF(AND(((COLUMN()-10)&lt;=playercnt),((ROW()-41)&lt;=playercnt)),SUMPRODUCT(INDIRECT(ADDRESS(3,ROW()-31,1)):INDIRECT(ADDRESS(22,ROW()-31,1)),AG$3:AG$22),"")</f>
        <v>20</v>
      </c>
      <c r="AH66">
        <f ca="1">IF(AND(((COLUMN()-10)&lt;=playercnt),((ROW()-41)&lt;=playercnt)),SUMPRODUCT(INDIRECT(ADDRESS(3,ROW()-31,1)):INDIRECT(ADDRESS(22,ROW()-31,1)),AH$3:AH$22),"")</f>
        <v>20</v>
      </c>
      <c r="AI66">
        <f ca="1">IF(AND(((COLUMN()-10)&lt;=playercnt),((ROW()-41)&lt;=playercnt)),SUMPRODUCT(INDIRECT(ADDRESS(3,ROW()-31,1)):INDIRECT(ADDRESS(22,ROW()-31,1)),AI$3:AI$22),"")</f>
        <v>20</v>
      </c>
      <c r="AJ66">
        <f ca="1">IF(AND(((COLUMN()-10)&lt;=playercnt),((ROW()-41)&lt;=playercnt)),SUMPRODUCT(INDIRECT(ADDRESS(3,ROW()-31,1)):INDIRECT(ADDRESS(22,ROW()-31,1)),AJ$3:AJ$22),"")</f>
        <v>20</v>
      </c>
      <c r="AK66">
        <f ca="1">IF(AND(((COLUMN()-10)&lt;=playercnt),((ROW()-41)&lt;=playercnt)),SUMPRODUCT(INDIRECT(ADDRESS(3,ROW()-31,1)):INDIRECT(ADDRESS(22,ROW()-31,1)),AK$3:AK$22),"")</f>
        <v>20</v>
      </c>
      <c r="AL66">
        <f ca="1">IF(AND(((COLUMN()-10)&lt;=playercnt),((ROW()-41)&lt;=playercnt)),SUMPRODUCT(INDIRECT(ADDRESS(3,ROW()-31,1)):INDIRECT(ADDRESS(22,ROW()-31,1)),AL$3:AL$22),"")</f>
        <v>20</v>
      </c>
      <c r="AM66">
        <f ca="1">IF(AND(((COLUMN()-10)&lt;=playercnt),((ROW()-41)&lt;=playercnt)),SUMPRODUCT(INDIRECT(ADDRESS(3,ROW()-31,1)):INDIRECT(ADDRESS(22,ROW()-31,1)),AM$3:AM$22),"")</f>
        <v>20</v>
      </c>
      <c r="AN66">
        <f ca="1">IF(AND(((COLUMN()-10)&lt;=playercnt),((ROW()-41)&lt;=playercnt)),SUMPRODUCT(INDIRECT(ADDRESS(3,ROW()-31,1)):INDIRECT(ADDRESS(22,ROW()-31,1)),AN$3:AN$22),"")</f>
        <v>20</v>
      </c>
      <c r="AO66">
        <f ca="1">IF(AND(((COLUMN()-10)&lt;=playercnt),((ROW()-41)&lt;=playercnt)),SUMPRODUCT(INDIRECT(ADDRESS(3,ROW()-31,1)):INDIRECT(ADDRESS(22,ROW()-31,1)),AO$3:AO$22),"")</f>
        <v>20</v>
      </c>
      <c r="AP66">
        <f ca="1">IF(AND(((COLUMN()-10)&lt;=playercnt),((ROW()-41)&lt;=playercnt)),SUMPRODUCT(INDIRECT(ADDRESS(3,ROW()-31,1)):INDIRECT(ADDRESS(22,ROW()-31,1)),AP$3:AP$22),"")</f>
        <v>20</v>
      </c>
      <c r="AQ66">
        <f ca="1">IF(AND(((COLUMN()-10)&lt;=playercnt),((ROW()-41)&lt;=playercnt)),SUMPRODUCT(INDIRECT(ADDRESS(3,ROW()-31,1)):INDIRECT(ADDRESS(22,ROW()-31,1)),AQ$3:AQ$22),"")</f>
        <v>20</v>
      </c>
      <c r="AR66">
        <f ca="1">IF(AND(((COLUMN()-10)&lt;=playercnt),((ROW()-41)&lt;=playercnt)),SUMPRODUCT(INDIRECT(ADDRESS(3,ROW()-31,1)):INDIRECT(ADDRESS(22,ROW()-31,1)),AR$3:AR$22),"")</f>
        <v>20</v>
      </c>
      <c r="AS66">
        <f ca="1">IF(AND(((COLUMN()-10)&lt;=playercnt),((ROW()-41)&lt;=playercnt)),SUMPRODUCT(INDIRECT(ADDRESS(3,ROW()-31,1)):INDIRECT(ADDRESS(22,ROW()-31,1)),AS$3:AS$22),"")</f>
        <v>20</v>
      </c>
      <c r="AT66">
        <f ca="1">IF(AND(((COLUMN()-10)&lt;=playercnt),((ROW()-41)&lt;=playercnt)),SUMPRODUCT(INDIRECT(ADDRESS(3,ROW()-31,1)):INDIRECT(ADDRESS(22,ROW()-31,1)),AT$3:AT$22),"")</f>
        <v>20</v>
      </c>
      <c r="AU66">
        <f ca="1">IF(AND(((COLUMN()-10)&lt;=playercnt),((ROW()-41)&lt;=playercnt)),SUMPRODUCT(INDIRECT(ADDRESS(3,ROW()-31,1)):INDIRECT(ADDRESS(22,ROW()-31,1)),AU$3:AU$22),"")</f>
        <v>20</v>
      </c>
      <c r="AV66">
        <f ca="1">IF(AND(((COLUMN()-10)&lt;=playercnt),((ROW()-41)&lt;=playercnt)),SUMPRODUCT(INDIRECT(ADDRESS(3,ROW()-31,1)):INDIRECT(ADDRESS(22,ROW()-31,1)),AV$3:AV$22),"")</f>
        <v>20</v>
      </c>
      <c r="AW66">
        <f ca="1">IF(AND(((COLUMN()-10)&lt;=playercnt),((ROW()-41)&lt;=playercnt)),SUMPRODUCT(INDIRECT(ADDRESS(3,ROW()-31,1)):INDIRECT(ADDRESS(22,ROW()-31,1)),AW$3:AW$22),"")</f>
        <v>20</v>
      </c>
      <c r="AX66">
        <f ca="1">IF(AND(((COLUMN()-10)&lt;=playercnt),((ROW()-41)&lt;=playercnt)),SUMPRODUCT(INDIRECT(ADDRESS(3,ROW()-31,1)):INDIRECT(ADDRESS(22,ROW()-31,1)),AX$3:AX$22),"")</f>
        <v>20</v>
      </c>
      <c r="AY66">
        <f ca="1">IF(AND(((COLUMN()-10)&lt;=playercnt),((ROW()-41)&lt;=playercnt)),SUMPRODUCT(INDIRECT(ADDRESS(3,ROW()-31,1)):INDIRECT(ADDRESS(22,ROW()-31,1)),AY$3:AY$22),"")</f>
        <v>20</v>
      </c>
      <c r="AZ66">
        <f ca="1">IF(AND(((COLUMN()-10)&lt;=playercnt),((ROW()-41)&lt;=playercnt)),SUMPRODUCT(INDIRECT(ADDRESS(3,ROW()-31,1)):INDIRECT(ADDRESS(22,ROW()-31,1)),AZ$3:AZ$22),"")</f>
        <v>20</v>
      </c>
      <c r="BA66">
        <f ca="1">IF(AND(((COLUMN()-10)&lt;=playercnt),((ROW()-41)&lt;=playercnt)),SUMPRODUCT(INDIRECT(ADDRESS(3,ROW()-31,1)):INDIRECT(ADDRESS(22,ROW()-31,1)),BA$3:BA$22),"")</f>
        <v>20</v>
      </c>
      <c r="BB66">
        <f ca="1">IF(AND(((COLUMN()-10)&lt;=playercnt),((ROW()-41)&lt;=playercnt)),SUMPRODUCT(INDIRECT(ADDRESS(3,ROW()-31,1)):INDIRECT(ADDRESS(22,ROW()-31,1)),BB$3:BB$22),"")</f>
        <v>20</v>
      </c>
      <c r="BC66">
        <f ca="1">IF(AND(((COLUMN()-10)&lt;=playercnt),((ROW()-41)&lt;=playercnt)),SUMPRODUCT(INDIRECT(ADDRESS(3,ROW()-31,1)):INDIRECT(ADDRESS(22,ROW()-31,1)),BC$3:BC$22),"")</f>
        <v>20</v>
      </c>
      <c r="BD66">
        <f ca="1">IF(AND(((COLUMN()-10)&lt;=playercnt),((ROW()-41)&lt;=playercnt)),SUMPRODUCT(INDIRECT(ADDRESS(3,ROW()-31,1)):INDIRECT(ADDRESS(22,ROW()-31,1)),BD$3:BD$22),"")</f>
        <v>20</v>
      </c>
      <c r="BE66">
        <f ca="1">IF(AND(((COLUMN()-10)&lt;=playercnt),((ROW()-41)&lt;=playercnt)),SUMPRODUCT(INDIRECT(ADDRESS(3,ROW()-31,1)):INDIRECT(ADDRESS(22,ROW()-31,1)),BE$3:BE$22),"")</f>
        <v>20</v>
      </c>
      <c r="BF66">
        <f ca="1">IF(AND(((COLUMN()-10)&lt;=playercnt),((ROW()-41)&lt;=playercnt)),SUMPRODUCT(INDIRECT(ADDRESS(3,ROW()-31,1)):INDIRECT(ADDRESS(22,ROW()-31,1)),BF$3:BF$22),"")</f>
        <v>20</v>
      </c>
      <c r="BG66">
        <f ca="1">IF(AND(((COLUMN()-10)&lt;=playercnt),((ROW()-41)&lt;=playercnt)),SUMPRODUCT(INDIRECT(ADDRESS(3,ROW()-31,1)):INDIRECT(ADDRESS(22,ROW()-31,1)),BG$3:BG$22),"")</f>
        <v>20</v>
      </c>
      <c r="BH66">
        <f ca="1">IF(AND(((COLUMN()-10)&lt;=playercnt),((ROW()-41)&lt;=playercnt)),SUMPRODUCT(INDIRECT(ADDRESS(3,ROW()-31,1)):INDIRECT(ADDRESS(22,ROW()-31,1)),BH$3:BH$22),"")</f>
        <v>20</v>
      </c>
      <c r="BI66">
        <f ca="1">IF(AND(((COLUMN()-10)&lt;=playercnt),((ROW()-41)&lt;=playercnt)),SUMPRODUCT(INDIRECT(ADDRESS(3,ROW()-31,1)):INDIRECT(ADDRESS(22,ROW()-31,1)),BI$3:BI$22),"")</f>
        <v>20</v>
      </c>
      <c r="BJ66">
        <f ca="1">IF(AND(((COLUMN()-10)&lt;=playercnt),((ROW()-41)&lt;=playercnt)),SUMPRODUCT(INDIRECT(ADDRESS(3,ROW()-31,1)):INDIRECT(ADDRESS(22,ROW()-31,1)),BJ$3:BJ$22),"")</f>
        <v>20</v>
      </c>
      <c r="BK66">
        <f ca="1">IF(AND(((COLUMN()-10)&lt;=playercnt),((ROW()-41)&lt;=playercnt)),SUMPRODUCT(INDIRECT(ADDRESS(3,ROW()-31,1)):INDIRECT(ADDRESS(22,ROW()-31,1)),BK$3:BK$22),"")</f>
        <v>20</v>
      </c>
      <c r="BL66">
        <f ca="1">IF(AND(((COLUMN()-10)&lt;=playercnt),((ROW()-41)&lt;=playercnt)),SUMPRODUCT(INDIRECT(ADDRESS(3,ROW()-31,1)):INDIRECT(ADDRESS(22,ROW()-31,1)),BL$3:BL$22),"")</f>
        <v>20</v>
      </c>
      <c r="BM66">
        <f ca="1">IF(AND(((COLUMN()-10)&lt;=playercnt),((ROW()-41)&lt;=playercnt)),SUMPRODUCT(INDIRECT(ADDRESS(3,ROW()-31,1)):INDIRECT(ADDRESS(22,ROW()-31,1)),BM$3:BM$22),"")</f>
        <v>20</v>
      </c>
      <c r="BN66">
        <f ca="1">IF(AND(((COLUMN()-10)&lt;=playercnt),((ROW()-41)&lt;=playercnt)),SUMPRODUCT(INDIRECT(ADDRESS(3,ROW()-31,1)):INDIRECT(ADDRESS(22,ROW()-31,1)),BN$3:BN$22),"")</f>
        <v>20</v>
      </c>
      <c r="BO66" t="str">
        <f ca="1">IF(AND(((COLUMN()-10)&lt;=playercnt),((ROW()-41)&lt;=playercnt)),SUMPRODUCT(INDIRECT(ADDRESS(3,ROW()-31,1)):INDIRECT(ADDRESS(22,ROW()-31,1)),BO$3:BO$22),"")</f>
        <v/>
      </c>
    </row>
    <row r="67" spans="2:67" x14ac:dyDescent="0.25">
      <c r="B67" s="27" t="str">
        <f t="shared" ca="1" si="23"/>
        <v/>
      </c>
      <c r="C67" t="e">
        <f t="shared" ca="1" si="24"/>
        <v>#REF!</v>
      </c>
      <c r="G67">
        <f ca="1">IF(AND(((COLUMN()-10)&lt;=playercnt),((ROW()-41)&lt;=playercnt)),SUMPRODUCT(INDIRECT(ADDRESS(3,ROW()-31,1)):INDIRECT(ADDRESS(22,ROW()-31,1)),G$3:G$22),"")</f>
        <v>20</v>
      </c>
      <c r="H67" t="e">
        <f ca="1">IF(AND(((COLUMN()-10)&lt;=playercnt),((ROW()-41)&lt;=playercnt)),SUMPRODUCT(INDIRECT(ADDRESS(3,ROW()-31,1)):INDIRECT(ADDRESS(22,ROW()-31,1)),H$3:H$22),"")</f>
        <v>#REF!</v>
      </c>
      <c r="I67" t="e">
        <f ca="1">IF(AND(((COLUMN()-10)&lt;=playercnt),((ROW()-41)&lt;=playercnt)),SUMPRODUCT(INDIRECT(ADDRESS(3,ROW()-31,1)):INDIRECT(ADDRESS(22,ROW()-31,1)),I$3:I$22),"")</f>
        <v>#REF!</v>
      </c>
      <c r="J67">
        <f ca="1">IF(AND(((COLUMN()-10)&lt;=playercnt),((ROW()-41)&lt;=playercnt)),SUMPRODUCT(INDIRECT(ADDRESS(3,ROW()-31,1)):INDIRECT(ADDRESS(22,ROW()-31,1)),J$3:J$22),"")</f>
        <v>20</v>
      </c>
      <c r="K67">
        <f ca="1">IF(AND(((COLUMN()-10)&lt;=playercnt),((ROW()-41)&lt;=playercnt)),SUMPRODUCT(INDIRECT(ADDRESS(3,ROW()-31,1)):INDIRECT(ADDRESS(22,ROW()-31,1)),K$3:K$22),"")</f>
        <v>20</v>
      </c>
      <c r="L67">
        <f ca="1">IF(AND(((COLUMN()-10)&lt;=playercnt),((ROW()-41)&lt;=playercnt)),SUMPRODUCT(INDIRECT(ADDRESS(3,ROW()-31,1)):INDIRECT(ADDRESS(22,ROW()-31,1)),L$3:L$22),"")</f>
        <v>20</v>
      </c>
      <c r="M67">
        <f ca="1">IF(AND(((COLUMN()-10)&lt;=playercnt),((ROW()-41)&lt;=playercnt)),SUMPRODUCT(INDIRECT(ADDRESS(3,ROW()-31,1)):INDIRECT(ADDRESS(22,ROW()-31,1)),M$3:M$22),"")</f>
        <v>20</v>
      </c>
      <c r="N67">
        <f ca="1">IF(AND(((COLUMN()-10)&lt;=playercnt),((ROW()-41)&lt;=playercnt)),SUMPRODUCT(INDIRECT(ADDRESS(3,ROW()-31,1)):INDIRECT(ADDRESS(22,ROW()-31,1)),N$3:N$22),"")</f>
        <v>20</v>
      </c>
      <c r="O67">
        <f ca="1">IF(AND(((COLUMN()-10)&lt;=playercnt),((ROW()-41)&lt;=playercnt)),SUMPRODUCT(INDIRECT(ADDRESS(3,ROW()-31,1)):INDIRECT(ADDRESS(22,ROW()-31,1)),O$3:O$22),"")</f>
        <v>20</v>
      </c>
      <c r="P67">
        <f ca="1">IF(AND(((COLUMN()-10)&lt;=playercnt),((ROW()-41)&lt;=playercnt)),SUMPRODUCT(INDIRECT(ADDRESS(3,ROW()-31,1)):INDIRECT(ADDRESS(22,ROW()-31,1)),P$3:P$22),"")</f>
        <v>20</v>
      </c>
      <c r="Q67">
        <f ca="1">IF(AND(((COLUMN()-10)&lt;=playercnt),((ROW()-41)&lt;=playercnt)),SUMPRODUCT(INDIRECT(ADDRESS(3,ROW()-31,1)):INDIRECT(ADDRESS(22,ROW()-31,1)),Q$3:Q$22),"")</f>
        <v>20</v>
      </c>
      <c r="R67">
        <f ca="1">IF(AND(((COLUMN()-10)&lt;=playercnt),((ROW()-41)&lt;=playercnt)),SUMPRODUCT(INDIRECT(ADDRESS(3,ROW()-31,1)):INDIRECT(ADDRESS(22,ROW()-31,1)),R$3:R$22),"")</f>
        <v>20</v>
      </c>
      <c r="S67">
        <f ca="1">IF(AND(((COLUMN()-10)&lt;=playercnt),((ROW()-41)&lt;=playercnt)),SUMPRODUCT(INDIRECT(ADDRESS(3,ROW()-31,1)):INDIRECT(ADDRESS(22,ROW()-31,1)),S$3:S$22),"")</f>
        <v>20</v>
      </c>
      <c r="T67">
        <f ca="1">IF(AND(((COLUMN()-10)&lt;=playercnt),((ROW()-41)&lt;=playercnt)),SUMPRODUCT(INDIRECT(ADDRESS(3,ROW()-31,1)):INDIRECT(ADDRESS(22,ROW()-31,1)),T$3:T$22),"")</f>
        <v>20</v>
      </c>
      <c r="U67">
        <f ca="1">IF(AND(((COLUMN()-10)&lt;=playercnt),((ROW()-41)&lt;=playercnt)),SUMPRODUCT(INDIRECT(ADDRESS(3,ROW()-31,1)):INDIRECT(ADDRESS(22,ROW()-31,1)),U$3:U$22),"")</f>
        <v>20</v>
      </c>
      <c r="V67">
        <f ca="1">IF(AND(((COLUMN()-10)&lt;=playercnt),((ROW()-41)&lt;=playercnt)),SUMPRODUCT(INDIRECT(ADDRESS(3,ROW()-31,1)):INDIRECT(ADDRESS(22,ROW()-31,1)),V$3:V$22),"")</f>
        <v>20</v>
      </c>
      <c r="W67">
        <f ca="1">IF(AND(((COLUMN()-10)&lt;=playercnt),((ROW()-41)&lt;=playercnt)),SUMPRODUCT(INDIRECT(ADDRESS(3,ROW()-31,1)):INDIRECT(ADDRESS(22,ROW()-31,1)),W$3:W$22),"")</f>
        <v>20</v>
      </c>
      <c r="X67">
        <f ca="1">IF(AND(((COLUMN()-10)&lt;=playercnt),((ROW()-41)&lt;=playercnt)),SUMPRODUCT(INDIRECT(ADDRESS(3,ROW()-31,1)):INDIRECT(ADDRESS(22,ROW()-31,1)),X$3:X$22),"")</f>
        <v>20</v>
      </c>
      <c r="Y67">
        <f ca="1">IF(AND(((COLUMN()-10)&lt;=playercnt),((ROW()-41)&lt;=playercnt)),SUMPRODUCT(INDIRECT(ADDRESS(3,ROW()-31,1)):INDIRECT(ADDRESS(22,ROW()-31,1)),Y$3:Y$22),"")</f>
        <v>20</v>
      </c>
      <c r="Z67">
        <f ca="1">IF(AND(((COLUMN()-10)&lt;=playercnt),((ROW()-41)&lt;=playercnt)),SUMPRODUCT(INDIRECT(ADDRESS(3,ROW()-31,1)):INDIRECT(ADDRESS(22,ROW()-31,1)),Z$3:Z$22),"")</f>
        <v>20</v>
      </c>
      <c r="AA67">
        <f ca="1">IF(AND(((COLUMN()-10)&lt;=playercnt),((ROW()-41)&lt;=playercnt)),SUMPRODUCT(INDIRECT(ADDRESS(3,ROW()-31,1)):INDIRECT(ADDRESS(22,ROW()-31,1)),AA$3:AA$22),"")</f>
        <v>20</v>
      </c>
      <c r="AB67">
        <f ca="1">IF(AND(((COLUMN()-10)&lt;=playercnt),((ROW()-41)&lt;=playercnt)),SUMPRODUCT(INDIRECT(ADDRESS(3,ROW()-31,1)):INDIRECT(ADDRESS(22,ROW()-31,1)),AB$3:AB$22),"")</f>
        <v>20</v>
      </c>
      <c r="AC67">
        <f ca="1">IF(AND(((COLUMN()-10)&lt;=playercnt),((ROW()-41)&lt;=playercnt)),SUMPRODUCT(INDIRECT(ADDRESS(3,ROW()-31,1)):INDIRECT(ADDRESS(22,ROW()-31,1)),AC$3:AC$22),"")</f>
        <v>20</v>
      </c>
      <c r="AD67">
        <f ca="1">IF(AND(((COLUMN()-10)&lt;=playercnt),((ROW()-41)&lt;=playercnt)),SUMPRODUCT(INDIRECT(ADDRESS(3,ROW()-31,1)):INDIRECT(ADDRESS(22,ROW()-31,1)),AD$3:AD$22),"")</f>
        <v>20</v>
      </c>
      <c r="AE67">
        <f ca="1">IF(AND(((COLUMN()-10)&lt;=playercnt),((ROW()-41)&lt;=playercnt)),SUMPRODUCT(INDIRECT(ADDRESS(3,ROW()-31,1)):INDIRECT(ADDRESS(22,ROW()-31,1)),AE$3:AE$22),"")</f>
        <v>20</v>
      </c>
      <c r="AF67">
        <f ca="1">IF(AND(((COLUMN()-10)&lt;=playercnt),((ROW()-41)&lt;=playercnt)),SUMPRODUCT(INDIRECT(ADDRESS(3,ROW()-31,1)):INDIRECT(ADDRESS(22,ROW()-31,1)),AF$3:AF$22),"")</f>
        <v>20</v>
      </c>
      <c r="AG67">
        <f ca="1">IF(AND(((COLUMN()-10)&lt;=playercnt),((ROW()-41)&lt;=playercnt)),SUMPRODUCT(INDIRECT(ADDRESS(3,ROW()-31,1)):INDIRECT(ADDRESS(22,ROW()-31,1)),AG$3:AG$22),"")</f>
        <v>20</v>
      </c>
      <c r="AH67">
        <f ca="1">IF(AND(((COLUMN()-10)&lt;=playercnt),((ROW()-41)&lt;=playercnt)),SUMPRODUCT(INDIRECT(ADDRESS(3,ROW()-31,1)):INDIRECT(ADDRESS(22,ROW()-31,1)),AH$3:AH$22),"")</f>
        <v>20</v>
      </c>
      <c r="AI67">
        <f ca="1">IF(AND(((COLUMN()-10)&lt;=playercnt),((ROW()-41)&lt;=playercnt)),SUMPRODUCT(INDIRECT(ADDRESS(3,ROW()-31,1)):INDIRECT(ADDRESS(22,ROW()-31,1)),AI$3:AI$22),"")</f>
        <v>20</v>
      </c>
      <c r="AJ67">
        <f ca="1">IF(AND(((COLUMN()-10)&lt;=playercnt),((ROW()-41)&lt;=playercnt)),SUMPRODUCT(INDIRECT(ADDRESS(3,ROW()-31,1)):INDIRECT(ADDRESS(22,ROW()-31,1)),AJ$3:AJ$22),"")</f>
        <v>20</v>
      </c>
      <c r="AK67">
        <f ca="1">IF(AND(((COLUMN()-10)&lt;=playercnt),((ROW()-41)&lt;=playercnt)),SUMPRODUCT(INDIRECT(ADDRESS(3,ROW()-31,1)):INDIRECT(ADDRESS(22,ROW()-31,1)),AK$3:AK$22),"")</f>
        <v>20</v>
      </c>
      <c r="AL67">
        <f ca="1">IF(AND(((COLUMN()-10)&lt;=playercnt),((ROW()-41)&lt;=playercnt)),SUMPRODUCT(INDIRECT(ADDRESS(3,ROW()-31,1)):INDIRECT(ADDRESS(22,ROW()-31,1)),AL$3:AL$22),"")</f>
        <v>20</v>
      </c>
      <c r="AM67">
        <f ca="1">IF(AND(((COLUMN()-10)&lt;=playercnt),((ROW()-41)&lt;=playercnt)),SUMPRODUCT(INDIRECT(ADDRESS(3,ROW()-31,1)):INDIRECT(ADDRESS(22,ROW()-31,1)),AM$3:AM$22),"")</f>
        <v>20</v>
      </c>
      <c r="AN67">
        <f ca="1">IF(AND(((COLUMN()-10)&lt;=playercnt),((ROW()-41)&lt;=playercnt)),SUMPRODUCT(INDIRECT(ADDRESS(3,ROW()-31,1)):INDIRECT(ADDRESS(22,ROW()-31,1)),AN$3:AN$22),"")</f>
        <v>20</v>
      </c>
      <c r="AO67">
        <f ca="1">IF(AND(((COLUMN()-10)&lt;=playercnt),((ROW()-41)&lt;=playercnt)),SUMPRODUCT(INDIRECT(ADDRESS(3,ROW()-31,1)):INDIRECT(ADDRESS(22,ROW()-31,1)),AO$3:AO$22),"")</f>
        <v>20</v>
      </c>
      <c r="AP67">
        <f ca="1">IF(AND(((COLUMN()-10)&lt;=playercnt),((ROW()-41)&lt;=playercnt)),SUMPRODUCT(INDIRECT(ADDRESS(3,ROW()-31,1)):INDIRECT(ADDRESS(22,ROW()-31,1)),AP$3:AP$22),"")</f>
        <v>20</v>
      </c>
      <c r="AQ67">
        <f ca="1">IF(AND(((COLUMN()-10)&lt;=playercnt),((ROW()-41)&lt;=playercnt)),SUMPRODUCT(INDIRECT(ADDRESS(3,ROW()-31,1)):INDIRECT(ADDRESS(22,ROW()-31,1)),AQ$3:AQ$22),"")</f>
        <v>20</v>
      </c>
      <c r="AR67">
        <f ca="1">IF(AND(((COLUMN()-10)&lt;=playercnt),((ROW()-41)&lt;=playercnt)),SUMPRODUCT(INDIRECT(ADDRESS(3,ROW()-31,1)):INDIRECT(ADDRESS(22,ROW()-31,1)),AR$3:AR$22),"")</f>
        <v>20</v>
      </c>
      <c r="AS67">
        <f ca="1">IF(AND(((COLUMN()-10)&lt;=playercnt),((ROW()-41)&lt;=playercnt)),SUMPRODUCT(INDIRECT(ADDRESS(3,ROW()-31,1)):INDIRECT(ADDRESS(22,ROW()-31,1)),AS$3:AS$22),"")</f>
        <v>20</v>
      </c>
      <c r="AT67">
        <f ca="1">IF(AND(((COLUMN()-10)&lt;=playercnt),((ROW()-41)&lt;=playercnt)),SUMPRODUCT(INDIRECT(ADDRESS(3,ROW()-31,1)):INDIRECT(ADDRESS(22,ROW()-31,1)),AT$3:AT$22),"")</f>
        <v>20</v>
      </c>
      <c r="AU67">
        <f ca="1">IF(AND(((COLUMN()-10)&lt;=playercnt),((ROW()-41)&lt;=playercnt)),SUMPRODUCT(INDIRECT(ADDRESS(3,ROW()-31,1)):INDIRECT(ADDRESS(22,ROW()-31,1)),AU$3:AU$22),"")</f>
        <v>20</v>
      </c>
      <c r="AV67">
        <f ca="1">IF(AND(((COLUMN()-10)&lt;=playercnt),((ROW()-41)&lt;=playercnt)),SUMPRODUCT(INDIRECT(ADDRESS(3,ROW()-31,1)):INDIRECT(ADDRESS(22,ROW()-31,1)),AV$3:AV$22),"")</f>
        <v>20</v>
      </c>
      <c r="AW67">
        <f ca="1">IF(AND(((COLUMN()-10)&lt;=playercnt),((ROW()-41)&lt;=playercnt)),SUMPRODUCT(INDIRECT(ADDRESS(3,ROW()-31,1)):INDIRECT(ADDRESS(22,ROW()-31,1)),AW$3:AW$22),"")</f>
        <v>20</v>
      </c>
      <c r="AX67">
        <f ca="1">IF(AND(((COLUMN()-10)&lt;=playercnt),((ROW()-41)&lt;=playercnt)),SUMPRODUCT(INDIRECT(ADDRESS(3,ROW()-31,1)):INDIRECT(ADDRESS(22,ROW()-31,1)),AX$3:AX$22),"")</f>
        <v>20</v>
      </c>
      <c r="AY67">
        <f ca="1">IF(AND(((COLUMN()-10)&lt;=playercnt),((ROW()-41)&lt;=playercnt)),SUMPRODUCT(INDIRECT(ADDRESS(3,ROW()-31,1)):INDIRECT(ADDRESS(22,ROW()-31,1)),AY$3:AY$22),"")</f>
        <v>20</v>
      </c>
      <c r="AZ67">
        <f ca="1">IF(AND(((COLUMN()-10)&lt;=playercnt),((ROW()-41)&lt;=playercnt)),SUMPRODUCT(INDIRECT(ADDRESS(3,ROW()-31,1)):INDIRECT(ADDRESS(22,ROW()-31,1)),AZ$3:AZ$22),"")</f>
        <v>20</v>
      </c>
      <c r="BA67">
        <f ca="1">IF(AND(((COLUMN()-10)&lt;=playercnt),((ROW()-41)&lt;=playercnt)),SUMPRODUCT(INDIRECT(ADDRESS(3,ROW()-31,1)):INDIRECT(ADDRESS(22,ROW()-31,1)),BA$3:BA$22),"")</f>
        <v>20</v>
      </c>
      <c r="BB67">
        <f ca="1">IF(AND(((COLUMN()-10)&lt;=playercnt),((ROW()-41)&lt;=playercnt)),SUMPRODUCT(INDIRECT(ADDRESS(3,ROW()-31,1)):INDIRECT(ADDRESS(22,ROW()-31,1)),BB$3:BB$22),"")</f>
        <v>20</v>
      </c>
      <c r="BC67">
        <f ca="1">IF(AND(((COLUMN()-10)&lt;=playercnt),((ROW()-41)&lt;=playercnt)),SUMPRODUCT(INDIRECT(ADDRESS(3,ROW()-31,1)):INDIRECT(ADDRESS(22,ROW()-31,1)),BC$3:BC$22),"")</f>
        <v>20</v>
      </c>
      <c r="BD67">
        <f ca="1">IF(AND(((COLUMN()-10)&lt;=playercnt),((ROW()-41)&lt;=playercnt)),SUMPRODUCT(INDIRECT(ADDRESS(3,ROW()-31,1)):INDIRECT(ADDRESS(22,ROW()-31,1)),BD$3:BD$22),"")</f>
        <v>20</v>
      </c>
      <c r="BE67">
        <f ca="1">IF(AND(((COLUMN()-10)&lt;=playercnt),((ROW()-41)&lt;=playercnt)),SUMPRODUCT(INDIRECT(ADDRESS(3,ROW()-31,1)):INDIRECT(ADDRESS(22,ROW()-31,1)),BE$3:BE$22),"")</f>
        <v>20</v>
      </c>
      <c r="BF67">
        <f ca="1">IF(AND(((COLUMN()-10)&lt;=playercnt),((ROW()-41)&lt;=playercnt)),SUMPRODUCT(INDIRECT(ADDRESS(3,ROW()-31,1)):INDIRECT(ADDRESS(22,ROW()-31,1)),BF$3:BF$22),"")</f>
        <v>20</v>
      </c>
      <c r="BG67">
        <f ca="1">IF(AND(((COLUMN()-10)&lt;=playercnt),((ROW()-41)&lt;=playercnt)),SUMPRODUCT(INDIRECT(ADDRESS(3,ROW()-31,1)):INDIRECT(ADDRESS(22,ROW()-31,1)),BG$3:BG$22),"")</f>
        <v>20</v>
      </c>
      <c r="BH67">
        <f ca="1">IF(AND(((COLUMN()-10)&lt;=playercnt),((ROW()-41)&lt;=playercnt)),SUMPRODUCT(INDIRECT(ADDRESS(3,ROW()-31,1)):INDIRECT(ADDRESS(22,ROW()-31,1)),BH$3:BH$22),"")</f>
        <v>20</v>
      </c>
      <c r="BI67">
        <f ca="1">IF(AND(((COLUMN()-10)&lt;=playercnt),((ROW()-41)&lt;=playercnt)),SUMPRODUCT(INDIRECT(ADDRESS(3,ROW()-31,1)):INDIRECT(ADDRESS(22,ROW()-31,1)),BI$3:BI$22),"")</f>
        <v>20</v>
      </c>
      <c r="BJ67">
        <f ca="1">IF(AND(((COLUMN()-10)&lt;=playercnt),((ROW()-41)&lt;=playercnt)),SUMPRODUCT(INDIRECT(ADDRESS(3,ROW()-31,1)):INDIRECT(ADDRESS(22,ROW()-31,1)),BJ$3:BJ$22),"")</f>
        <v>20</v>
      </c>
      <c r="BK67">
        <f ca="1">IF(AND(((COLUMN()-10)&lt;=playercnt),((ROW()-41)&lt;=playercnt)),SUMPRODUCT(INDIRECT(ADDRESS(3,ROW()-31,1)):INDIRECT(ADDRESS(22,ROW()-31,1)),BK$3:BK$22),"")</f>
        <v>20</v>
      </c>
      <c r="BL67">
        <f ca="1">IF(AND(((COLUMN()-10)&lt;=playercnt),((ROW()-41)&lt;=playercnt)),SUMPRODUCT(INDIRECT(ADDRESS(3,ROW()-31,1)):INDIRECT(ADDRESS(22,ROW()-31,1)),BL$3:BL$22),"")</f>
        <v>20</v>
      </c>
      <c r="BM67">
        <f ca="1">IF(AND(((COLUMN()-10)&lt;=playercnt),((ROW()-41)&lt;=playercnt)),SUMPRODUCT(INDIRECT(ADDRESS(3,ROW()-31,1)):INDIRECT(ADDRESS(22,ROW()-31,1)),BM$3:BM$22),"")</f>
        <v>20</v>
      </c>
      <c r="BN67">
        <f ca="1">IF(AND(((COLUMN()-10)&lt;=playercnt),((ROW()-41)&lt;=playercnt)),SUMPRODUCT(INDIRECT(ADDRESS(3,ROW()-31,1)):INDIRECT(ADDRESS(22,ROW()-31,1)),BN$3:BN$22),"")</f>
        <v>20</v>
      </c>
      <c r="BO67" t="str">
        <f ca="1">IF(AND(((COLUMN()-10)&lt;=playercnt),((ROW()-41)&lt;=playercnt)),SUMPRODUCT(INDIRECT(ADDRESS(3,ROW()-31,1)):INDIRECT(ADDRESS(22,ROW()-31,1)),BO$3:BO$22),"")</f>
        <v/>
      </c>
    </row>
    <row r="68" spans="2:67" x14ac:dyDescent="0.25">
      <c r="B68" s="27" t="str">
        <f t="shared" ca="1" si="23"/>
        <v/>
      </c>
      <c r="C68" t="e">
        <f t="shared" ca="1" si="24"/>
        <v>#REF!</v>
      </c>
      <c r="G68">
        <f ca="1">IF(AND(((COLUMN()-10)&lt;=playercnt),((ROW()-41)&lt;=playercnt)),SUMPRODUCT(INDIRECT(ADDRESS(3,ROW()-31,1)):INDIRECT(ADDRESS(22,ROW()-31,1)),G$3:G$22),"")</f>
        <v>20</v>
      </c>
      <c r="H68" t="e">
        <f ca="1">IF(AND(((COLUMN()-10)&lt;=playercnt),((ROW()-41)&lt;=playercnt)),SUMPRODUCT(INDIRECT(ADDRESS(3,ROW()-31,1)):INDIRECT(ADDRESS(22,ROW()-31,1)),H$3:H$22),"")</f>
        <v>#REF!</v>
      </c>
      <c r="I68" t="e">
        <f ca="1">IF(AND(((COLUMN()-10)&lt;=playercnt),((ROW()-41)&lt;=playercnt)),SUMPRODUCT(INDIRECT(ADDRESS(3,ROW()-31,1)):INDIRECT(ADDRESS(22,ROW()-31,1)),I$3:I$22),"")</f>
        <v>#REF!</v>
      </c>
      <c r="J68">
        <f ca="1">IF(AND(((COLUMN()-10)&lt;=playercnt),((ROW()-41)&lt;=playercnt)),SUMPRODUCT(INDIRECT(ADDRESS(3,ROW()-31,1)):INDIRECT(ADDRESS(22,ROW()-31,1)),J$3:J$22),"")</f>
        <v>20</v>
      </c>
      <c r="K68">
        <f ca="1">IF(AND(((COLUMN()-10)&lt;=playercnt),((ROW()-41)&lt;=playercnt)),SUMPRODUCT(INDIRECT(ADDRESS(3,ROW()-31,1)):INDIRECT(ADDRESS(22,ROW()-31,1)),K$3:K$22),"")</f>
        <v>20</v>
      </c>
      <c r="L68">
        <f ca="1">IF(AND(((COLUMN()-10)&lt;=playercnt),((ROW()-41)&lt;=playercnt)),SUMPRODUCT(INDIRECT(ADDRESS(3,ROW()-31,1)):INDIRECT(ADDRESS(22,ROW()-31,1)),L$3:L$22),"")</f>
        <v>20</v>
      </c>
      <c r="M68">
        <f ca="1">IF(AND(((COLUMN()-10)&lt;=playercnt),((ROW()-41)&lt;=playercnt)),SUMPRODUCT(INDIRECT(ADDRESS(3,ROW()-31,1)):INDIRECT(ADDRESS(22,ROW()-31,1)),M$3:M$22),"")</f>
        <v>20</v>
      </c>
      <c r="N68">
        <f ca="1">IF(AND(((COLUMN()-10)&lt;=playercnt),((ROW()-41)&lt;=playercnt)),SUMPRODUCT(INDIRECT(ADDRESS(3,ROW()-31,1)):INDIRECT(ADDRESS(22,ROW()-31,1)),N$3:N$22),"")</f>
        <v>20</v>
      </c>
      <c r="O68">
        <f ca="1">IF(AND(((COLUMN()-10)&lt;=playercnt),((ROW()-41)&lt;=playercnt)),SUMPRODUCT(INDIRECT(ADDRESS(3,ROW()-31,1)):INDIRECT(ADDRESS(22,ROW()-31,1)),O$3:O$22),"")</f>
        <v>20</v>
      </c>
      <c r="P68">
        <f ca="1">IF(AND(((COLUMN()-10)&lt;=playercnt),((ROW()-41)&lt;=playercnt)),SUMPRODUCT(INDIRECT(ADDRESS(3,ROW()-31,1)):INDIRECT(ADDRESS(22,ROW()-31,1)),P$3:P$22),"")</f>
        <v>20</v>
      </c>
      <c r="Q68">
        <f ca="1">IF(AND(((COLUMN()-10)&lt;=playercnt),((ROW()-41)&lt;=playercnt)),SUMPRODUCT(INDIRECT(ADDRESS(3,ROW()-31,1)):INDIRECT(ADDRESS(22,ROW()-31,1)),Q$3:Q$22),"")</f>
        <v>20</v>
      </c>
      <c r="R68">
        <f ca="1">IF(AND(((COLUMN()-10)&lt;=playercnt),((ROW()-41)&lt;=playercnt)),SUMPRODUCT(INDIRECT(ADDRESS(3,ROW()-31,1)):INDIRECT(ADDRESS(22,ROW()-31,1)),R$3:R$22),"")</f>
        <v>20</v>
      </c>
      <c r="S68">
        <f ca="1">IF(AND(((COLUMN()-10)&lt;=playercnt),((ROW()-41)&lt;=playercnt)),SUMPRODUCT(INDIRECT(ADDRESS(3,ROW()-31,1)):INDIRECT(ADDRESS(22,ROW()-31,1)),S$3:S$22),"")</f>
        <v>20</v>
      </c>
      <c r="T68">
        <f ca="1">IF(AND(((COLUMN()-10)&lt;=playercnt),((ROW()-41)&lt;=playercnt)),SUMPRODUCT(INDIRECT(ADDRESS(3,ROW()-31,1)):INDIRECT(ADDRESS(22,ROW()-31,1)),T$3:T$22),"")</f>
        <v>20</v>
      </c>
      <c r="U68">
        <f ca="1">IF(AND(((COLUMN()-10)&lt;=playercnt),((ROW()-41)&lt;=playercnt)),SUMPRODUCT(INDIRECT(ADDRESS(3,ROW()-31,1)):INDIRECT(ADDRESS(22,ROW()-31,1)),U$3:U$22),"")</f>
        <v>20</v>
      </c>
      <c r="V68">
        <f ca="1">IF(AND(((COLUMN()-10)&lt;=playercnt),((ROW()-41)&lt;=playercnt)),SUMPRODUCT(INDIRECT(ADDRESS(3,ROW()-31,1)):INDIRECT(ADDRESS(22,ROW()-31,1)),V$3:V$22),"")</f>
        <v>20</v>
      </c>
      <c r="W68">
        <f ca="1">IF(AND(((COLUMN()-10)&lt;=playercnt),((ROW()-41)&lt;=playercnt)),SUMPRODUCT(INDIRECT(ADDRESS(3,ROW()-31,1)):INDIRECT(ADDRESS(22,ROW()-31,1)),W$3:W$22),"")</f>
        <v>20</v>
      </c>
      <c r="X68">
        <f ca="1">IF(AND(((COLUMN()-10)&lt;=playercnt),((ROW()-41)&lt;=playercnt)),SUMPRODUCT(INDIRECT(ADDRESS(3,ROW()-31,1)):INDIRECT(ADDRESS(22,ROW()-31,1)),X$3:X$22),"")</f>
        <v>20</v>
      </c>
      <c r="Y68">
        <f ca="1">IF(AND(((COLUMN()-10)&lt;=playercnt),((ROW()-41)&lt;=playercnt)),SUMPRODUCT(INDIRECT(ADDRESS(3,ROW()-31,1)):INDIRECT(ADDRESS(22,ROW()-31,1)),Y$3:Y$22),"")</f>
        <v>20</v>
      </c>
      <c r="Z68">
        <f ca="1">IF(AND(((COLUMN()-10)&lt;=playercnt),((ROW()-41)&lt;=playercnt)),SUMPRODUCT(INDIRECT(ADDRESS(3,ROW()-31,1)):INDIRECT(ADDRESS(22,ROW()-31,1)),Z$3:Z$22),"")</f>
        <v>20</v>
      </c>
      <c r="AA68">
        <f ca="1">IF(AND(((COLUMN()-10)&lt;=playercnt),((ROW()-41)&lt;=playercnt)),SUMPRODUCT(INDIRECT(ADDRESS(3,ROW()-31,1)):INDIRECT(ADDRESS(22,ROW()-31,1)),AA$3:AA$22),"")</f>
        <v>20</v>
      </c>
      <c r="AB68">
        <f ca="1">IF(AND(((COLUMN()-10)&lt;=playercnt),((ROW()-41)&lt;=playercnt)),SUMPRODUCT(INDIRECT(ADDRESS(3,ROW()-31,1)):INDIRECT(ADDRESS(22,ROW()-31,1)),AB$3:AB$22),"")</f>
        <v>20</v>
      </c>
      <c r="AC68">
        <f ca="1">IF(AND(((COLUMN()-10)&lt;=playercnt),((ROW()-41)&lt;=playercnt)),SUMPRODUCT(INDIRECT(ADDRESS(3,ROW()-31,1)):INDIRECT(ADDRESS(22,ROW()-31,1)),AC$3:AC$22),"")</f>
        <v>20</v>
      </c>
      <c r="AD68">
        <f ca="1">IF(AND(((COLUMN()-10)&lt;=playercnt),((ROW()-41)&lt;=playercnt)),SUMPRODUCT(INDIRECT(ADDRESS(3,ROW()-31,1)):INDIRECT(ADDRESS(22,ROW()-31,1)),AD$3:AD$22),"")</f>
        <v>20</v>
      </c>
      <c r="AE68">
        <f ca="1">IF(AND(((COLUMN()-10)&lt;=playercnt),((ROW()-41)&lt;=playercnt)),SUMPRODUCT(INDIRECT(ADDRESS(3,ROW()-31,1)):INDIRECT(ADDRESS(22,ROW()-31,1)),AE$3:AE$22),"")</f>
        <v>20</v>
      </c>
      <c r="AF68">
        <f ca="1">IF(AND(((COLUMN()-10)&lt;=playercnt),((ROW()-41)&lt;=playercnt)),SUMPRODUCT(INDIRECT(ADDRESS(3,ROW()-31,1)):INDIRECT(ADDRESS(22,ROW()-31,1)),AF$3:AF$22),"")</f>
        <v>20</v>
      </c>
      <c r="AG68">
        <f ca="1">IF(AND(((COLUMN()-10)&lt;=playercnt),((ROW()-41)&lt;=playercnt)),SUMPRODUCT(INDIRECT(ADDRESS(3,ROW()-31,1)):INDIRECT(ADDRESS(22,ROW()-31,1)),AG$3:AG$22),"")</f>
        <v>20</v>
      </c>
      <c r="AH68">
        <f ca="1">IF(AND(((COLUMN()-10)&lt;=playercnt),((ROW()-41)&lt;=playercnt)),SUMPRODUCT(INDIRECT(ADDRESS(3,ROW()-31,1)):INDIRECT(ADDRESS(22,ROW()-31,1)),AH$3:AH$22),"")</f>
        <v>20</v>
      </c>
      <c r="AI68">
        <f ca="1">IF(AND(((COLUMN()-10)&lt;=playercnt),((ROW()-41)&lt;=playercnt)),SUMPRODUCT(INDIRECT(ADDRESS(3,ROW()-31,1)):INDIRECT(ADDRESS(22,ROW()-31,1)),AI$3:AI$22),"")</f>
        <v>20</v>
      </c>
      <c r="AJ68">
        <f ca="1">IF(AND(((COLUMN()-10)&lt;=playercnt),((ROW()-41)&lt;=playercnt)),SUMPRODUCT(INDIRECT(ADDRESS(3,ROW()-31,1)):INDIRECT(ADDRESS(22,ROW()-31,1)),AJ$3:AJ$22),"")</f>
        <v>20</v>
      </c>
      <c r="AK68">
        <f ca="1">IF(AND(((COLUMN()-10)&lt;=playercnt),((ROW()-41)&lt;=playercnt)),SUMPRODUCT(INDIRECT(ADDRESS(3,ROW()-31,1)):INDIRECT(ADDRESS(22,ROW()-31,1)),AK$3:AK$22),"")</f>
        <v>20</v>
      </c>
      <c r="AL68">
        <f ca="1">IF(AND(((COLUMN()-10)&lt;=playercnt),((ROW()-41)&lt;=playercnt)),SUMPRODUCT(INDIRECT(ADDRESS(3,ROW()-31,1)):INDIRECT(ADDRESS(22,ROW()-31,1)),AL$3:AL$22),"")</f>
        <v>20</v>
      </c>
      <c r="AM68">
        <f ca="1">IF(AND(((COLUMN()-10)&lt;=playercnt),((ROW()-41)&lt;=playercnt)),SUMPRODUCT(INDIRECT(ADDRESS(3,ROW()-31,1)):INDIRECT(ADDRESS(22,ROW()-31,1)),AM$3:AM$22),"")</f>
        <v>20</v>
      </c>
      <c r="AN68">
        <f ca="1">IF(AND(((COLUMN()-10)&lt;=playercnt),((ROW()-41)&lt;=playercnt)),SUMPRODUCT(INDIRECT(ADDRESS(3,ROW()-31,1)):INDIRECT(ADDRESS(22,ROW()-31,1)),AN$3:AN$22),"")</f>
        <v>20</v>
      </c>
      <c r="AO68">
        <f ca="1">IF(AND(((COLUMN()-10)&lt;=playercnt),((ROW()-41)&lt;=playercnt)),SUMPRODUCT(INDIRECT(ADDRESS(3,ROW()-31,1)):INDIRECT(ADDRESS(22,ROW()-31,1)),AO$3:AO$22),"")</f>
        <v>20</v>
      </c>
      <c r="AP68">
        <f ca="1">IF(AND(((COLUMN()-10)&lt;=playercnt),((ROW()-41)&lt;=playercnt)),SUMPRODUCT(INDIRECT(ADDRESS(3,ROW()-31,1)):INDIRECT(ADDRESS(22,ROW()-31,1)),AP$3:AP$22),"")</f>
        <v>20</v>
      </c>
      <c r="AQ68">
        <f ca="1">IF(AND(((COLUMN()-10)&lt;=playercnt),((ROW()-41)&lt;=playercnt)),SUMPRODUCT(INDIRECT(ADDRESS(3,ROW()-31,1)):INDIRECT(ADDRESS(22,ROW()-31,1)),AQ$3:AQ$22),"")</f>
        <v>20</v>
      </c>
      <c r="AR68">
        <f ca="1">IF(AND(((COLUMN()-10)&lt;=playercnt),((ROW()-41)&lt;=playercnt)),SUMPRODUCT(INDIRECT(ADDRESS(3,ROW()-31,1)):INDIRECT(ADDRESS(22,ROW()-31,1)),AR$3:AR$22),"")</f>
        <v>20</v>
      </c>
      <c r="AS68">
        <f ca="1">IF(AND(((COLUMN()-10)&lt;=playercnt),((ROW()-41)&lt;=playercnt)),SUMPRODUCT(INDIRECT(ADDRESS(3,ROW()-31,1)):INDIRECT(ADDRESS(22,ROW()-31,1)),AS$3:AS$22),"")</f>
        <v>20</v>
      </c>
      <c r="AT68">
        <f ca="1">IF(AND(((COLUMN()-10)&lt;=playercnt),((ROW()-41)&lt;=playercnt)),SUMPRODUCT(INDIRECT(ADDRESS(3,ROW()-31,1)):INDIRECT(ADDRESS(22,ROW()-31,1)),AT$3:AT$22),"")</f>
        <v>20</v>
      </c>
      <c r="AU68">
        <f ca="1">IF(AND(((COLUMN()-10)&lt;=playercnt),((ROW()-41)&lt;=playercnt)),SUMPRODUCT(INDIRECT(ADDRESS(3,ROW()-31,1)):INDIRECT(ADDRESS(22,ROW()-31,1)),AU$3:AU$22),"")</f>
        <v>20</v>
      </c>
      <c r="AV68">
        <f ca="1">IF(AND(((COLUMN()-10)&lt;=playercnt),((ROW()-41)&lt;=playercnt)),SUMPRODUCT(INDIRECT(ADDRESS(3,ROW()-31,1)):INDIRECT(ADDRESS(22,ROW()-31,1)),AV$3:AV$22),"")</f>
        <v>20</v>
      </c>
      <c r="AW68">
        <f ca="1">IF(AND(((COLUMN()-10)&lt;=playercnt),((ROW()-41)&lt;=playercnt)),SUMPRODUCT(INDIRECT(ADDRESS(3,ROW()-31,1)):INDIRECT(ADDRESS(22,ROW()-31,1)),AW$3:AW$22),"")</f>
        <v>20</v>
      </c>
      <c r="AX68">
        <f ca="1">IF(AND(((COLUMN()-10)&lt;=playercnt),((ROW()-41)&lt;=playercnt)),SUMPRODUCT(INDIRECT(ADDRESS(3,ROW()-31,1)):INDIRECT(ADDRESS(22,ROW()-31,1)),AX$3:AX$22),"")</f>
        <v>20</v>
      </c>
      <c r="AY68">
        <f ca="1">IF(AND(((COLUMN()-10)&lt;=playercnt),((ROW()-41)&lt;=playercnt)),SUMPRODUCT(INDIRECT(ADDRESS(3,ROW()-31,1)):INDIRECT(ADDRESS(22,ROW()-31,1)),AY$3:AY$22),"")</f>
        <v>20</v>
      </c>
      <c r="AZ68">
        <f ca="1">IF(AND(((COLUMN()-10)&lt;=playercnt),((ROW()-41)&lt;=playercnt)),SUMPRODUCT(INDIRECT(ADDRESS(3,ROW()-31,1)):INDIRECT(ADDRESS(22,ROW()-31,1)),AZ$3:AZ$22),"")</f>
        <v>20</v>
      </c>
      <c r="BA68">
        <f ca="1">IF(AND(((COLUMN()-10)&lt;=playercnt),((ROW()-41)&lt;=playercnt)),SUMPRODUCT(INDIRECT(ADDRESS(3,ROW()-31,1)):INDIRECT(ADDRESS(22,ROW()-31,1)),BA$3:BA$22),"")</f>
        <v>20</v>
      </c>
      <c r="BB68">
        <f ca="1">IF(AND(((COLUMN()-10)&lt;=playercnt),((ROW()-41)&lt;=playercnt)),SUMPRODUCT(INDIRECT(ADDRESS(3,ROW()-31,1)):INDIRECT(ADDRESS(22,ROW()-31,1)),BB$3:BB$22),"")</f>
        <v>20</v>
      </c>
      <c r="BC68">
        <f ca="1">IF(AND(((COLUMN()-10)&lt;=playercnt),((ROW()-41)&lt;=playercnt)),SUMPRODUCT(INDIRECT(ADDRESS(3,ROW()-31,1)):INDIRECT(ADDRESS(22,ROW()-31,1)),BC$3:BC$22),"")</f>
        <v>20</v>
      </c>
      <c r="BD68">
        <f ca="1">IF(AND(((COLUMN()-10)&lt;=playercnt),((ROW()-41)&lt;=playercnt)),SUMPRODUCT(INDIRECT(ADDRESS(3,ROW()-31,1)):INDIRECT(ADDRESS(22,ROW()-31,1)),BD$3:BD$22),"")</f>
        <v>20</v>
      </c>
      <c r="BE68">
        <f ca="1">IF(AND(((COLUMN()-10)&lt;=playercnt),((ROW()-41)&lt;=playercnt)),SUMPRODUCT(INDIRECT(ADDRESS(3,ROW()-31,1)):INDIRECT(ADDRESS(22,ROW()-31,1)),BE$3:BE$22),"")</f>
        <v>20</v>
      </c>
      <c r="BF68">
        <f ca="1">IF(AND(((COLUMN()-10)&lt;=playercnt),((ROW()-41)&lt;=playercnt)),SUMPRODUCT(INDIRECT(ADDRESS(3,ROW()-31,1)):INDIRECT(ADDRESS(22,ROW()-31,1)),BF$3:BF$22),"")</f>
        <v>20</v>
      </c>
      <c r="BG68">
        <f ca="1">IF(AND(((COLUMN()-10)&lt;=playercnt),((ROW()-41)&lt;=playercnt)),SUMPRODUCT(INDIRECT(ADDRESS(3,ROW()-31,1)):INDIRECT(ADDRESS(22,ROW()-31,1)),BG$3:BG$22),"")</f>
        <v>20</v>
      </c>
      <c r="BH68">
        <f ca="1">IF(AND(((COLUMN()-10)&lt;=playercnt),((ROW()-41)&lt;=playercnt)),SUMPRODUCT(INDIRECT(ADDRESS(3,ROW()-31,1)):INDIRECT(ADDRESS(22,ROW()-31,1)),BH$3:BH$22),"")</f>
        <v>20</v>
      </c>
      <c r="BI68">
        <f ca="1">IF(AND(((COLUMN()-10)&lt;=playercnt),((ROW()-41)&lt;=playercnt)),SUMPRODUCT(INDIRECT(ADDRESS(3,ROW()-31,1)):INDIRECT(ADDRESS(22,ROW()-31,1)),BI$3:BI$22),"")</f>
        <v>20</v>
      </c>
      <c r="BJ68">
        <f ca="1">IF(AND(((COLUMN()-10)&lt;=playercnt),((ROW()-41)&lt;=playercnt)),SUMPRODUCT(INDIRECT(ADDRESS(3,ROW()-31,1)):INDIRECT(ADDRESS(22,ROW()-31,1)),BJ$3:BJ$22),"")</f>
        <v>20</v>
      </c>
      <c r="BK68">
        <f ca="1">IF(AND(((COLUMN()-10)&lt;=playercnt),((ROW()-41)&lt;=playercnt)),SUMPRODUCT(INDIRECT(ADDRESS(3,ROW()-31,1)):INDIRECT(ADDRESS(22,ROW()-31,1)),BK$3:BK$22),"")</f>
        <v>20</v>
      </c>
      <c r="BL68">
        <f ca="1">IF(AND(((COLUMN()-10)&lt;=playercnt),((ROW()-41)&lt;=playercnt)),SUMPRODUCT(INDIRECT(ADDRESS(3,ROW()-31,1)):INDIRECT(ADDRESS(22,ROW()-31,1)),BL$3:BL$22),"")</f>
        <v>20</v>
      </c>
      <c r="BM68">
        <f ca="1">IF(AND(((COLUMN()-10)&lt;=playercnt),((ROW()-41)&lt;=playercnt)),SUMPRODUCT(INDIRECT(ADDRESS(3,ROW()-31,1)):INDIRECT(ADDRESS(22,ROW()-31,1)),BM$3:BM$22),"")</f>
        <v>20</v>
      </c>
      <c r="BN68">
        <f ca="1">IF(AND(((COLUMN()-10)&lt;=playercnt),((ROW()-41)&lt;=playercnt)),SUMPRODUCT(INDIRECT(ADDRESS(3,ROW()-31,1)):INDIRECT(ADDRESS(22,ROW()-31,1)),BN$3:BN$22),"")</f>
        <v>20</v>
      </c>
      <c r="BO68" t="str">
        <f ca="1">IF(AND(((COLUMN()-10)&lt;=playercnt),((ROW()-41)&lt;=playercnt)),SUMPRODUCT(INDIRECT(ADDRESS(3,ROW()-31,1)):INDIRECT(ADDRESS(22,ROW()-31,1)),BO$3:BO$22),"")</f>
        <v/>
      </c>
    </row>
    <row r="69" spans="2:67" x14ac:dyDescent="0.25">
      <c r="B69" s="27" t="str">
        <f t="shared" ca="1" si="23"/>
        <v/>
      </c>
      <c r="C69" t="e">
        <f t="shared" ca="1" si="24"/>
        <v>#REF!</v>
      </c>
      <c r="G69">
        <f ca="1">IF(AND(((COLUMN()-10)&lt;=playercnt),((ROW()-41)&lt;=playercnt)),SUMPRODUCT(INDIRECT(ADDRESS(3,ROW()-31,1)):INDIRECT(ADDRESS(22,ROW()-31,1)),G$3:G$22),"")</f>
        <v>20</v>
      </c>
      <c r="H69" t="e">
        <f ca="1">IF(AND(((COLUMN()-10)&lt;=playercnt),((ROW()-41)&lt;=playercnt)),SUMPRODUCT(INDIRECT(ADDRESS(3,ROW()-31,1)):INDIRECT(ADDRESS(22,ROW()-31,1)),H$3:H$22),"")</f>
        <v>#REF!</v>
      </c>
      <c r="I69" t="e">
        <f ca="1">IF(AND(((COLUMN()-10)&lt;=playercnt),((ROW()-41)&lt;=playercnt)),SUMPRODUCT(INDIRECT(ADDRESS(3,ROW()-31,1)):INDIRECT(ADDRESS(22,ROW()-31,1)),I$3:I$22),"")</f>
        <v>#REF!</v>
      </c>
      <c r="J69">
        <f ca="1">IF(AND(((COLUMN()-10)&lt;=playercnt),((ROW()-41)&lt;=playercnt)),SUMPRODUCT(INDIRECT(ADDRESS(3,ROW()-31,1)):INDIRECT(ADDRESS(22,ROW()-31,1)),J$3:J$22),"")</f>
        <v>20</v>
      </c>
      <c r="K69">
        <f ca="1">IF(AND(((COLUMN()-10)&lt;=playercnt),((ROW()-41)&lt;=playercnt)),SUMPRODUCT(INDIRECT(ADDRESS(3,ROW()-31,1)):INDIRECT(ADDRESS(22,ROW()-31,1)),K$3:K$22),"")</f>
        <v>20</v>
      </c>
      <c r="L69">
        <f ca="1">IF(AND(((COLUMN()-10)&lt;=playercnt),((ROW()-41)&lt;=playercnt)),SUMPRODUCT(INDIRECT(ADDRESS(3,ROW()-31,1)):INDIRECT(ADDRESS(22,ROW()-31,1)),L$3:L$22),"")</f>
        <v>20</v>
      </c>
      <c r="M69">
        <f ca="1">IF(AND(((COLUMN()-10)&lt;=playercnt),((ROW()-41)&lt;=playercnt)),SUMPRODUCT(INDIRECT(ADDRESS(3,ROW()-31,1)):INDIRECT(ADDRESS(22,ROW()-31,1)),M$3:M$22),"")</f>
        <v>20</v>
      </c>
      <c r="N69">
        <f ca="1">IF(AND(((COLUMN()-10)&lt;=playercnt),((ROW()-41)&lt;=playercnt)),SUMPRODUCT(INDIRECT(ADDRESS(3,ROW()-31,1)):INDIRECT(ADDRESS(22,ROW()-31,1)),N$3:N$22),"")</f>
        <v>20</v>
      </c>
      <c r="O69">
        <f ca="1">IF(AND(((COLUMN()-10)&lt;=playercnt),((ROW()-41)&lt;=playercnt)),SUMPRODUCT(INDIRECT(ADDRESS(3,ROW()-31,1)):INDIRECT(ADDRESS(22,ROW()-31,1)),O$3:O$22),"")</f>
        <v>20</v>
      </c>
      <c r="P69">
        <f ca="1">IF(AND(((COLUMN()-10)&lt;=playercnt),((ROW()-41)&lt;=playercnt)),SUMPRODUCT(INDIRECT(ADDRESS(3,ROW()-31,1)):INDIRECT(ADDRESS(22,ROW()-31,1)),P$3:P$22),"")</f>
        <v>20</v>
      </c>
      <c r="Q69">
        <f ca="1">IF(AND(((COLUMN()-10)&lt;=playercnt),((ROW()-41)&lt;=playercnt)),SUMPRODUCT(INDIRECT(ADDRESS(3,ROW()-31,1)):INDIRECT(ADDRESS(22,ROW()-31,1)),Q$3:Q$22),"")</f>
        <v>20</v>
      </c>
      <c r="R69">
        <f ca="1">IF(AND(((COLUMN()-10)&lt;=playercnt),((ROW()-41)&lt;=playercnt)),SUMPRODUCT(INDIRECT(ADDRESS(3,ROW()-31,1)):INDIRECT(ADDRESS(22,ROW()-31,1)),R$3:R$22),"")</f>
        <v>20</v>
      </c>
      <c r="S69">
        <f ca="1">IF(AND(((COLUMN()-10)&lt;=playercnt),((ROW()-41)&lt;=playercnt)),SUMPRODUCT(INDIRECT(ADDRESS(3,ROW()-31,1)):INDIRECT(ADDRESS(22,ROW()-31,1)),S$3:S$22),"")</f>
        <v>20</v>
      </c>
      <c r="T69">
        <f ca="1">IF(AND(((COLUMN()-10)&lt;=playercnt),((ROW()-41)&lt;=playercnt)),SUMPRODUCT(INDIRECT(ADDRESS(3,ROW()-31,1)):INDIRECT(ADDRESS(22,ROW()-31,1)),T$3:T$22),"")</f>
        <v>20</v>
      </c>
      <c r="U69">
        <f ca="1">IF(AND(((COLUMN()-10)&lt;=playercnt),((ROW()-41)&lt;=playercnt)),SUMPRODUCT(INDIRECT(ADDRESS(3,ROW()-31,1)):INDIRECT(ADDRESS(22,ROW()-31,1)),U$3:U$22),"")</f>
        <v>20</v>
      </c>
      <c r="V69">
        <f ca="1">IF(AND(((COLUMN()-10)&lt;=playercnt),((ROW()-41)&lt;=playercnt)),SUMPRODUCT(INDIRECT(ADDRESS(3,ROW()-31,1)):INDIRECT(ADDRESS(22,ROW()-31,1)),V$3:V$22),"")</f>
        <v>20</v>
      </c>
      <c r="W69">
        <f ca="1">IF(AND(((COLUMN()-10)&lt;=playercnt),((ROW()-41)&lt;=playercnt)),SUMPRODUCT(INDIRECT(ADDRESS(3,ROW()-31,1)):INDIRECT(ADDRESS(22,ROW()-31,1)),W$3:W$22),"")</f>
        <v>20</v>
      </c>
      <c r="X69">
        <f ca="1">IF(AND(((COLUMN()-10)&lt;=playercnt),((ROW()-41)&lt;=playercnt)),SUMPRODUCT(INDIRECT(ADDRESS(3,ROW()-31,1)):INDIRECT(ADDRESS(22,ROW()-31,1)),X$3:X$22),"")</f>
        <v>20</v>
      </c>
      <c r="Y69">
        <f ca="1">IF(AND(((COLUMN()-10)&lt;=playercnt),((ROW()-41)&lt;=playercnt)),SUMPRODUCT(INDIRECT(ADDRESS(3,ROW()-31,1)):INDIRECT(ADDRESS(22,ROW()-31,1)),Y$3:Y$22),"")</f>
        <v>20</v>
      </c>
      <c r="Z69">
        <f ca="1">IF(AND(((COLUMN()-10)&lt;=playercnt),((ROW()-41)&lt;=playercnt)),SUMPRODUCT(INDIRECT(ADDRESS(3,ROW()-31,1)):INDIRECT(ADDRESS(22,ROW()-31,1)),Z$3:Z$22),"")</f>
        <v>20</v>
      </c>
      <c r="AA69">
        <f ca="1">IF(AND(((COLUMN()-10)&lt;=playercnt),((ROW()-41)&lt;=playercnt)),SUMPRODUCT(INDIRECT(ADDRESS(3,ROW()-31,1)):INDIRECT(ADDRESS(22,ROW()-31,1)),AA$3:AA$22),"")</f>
        <v>20</v>
      </c>
      <c r="AB69">
        <f ca="1">IF(AND(((COLUMN()-10)&lt;=playercnt),((ROW()-41)&lt;=playercnt)),SUMPRODUCT(INDIRECT(ADDRESS(3,ROW()-31,1)):INDIRECT(ADDRESS(22,ROW()-31,1)),AB$3:AB$22),"")</f>
        <v>20</v>
      </c>
      <c r="AC69">
        <f ca="1">IF(AND(((COLUMN()-10)&lt;=playercnt),((ROW()-41)&lt;=playercnt)),SUMPRODUCT(INDIRECT(ADDRESS(3,ROW()-31,1)):INDIRECT(ADDRESS(22,ROW()-31,1)),AC$3:AC$22),"")</f>
        <v>20</v>
      </c>
      <c r="AD69">
        <f ca="1">IF(AND(((COLUMN()-10)&lt;=playercnt),((ROW()-41)&lt;=playercnt)),SUMPRODUCT(INDIRECT(ADDRESS(3,ROW()-31,1)):INDIRECT(ADDRESS(22,ROW()-31,1)),AD$3:AD$22),"")</f>
        <v>20</v>
      </c>
      <c r="AE69">
        <f ca="1">IF(AND(((COLUMN()-10)&lt;=playercnt),((ROW()-41)&lt;=playercnt)),SUMPRODUCT(INDIRECT(ADDRESS(3,ROW()-31,1)):INDIRECT(ADDRESS(22,ROW()-31,1)),AE$3:AE$22),"")</f>
        <v>20</v>
      </c>
      <c r="AF69">
        <f ca="1">IF(AND(((COLUMN()-10)&lt;=playercnt),((ROW()-41)&lt;=playercnt)),SUMPRODUCT(INDIRECT(ADDRESS(3,ROW()-31,1)):INDIRECT(ADDRESS(22,ROW()-31,1)),AF$3:AF$22),"")</f>
        <v>20</v>
      </c>
      <c r="AG69">
        <f ca="1">IF(AND(((COLUMN()-10)&lt;=playercnt),((ROW()-41)&lt;=playercnt)),SUMPRODUCT(INDIRECT(ADDRESS(3,ROW()-31,1)):INDIRECT(ADDRESS(22,ROW()-31,1)),AG$3:AG$22),"")</f>
        <v>20</v>
      </c>
      <c r="AH69">
        <f ca="1">IF(AND(((COLUMN()-10)&lt;=playercnt),((ROW()-41)&lt;=playercnt)),SUMPRODUCT(INDIRECT(ADDRESS(3,ROW()-31,1)):INDIRECT(ADDRESS(22,ROW()-31,1)),AH$3:AH$22),"")</f>
        <v>20</v>
      </c>
      <c r="AI69">
        <f ca="1">IF(AND(((COLUMN()-10)&lt;=playercnt),((ROW()-41)&lt;=playercnt)),SUMPRODUCT(INDIRECT(ADDRESS(3,ROW()-31,1)):INDIRECT(ADDRESS(22,ROW()-31,1)),AI$3:AI$22),"")</f>
        <v>20</v>
      </c>
      <c r="AJ69">
        <f ca="1">IF(AND(((COLUMN()-10)&lt;=playercnt),((ROW()-41)&lt;=playercnt)),SUMPRODUCT(INDIRECT(ADDRESS(3,ROW()-31,1)):INDIRECT(ADDRESS(22,ROW()-31,1)),AJ$3:AJ$22),"")</f>
        <v>20</v>
      </c>
      <c r="AK69">
        <f ca="1">IF(AND(((COLUMN()-10)&lt;=playercnt),((ROW()-41)&lt;=playercnt)),SUMPRODUCT(INDIRECT(ADDRESS(3,ROW()-31,1)):INDIRECT(ADDRESS(22,ROW()-31,1)),AK$3:AK$22),"")</f>
        <v>20</v>
      </c>
      <c r="AL69">
        <f ca="1">IF(AND(((COLUMN()-10)&lt;=playercnt),((ROW()-41)&lt;=playercnt)),SUMPRODUCT(INDIRECT(ADDRESS(3,ROW()-31,1)):INDIRECT(ADDRESS(22,ROW()-31,1)),AL$3:AL$22),"")</f>
        <v>20</v>
      </c>
      <c r="AM69">
        <f ca="1">IF(AND(((COLUMN()-10)&lt;=playercnt),((ROW()-41)&lt;=playercnt)),SUMPRODUCT(INDIRECT(ADDRESS(3,ROW()-31,1)):INDIRECT(ADDRESS(22,ROW()-31,1)),AM$3:AM$22),"")</f>
        <v>20</v>
      </c>
      <c r="AN69">
        <f ca="1">IF(AND(((COLUMN()-10)&lt;=playercnt),((ROW()-41)&lt;=playercnt)),SUMPRODUCT(INDIRECT(ADDRESS(3,ROW()-31,1)):INDIRECT(ADDRESS(22,ROW()-31,1)),AN$3:AN$22),"")</f>
        <v>20</v>
      </c>
      <c r="AO69">
        <f ca="1">IF(AND(((COLUMN()-10)&lt;=playercnt),((ROW()-41)&lt;=playercnt)),SUMPRODUCT(INDIRECT(ADDRESS(3,ROW()-31,1)):INDIRECT(ADDRESS(22,ROW()-31,1)),AO$3:AO$22),"")</f>
        <v>20</v>
      </c>
      <c r="AP69">
        <f ca="1">IF(AND(((COLUMN()-10)&lt;=playercnt),((ROW()-41)&lt;=playercnt)),SUMPRODUCT(INDIRECT(ADDRESS(3,ROW()-31,1)):INDIRECT(ADDRESS(22,ROW()-31,1)),AP$3:AP$22),"")</f>
        <v>20</v>
      </c>
      <c r="AQ69">
        <f ca="1">IF(AND(((COLUMN()-10)&lt;=playercnt),((ROW()-41)&lt;=playercnt)),SUMPRODUCT(INDIRECT(ADDRESS(3,ROW()-31,1)):INDIRECT(ADDRESS(22,ROW()-31,1)),AQ$3:AQ$22),"")</f>
        <v>20</v>
      </c>
      <c r="AR69">
        <f ca="1">IF(AND(((COLUMN()-10)&lt;=playercnt),((ROW()-41)&lt;=playercnt)),SUMPRODUCT(INDIRECT(ADDRESS(3,ROW()-31,1)):INDIRECT(ADDRESS(22,ROW()-31,1)),AR$3:AR$22),"")</f>
        <v>20</v>
      </c>
      <c r="AS69">
        <f ca="1">IF(AND(((COLUMN()-10)&lt;=playercnt),((ROW()-41)&lt;=playercnt)),SUMPRODUCT(INDIRECT(ADDRESS(3,ROW()-31,1)):INDIRECT(ADDRESS(22,ROW()-31,1)),AS$3:AS$22),"")</f>
        <v>20</v>
      </c>
      <c r="AT69">
        <f ca="1">IF(AND(((COLUMN()-10)&lt;=playercnt),((ROW()-41)&lt;=playercnt)),SUMPRODUCT(INDIRECT(ADDRESS(3,ROW()-31,1)):INDIRECT(ADDRESS(22,ROW()-31,1)),AT$3:AT$22),"")</f>
        <v>20</v>
      </c>
      <c r="AU69">
        <f ca="1">IF(AND(((COLUMN()-10)&lt;=playercnt),((ROW()-41)&lt;=playercnt)),SUMPRODUCT(INDIRECT(ADDRESS(3,ROW()-31,1)):INDIRECT(ADDRESS(22,ROW()-31,1)),AU$3:AU$22),"")</f>
        <v>20</v>
      </c>
      <c r="AV69">
        <f ca="1">IF(AND(((COLUMN()-10)&lt;=playercnt),((ROW()-41)&lt;=playercnt)),SUMPRODUCT(INDIRECT(ADDRESS(3,ROW()-31,1)):INDIRECT(ADDRESS(22,ROW()-31,1)),AV$3:AV$22),"")</f>
        <v>20</v>
      </c>
      <c r="AW69">
        <f ca="1">IF(AND(((COLUMN()-10)&lt;=playercnt),((ROW()-41)&lt;=playercnt)),SUMPRODUCT(INDIRECT(ADDRESS(3,ROW()-31,1)):INDIRECT(ADDRESS(22,ROW()-31,1)),AW$3:AW$22),"")</f>
        <v>20</v>
      </c>
      <c r="AX69">
        <f ca="1">IF(AND(((COLUMN()-10)&lt;=playercnt),((ROW()-41)&lt;=playercnt)),SUMPRODUCT(INDIRECT(ADDRESS(3,ROW()-31,1)):INDIRECT(ADDRESS(22,ROW()-31,1)),AX$3:AX$22),"")</f>
        <v>20</v>
      </c>
      <c r="AY69">
        <f ca="1">IF(AND(((COLUMN()-10)&lt;=playercnt),((ROW()-41)&lt;=playercnt)),SUMPRODUCT(INDIRECT(ADDRESS(3,ROW()-31,1)):INDIRECT(ADDRESS(22,ROW()-31,1)),AY$3:AY$22),"")</f>
        <v>20</v>
      </c>
      <c r="AZ69">
        <f ca="1">IF(AND(((COLUMN()-10)&lt;=playercnt),((ROW()-41)&lt;=playercnt)),SUMPRODUCT(INDIRECT(ADDRESS(3,ROW()-31,1)):INDIRECT(ADDRESS(22,ROW()-31,1)),AZ$3:AZ$22),"")</f>
        <v>20</v>
      </c>
      <c r="BA69">
        <f ca="1">IF(AND(((COLUMN()-10)&lt;=playercnt),((ROW()-41)&lt;=playercnt)),SUMPRODUCT(INDIRECT(ADDRESS(3,ROW()-31,1)):INDIRECT(ADDRESS(22,ROW()-31,1)),BA$3:BA$22),"")</f>
        <v>20</v>
      </c>
      <c r="BB69">
        <f ca="1">IF(AND(((COLUMN()-10)&lt;=playercnt),((ROW()-41)&lt;=playercnt)),SUMPRODUCT(INDIRECT(ADDRESS(3,ROW()-31,1)):INDIRECT(ADDRESS(22,ROW()-31,1)),BB$3:BB$22),"")</f>
        <v>20</v>
      </c>
      <c r="BC69">
        <f ca="1">IF(AND(((COLUMN()-10)&lt;=playercnt),((ROW()-41)&lt;=playercnt)),SUMPRODUCT(INDIRECT(ADDRESS(3,ROW()-31,1)):INDIRECT(ADDRESS(22,ROW()-31,1)),BC$3:BC$22),"")</f>
        <v>20</v>
      </c>
      <c r="BD69">
        <f ca="1">IF(AND(((COLUMN()-10)&lt;=playercnt),((ROW()-41)&lt;=playercnt)),SUMPRODUCT(INDIRECT(ADDRESS(3,ROW()-31,1)):INDIRECT(ADDRESS(22,ROW()-31,1)),BD$3:BD$22),"")</f>
        <v>20</v>
      </c>
      <c r="BE69">
        <f ca="1">IF(AND(((COLUMN()-10)&lt;=playercnt),((ROW()-41)&lt;=playercnt)),SUMPRODUCT(INDIRECT(ADDRESS(3,ROW()-31,1)):INDIRECT(ADDRESS(22,ROW()-31,1)),BE$3:BE$22),"")</f>
        <v>20</v>
      </c>
      <c r="BF69">
        <f ca="1">IF(AND(((COLUMN()-10)&lt;=playercnt),((ROW()-41)&lt;=playercnt)),SUMPRODUCT(INDIRECT(ADDRESS(3,ROW()-31,1)):INDIRECT(ADDRESS(22,ROW()-31,1)),BF$3:BF$22),"")</f>
        <v>20</v>
      </c>
      <c r="BG69">
        <f ca="1">IF(AND(((COLUMN()-10)&lt;=playercnt),((ROW()-41)&lt;=playercnt)),SUMPRODUCT(INDIRECT(ADDRESS(3,ROW()-31,1)):INDIRECT(ADDRESS(22,ROW()-31,1)),BG$3:BG$22),"")</f>
        <v>20</v>
      </c>
      <c r="BH69">
        <f ca="1">IF(AND(((COLUMN()-10)&lt;=playercnt),((ROW()-41)&lt;=playercnt)),SUMPRODUCT(INDIRECT(ADDRESS(3,ROW()-31,1)):INDIRECT(ADDRESS(22,ROW()-31,1)),BH$3:BH$22),"")</f>
        <v>20</v>
      </c>
      <c r="BI69">
        <f ca="1">IF(AND(((COLUMN()-10)&lt;=playercnt),((ROW()-41)&lt;=playercnt)),SUMPRODUCT(INDIRECT(ADDRESS(3,ROW()-31,1)):INDIRECT(ADDRESS(22,ROW()-31,1)),BI$3:BI$22),"")</f>
        <v>20</v>
      </c>
      <c r="BJ69">
        <f ca="1">IF(AND(((COLUMN()-10)&lt;=playercnt),((ROW()-41)&lt;=playercnt)),SUMPRODUCT(INDIRECT(ADDRESS(3,ROW()-31,1)):INDIRECT(ADDRESS(22,ROW()-31,1)),BJ$3:BJ$22),"")</f>
        <v>20</v>
      </c>
      <c r="BK69">
        <f ca="1">IF(AND(((COLUMN()-10)&lt;=playercnt),((ROW()-41)&lt;=playercnt)),SUMPRODUCT(INDIRECT(ADDRESS(3,ROW()-31,1)):INDIRECT(ADDRESS(22,ROW()-31,1)),BK$3:BK$22),"")</f>
        <v>20</v>
      </c>
      <c r="BL69">
        <f ca="1">IF(AND(((COLUMN()-10)&lt;=playercnt),((ROW()-41)&lt;=playercnt)),SUMPRODUCT(INDIRECT(ADDRESS(3,ROW()-31,1)):INDIRECT(ADDRESS(22,ROW()-31,1)),BL$3:BL$22),"")</f>
        <v>20</v>
      </c>
      <c r="BM69">
        <f ca="1">IF(AND(((COLUMN()-10)&lt;=playercnt),((ROW()-41)&lt;=playercnt)),SUMPRODUCT(INDIRECT(ADDRESS(3,ROW()-31,1)):INDIRECT(ADDRESS(22,ROW()-31,1)),BM$3:BM$22),"")</f>
        <v>20</v>
      </c>
      <c r="BN69">
        <f ca="1">IF(AND(((COLUMN()-10)&lt;=playercnt),((ROW()-41)&lt;=playercnt)),SUMPRODUCT(INDIRECT(ADDRESS(3,ROW()-31,1)):INDIRECT(ADDRESS(22,ROW()-31,1)),BN$3:BN$22),"")</f>
        <v>20</v>
      </c>
      <c r="BO69" t="str">
        <f ca="1">IF(AND(((COLUMN()-10)&lt;=playercnt),((ROW()-41)&lt;=playercnt)),SUMPRODUCT(INDIRECT(ADDRESS(3,ROW()-31,1)):INDIRECT(ADDRESS(22,ROW()-31,1)),BO$3:BO$22),"")</f>
        <v/>
      </c>
    </row>
    <row r="70" spans="2:67" x14ac:dyDescent="0.25">
      <c r="B70" s="27" t="str">
        <f t="shared" ca="1" si="23"/>
        <v/>
      </c>
      <c r="C70" t="e">
        <f t="shared" ca="1" si="24"/>
        <v>#REF!</v>
      </c>
      <c r="G70">
        <f ca="1">IF(AND(((COLUMN()-10)&lt;=playercnt),((ROW()-41)&lt;=playercnt)),SUMPRODUCT(INDIRECT(ADDRESS(3,ROW()-31,1)):INDIRECT(ADDRESS(22,ROW()-31,1)),G$3:G$22),"")</f>
        <v>20</v>
      </c>
      <c r="H70" t="e">
        <f ca="1">IF(AND(((COLUMN()-10)&lt;=playercnt),((ROW()-41)&lt;=playercnt)),SUMPRODUCT(INDIRECT(ADDRESS(3,ROW()-31,1)):INDIRECT(ADDRESS(22,ROW()-31,1)),H$3:H$22),"")</f>
        <v>#REF!</v>
      </c>
      <c r="I70" t="e">
        <f ca="1">IF(AND(((COLUMN()-10)&lt;=playercnt),((ROW()-41)&lt;=playercnt)),SUMPRODUCT(INDIRECT(ADDRESS(3,ROW()-31,1)):INDIRECT(ADDRESS(22,ROW()-31,1)),I$3:I$22),"")</f>
        <v>#REF!</v>
      </c>
      <c r="J70">
        <f ca="1">IF(AND(((COLUMN()-10)&lt;=playercnt),((ROW()-41)&lt;=playercnt)),SUMPRODUCT(INDIRECT(ADDRESS(3,ROW()-31,1)):INDIRECT(ADDRESS(22,ROW()-31,1)),J$3:J$22),"")</f>
        <v>20</v>
      </c>
      <c r="K70">
        <f ca="1">IF(AND(((COLUMN()-10)&lt;=playercnt),((ROW()-41)&lt;=playercnt)),SUMPRODUCT(INDIRECT(ADDRESS(3,ROW()-31,1)):INDIRECT(ADDRESS(22,ROW()-31,1)),K$3:K$22),"")</f>
        <v>20</v>
      </c>
      <c r="L70">
        <f ca="1">IF(AND(((COLUMN()-10)&lt;=playercnt),((ROW()-41)&lt;=playercnt)),SUMPRODUCT(INDIRECT(ADDRESS(3,ROW()-31,1)):INDIRECT(ADDRESS(22,ROW()-31,1)),L$3:L$22),"")</f>
        <v>20</v>
      </c>
      <c r="M70">
        <f ca="1">IF(AND(((COLUMN()-10)&lt;=playercnt),((ROW()-41)&lt;=playercnt)),SUMPRODUCT(INDIRECT(ADDRESS(3,ROW()-31,1)):INDIRECT(ADDRESS(22,ROW()-31,1)),M$3:M$22),"")</f>
        <v>20</v>
      </c>
      <c r="N70">
        <f ca="1">IF(AND(((COLUMN()-10)&lt;=playercnt),((ROW()-41)&lt;=playercnt)),SUMPRODUCT(INDIRECT(ADDRESS(3,ROW()-31,1)):INDIRECT(ADDRESS(22,ROW()-31,1)),N$3:N$22),"")</f>
        <v>20</v>
      </c>
      <c r="O70">
        <f ca="1">IF(AND(((COLUMN()-10)&lt;=playercnt),((ROW()-41)&lt;=playercnt)),SUMPRODUCT(INDIRECT(ADDRESS(3,ROW()-31,1)):INDIRECT(ADDRESS(22,ROW()-31,1)),O$3:O$22),"")</f>
        <v>20</v>
      </c>
      <c r="P70">
        <f ca="1">IF(AND(((COLUMN()-10)&lt;=playercnt),((ROW()-41)&lt;=playercnt)),SUMPRODUCT(INDIRECT(ADDRESS(3,ROW()-31,1)):INDIRECT(ADDRESS(22,ROW()-31,1)),P$3:P$22),"")</f>
        <v>20</v>
      </c>
      <c r="Q70">
        <f ca="1">IF(AND(((COLUMN()-10)&lt;=playercnt),((ROW()-41)&lt;=playercnt)),SUMPRODUCT(INDIRECT(ADDRESS(3,ROW()-31,1)):INDIRECT(ADDRESS(22,ROW()-31,1)),Q$3:Q$22),"")</f>
        <v>20</v>
      </c>
      <c r="R70">
        <f ca="1">IF(AND(((COLUMN()-10)&lt;=playercnt),((ROW()-41)&lt;=playercnt)),SUMPRODUCT(INDIRECT(ADDRESS(3,ROW()-31,1)):INDIRECT(ADDRESS(22,ROW()-31,1)),R$3:R$22),"")</f>
        <v>20</v>
      </c>
      <c r="S70">
        <f ca="1">IF(AND(((COLUMN()-10)&lt;=playercnt),((ROW()-41)&lt;=playercnt)),SUMPRODUCT(INDIRECT(ADDRESS(3,ROW()-31,1)):INDIRECT(ADDRESS(22,ROW()-31,1)),S$3:S$22),"")</f>
        <v>20</v>
      </c>
      <c r="T70">
        <f ca="1">IF(AND(((COLUMN()-10)&lt;=playercnt),((ROW()-41)&lt;=playercnt)),SUMPRODUCT(INDIRECT(ADDRESS(3,ROW()-31,1)):INDIRECT(ADDRESS(22,ROW()-31,1)),T$3:T$22),"")</f>
        <v>20</v>
      </c>
      <c r="U70">
        <f ca="1">IF(AND(((COLUMN()-10)&lt;=playercnt),((ROW()-41)&lt;=playercnt)),SUMPRODUCT(INDIRECT(ADDRESS(3,ROW()-31,1)):INDIRECT(ADDRESS(22,ROW()-31,1)),U$3:U$22),"")</f>
        <v>20</v>
      </c>
      <c r="V70">
        <f ca="1">IF(AND(((COLUMN()-10)&lt;=playercnt),((ROW()-41)&lt;=playercnt)),SUMPRODUCT(INDIRECT(ADDRESS(3,ROW()-31,1)):INDIRECT(ADDRESS(22,ROW()-31,1)),V$3:V$22),"")</f>
        <v>20</v>
      </c>
      <c r="W70">
        <f ca="1">IF(AND(((COLUMN()-10)&lt;=playercnt),((ROW()-41)&lt;=playercnt)),SUMPRODUCT(INDIRECT(ADDRESS(3,ROW()-31,1)):INDIRECT(ADDRESS(22,ROW()-31,1)),W$3:W$22),"")</f>
        <v>20</v>
      </c>
      <c r="X70">
        <f ca="1">IF(AND(((COLUMN()-10)&lt;=playercnt),((ROW()-41)&lt;=playercnt)),SUMPRODUCT(INDIRECT(ADDRESS(3,ROW()-31,1)):INDIRECT(ADDRESS(22,ROW()-31,1)),X$3:X$22),"")</f>
        <v>20</v>
      </c>
      <c r="Y70">
        <f ca="1">IF(AND(((COLUMN()-10)&lt;=playercnt),((ROW()-41)&lt;=playercnt)),SUMPRODUCT(INDIRECT(ADDRESS(3,ROW()-31,1)):INDIRECT(ADDRESS(22,ROW()-31,1)),Y$3:Y$22),"")</f>
        <v>20</v>
      </c>
      <c r="Z70">
        <f ca="1">IF(AND(((COLUMN()-10)&lt;=playercnt),((ROW()-41)&lt;=playercnt)),SUMPRODUCT(INDIRECT(ADDRESS(3,ROW()-31,1)):INDIRECT(ADDRESS(22,ROW()-31,1)),Z$3:Z$22),"")</f>
        <v>20</v>
      </c>
      <c r="AA70">
        <f ca="1">IF(AND(((COLUMN()-10)&lt;=playercnt),((ROW()-41)&lt;=playercnt)),SUMPRODUCT(INDIRECT(ADDRESS(3,ROW()-31,1)):INDIRECT(ADDRESS(22,ROW()-31,1)),AA$3:AA$22),"")</f>
        <v>20</v>
      </c>
      <c r="AB70">
        <f ca="1">IF(AND(((COLUMN()-10)&lt;=playercnt),((ROW()-41)&lt;=playercnt)),SUMPRODUCT(INDIRECT(ADDRESS(3,ROW()-31,1)):INDIRECT(ADDRESS(22,ROW()-31,1)),AB$3:AB$22),"")</f>
        <v>20</v>
      </c>
      <c r="AC70">
        <f ca="1">IF(AND(((COLUMN()-10)&lt;=playercnt),((ROW()-41)&lt;=playercnt)),SUMPRODUCT(INDIRECT(ADDRESS(3,ROW()-31,1)):INDIRECT(ADDRESS(22,ROW()-31,1)),AC$3:AC$22),"")</f>
        <v>20</v>
      </c>
      <c r="AD70">
        <f ca="1">IF(AND(((COLUMN()-10)&lt;=playercnt),((ROW()-41)&lt;=playercnt)),SUMPRODUCT(INDIRECT(ADDRESS(3,ROW()-31,1)):INDIRECT(ADDRESS(22,ROW()-31,1)),AD$3:AD$22),"")</f>
        <v>20</v>
      </c>
      <c r="AE70">
        <f ca="1">IF(AND(((COLUMN()-10)&lt;=playercnt),((ROW()-41)&lt;=playercnt)),SUMPRODUCT(INDIRECT(ADDRESS(3,ROW()-31,1)):INDIRECT(ADDRESS(22,ROW()-31,1)),AE$3:AE$22),"")</f>
        <v>20</v>
      </c>
      <c r="AF70">
        <f ca="1">IF(AND(((COLUMN()-10)&lt;=playercnt),((ROW()-41)&lt;=playercnt)),SUMPRODUCT(INDIRECT(ADDRESS(3,ROW()-31,1)):INDIRECT(ADDRESS(22,ROW()-31,1)),AF$3:AF$22),"")</f>
        <v>20</v>
      </c>
      <c r="AG70">
        <f ca="1">IF(AND(((COLUMN()-10)&lt;=playercnt),((ROW()-41)&lt;=playercnt)),SUMPRODUCT(INDIRECT(ADDRESS(3,ROW()-31,1)):INDIRECT(ADDRESS(22,ROW()-31,1)),AG$3:AG$22),"")</f>
        <v>20</v>
      </c>
      <c r="AH70">
        <f ca="1">IF(AND(((COLUMN()-10)&lt;=playercnt),((ROW()-41)&lt;=playercnt)),SUMPRODUCT(INDIRECT(ADDRESS(3,ROW()-31,1)):INDIRECT(ADDRESS(22,ROW()-31,1)),AH$3:AH$22),"")</f>
        <v>20</v>
      </c>
      <c r="AI70">
        <f ca="1">IF(AND(((COLUMN()-10)&lt;=playercnt),((ROW()-41)&lt;=playercnt)),SUMPRODUCT(INDIRECT(ADDRESS(3,ROW()-31,1)):INDIRECT(ADDRESS(22,ROW()-31,1)),AI$3:AI$22),"")</f>
        <v>20</v>
      </c>
      <c r="AJ70">
        <f ca="1">IF(AND(((COLUMN()-10)&lt;=playercnt),((ROW()-41)&lt;=playercnt)),SUMPRODUCT(INDIRECT(ADDRESS(3,ROW()-31,1)):INDIRECT(ADDRESS(22,ROW()-31,1)),AJ$3:AJ$22),"")</f>
        <v>20</v>
      </c>
      <c r="AK70">
        <f ca="1">IF(AND(((COLUMN()-10)&lt;=playercnt),((ROW()-41)&lt;=playercnt)),SUMPRODUCT(INDIRECT(ADDRESS(3,ROW()-31,1)):INDIRECT(ADDRESS(22,ROW()-31,1)),AK$3:AK$22),"")</f>
        <v>20</v>
      </c>
      <c r="AL70">
        <f ca="1">IF(AND(((COLUMN()-10)&lt;=playercnt),((ROW()-41)&lt;=playercnt)),SUMPRODUCT(INDIRECT(ADDRESS(3,ROW()-31,1)):INDIRECT(ADDRESS(22,ROW()-31,1)),AL$3:AL$22),"")</f>
        <v>20</v>
      </c>
      <c r="AM70">
        <f ca="1">IF(AND(((COLUMN()-10)&lt;=playercnt),((ROW()-41)&lt;=playercnt)),SUMPRODUCT(INDIRECT(ADDRESS(3,ROW()-31,1)):INDIRECT(ADDRESS(22,ROW()-31,1)),AM$3:AM$22),"")</f>
        <v>20</v>
      </c>
      <c r="AN70">
        <f ca="1">IF(AND(((COLUMN()-10)&lt;=playercnt),((ROW()-41)&lt;=playercnt)),SUMPRODUCT(INDIRECT(ADDRESS(3,ROW()-31,1)):INDIRECT(ADDRESS(22,ROW()-31,1)),AN$3:AN$22),"")</f>
        <v>20</v>
      </c>
      <c r="AO70">
        <f ca="1">IF(AND(((COLUMN()-10)&lt;=playercnt),((ROW()-41)&lt;=playercnt)),SUMPRODUCT(INDIRECT(ADDRESS(3,ROW()-31,1)):INDIRECT(ADDRESS(22,ROW()-31,1)),AO$3:AO$22),"")</f>
        <v>20</v>
      </c>
      <c r="AP70">
        <f ca="1">IF(AND(((COLUMN()-10)&lt;=playercnt),((ROW()-41)&lt;=playercnt)),SUMPRODUCT(INDIRECT(ADDRESS(3,ROW()-31,1)):INDIRECT(ADDRESS(22,ROW()-31,1)),AP$3:AP$22),"")</f>
        <v>20</v>
      </c>
      <c r="AQ70">
        <f ca="1">IF(AND(((COLUMN()-10)&lt;=playercnt),((ROW()-41)&lt;=playercnt)),SUMPRODUCT(INDIRECT(ADDRESS(3,ROW()-31,1)):INDIRECT(ADDRESS(22,ROW()-31,1)),AQ$3:AQ$22),"")</f>
        <v>20</v>
      </c>
      <c r="AR70">
        <f ca="1">IF(AND(((COLUMN()-10)&lt;=playercnt),((ROW()-41)&lt;=playercnt)),SUMPRODUCT(INDIRECT(ADDRESS(3,ROW()-31,1)):INDIRECT(ADDRESS(22,ROW()-31,1)),AR$3:AR$22),"")</f>
        <v>20</v>
      </c>
      <c r="AS70">
        <f ca="1">IF(AND(((COLUMN()-10)&lt;=playercnt),((ROW()-41)&lt;=playercnt)),SUMPRODUCT(INDIRECT(ADDRESS(3,ROW()-31,1)):INDIRECT(ADDRESS(22,ROW()-31,1)),AS$3:AS$22),"")</f>
        <v>20</v>
      </c>
      <c r="AT70">
        <f ca="1">IF(AND(((COLUMN()-10)&lt;=playercnt),((ROW()-41)&lt;=playercnt)),SUMPRODUCT(INDIRECT(ADDRESS(3,ROW()-31,1)):INDIRECT(ADDRESS(22,ROW()-31,1)),AT$3:AT$22),"")</f>
        <v>20</v>
      </c>
      <c r="AU70">
        <f ca="1">IF(AND(((COLUMN()-10)&lt;=playercnt),((ROW()-41)&lt;=playercnt)),SUMPRODUCT(INDIRECT(ADDRESS(3,ROW()-31,1)):INDIRECT(ADDRESS(22,ROW()-31,1)),AU$3:AU$22),"")</f>
        <v>20</v>
      </c>
      <c r="AV70">
        <f ca="1">IF(AND(((COLUMN()-10)&lt;=playercnt),((ROW()-41)&lt;=playercnt)),SUMPRODUCT(INDIRECT(ADDRESS(3,ROW()-31,1)):INDIRECT(ADDRESS(22,ROW()-31,1)),AV$3:AV$22),"")</f>
        <v>20</v>
      </c>
      <c r="AW70">
        <f ca="1">IF(AND(((COLUMN()-10)&lt;=playercnt),((ROW()-41)&lt;=playercnt)),SUMPRODUCT(INDIRECT(ADDRESS(3,ROW()-31,1)):INDIRECT(ADDRESS(22,ROW()-31,1)),AW$3:AW$22),"")</f>
        <v>20</v>
      </c>
      <c r="AX70">
        <f ca="1">IF(AND(((COLUMN()-10)&lt;=playercnt),((ROW()-41)&lt;=playercnt)),SUMPRODUCT(INDIRECT(ADDRESS(3,ROW()-31,1)):INDIRECT(ADDRESS(22,ROW()-31,1)),AX$3:AX$22),"")</f>
        <v>20</v>
      </c>
      <c r="AY70">
        <f ca="1">IF(AND(((COLUMN()-10)&lt;=playercnt),((ROW()-41)&lt;=playercnt)),SUMPRODUCT(INDIRECT(ADDRESS(3,ROW()-31,1)):INDIRECT(ADDRESS(22,ROW()-31,1)),AY$3:AY$22),"")</f>
        <v>20</v>
      </c>
      <c r="AZ70">
        <f ca="1">IF(AND(((COLUMN()-10)&lt;=playercnt),((ROW()-41)&lt;=playercnt)),SUMPRODUCT(INDIRECT(ADDRESS(3,ROW()-31,1)):INDIRECT(ADDRESS(22,ROW()-31,1)),AZ$3:AZ$22),"")</f>
        <v>20</v>
      </c>
      <c r="BA70">
        <f ca="1">IF(AND(((COLUMN()-10)&lt;=playercnt),((ROW()-41)&lt;=playercnt)),SUMPRODUCT(INDIRECT(ADDRESS(3,ROW()-31,1)):INDIRECT(ADDRESS(22,ROW()-31,1)),BA$3:BA$22),"")</f>
        <v>20</v>
      </c>
      <c r="BB70">
        <f ca="1">IF(AND(((COLUMN()-10)&lt;=playercnt),((ROW()-41)&lt;=playercnt)),SUMPRODUCT(INDIRECT(ADDRESS(3,ROW()-31,1)):INDIRECT(ADDRESS(22,ROW()-31,1)),BB$3:BB$22),"")</f>
        <v>20</v>
      </c>
      <c r="BC70">
        <f ca="1">IF(AND(((COLUMN()-10)&lt;=playercnt),((ROW()-41)&lt;=playercnt)),SUMPRODUCT(INDIRECT(ADDRESS(3,ROW()-31,1)):INDIRECT(ADDRESS(22,ROW()-31,1)),BC$3:BC$22),"")</f>
        <v>20</v>
      </c>
      <c r="BD70">
        <f ca="1">IF(AND(((COLUMN()-10)&lt;=playercnt),((ROW()-41)&lt;=playercnt)),SUMPRODUCT(INDIRECT(ADDRESS(3,ROW()-31,1)):INDIRECT(ADDRESS(22,ROW()-31,1)),BD$3:BD$22),"")</f>
        <v>20</v>
      </c>
      <c r="BE70">
        <f ca="1">IF(AND(((COLUMN()-10)&lt;=playercnt),((ROW()-41)&lt;=playercnt)),SUMPRODUCT(INDIRECT(ADDRESS(3,ROW()-31,1)):INDIRECT(ADDRESS(22,ROW()-31,1)),BE$3:BE$22),"")</f>
        <v>20</v>
      </c>
      <c r="BF70">
        <f ca="1">IF(AND(((COLUMN()-10)&lt;=playercnt),((ROW()-41)&lt;=playercnt)),SUMPRODUCT(INDIRECT(ADDRESS(3,ROW()-31,1)):INDIRECT(ADDRESS(22,ROW()-31,1)),BF$3:BF$22),"")</f>
        <v>20</v>
      </c>
      <c r="BG70">
        <f ca="1">IF(AND(((COLUMN()-10)&lt;=playercnt),((ROW()-41)&lt;=playercnt)),SUMPRODUCT(INDIRECT(ADDRESS(3,ROW()-31,1)):INDIRECT(ADDRESS(22,ROW()-31,1)),BG$3:BG$22),"")</f>
        <v>20</v>
      </c>
      <c r="BH70">
        <f ca="1">IF(AND(((COLUMN()-10)&lt;=playercnt),((ROW()-41)&lt;=playercnt)),SUMPRODUCT(INDIRECT(ADDRESS(3,ROW()-31,1)):INDIRECT(ADDRESS(22,ROW()-31,1)),BH$3:BH$22),"")</f>
        <v>20</v>
      </c>
      <c r="BI70">
        <f ca="1">IF(AND(((COLUMN()-10)&lt;=playercnt),((ROW()-41)&lt;=playercnt)),SUMPRODUCT(INDIRECT(ADDRESS(3,ROW()-31,1)):INDIRECT(ADDRESS(22,ROW()-31,1)),BI$3:BI$22),"")</f>
        <v>20</v>
      </c>
      <c r="BJ70">
        <f ca="1">IF(AND(((COLUMN()-10)&lt;=playercnt),((ROW()-41)&lt;=playercnt)),SUMPRODUCT(INDIRECT(ADDRESS(3,ROW()-31,1)):INDIRECT(ADDRESS(22,ROW()-31,1)),BJ$3:BJ$22),"")</f>
        <v>20</v>
      </c>
      <c r="BK70">
        <f ca="1">IF(AND(((COLUMN()-10)&lt;=playercnt),((ROW()-41)&lt;=playercnt)),SUMPRODUCT(INDIRECT(ADDRESS(3,ROW()-31,1)):INDIRECT(ADDRESS(22,ROW()-31,1)),BK$3:BK$22),"")</f>
        <v>20</v>
      </c>
      <c r="BL70">
        <f ca="1">IF(AND(((COLUMN()-10)&lt;=playercnt),((ROW()-41)&lt;=playercnt)),SUMPRODUCT(INDIRECT(ADDRESS(3,ROW()-31,1)):INDIRECT(ADDRESS(22,ROW()-31,1)),BL$3:BL$22),"")</f>
        <v>20</v>
      </c>
      <c r="BM70">
        <f ca="1">IF(AND(((COLUMN()-10)&lt;=playercnt),((ROW()-41)&lt;=playercnt)),SUMPRODUCT(INDIRECT(ADDRESS(3,ROW()-31,1)):INDIRECT(ADDRESS(22,ROW()-31,1)),BM$3:BM$22),"")</f>
        <v>20</v>
      </c>
      <c r="BN70">
        <f ca="1">IF(AND(((COLUMN()-10)&lt;=playercnt),((ROW()-41)&lt;=playercnt)),SUMPRODUCT(INDIRECT(ADDRESS(3,ROW()-31,1)):INDIRECT(ADDRESS(22,ROW()-31,1)),BN$3:BN$22),"")</f>
        <v>20</v>
      </c>
      <c r="BO70" t="str">
        <f ca="1">IF(AND(((COLUMN()-10)&lt;=playercnt),((ROW()-41)&lt;=playercnt)),SUMPRODUCT(INDIRECT(ADDRESS(3,ROW()-31,1)):INDIRECT(ADDRESS(22,ROW()-31,1)),BO$3:BO$22),"")</f>
        <v/>
      </c>
    </row>
    <row r="71" spans="2:67" x14ac:dyDescent="0.25">
      <c r="B71" s="27" t="str">
        <f t="shared" ca="1" si="23"/>
        <v/>
      </c>
      <c r="C71" t="e">
        <f t="shared" ca="1" si="24"/>
        <v>#REF!</v>
      </c>
      <c r="G71">
        <f ca="1">IF(AND(((COLUMN()-10)&lt;=playercnt),((ROW()-41)&lt;=playercnt)),SUMPRODUCT(INDIRECT(ADDRESS(3,ROW()-31,1)):INDIRECT(ADDRESS(22,ROW()-31,1)),G$3:G$22),"")</f>
        <v>20</v>
      </c>
      <c r="H71" t="e">
        <f ca="1">IF(AND(((COLUMN()-10)&lt;=playercnt),((ROW()-41)&lt;=playercnt)),SUMPRODUCT(INDIRECT(ADDRESS(3,ROW()-31,1)):INDIRECT(ADDRESS(22,ROW()-31,1)),H$3:H$22),"")</f>
        <v>#REF!</v>
      </c>
      <c r="I71" t="e">
        <f ca="1">IF(AND(((COLUMN()-10)&lt;=playercnt),((ROW()-41)&lt;=playercnt)),SUMPRODUCT(INDIRECT(ADDRESS(3,ROW()-31,1)):INDIRECT(ADDRESS(22,ROW()-31,1)),I$3:I$22),"")</f>
        <v>#REF!</v>
      </c>
      <c r="J71">
        <f ca="1">IF(AND(((COLUMN()-10)&lt;=playercnt),((ROW()-41)&lt;=playercnt)),SUMPRODUCT(INDIRECT(ADDRESS(3,ROW()-31,1)):INDIRECT(ADDRESS(22,ROW()-31,1)),J$3:J$22),"")</f>
        <v>20</v>
      </c>
      <c r="K71">
        <f ca="1">IF(AND(((COLUMN()-10)&lt;=playercnt),((ROW()-41)&lt;=playercnt)),SUMPRODUCT(INDIRECT(ADDRESS(3,ROW()-31,1)):INDIRECT(ADDRESS(22,ROW()-31,1)),K$3:K$22),"")</f>
        <v>20</v>
      </c>
      <c r="L71">
        <f ca="1">IF(AND(((COLUMN()-10)&lt;=playercnt),((ROW()-41)&lt;=playercnt)),SUMPRODUCT(INDIRECT(ADDRESS(3,ROW()-31,1)):INDIRECT(ADDRESS(22,ROW()-31,1)),L$3:L$22),"")</f>
        <v>20</v>
      </c>
      <c r="M71">
        <f ca="1">IF(AND(((COLUMN()-10)&lt;=playercnt),((ROW()-41)&lt;=playercnt)),SUMPRODUCT(INDIRECT(ADDRESS(3,ROW()-31,1)):INDIRECT(ADDRESS(22,ROW()-31,1)),M$3:M$22),"")</f>
        <v>20</v>
      </c>
      <c r="N71">
        <f ca="1">IF(AND(((COLUMN()-10)&lt;=playercnt),((ROW()-41)&lt;=playercnt)),SUMPRODUCT(INDIRECT(ADDRESS(3,ROW()-31,1)):INDIRECT(ADDRESS(22,ROW()-31,1)),N$3:N$22),"")</f>
        <v>20</v>
      </c>
      <c r="O71">
        <f ca="1">IF(AND(((COLUMN()-10)&lt;=playercnt),((ROW()-41)&lt;=playercnt)),SUMPRODUCT(INDIRECT(ADDRESS(3,ROW()-31,1)):INDIRECT(ADDRESS(22,ROW()-31,1)),O$3:O$22),"")</f>
        <v>20</v>
      </c>
      <c r="P71">
        <f ca="1">IF(AND(((COLUMN()-10)&lt;=playercnt),((ROW()-41)&lt;=playercnt)),SUMPRODUCT(INDIRECT(ADDRESS(3,ROW()-31,1)):INDIRECT(ADDRESS(22,ROW()-31,1)),P$3:P$22),"")</f>
        <v>20</v>
      </c>
      <c r="Q71">
        <f ca="1">IF(AND(((COLUMN()-10)&lt;=playercnt),((ROW()-41)&lt;=playercnt)),SUMPRODUCT(INDIRECT(ADDRESS(3,ROW()-31,1)):INDIRECT(ADDRESS(22,ROW()-31,1)),Q$3:Q$22),"")</f>
        <v>20</v>
      </c>
      <c r="R71">
        <f ca="1">IF(AND(((COLUMN()-10)&lt;=playercnt),((ROW()-41)&lt;=playercnt)),SUMPRODUCT(INDIRECT(ADDRESS(3,ROW()-31,1)):INDIRECT(ADDRESS(22,ROW()-31,1)),R$3:R$22),"")</f>
        <v>20</v>
      </c>
      <c r="S71">
        <f ca="1">IF(AND(((COLUMN()-10)&lt;=playercnt),((ROW()-41)&lt;=playercnt)),SUMPRODUCT(INDIRECT(ADDRESS(3,ROW()-31,1)):INDIRECT(ADDRESS(22,ROW()-31,1)),S$3:S$22),"")</f>
        <v>20</v>
      </c>
      <c r="T71">
        <f ca="1">IF(AND(((COLUMN()-10)&lt;=playercnt),((ROW()-41)&lt;=playercnt)),SUMPRODUCT(INDIRECT(ADDRESS(3,ROW()-31,1)):INDIRECT(ADDRESS(22,ROW()-31,1)),T$3:T$22),"")</f>
        <v>20</v>
      </c>
      <c r="U71">
        <f ca="1">IF(AND(((COLUMN()-10)&lt;=playercnt),((ROW()-41)&lt;=playercnt)),SUMPRODUCT(INDIRECT(ADDRESS(3,ROW()-31,1)):INDIRECT(ADDRESS(22,ROW()-31,1)),U$3:U$22),"")</f>
        <v>20</v>
      </c>
      <c r="V71">
        <f ca="1">IF(AND(((COLUMN()-10)&lt;=playercnt),((ROW()-41)&lt;=playercnt)),SUMPRODUCT(INDIRECT(ADDRESS(3,ROW()-31,1)):INDIRECT(ADDRESS(22,ROW()-31,1)),V$3:V$22),"")</f>
        <v>20</v>
      </c>
      <c r="W71">
        <f ca="1">IF(AND(((COLUMN()-10)&lt;=playercnt),((ROW()-41)&lt;=playercnt)),SUMPRODUCT(INDIRECT(ADDRESS(3,ROW()-31,1)):INDIRECT(ADDRESS(22,ROW()-31,1)),W$3:W$22),"")</f>
        <v>20</v>
      </c>
      <c r="X71">
        <f ca="1">IF(AND(((COLUMN()-10)&lt;=playercnt),((ROW()-41)&lt;=playercnt)),SUMPRODUCT(INDIRECT(ADDRESS(3,ROW()-31,1)):INDIRECT(ADDRESS(22,ROW()-31,1)),X$3:X$22),"")</f>
        <v>20</v>
      </c>
      <c r="Y71">
        <f ca="1">IF(AND(((COLUMN()-10)&lt;=playercnt),((ROW()-41)&lt;=playercnt)),SUMPRODUCT(INDIRECT(ADDRESS(3,ROW()-31,1)):INDIRECT(ADDRESS(22,ROW()-31,1)),Y$3:Y$22),"")</f>
        <v>20</v>
      </c>
      <c r="Z71">
        <f ca="1">IF(AND(((COLUMN()-10)&lt;=playercnt),((ROW()-41)&lt;=playercnt)),SUMPRODUCT(INDIRECT(ADDRESS(3,ROW()-31,1)):INDIRECT(ADDRESS(22,ROW()-31,1)),Z$3:Z$22),"")</f>
        <v>20</v>
      </c>
      <c r="AA71">
        <f ca="1">IF(AND(((COLUMN()-10)&lt;=playercnt),((ROW()-41)&lt;=playercnt)),SUMPRODUCT(INDIRECT(ADDRESS(3,ROW()-31,1)):INDIRECT(ADDRESS(22,ROW()-31,1)),AA$3:AA$22),"")</f>
        <v>20</v>
      </c>
      <c r="AB71">
        <f ca="1">IF(AND(((COLUMN()-10)&lt;=playercnt),((ROW()-41)&lt;=playercnt)),SUMPRODUCT(INDIRECT(ADDRESS(3,ROW()-31,1)):INDIRECT(ADDRESS(22,ROW()-31,1)),AB$3:AB$22),"")</f>
        <v>20</v>
      </c>
      <c r="AC71">
        <f ca="1">IF(AND(((COLUMN()-10)&lt;=playercnt),((ROW()-41)&lt;=playercnt)),SUMPRODUCT(INDIRECT(ADDRESS(3,ROW()-31,1)):INDIRECT(ADDRESS(22,ROW()-31,1)),AC$3:AC$22),"")</f>
        <v>20</v>
      </c>
      <c r="AD71">
        <f ca="1">IF(AND(((COLUMN()-10)&lt;=playercnt),((ROW()-41)&lt;=playercnt)),SUMPRODUCT(INDIRECT(ADDRESS(3,ROW()-31,1)):INDIRECT(ADDRESS(22,ROW()-31,1)),AD$3:AD$22),"")</f>
        <v>20</v>
      </c>
      <c r="AE71">
        <f ca="1">IF(AND(((COLUMN()-10)&lt;=playercnt),((ROW()-41)&lt;=playercnt)),SUMPRODUCT(INDIRECT(ADDRESS(3,ROW()-31,1)):INDIRECT(ADDRESS(22,ROW()-31,1)),AE$3:AE$22),"")</f>
        <v>20</v>
      </c>
      <c r="AF71">
        <f ca="1">IF(AND(((COLUMN()-10)&lt;=playercnt),((ROW()-41)&lt;=playercnt)),SUMPRODUCT(INDIRECT(ADDRESS(3,ROW()-31,1)):INDIRECT(ADDRESS(22,ROW()-31,1)),AF$3:AF$22),"")</f>
        <v>20</v>
      </c>
      <c r="AG71">
        <f ca="1">IF(AND(((COLUMN()-10)&lt;=playercnt),((ROW()-41)&lt;=playercnt)),SUMPRODUCT(INDIRECT(ADDRESS(3,ROW()-31,1)):INDIRECT(ADDRESS(22,ROW()-31,1)),AG$3:AG$22),"")</f>
        <v>20</v>
      </c>
      <c r="AH71">
        <f ca="1">IF(AND(((COLUMN()-10)&lt;=playercnt),((ROW()-41)&lt;=playercnt)),SUMPRODUCT(INDIRECT(ADDRESS(3,ROW()-31,1)):INDIRECT(ADDRESS(22,ROW()-31,1)),AH$3:AH$22),"")</f>
        <v>20</v>
      </c>
      <c r="AI71">
        <f ca="1">IF(AND(((COLUMN()-10)&lt;=playercnt),((ROW()-41)&lt;=playercnt)),SUMPRODUCT(INDIRECT(ADDRESS(3,ROW()-31,1)):INDIRECT(ADDRESS(22,ROW()-31,1)),AI$3:AI$22),"")</f>
        <v>20</v>
      </c>
      <c r="AJ71">
        <f ca="1">IF(AND(((COLUMN()-10)&lt;=playercnt),((ROW()-41)&lt;=playercnt)),SUMPRODUCT(INDIRECT(ADDRESS(3,ROW()-31,1)):INDIRECT(ADDRESS(22,ROW()-31,1)),AJ$3:AJ$22),"")</f>
        <v>20</v>
      </c>
      <c r="AK71">
        <f ca="1">IF(AND(((COLUMN()-10)&lt;=playercnt),((ROW()-41)&lt;=playercnt)),SUMPRODUCT(INDIRECT(ADDRESS(3,ROW()-31,1)):INDIRECT(ADDRESS(22,ROW()-31,1)),AK$3:AK$22),"")</f>
        <v>20</v>
      </c>
      <c r="AL71">
        <f ca="1">IF(AND(((COLUMN()-10)&lt;=playercnt),((ROW()-41)&lt;=playercnt)),SUMPRODUCT(INDIRECT(ADDRESS(3,ROW()-31,1)):INDIRECT(ADDRESS(22,ROW()-31,1)),AL$3:AL$22),"")</f>
        <v>20</v>
      </c>
      <c r="AM71">
        <f ca="1">IF(AND(((COLUMN()-10)&lt;=playercnt),((ROW()-41)&lt;=playercnt)),SUMPRODUCT(INDIRECT(ADDRESS(3,ROW()-31,1)):INDIRECT(ADDRESS(22,ROW()-31,1)),AM$3:AM$22),"")</f>
        <v>20</v>
      </c>
      <c r="AN71">
        <f ca="1">IF(AND(((COLUMN()-10)&lt;=playercnt),((ROW()-41)&lt;=playercnt)),SUMPRODUCT(INDIRECT(ADDRESS(3,ROW()-31,1)):INDIRECT(ADDRESS(22,ROW()-31,1)),AN$3:AN$22),"")</f>
        <v>20</v>
      </c>
      <c r="AO71">
        <f ca="1">IF(AND(((COLUMN()-10)&lt;=playercnt),((ROW()-41)&lt;=playercnt)),SUMPRODUCT(INDIRECT(ADDRESS(3,ROW()-31,1)):INDIRECT(ADDRESS(22,ROW()-31,1)),AO$3:AO$22),"")</f>
        <v>20</v>
      </c>
      <c r="AP71">
        <f ca="1">IF(AND(((COLUMN()-10)&lt;=playercnt),((ROW()-41)&lt;=playercnt)),SUMPRODUCT(INDIRECT(ADDRESS(3,ROW()-31,1)):INDIRECT(ADDRESS(22,ROW()-31,1)),AP$3:AP$22),"")</f>
        <v>20</v>
      </c>
      <c r="AQ71">
        <f ca="1">IF(AND(((COLUMN()-10)&lt;=playercnt),((ROW()-41)&lt;=playercnt)),SUMPRODUCT(INDIRECT(ADDRESS(3,ROW()-31,1)):INDIRECT(ADDRESS(22,ROW()-31,1)),AQ$3:AQ$22),"")</f>
        <v>20</v>
      </c>
      <c r="AR71">
        <f ca="1">IF(AND(((COLUMN()-10)&lt;=playercnt),((ROW()-41)&lt;=playercnt)),SUMPRODUCT(INDIRECT(ADDRESS(3,ROW()-31,1)):INDIRECT(ADDRESS(22,ROW()-31,1)),AR$3:AR$22),"")</f>
        <v>20</v>
      </c>
      <c r="AS71">
        <f ca="1">IF(AND(((COLUMN()-10)&lt;=playercnt),((ROW()-41)&lt;=playercnt)),SUMPRODUCT(INDIRECT(ADDRESS(3,ROW()-31,1)):INDIRECT(ADDRESS(22,ROW()-31,1)),AS$3:AS$22),"")</f>
        <v>20</v>
      </c>
      <c r="AT71">
        <f ca="1">IF(AND(((COLUMN()-10)&lt;=playercnt),((ROW()-41)&lt;=playercnt)),SUMPRODUCT(INDIRECT(ADDRESS(3,ROW()-31,1)):INDIRECT(ADDRESS(22,ROW()-31,1)),AT$3:AT$22),"")</f>
        <v>20</v>
      </c>
      <c r="AU71">
        <f ca="1">IF(AND(((COLUMN()-10)&lt;=playercnt),((ROW()-41)&lt;=playercnt)),SUMPRODUCT(INDIRECT(ADDRESS(3,ROW()-31,1)):INDIRECT(ADDRESS(22,ROW()-31,1)),AU$3:AU$22),"")</f>
        <v>20</v>
      </c>
      <c r="AV71">
        <f ca="1">IF(AND(((COLUMN()-10)&lt;=playercnt),((ROW()-41)&lt;=playercnt)),SUMPRODUCT(INDIRECT(ADDRESS(3,ROW()-31,1)):INDIRECT(ADDRESS(22,ROW()-31,1)),AV$3:AV$22),"")</f>
        <v>20</v>
      </c>
      <c r="AW71">
        <f ca="1">IF(AND(((COLUMN()-10)&lt;=playercnt),((ROW()-41)&lt;=playercnt)),SUMPRODUCT(INDIRECT(ADDRESS(3,ROW()-31,1)):INDIRECT(ADDRESS(22,ROW()-31,1)),AW$3:AW$22),"")</f>
        <v>20</v>
      </c>
      <c r="AX71">
        <f ca="1">IF(AND(((COLUMN()-10)&lt;=playercnt),((ROW()-41)&lt;=playercnt)),SUMPRODUCT(INDIRECT(ADDRESS(3,ROW()-31,1)):INDIRECT(ADDRESS(22,ROW()-31,1)),AX$3:AX$22),"")</f>
        <v>20</v>
      </c>
      <c r="AY71">
        <f ca="1">IF(AND(((COLUMN()-10)&lt;=playercnt),((ROW()-41)&lt;=playercnt)),SUMPRODUCT(INDIRECT(ADDRESS(3,ROW()-31,1)):INDIRECT(ADDRESS(22,ROW()-31,1)),AY$3:AY$22),"")</f>
        <v>20</v>
      </c>
      <c r="AZ71">
        <f ca="1">IF(AND(((COLUMN()-10)&lt;=playercnt),((ROW()-41)&lt;=playercnt)),SUMPRODUCT(INDIRECT(ADDRESS(3,ROW()-31,1)):INDIRECT(ADDRESS(22,ROW()-31,1)),AZ$3:AZ$22),"")</f>
        <v>20</v>
      </c>
      <c r="BA71">
        <f ca="1">IF(AND(((COLUMN()-10)&lt;=playercnt),((ROW()-41)&lt;=playercnt)),SUMPRODUCT(INDIRECT(ADDRESS(3,ROW()-31,1)):INDIRECT(ADDRESS(22,ROW()-31,1)),BA$3:BA$22),"")</f>
        <v>20</v>
      </c>
      <c r="BB71">
        <f ca="1">IF(AND(((COLUMN()-10)&lt;=playercnt),((ROW()-41)&lt;=playercnt)),SUMPRODUCT(INDIRECT(ADDRESS(3,ROW()-31,1)):INDIRECT(ADDRESS(22,ROW()-31,1)),BB$3:BB$22),"")</f>
        <v>20</v>
      </c>
      <c r="BC71">
        <f ca="1">IF(AND(((COLUMN()-10)&lt;=playercnt),((ROW()-41)&lt;=playercnt)),SUMPRODUCT(INDIRECT(ADDRESS(3,ROW()-31,1)):INDIRECT(ADDRESS(22,ROW()-31,1)),BC$3:BC$22),"")</f>
        <v>20</v>
      </c>
      <c r="BD71">
        <f ca="1">IF(AND(((COLUMN()-10)&lt;=playercnt),((ROW()-41)&lt;=playercnt)),SUMPRODUCT(INDIRECT(ADDRESS(3,ROW()-31,1)):INDIRECT(ADDRESS(22,ROW()-31,1)),BD$3:BD$22),"")</f>
        <v>20</v>
      </c>
      <c r="BE71">
        <f ca="1">IF(AND(((COLUMN()-10)&lt;=playercnt),((ROW()-41)&lt;=playercnt)),SUMPRODUCT(INDIRECT(ADDRESS(3,ROW()-31,1)):INDIRECT(ADDRESS(22,ROW()-31,1)),BE$3:BE$22),"")</f>
        <v>20</v>
      </c>
      <c r="BF71">
        <f ca="1">IF(AND(((COLUMN()-10)&lt;=playercnt),((ROW()-41)&lt;=playercnt)),SUMPRODUCT(INDIRECT(ADDRESS(3,ROW()-31,1)):INDIRECT(ADDRESS(22,ROW()-31,1)),BF$3:BF$22),"")</f>
        <v>20</v>
      </c>
      <c r="BG71">
        <f ca="1">IF(AND(((COLUMN()-10)&lt;=playercnt),((ROW()-41)&lt;=playercnt)),SUMPRODUCT(INDIRECT(ADDRESS(3,ROW()-31,1)):INDIRECT(ADDRESS(22,ROW()-31,1)),BG$3:BG$22),"")</f>
        <v>20</v>
      </c>
      <c r="BH71">
        <f ca="1">IF(AND(((COLUMN()-10)&lt;=playercnt),((ROW()-41)&lt;=playercnt)),SUMPRODUCT(INDIRECT(ADDRESS(3,ROW()-31,1)):INDIRECT(ADDRESS(22,ROW()-31,1)),BH$3:BH$22),"")</f>
        <v>20</v>
      </c>
      <c r="BI71">
        <f ca="1">IF(AND(((COLUMN()-10)&lt;=playercnt),((ROW()-41)&lt;=playercnt)),SUMPRODUCT(INDIRECT(ADDRESS(3,ROW()-31,1)):INDIRECT(ADDRESS(22,ROW()-31,1)),BI$3:BI$22),"")</f>
        <v>20</v>
      </c>
      <c r="BJ71">
        <f ca="1">IF(AND(((COLUMN()-10)&lt;=playercnt),((ROW()-41)&lt;=playercnt)),SUMPRODUCT(INDIRECT(ADDRESS(3,ROW()-31,1)):INDIRECT(ADDRESS(22,ROW()-31,1)),BJ$3:BJ$22),"")</f>
        <v>20</v>
      </c>
      <c r="BK71">
        <f ca="1">IF(AND(((COLUMN()-10)&lt;=playercnt),((ROW()-41)&lt;=playercnt)),SUMPRODUCT(INDIRECT(ADDRESS(3,ROW()-31,1)):INDIRECT(ADDRESS(22,ROW()-31,1)),BK$3:BK$22),"")</f>
        <v>20</v>
      </c>
      <c r="BL71">
        <f ca="1">IF(AND(((COLUMN()-10)&lt;=playercnt),((ROW()-41)&lt;=playercnt)),SUMPRODUCT(INDIRECT(ADDRESS(3,ROW()-31,1)):INDIRECT(ADDRESS(22,ROW()-31,1)),BL$3:BL$22),"")</f>
        <v>20</v>
      </c>
      <c r="BM71">
        <f ca="1">IF(AND(((COLUMN()-10)&lt;=playercnt),((ROW()-41)&lt;=playercnt)),SUMPRODUCT(INDIRECT(ADDRESS(3,ROW()-31,1)):INDIRECT(ADDRESS(22,ROW()-31,1)),BM$3:BM$22),"")</f>
        <v>20</v>
      </c>
      <c r="BN71">
        <f ca="1">IF(AND(((COLUMN()-10)&lt;=playercnt),((ROW()-41)&lt;=playercnt)),SUMPRODUCT(INDIRECT(ADDRESS(3,ROW()-31,1)):INDIRECT(ADDRESS(22,ROW()-31,1)),BN$3:BN$22),"")</f>
        <v>20</v>
      </c>
      <c r="BO71" t="str">
        <f ca="1">IF(AND(((COLUMN()-10)&lt;=playercnt),((ROW()-41)&lt;=playercnt)),SUMPRODUCT(INDIRECT(ADDRESS(3,ROW()-31,1)):INDIRECT(ADDRESS(22,ROW()-31,1)),BO$3:BO$22),"")</f>
        <v/>
      </c>
    </row>
    <row r="72" spans="2:67" x14ac:dyDescent="0.25">
      <c r="B72" s="27" t="str">
        <f t="shared" ca="1" si="23"/>
        <v/>
      </c>
      <c r="C72" t="e">
        <f t="shared" ca="1" si="24"/>
        <v>#REF!</v>
      </c>
      <c r="G72">
        <f ca="1">IF(AND(((COLUMN()-10)&lt;=playercnt),((ROW()-41)&lt;=playercnt)),SUMPRODUCT(INDIRECT(ADDRESS(3,ROW()-31,1)):INDIRECT(ADDRESS(22,ROW()-31,1)),G$3:G$22),"")</f>
        <v>20</v>
      </c>
      <c r="H72" t="e">
        <f ca="1">IF(AND(((COLUMN()-10)&lt;=playercnt),((ROW()-41)&lt;=playercnt)),SUMPRODUCT(INDIRECT(ADDRESS(3,ROW()-31,1)):INDIRECT(ADDRESS(22,ROW()-31,1)),H$3:H$22),"")</f>
        <v>#REF!</v>
      </c>
      <c r="I72" t="e">
        <f ca="1">IF(AND(((COLUMN()-10)&lt;=playercnt),((ROW()-41)&lt;=playercnt)),SUMPRODUCT(INDIRECT(ADDRESS(3,ROW()-31,1)):INDIRECT(ADDRESS(22,ROW()-31,1)),I$3:I$22),"")</f>
        <v>#REF!</v>
      </c>
      <c r="J72">
        <f ca="1">IF(AND(((COLUMN()-10)&lt;=playercnt),((ROW()-41)&lt;=playercnt)),SUMPRODUCT(INDIRECT(ADDRESS(3,ROW()-31,1)):INDIRECT(ADDRESS(22,ROW()-31,1)),J$3:J$22),"")</f>
        <v>20</v>
      </c>
      <c r="K72">
        <f ca="1">IF(AND(((COLUMN()-10)&lt;=playercnt),((ROW()-41)&lt;=playercnt)),SUMPRODUCT(INDIRECT(ADDRESS(3,ROW()-31,1)):INDIRECT(ADDRESS(22,ROW()-31,1)),K$3:K$22),"")</f>
        <v>20</v>
      </c>
      <c r="L72">
        <f ca="1">IF(AND(((COLUMN()-10)&lt;=playercnt),((ROW()-41)&lt;=playercnt)),SUMPRODUCT(INDIRECT(ADDRESS(3,ROW()-31,1)):INDIRECT(ADDRESS(22,ROW()-31,1)),L$3:L$22),"")</f>
        <v>20</v>
      </c>
      <c r="M72">
        <f ca="1">IF(AND(((COLUMN()-10)&lt;=playercnt),((ROW()-41)&lt;=playercnt)),SUMPRODUCT(INDIRECT(ADDRESS(3,ROW()-31,1)):INDIRECT(ADDRESS(22,ROW()-31,1)),M$3:M$22),"")</f>
        <v>20</v>
      </c>
      <c r="N72">
        <f ca="1">IF(AND(((COLUMN()-10)&lt;=playercnt),((ROW()-41)&lt;=playercnt)),SUMPRODUCT(INDIRECT(ADDRESS(3,ROW()-31,1)):INDIRECT(ADDRESS(22,ROW()-31,1)),N$3:N$22),"")</f>
        <v>20</v>
      </c>
      <c r="O72">
        <f ca="1">IF(AND(((COLUMN()-10)&lt;=playercnt),((ROW()-41)&lt;=playercnt)),SUMPRODUCT(INDIRECT(ADDRESS(3,ROW()-31,1)):INDIRECT(ADDRESS(22,ROW()-31,1)),O$3:O$22),"")</f>
        <v>20</v>
      </c>
      <c r="P72">
        <f ca="1">IF(AND(((COLUMN()-10)&lt;=playercnt),((ROW()-41)&lt;=playercnt)),SUMPRODUCT(INDIRECT(ADDRESS(3,ROW()-31,1)):INDIRECT(ADDRESS(22,ROW()-31,1)),P$3:P$22),"")</f>
        <v>20</v>
      </c>
      <c r="Q72">
        <f ca="1">IF(AND(((COLUMN()-10)&lt;=playercnt),((ROW()-41)&lt;=playercnt)),SUMPRODUCT(INDIRECT(ADDRESS(3,ROW()-31,1)):INDIRECT(ADDRESS(22,ROW()-31,1)),Q$3:Q$22),"")</f>
        <v>20</v>
      </c>
      <c r="R72">
        <f ca="1">IF(AND(((COLUMN()-10)&lt;=playercnt),((ROW()-41)&lt;=playercnt)),SUMPRODUCT(INDIRECT(ADDRESS(3,ROW()-31,1)):INDIRECT(ADDRESS(22,ROW()-31,1)),R$3:R$22),"")</f>
        <v>20</v>
      </c>
      <c r="S72">
        <f ca="1">IF(AND(((COLUMN()-10)&lt;=playercnt),((ROW()-41)&lt;=playercnt)),SUMPRODUCT(INDIRECT(ADDRESS(3,ROW()-31,1)):INDIRECT(ADDRESS(22,ROW()-31,1)),S$3:S$22),"")</f>
        <v>20</v>
      </c>
      <c r="T72">
        <f ca="1">IF(AND(((COLUMN()-10)&lt;=playercnt),((ROW()-41)&lt;=playercnt)),SUMPRODUCT(INDIRECT(ADDRESS(3,ROW()-31,1)):INDIRECT(ADDRESS(22,ROW()-31,1)),T$3:T$22),"")</f>
        <v>20</v>
      </c>
      <c r="U72">
        <f ca="1">IF(AND(((COLUMN()-10)&lt;=playercnt),((ROW()-41)&lt;=playercnt)),SUMPRODUCT(INDIRECT(ADDRESS(3,ROW()-31,1)):INDIRECT(ADDRESS(22,ROW()-31,1)),U$3:U$22),"")</f>
        <v>20</v>
      </c>
      <c r="V72">
        <f ca="1">IF(AND(((COLUMN()-10)&lt;=playercnt),((ROW()-41)&lt;=playercnt)),SUMPRODUCT(INDIRECT(ADDRESS(3,ROW()-31,1)):INDIRECT(ADDRESS(22,ROW()-31,1)),V$3:V$22),"")</f>
        <v>20</v>
      </c>
      <c r="W72">
        <f ca="1">IF(AND(((COLUMN()-10)&lt;=playercnt),((ROW()-41)&lt;=playercnt)),SUMPRODUCT(INDIRECT(ADDRESS(3,ROW()-31,1)):INDIRECT(ADDRESS(22,ROW()-31,1)),W$3:W$22),"")</f>
        <v>20</v>
      </c>
      <c r="X72">
        <f ca="1">IF(AND(((COLUMN()-10)&lt;=playercnt),((ROW()-41)&lt;=playercnt)),SUMPRODUCT(INDIRECT(ADDRESS(3,ROW()-31,1)):INDIRECT(ADDRESS(22,ROW()-31,1)),X$3:X$22),"")</f>
        <v>20</v>
      </c>
      <c r="Y72">
        <f ca="1">IF(AND(((COLUMN()-10)&lt;=playercnt),((ROW()-41)&lt;=playercnt)),SUMPRODUCT(INDIRECT(ADDRESS(3,ROW()-31,1)):INDIRECT(ADDRESS(22,ROW()-31,1)),Y$3:Y$22),"")</f>
        <v>20</v>
      </c>
      <c r="Z72">
        <f ca="1">IF(AND(((COLUMN()-10)&lt;=playercnt),((ROW()-41)&lt;=playercnt)),SUMPRODUCT(INDIRECT(ADDRESS(3,ROW()-31,1)):INDIRECT(ADDRESS(22,ROW()-31,1)),Z$3:Z$22),"")</f>
        <v>20</v>
      </c>
      <c r="AA72">
        <f ca="1">IF(AND(((COLUMN()-10)&lt;=playercnt),((ROW()-41)&lt;=playercnt)),SUMPRODUCT(INDIRECT(ADDRESS(3,ROW()-31,1)):INDIRECT(ADDRESS(22,ROW()-31,1)),AA$3:AA$22),"")</f>
        <v>20</v>
      </c>
      <c r="AB72">
        <f ca="1">IF(AND(((COLUMN()-10)&lt;=playercnt),((ROW()-41)&lt;=playercnt)),SUMPRODUCT(INDIRECT(ADDRESS(3,ROW()-31,1)):INDIRECT(ADDRESS(22,ROW()-31,1)),AB$3:AB$22),"")</f>
        <v>20</v>
      </c>
      <c r="AC72">
        <f ca="1">IF(AND(((COLUMN()-10)&lt;=playercnt),((ROW()-41)&lt;=playercnt)),SUMPRODUCT(INDIRECT(ADDRESS(3,ROW()-31,1)):INDIRECT(ADDRESS(22,ROW()-31,1)),AC$3:AC$22),"")</f>
        <v>20</v>
      </c>
      <c r="AD72">
        <f ca="1">IF(AND(((COLUMN()-10)&lt;=playercnt),((ROW()-41)&lt;=playercnt)),SUMPRODUCT(INDIRECT(ADDRESS(3,ROW()-31,1)):INDIRECT(ADDRESS(22,ROW()-31,1)),AD$3:AD$22),"")</f>
        <v>20</v>
      </c>
      <c r="AE72">
        <f ca="1">IF(AND(((COLUMN()-10)&lt;=playercnt),((ROW()-41)&lt;=playercnt)),SUMPRODUCT(INDIRECT(ADDRESS(3,ROW()-31,1)):INDIRECT(ADDRESS(22,ROW()-31,1)),AE$3:AE$22),"")</f>
        <v>20</v>
      </c>
      <c r="AF72">
        <f ca="1">IF(AND(((COLUMN()-10)&lt;=playercnt),((ROW()-41)&lt;=playercnt)),SUMPRODUCT(INDIRECT(ADDRESS(3,ROW()-31,1)):INDIRECT(ADDRESS(22,ROW()-31,1)),AF$3:AF$22),"")</f>
        <v>20</v>
      </c>
      <c r="AG72">
        <f ca="1">IF(AND(((COLUMN()-10)&lt;=playercnt),((ROW()-41)&lt;=playercnt)),SUMPRODUCT(INDIRECT(ADDRESS(3,ROW()-31,1)):INDIRECT(ADDRESS(22,ROW()-31,1)),AG$3:AG$22),"")</f>
        <v>20</v>
      </c>
      <c r="AH72">
        <f ca="1">IF(AND(((COLUMN()-10)&lt;=playercnt),((ROW()-41)&lt;=playercnt)),SUMPRODUCT(INDIRECT(ADDRESS(3,ROW()-31,1)):INDIRECT(ADDRESS(22,ROW()-31,1)),AH$3:AH$22),"")</f>
        <v>20</v>
      </c>
      <c r="AI72">
        <f ca="1">IF(AND(((COLUMN()-10)&lt;=playercnt),((ROW()-41)&lt;=playercnt)),SUMPRODUCT(INDIRECT(ADDRESS(3,ROW()-31,1)):INDIRECT(ADDRESS(22,ROW()-31,1)),AI$3:AI$22),"")</f>
        <v>20</v>
      </c>
      <c r="AJ72">
        <f ca="1">IF(AND(((COLUMN()-10)&lt;=playercnt),((ROW()-41)&lt;=playercnt)),SUMPRODUCT(INDIRECT(ADDRESS(3,ROW()-31,1)):INDIRECT(ADDRESS(22,ROW()-31,1)),AJ$3:AJ$22),"")</f>
        <v>20</v>
      </c>
      <c r="AK72">
        <f ca="1">IF(AND(((COLUMN()-10)&lt;=playercnt),((ROW()-41)&lt;=playercnt)),SUMPRODUCT(INDIRECT(ADDRESS(3,ROW()-31,1)):INDIRECT(ADDRESS(22,ROW()-31,1)),AK$3:AK$22),"")</f>
        <v>20</v>
      </c>
      <c r="AL72">
        <f ca="1">IF(AND(((COLUMN()-10)&lt;=playercnt),((ROW()-41)&lt;=playercnt)),SUMPRODUCT(INDIRECT(ADDRESS(3,ROW()-31,1)):INDIRECT(ADDRESS(22,ROW()-31,1)),AL$3:AL$22),"")</f>
        <v>20</v>
      </c>
      <c r="AM72">
        <f ca="1">IF(AND(((COLUMN()-10)&lt;=playercnt),((ROW()-41)&lt;=playercnt)),SUMPRODUCT(INDIRECT(ADDRESS(3,ROW()-31,1)):INDIRECT(ADDRESS(22,ROW()-31,1)),AM$3:AM$22),"")</f>
        <v>20</v>
      </c>
      <c r="AN72">
        <f ca="1">IF(AND(((COLUMN()-10)&lt;=playercnt),((ROW()-41)&lt;=playercnt)),SUMPRODUCT(INDIRECT(ADDRESS(3,ROW()-31,1)):INDIRECT(ADDRESS(22,ROW()-31,1)),AN$3:AN$22),"")</f>
        <v>20</v>
      </c>
      <c r="AO72">
        <f ca="1">IF(AND(((COLUMN()-10)&lt;=playercnt),((ROW()-41)&lt;=playercnt)),SUMPRODUCT(INDIRECT(ADDRESS(3,ROW()-31,1)):INDIRECT(ADDRESS(22,ROW()-31,1)),AO$3:AO$22),"")</f>
        <v>20</v>
      </c>
      <c r="AP72">
        <f ca="1">IF(AND(((COLUMN()-10)&lt;=playercnt),((ROW()-41)&lt;=playercnt)),SUMPRODUCT(INDIRECT(ADDRESS(3,ROW()-31,1)):INDIRECT(ADDRESS(22,ROW()-31,1)),AP$3:AP$22),"")</f>
        <v>20</v>
      </c>
      <c r="AQ72">
        <f ca="1">IF(AND(((COLUMN()-10)&lt;=playercnt),((ROW()-41)&lt;=playercnt)),SUMPRODUCT(INDIRECT(ADDRESS(3,ROW()-31,1)):INDIRECT(ADDRESS(22,ROW()-31,1)),AQ$3:AQ$22),"")</f>
        <v>20</v>
      </c>
      <c r="AR72">
        <f ca="1">IF(AND(((COLUMN()-10)&lt;=playercnt),((ROW()-41)&lt;=playercnt)),SUMPRODUCT(INDIRECT(ADDRESS(3,ROW()-31,1)):INDIRECT(ADDRESS(22,ROW()-31,1)),AR$3:AR$22),"")</f>
        <v>20</v>
      </c>
      <c r="AS72">
        <f ca="1">IF(AND(((COLUMN()-10)&lt;=playercnt),((ROW()-41)&lt;=playercnt)),SUMPRODUCT(INDIRECT(ADDRESS(3,ROW()-31,1)):INDIRECT(ADDRESS(22,ROW()-31,1)),AS$3:AS$22),"")</f>
        <v>20</v>
      </c>
      <c r="AT72">
        <f ca="1">IF(AND(((COLUMN()-10)&lt;=playercnt),((ROW()-41)&lt;=playercnt)),SUMPRODUCT(INDIRECT(ADDRESS(3,ROW()-31,1)):INDIRECT(ADDRESS(22,ROW()-31,1)),AT$3:AT$22),"")</f>
        <v>20</v>
      </c>
      <c r="AU72">
        <f ca="1">IF(AND(((COLUMN()-10)&lt;=playercnt),((ROW()-41)&lt;=playercnt)),SUMPRODUCT(INDIRECT(ADDRESS(3,ROW()-31,1)):INDIRECT(ADDRESS(22,ROW()-31,1)),AU$3:AU$22),"")</f>
        <v>20</v>
      </c>
      <c r="AV72">
        <f ca="1">IF(AND(((COLUMN()-10)&lt;=playercnt),((ROW()-41)&lt;=playercnt)),SUMPRODUCT(INDIRECT(ADDRESS(3,ROW()-31,1)):INDIRECT(ADDRESS(22,ROW()-31,1)),AV$3:AV$22),"")</f>
        <v>20</v>
      </c>
      <c r="AW72">
        <f ca="1">IF(AND(((COLUMN()-10)&lt;=playercnt),((ROW()-41)&lt;=playercnt)),SUMPRODUCT(INDIRECT(ADDRESS(3,ROW()-31,1)):INDIRECT(ADDRESS(22,ROW()-31,1)),AW$3:AW$22),"")</f>
        <v>20</v>
      </c>
      <c r="AX72">
        <f ca="1">IF(AND(((COLUMN()-10)&lt;=playercnt),((ROW()-41)&lt;=playercnt)),SUMPRODUCT(INDIRECT(ADDRESS(3,ROW()-31,1)):INDIRECT(ADDRESS(22,ROW()-31,1)),AX$3:AX$22),"")</f>
        <v>20</v>
      </c>
      <c r="AY72">
        <f ca="1">IF(AND(((COLUMN()-10)&lt;=playercnt),((ROW()-41)&lt;=playercnt)),SUMPRODUCT(INDIRECT(ADDRESS(3,ROW()-31,1)):INDIRECT(ADDRESS(22,ROW()-31,1)),AY$3:AY$22),"")</f>
        <v>20</v>
      </c>
      <c r="AZ72">
        <f ca="1">IF(AND(((COLUMN()-10)&lt;=playercnt),((ROW()-41)&lt;=playercnt)),SUMPRODUCT(INDIRECT(ADDRESS(3,ROW()-31,1)):INDIRECT(ADDRESS(22,ROW()-31,1)),AZ$3:AZ$22),"")</f>
        <v>20</v>
      </c>
      <c r="BA72">
        <f ca="1">IF(AND(((COLUMN()-10)&lt;=playercnt),((ROW()-41)&lt;=playercnt)),SUMPRODUCT(INDIRECT(ADDRESS(3,ROW()-31,1)):INDIRECT(ADDRESS(22,ROW()-31,1)),BA$3:BA$22),"")</f>
        <v>20</v>
      </c>
      <c r="BB72">
        <f ca="1">IF(AND(((COLUMN()-10)&lt;=playercnt),((ROW()-41)&lt;=playercnt)),SUMPRODUCT(INDIRECT(ADDRESS(3,ROW()-31,1)):INDIRECT(ADDRESS(22,ROW()-31,1)),BB$3:BB$22),"")</f>
        <v>20</v>
      </c>
      <c r="BC72">
        <f ca="1">IF(AND(((COLUMN()-10)&lt;=playercnt),((ROW()-41)&lt;=playercnt)),SUMPRODUCT(INDIRECT(ADDRESS(3,ROW()-31,1)):INDIRECT(ADDRESS(22,ROW()-31,1)),BC$3:BC$22),"")</f>
        <v>20</v>
      </c>
      <c r="BD72">
        <f ca="1">IF(AND(((COLUMN()-10)&lt;=playercnt),((ROW()-41)&lt;=playercnt)),SUMPRODUCT(INDIRECT(ADDRESS(3,ROW()-31,1)):INDIRECT(ADDRESS(22,ROW()-31,1)),BD$3:BD$22),"")</f>
        <v>20</v>
      </c>
      <c r="BE72">
        <f ca="1">IF(AND(((COLUMN()-10)&lt;=playercnt),((ROW()-41)&lt;=playercnt)),SUMPRODUCT(INDIRECT(ADDRESS(3,ROW()-31,1)):INDIRECT(ADDRESS(22,ROW()-31,1)),BE$3:BE$22),"")</f>
        <v>20</v>
      </c>
      <c r="BF72">
        <f ca="1">IF(AND(((COLUMN()-10)&lt;=playercnt),((ROW()-41)&lt;=playercnt)),SUMPRODUCT(INDIRECT(ADDRESS(3,ROW()-31,1)):INDIRECT(ADDRESS(22,ROW()-31,1)),BF$3:BF$22),"")</f>
        <v>20</v>
      </c>
      <c r="BG72">
        <f ca="1">IF(AND(((COLUMN()-10)&lt;=playercnt),((ROW()-41)&lt;=playercnt)),SUMPRODUCT(INDIRECT(ADDRESS(3,ROW()-31,1)):INDIRECT(ADDRESS(22,ROW()-31,1)),BG$3:BG$22),"")</f>
        <v>20</v>
      </c>
      <c r="BH72">
        <f ca="1">IF(AND(((COLUMN()-10)&lt;=playercnt),((ROW()-41)&lt;=playercnt)),SUMPRODUCT(INDIRECT(ADDRESS(3,ROW()-31,1)):INDIRECT(ADDRESS(22,ROW()-31,1)),BH$3:BH$22),"")</f>
        <v>20</v>
      </c>
      <c r="BI72">
        <f ca="1">IF(AND(((COLUMN()-10)&lt;=playercnt),((ROW()-41)&lt;=playercnt)),SUMPRODUCT(INDIRECT(ADDRESS(3,ROW()-31,1)):INDIRECT(ADDRESS(22,ROW()-31,1)),BI$3:BI$22),"")</f>
        <v>20</v>
      </c>
      <c r="BJ72">
        <f ca="1">IF(AND(((COLUMN()-10)&lt;=playercnt),((ROW()-41)&lt;=playercnt)),SUMPRODUCT(INDIRECT(ADDRESS(3,ROW()-31,1)):INDIRECT(ADDRESS(22,ROW()-31,1)),BJ$3:BJ$22),"")</f>
        <v>20</v>
      </c>
      <c r="BK72">
        <f ca="1">IF(AND(((COLUMN()-10)&lt;=playercnt),((ROW()-41)&lt;=playercnt)),SUMPRODUCT(INDIRECT(ADDRESS(3,ROW()-31,1)):INDIRECT(ADDRESS(22,ROW()-31,1)),BK$3:BK$22),"")</f>
        <v>20</v>
      </c>
      <c r="BL72">
        <f ca="1">IF(AND(((COLUMN()-10)&lt;=playercnt),((ROW()-41)&lt;=playercnt)),SUMPRODUCT(INDIRECT(ADDRESS(3,ROW()-31,1)):INDIRECT(ADDRESS(22,ROW()-31,1)),BL$3:BL$22),"")</f>
        <v>20</v>
      </c>
      <c r="BM72">
        <f ca="1">IF(AND(((COLUMN()-10)&lt;=playercnt),((ROW()-41)&lt;=playercnt)),SUMPRODUCT(INDIRECT(ADDRESS(3,ROW()-31,1)):INDIRECT(ADDRESS(22,ROW()-31,1)),BM$3:BM$22),"")</f>
        <v>20</v>
      </c>
      <c r="BN72">
        <f ca="1">IF(AND(((COLUMN()-10)&lt;=playercnt),((ROW()-41)&lt;=playercnt)),SUMPRODUCT(INDIRECT(ADDRESS(3,ROW()-31,1)):INDIRECT(ADDRESS(22,ROW()-31,1)),BN$3:BN$22),"")</f>
        <v>20</v>
      </c>
      <c r="BO72" t="str">
        <f ca="1">IF(AND(((COLUMN()-10)&lt;=playercnt),((ROW()-41)&lt;=playercnt)),SUMPRODUCT(INDIRECT(ADDRESS(3,ROW()-31,1)):INDIRECT(ADDRESS(22,ROW()-31,1)),BO$3:BO$22),"")</f>
        <v/>
      </c>
    </row>
    <row r="73" spans="2:67" x14ac:dyDescent="0.25">
      <c r="B73" s="27" t="str">
        <f t="shared" ca="1" si="23"/>
        <v/>
      </c>
      <c r="C73" t="e">
        <f t="shared" ca="1" si="24"/>
        <v>#REF!</v>
      </c>
      <c r="G73">
        <f ca="1">IF(AND(((COLUMN()-10)&lt;=playercnt),((ROW()-41)&lt;=playercnt)),SUMPRODUCT(INDIRECT(ADDRESS(3,ROW()-31,1)):INDIRECT(ADDRESS(22,ROW()-31,1)),G$3:G$22),"")</f>
        <v>20</v>
      </c>
      <c r="H73" t="e">
        <f ca="1">IF(AND(((COLUMN()-10)&lt;=playercnt),((ROW()-41)&lt;=playercnt)),SUMPRODUCT(INDIRECT(ADDRESS(3,ROW()-31,1)):INDIRECT(ADDRESS(22,ROW()-31,1)),H$3:H$22),"")</f>
        <v>#REF!</v>
      </c>
      <c r="I73" t="e">
        <f ca="1">IF(AND(((COLUMN()-10)&lt;=playercnt),((ROW()-41)&lt;=playercnt)),SUMPRODUCT(INDIRECT(ADDRESS(3,ROW()-31,1)):INDIRECT(ADDRESS(22,ROW()-31,1)),I$3:I$22),"")</f>
        <v>#REF!</v>
      </c>
      <c r="J73">
        <f ca="1">IF(AND(((COLUMN()-10)&lt;=playercnt),((ROW()-41)&lt;=playercnt)),SUMPRODUCT(INDIRECT(ADDRESS(3,ROW()-31,1)):INDIRECT(ADDRESS(22,ROW()-31,1)),J$3:J$22),"")</f>
        <v>20</v>
      </c>
      <c r="K73">
        <f ca="1">IF(AND(((COLUMN()-10)&lt;=playercnt),((ROW()-41)&lt;=playercnt)),SUMPRODUCT(INDIRECT(ADDRESS(3,ROW()-31,1)):INDIRECT(ADDRESS(22,ROW()-31,1)),K$3:K$22),"")</f>
        <v>20</v>
      </c>
      <c r="L73">
        <f ca="1">IF(AND(((COLUMN()-10)&lt;=playercnt),((ROW()-41)&lt;=playercnt)),SUMPRODUCT(INDIRECT(ADDRESS(3,ROW()-31,1)):INDIRECT(ADDRESS(22,ROW()-31,1)),L$3:L$22),"")</f>
        <v>20</v>
      </c>
      <c r="M73">
        <f ca="1">IF(AND(((COLUMN()-10)&lt;=playercnt),((ROW()-41)&lt;=playercnt)),SUMPRODUCT(INDIRECT(ADDRESS(3,ROW()-31,1)):INDIRECT(ADDRESS(22,ROW()-31,1)),M$3:M$22),"")</f>
        <v>20</v>
      </c>
      <c r="N73">
        <f ca="1">IF(AND(((COLUMN()-10)&lt;=playercnt),((ROW()-41)&lt;=playercnt)),SUMPRODUCT(INDIRECT(ADDRESS(3,ROW()-31,1)):INDIRECT(ADDRESS(22,ROW()-31,1)),N$3:N$22),"")</f>
        <v>20</v>
      </c>
      <c r="O73">
        <f ca="1">IF(AND(((COLUMN()-10)&lt;=playercnt),((ROW()-41)&lt;=playercnt)),SUMPRODUCT(INDIRECT(ADDRESS(3,ROW()-31,1)):INDIRECT(ADDRESS(22,ROW()-31,1)),O$3:O$22),"")</f>
        <v>20</v>
      </c>
      <c r="P73">
        <f ca="1">IF(AND(((COLUMN()-10)&lt;=playercnt),((ROW()-41)&lt;=playercnt)),SUMPRODUCT(INDIRECT(ADDRESS(3,ROW()-31,1)):INDIRECT(ADDRESS(22,ROW()-31,1)),P$3:P$22),"")</f>
        <v>20</v>
      </c>
      <c r="Q73">
        <f ca="1">IF(AND(((COLUMN()-10)&lt;=playercnt),((ROW()-41)&lt;=playercnt)),SUMPRODUCT(INDIRECT(ADDRESS(3,ROW()-31,1)):INDIRECT(ADDRESS(22,ROW()-31,1)),Q$3:Q$22),"")</f>
        <v>20</v>
      </c>
      <c r="R73">
        <f ca="1">IF(AND(((COLUMN()-10)&lt;=playercnt),((ROW()-41)&lt;=playercnt)),SUMPRODUCT(INDIRECT(ADDRESS(3,ROW()-31,1)):INDIRECT(ADDRESS(22,ROW()-31,1)),R$3:R$22),"")</f>
        <v>20</v>
      </c>
      <c r="S73">
        <f ca="1">IF(AND(((COLUMN()-10)&lt;=playercnt),((ROW()-41)&lt;=playercnt)),SUMPRODUCT(INDIRECT(ADDRESS(3,ROW()-31,1)):INDIRECT(ADDRESS(22,ROW()-31,1)),S$3:S$22),"")</f>
        <v>20</v>
      </c>
      <c r="T73">
        <f ca="1">IF(AND(((COLUMN()-10)&lt;=playercnt),((ROW()-41)&lt;=playercnt)),SUMPRODUCT(INDIRECT(ADDRESS(3,ROW()-31,1)):INDIRECT(ADDRESS(22,ROW()-31,1)),T$3:T$22),"")</f>
        <v>20</v>
      </c>
      <c r="U73">
        <f ca="1">IF(AND(((COLUMN()-10)&lt;=playercnt),((ROW()-41)&lt;=playercnt)),SUMPRODUCT(INDIRECT(ADDRESS(3,ROW()-31,1)):INDIRECT(ADDRESS(22,ROW()-31,1)),U$3:U$22),"")</f>
        <v>20</v>
      </c>
      <c r="V73">
        <f ca="1">IF(AND(((COLUMN()-10)&lt;=playercnt),((ROW()-41)&lt;=playercnt)),SUMPRODUCT(INDIRECT(ADDRESS(3,ROW()-31,1)):INDIRECT(ADDRESS(22,ROW()-31,1)),V$3:V$22),"")</f>
        <v>20</v>
      </c>
      <c r="W73">
        <f ca="1">IF(AND(((COLUMN()-10)&lt;=playercnt),((ROW()-41)&lt;=playercnt)),SUMPRODUCT(INDIRECT(ADDRESS(3,ROW()-31,1)):INDIRECT(ADDRESS(22,ROW()-31,1)),W$3:W$22),"")</f>
        <v>20</v>
      </c>
      <c r="X73">
        <f ca="1">IF(AND(((COLUMN()-10)&lt;=playercnt),((ROW()-41)&lt;=playercnt)),SUMPRODUCT(INDIRECT(ADDRESS(3,ROW()-31,1)):INDIRECT(ADDRESS(22,ROW()-31,1)),X$3:X$22),"")</f>
        <v>20</v>
      </c>
      <c r="Y73">
        <f ca="1">IF(AND(((COLUMN()-10)&lt;=playercnt),((ROW()-41)&lt;=playercnt)),SUMPRODUCT(INDIRECT(ADDRESS(3,ROW()-31,1)):INDIRECT(ADDRESS(22,ROW()-31,1)),Y$3:Y$22),"")</f>
        <v>20</v>
      </c>
      <c r="Z73">
        <f ca="1">IF(AND(((COLUMN()-10)&lt;=playercnt),((ROW()-41)&lt;=playercnt)),SUMPRODUCT(INDIRECT(ADDRESS(3,ROW()-31,1)):INDIRECT(ADDRESS(22,ROW()-31,1)),Z$3:Z$22),"")</f>
        <v>20</v>
      </c>
      <c r="AA73">
        <f ca="1">IF(AND(((COLUMN()-10)&lt;=playercnt),((ROW()-41)&lt;=playercnt)),SUMPRODUCT(INDIRECT(ADDRESS(3,ROW()-31,1)):INDIRECT(ADDRESS(22,ROW()-31,1)),AA$3:AA$22),"")</f>
        <v>20</v>
      </c>
      <c r="AB73">
        <f ca="1">IF(AND(((COLUMN()-10)&lt;=playercnt),((ROW()-41)&lt;=playercnt)),SUMPRODUCT(INDIRECT(ADDRESS(3,ROW()-31,1)):INDIRECT(ADDRESS(22,ROW()-31,1)),AB$3:AB$22),"")</f>
        <v>20</v>
      </c>
      <c r="AC73">
        <f ca="1">IF(AND(((COLUMN()-10)&lt;=playercnt),((ROW()-41)&lt;=playercnt)),SUMPRODUCT(INDIRECT(ADDRESS(3,ROW()-31,1)):INDIRECT(ADDRESS(22,ROW()-31,1)),AC$3:AC$22),"")</f>
        <v>20</v>
      </c>
      <c r="AD73">
        <f ca="1">IF(AND(((COLUMN()-10)&lt;=playercnt),((ROW()-41)&lt;=playercnt)),SUMPRODUCT(INDIRECT(ADDRESS(3,ROW()-31,1)):INDIRECT(ADDRESS(22,ROW()-31,1)),AD$3:AD$22),"")</f>
        <v>20</v>
      </c>
      <c r="AE73">
        <f ca="1">IF(AND(((COLUMN()-10)&lt;=playercnt),((ROW()-41)&lt;=playercnt)),SUMPRODUCT(INDIRECT(ADDRESS(3,ROW()-31,1)):INDIRECT(ADDRESS(22,ROW()-31,1)),AE$3:AE$22),"")</f>
        <v>20</v>
      </c>
      <c r="AF73">
        <f ca="1">IF(AND(((COLUMN()-10)&lt;=playercnt),((ROW()-41)&lt;=playercnt)),SUMPRODUCT(INDIRECT(ADDRESS(3,ROW()-31,1)):INDIRECT(ADDRESS(22,ROW()-31,1)),AF$3:AF$22),"")</f>
        <v>20</v>
      </c>
      <c r="AG73">
        <f ca="1">IF(AND(((COLUMN()-10)&lt;=playercnt),((ROW()-41)&lt;=playercnt)),SUMPRODUCT(INDIRECT(ADDRESS(3,ROW()-31,1)):INDIRECT(ADDRESS(22,ROW()-31,1)),AG$3:AG$22),"")</f>
        <v>20</v>
      </c>
      <c r="AH73">
        <f ca="1">IF(AND(((COLUMN()-10)&lt;=playercnt),((ROW()-41)&lt;=playercnt)),SUMPRODUCT(INDIRECT(ADDRESS(3,ROW()-31,1)):INDIRECT(ADDRESS(22,ROW()-31,1)),AH$3:AH$22),"")</f>
        <v>20</v>
      </c>
      <c r="AI73">
        <f ca="1">IF(AND(((COLUMN()-10)&lt;=playercnt),((ROW()-41)&lt;=playercnt)),SUMPRODUCT(INDIRECT(ADDRESS(3,ROW()-31,1)):INDIRECT(ADDRESS(22,ROW()-31,1)),AI$3:AI$22),"")</f>
        <v>20</v>
      </c>
      <c r="AJ73">
        <f ca="1">IF(AND(((COLUMN()-10)&lt;=playercnt),((ROW()-41)&lt;=playercnt)),SUMPRODUCT(INDIRECT(ADDRESS(3,ROW()-31,1)):INDIRECT(ADDRESS(22,ROW()-31,1)),AJ$3:AJ$22),"")</f>
        <v>20</v>
      </c>
      <c r="AK73">
        <f ca="1">IF(AND(((COLUMN()-10)&lt;=playercnt),((ROW()-41)&lt;=playercnt)),SUMPRODUCT(INDIRECT(ADDRESS(3,ROW()-31,1)):INDIRECT(ADDRESS(22,ROW()-31,1)),AK$3:AK$22),"")</f>
        <v>20</v>
      </c>
      <c r="AL73">
        <f ca="1">IF(AND(((COLUMN()-10)&lt;=playercnt),((ROW()-41)&lt;=playercnt)),SUMPRODUCT(INDIRECT(ADDRESS(3,ROW()-31,1)):INDIRECT(ADDRESS(22,ROW()-31,1)),AL$3:AL$22),"")</f>
        <v>20</v>
      </c>
      <c r="AM73">
        <f ca="1">IF(AND(((COLUMN()-10)&lt;=playercnt),((ROW()-41)&lt;=playercnt)),SUMPRODUCT(INDIRECT(ADDRESS(3,ROW()-31,1)):INDIRECT(ADDRESS(22,ROW()-31,1)),AM$3:AM$22),"")</f>
        <v>20</v>
      </c>
      <c r="AN73">
        <f ca="1">IF(AND(((COLUMN()-10)&lt;=playercnt),((ROW()-41)&lt;=playercnt)),SUMPRODUCT(INDIRECT(ADDRESS(3,ROW()-31,1)):INDIRECT(ADDRESS(22,ROW()-31,1)),AN$3:AN$22),"")</f>
        <v>20</v>
      </c>
      <c r="AO73">
        <f ca="1">IF(AND(((COLUMN()-10)&lt;=playercnt),((ROW()-41)&lt;=playercnt)),SUMPRODUCT(INDIRECT(ADDRESS(3,ROW()-31,1)):INDIRECT(ADDRESS(22,ROW()-31,1)),AO$3:AO$22),"")</f>
        <v>20</v>
      </c>
      <c r="AP73">
        <f ca="1">IF(AND(((COLUMN()-10)&lt;=playercnt),((ROW()-41)&lt;=playercnt)),SUMPRODUCT(INDIRECT(ADDRESS(3,ROW()-31,1)):INDIRECT(ADDRESS(22,ROW()-31,1)),AP$3:AP$22),"")</f>
        <v>20</v>
      </c>
      <c r="AQ73">
        <f ca="1">IF(AND(((COLUMN()-10)&lt;=playercnt),((ROW()-41)&lt;=playercnt)),SUMPRODUCT(INDIRECT(ADDRESS(3,ROW()-31,1)):INDIRECT(ADDRESS(22,ROW()-31,1)),AQ$3:AQ$22),"")</f>
        <v>20</v>
      </c>
      <c r="AR73">
        <f ca="1">IF(AND(((COLUMN()-10)&lt;=playercnt),((ROW()-41)&lt;=playercnt)),SUMPRODUCT(INDIRECT(ADDRESS(3,ROW()-31,1)):INDIRECT(ADDRESS(22,ROW()-31,1)),AR$3:AR$22),"")</f>
        <v>20</v>
      </c>
      <c r="AS73">
        <f ca="1">IF(AND(((COLUMN()-10)&lt;=playercnt),((ROW()-41)&lt;=playercnt)),SUMPRODUCT(INDIRECT(ADDRESS(3,ROW()-31,1)):INDIRECT(ADDRESS(22,ROW()-31,1)),AS$3:AS$22),"")</f>
        <v>20</v>
      </c>
      <c r="AT73">
        <f ca="1">IF(AND(((COLUMN()-10)&lt;=playercnt),((ROW()-41)&lt;=playercnt)),SUMPRODUCT(INDIRECT(ADDRESS(3,ROW()-31,1)):INDIRECT(ADDRESS(22,ROW()-31,1)),AT$3:AT$22),"")</f>
        <v>20</v>
      </c>
      <c r="AU73">
        <f ca="1">IF(AND(((COLUMN()-10)&lt;=playercnt),((ROW()-41)&lt;=playercnt)),SUMPRODUCT(INDIRECT(ADDRESS(3,ROW()-31,1)):INDIRECT(ADDRESS(22,ROW()-31,1)),AU$3:AU$22),"")</f>
        <v>20</v>
      </c>
      <c r="AV73">
        <f ca="1">IF(AND(((COLUMN()-10)&lt;=playercnt),((ROW()-41)&lt;=playercnt)),SUMPRODUCT(INDIRECT(ADDRESS(3,ROW()-31,1)):INDIRECT(ADDRESS(22,ROW()-31,1)),AV$3:AV$22),"")</f>
        <v>20</v>
      </c>
      <c r="AW73">
        <f ca="1">IF(AND(((COLUMN()-10)&lt;=playercnt),((ROW()-41)&lt;=playercnt)),SUMPRODUCT(INDIRECT(ADDRESS(3,ROW()-31,1)):INDIRECT(ADDRESS(22,ROW()-31,1)),AW$3:AW$22),"")</f>
        <v>20</v>
      </c>
      <c r="AX73">
        <f ca="1">IF(AND(((COLUMN()-10)&lt;=playercnt),((ROW()-41)&lt;=playercnt)),SUMPRODUCT(INDIRECT(ADDRESS(3,ROW()-31,1)):INDIRECT(ADDRESS(22,ROW()-31,1)),AX$3:AX$22),"")</f>
        <v>20</v>
      </c>
      <c r="AY73">
        <f ca="1">IF(AND(((COLUMN()-10)&lt;=playercnt),((ROW()-41)&lt;=playercnt)),SUMPRODUCT(INDIRECT(ADDRESS(3,ROW()-31,1)):INDIRECT(ADDRESS(22,ROW()-31,1)),AY$3:AY$22),"")</f>
        <v>20</v>
      </c>
      <c r="AZ73">
        <f ca="1">IF(AND(((COLUMN()-10)&lt;=playercnt),((ROW()-41)&lt;=playercnt)),SUMPRODUCT(INDIRECT(ADDRESS(3,ROW()-31,1)):INDIRECT(ADDRESS(22,ROW()-31,1)),AZ$3:AZ$22),"")</f>
        <v>20</v>
      </c>
      <c r="BA73">
        <f ca="1">IF(AND(((COLUMN()-10)&lt;=playercnt),((ROW()-41)&lt;=playercnt)),SUMPRODUCT(INDIRECT(ADDRESS(3,ROW()-31,1)):INDIRECT(ADDRESS(22,ROW()-31,1)),BA$3:BA$22),"")</f>
        <v>20</v>
      </c>
      <c r="BB73">
        <f ca="1">IF(AND(((COLUMN()-10)&lt;=playercnt),((ROW()-41)&lt;=playercnt)),SUMPRODUCT(INDIRECT(ADDRESS(3,ROW()-31,1)):INDIRECT(ADDRESS(22,ROW()-31,1)),BB$3:BB$22),"")</f>
        <v>20</v>
      </c>
      <c r="BC73">
        <f ca="1">IF(AND(((COLUMN()-10)&lt;=playercnt),((ROW()-41)&lt;=playercnt)),SUMPRODUCT(INDIRECT(ADDRESS(3,ROW()-31,1)):INDIRECT(ADDRESS(22,ROW()-31,1)),BC$3:BC$22),"")</f>
        <v>20</v>
      </c>
      <c r="BD73">
        <f ca="1">IF(AND(((COLUMN()-10)&lt;=playercnt),((ROW()-41)&lt;=playercnt)),SUMPRODUCT(INDIRECT(ADDRESS(3,ROW()-31,1)):INDIRECT(ADDRESS(22,ROW()-31,1)),BD$3:BD$22),"")</f>
        <v>20</v>
      </c>
      <c r="BE73">
        <f ca="1">IF(AND(((COLUMN()-10)&lt;=playercnt),((ROW()-41)&lt;=playercnt)),SUMPRODUCT(INDIRECT(ADDRESS(3,ROW()-31,1)):INDIRECT(ADDRESS(22,ROW()-31,1)),BE$3:BE$22),"")</f>
        <v>20</v>
      </c>
      <c r="BF73">
        <f ca="1">IF(AND(((COLUMN()-10)&lt;=playercnt),((ROW()-41)&lt;=playercnt)),SUMPRODUCT(INDIRECT(ADDRESS(3,ROW()-31,1)):INDIRECT(ADDRESS(22,ROW()-31,1)),BF$3:BF$22),"")</f>
        <v>20</v>
      </c>
      <c r="BG73">
        <f ca="1">IF(AND(((COLUMN()-10)&lt;=playercnt),((ROW()-41)&lt;=playercnt)),SUMPRODUCT(INDIRECT(ADDRESS(3,ROW()-31,1)):INDIRECT(ADDRESS(22,ROW()-31,1)),BG$3:BG$22),"")</f>
        <v>20</v>
      </c>
      <c r="BH73">
        <f ca="1">IF(AND(((COLUMN()-10)&lt;=playercnt),((ROW()-41)&lt;=playercnt)),SUMPRODUCT(INDIRECT(ADDRESS(3,ROW()-31,1)):INDIRECT(ADDRESS(22,ROW()-31,1)),BH$3:BH$22),"")</f>
        <v>20</v>
      </c>
      <c r="BI73">
        <f ca="1">IF(AND(((COLUMN()-10)&lt;=playercnt),((ROW()-41)&lt;=playercnt)),SUMPRODUCT(INDIRECT(ADDRESS(3,ROW()-31,1)):INDIRECT(ADDRESS(22,ROW()-31,1)),BI$3:BI$22),"")</f>
        <v>20</v>
      </c>
      <c r="BJ73">
        <f ca="1">IF(AND(((COLUMN()-10)&lt;=playercnt),((ROW()-41)&lt;=playercnt)),SUMPRODUCT(INDIRECT(ADDRESS(3,ROW()-31,1)):INDIRECT(ADDRESS(22,ROW()-31,1)),BJ$3:BJ$22),"")</f>
        <v>20</v>
      </c>
      <c r="BK73">
        <f ca="1">IF(AND(((COLUMN()-10)&lt;=playercnt),((ROW()-41)&lt;=playercnt)),SUMPRODUCT(INDIRECT(ADDRESS(3,ROW()-31,1)):INDIRECT(ADDRESS(22,ROW()-31,1)),BK$3:BK$22),"")</f>
        <v>20</v>
      </c>
      <c r="BL73">
        <f ca="1">IF(AND(((COLUMN()-10)&lt;=playercnt),((ROW()-41)&lt;=playercnt)),SUMPRODUCT(INDIRECT(ADDRESS(3,ROW()-31,1)):INDIRECT(ADDRESS(22,ROW()-31,1)),BL$3:BL$22),"")</f>
        <v>20</v>
      </c>
      <c r="BM73">
        <f ca="1">IF(AND(((COLUMN()-10)&lt;=playercnt),((ROW()-41)&lt;=playercnt)),SUMPRODUCT(INDIRECT(ADDRESS(3,ROW()-31,1)):INDIRECT(ADDRESS(22,ROW()-31,1)),BM$3:BM$22),"")</f>
        <v>20</v>
      </c>
      <c r="BN73">
        <f ca="1">IF(AND(((COLUMN()-10)&lt;=playercnt),((ROW()-41)&lt;=playercnt)),SUMPRODUCT(INDIRECT(ADDRESS(3,ROW()-31,1)):INDIRECT(ADDRESS(22,ROW()-31,1)),BN$3:BN$22),"")</f>
        <v>20</v>
      </c>
      <c r="BO73" t="str">
        <f ca="1">IF(AND(((COLUMN()-10)&lt;=playercnt),((ROW()-41)&lt;=playercnt)),SUMPRODUCT(INDIRECT(ADDRESS(3,ROW()-31,1)):INDIRECT(ADDRESS(22,ROW()-31,1)),BO$3:BO$22),"")</f>
        <v/>
      </c>
    </row>
    <row r="74" spans="2:67" x14ac:dyDescent="0.25">
      <c r="B74" s="27" t="str">
        <f t="shared" ca="1" si="23"/>
        <v/>
      </c>
      <c r="C74" t="e">
        <f t="shared" ca="1" si="24"/>
        <v>#REF!</v>
      </c>
      <c r="G74">
        <f ca="1">IF(AND(((COLUMN()-10)&lt;=playercnt),((ROW()-41)&lt;=playercnt)),SUMPRODUCT(INDIRECT(ADDRESS(3,ROW()-31,1)):INDIRECT(ADDRESS(22,ROW()-31,1)),G$3:G$22),"")</f>
        <v>20</v>
      </c>
      <c r="H74" t="e">
        <f ca="1">IF(AND(((COLUMN()-10)&lt;=playercnt),((ROW()-41)&lt;=playercnt)),SUMPRODUCT(INDIRECT(ADDRESS(3,ROW()-31,1)):INDIRECT(ADDRESS(22,ROW()-31,1)),H$3:H$22),"")</f>
        <v>#REF!</v>
      </c>
      <c r="I74" t="e">
        <f ca="1">IF(AND(((COLUMN()-10)&lt;=playercnt),((ROW()-41)&lt;=playercnt)),SUMPRODUCT(INDIRECT(ADDRESS(3,ROW()-31,1)):INDIRECT(ADDRESS(22,ROW()-31,1)),I$3:I$22),"")</f>
        <v>#REF!</v>
      </c>
      <c r="J74">
        <f ca="1">IF(AND(((COLUMN()-10)&lt;=playercnt),((ROW()-41)&lt;=playercnt)),SUMPRODUCT(INDIRECT(ADDRESS(3,ROW()-31,1)):INDIRECT(ADDRESS(22,ROW()-31,1)),J$3:J$22),"")</f>
        <v>20</v>
      </c>
      <c r="K74">
        <f ca="1">IF(AND(((COLUMN()-10)&lt;=playercnt),((ROW()-41)&lt;=playercnt)),SUMPRODUCT(INDIRECT(ADDRESS(3,ROW()-31,1)):INDIRECT(ADDRESS(22,ROW()-31,1)),K$3:K$22),"")</f>
        <v>20</v>
      </c>
      <c r="L74">
        <f ca="1">IF(AND(((COLUMN()-10)&lt;=playercnt),((ROW()-41)&lt;=playercnt)),SUMPRODUCT(INDIRECT(ADDRESS(3,ROW()-31,1)):INDIRECT(ADDRESS(22,ROW()-31,1)),L$3:L$22),"")</f>
        <v>20</v>
      </c>
      <c r="M74">
        <f ca="1">IF(AND(((COLUMN()-10)&lt;=playercnt),((ROW()-41)&lt;=playercnt)),SUMPRODUCT(INDIRECT(ADDRESS(3,ROW()-31,1)):INDIRECT(ADDRESS(22,ROW()-31,1)),M$3:M$22),"")</f>
        <v>20</v>
      </c>
      <c r="N74">
        <f ca="1">IF(AND(((COLUMN()-10)&lt;=playercnt),((ROW()-41)&lt;=playercnt)),SUMPRODUCT(INDIRECT(ADDRESS(3,ROW()-31,1)):INDIRECT(ADDRESS(22,ROW()-31,1)),N$3:N$22),"")</f>
        <v>20</v>
      </c>
      <c r="O74">
        <f ca="1">IF(AND(((COLUMN()-10)&lt;=playercnt),((ROW()-41)&lt;=playercnt)),SUMPRODUCT(INDIRECT(ADDRESS(3,ROW()-31,1)):INDIRECT(ADDRESS(22,ROW()-31,1)),O$3:O$22),"")</f>
        <v>20</v>
      </c>
      <c r="P74">
        <f ca="1">IF(AND(((COLUMN()-10)&lt;=playercnt),((ROW()-41)&lt;=playercnt)),SUMPRODUCT(INDIRECT(ADDRESS(3,ROW()-31,1)):INDIRECT(ADDRESS(22,ROW()-31,1)),P$3:P$22),"")</f>
        <v>20</v>
      </c>
      <c r="Q74">
        <f ca="1">IF(AND(((COLUMN()-10)&lt;=playercnt),((ROW()-41)&lt;=playercnt)),SUMPRODUCT(INDIRECT(ADDRESS(3,ROW()-31,1)):INDIRECT(ADDRESS(22,ROW()-31,1)),Q$3:Q$22),"")</f>
        <v>20</v>
      </c>
      <c r="R74">
        <f ca="1">IF(AND(((COLUMN()-10)&lt;=playercnt),((ROW()-41)&lt;=playercnt)),SUMPRODUCT(INDIRECT(ADDRESS(3,ROW()-31,1)):INDIRECT(ADDRESS(22,ROW()-31,1)),R$3:R$22),"")</f>
        <v>20</v>
      </c>
      <c r="S74">
        <f ca="1">IF(AND(((COLUMN()-10)&lt;=playercnt),((ROW()-41)&lt;=playercnt)),SUMPRODUCT(INDIRECT(ADDRESS(3,ROW()-31,1)):INDIRECT(ADDRESS(22,ROW()-31,1)),S$3:S$22),"")</f>
        <v>20</v>
      </c>
      <c r="T74">
        <f ca="1">IF(AND(((COLUMN()-10)&lt;=playercnt),((ROW()-41)&lt;=playercnt)),SUMPRODUCT(INDIRECT(ADDRESS(3,ROW()-31,1)):INDIRECT(ADDRESS(22,ROW()-31,1)),T$3:T$22),"")</f>
        <v>20</v>
      </c>
      <c r="U74">
        <f ca="1">IF(AND(((COLUMN()-10)&lt;=playercnt),((ROW()-41)&lt;=playercnt)),SUMPRODUCT(INDIRECT(ADDRESS(3,ROW()-31,1)):INDIRECT(ADDRESS(22,ROW()-31,1)),U$3:U$22),"")</f>
        <v>20</v>
      </c>
      <c r="V74">
        <f ca="1">IF(AND(((COLUMN()-10)&lt;=playercnt),((ROW()-41)&lt;=playercnt)),SUMPRODUCT(INDIRECT(ADDRESS(3,ROW()-31,1)):INDIRECT(ADDRESS(22,ROW()-31,1)),V$3:V$22),"")</f>
        <v>20</v>
      </c>
      <c r="W74">
        <f ca="1">IF(AND(((COLUMN()-10)&lt;=playercnt),((ROW()-41)&lt;=playercnt)),SUMPRODUCT(INDIRECT(ADDRESS(3,ROW()-31,1)):INDIRECT(ADDRESS(22,ROW()-31,1)),W$3:W$22),"")</f>
        <v>20</v>
      </c>
      <c r="X74">
        <f ca="1">IF(AND(((COLUMN()-10)&lt;=playercnt),((ROW()-41)&lt;=playercnt)),SUMPRODUCT(INDIRECT(ADDRESS(3,ROW()-31,1)):INDIRECT(ADDRESS(22,ROW()-31,1)),X$3:X$22),"")</f>
        <v>20</v>
      </c>
      <c r="Y74">
        <f ca="1">IF(AND(((COLUMN()-10)&lt;=playercnt),((ROW()-41)&lt;=playercnt)),SUMPRODUCT(INDIRECT(ADDRESS(3,ROW()-31,1)):INDIRECT(ADDRESS(22,ROW()-31,1)),Y$3:Y$22),"")</f>
        <v>20</v>
      </c>
      <c r="Z74">
        <f ca="1">IF(AND(((COLUMN()-10)&lt;=playercnt),((ROW()-41)&lt;=playercnt)),SUMPRODUCT(INDIRECT(ADDRESS(3,ROW()-31,1)):INDIRECT(ADDRESS(22,ROW()-31,1)),Z$3:Z$22),"")</f>
        <v>20</v>
      </c>
      <c r="AA74">
        <f ca="1">IF(AND(((COLUMN()-10)&lt;=playercnt),((ROW()-41)&lt;=playercnt)),SUMPRODUCT(INDIRECT(ADDRESS(3,ROW()-31,1)):INDIRECT(ADDRESS(22,ROW()-31,1)),AA$3:AA$22),"")</f>
        <v>20</v>
      </c>
      <c r="AB74">
        <f ca="1">IF(AND(((COLUMN()-10)&lt;=playercnt),((ROW()-41)&lt;=playercnt)),SUMPRODUCT(INDIRECT(ADDRESS(3,ROW()-31,1)):INDIRECT(ADDRESS(22,ROW()-31,1)),AB$3:AB$22),"")</f>
        <v>20</v>
      </c>
      <c r="AC74">
        <f ca="1">IF(AND(((COLUMN()-10)&lt;=playercnt),((ROW()-41)&lt;=playercnt)),SUMPRODUCT(INDIRECT(ADDRESS(3,ROW()-31,1)):INDIRECT(ADDRESS(22,ROW()-31,1)),AC$3:AC$22),"")</f>
        <v>20</v>
      </c>
      <c r="AD74">
        <f ca="1">IF(AND(((COLUMN()-10)&lt;=playercnt),((ROW()-41)&lt;=playercnt)),SUMPRODUCT(INDIRECT(ADDRESS(3,ROW()-31,1)):INDIRECT(ADDRESS(22,ROW()-31,1)),AD$3:AD$22),"")</f>
        <v>20</v>
      </c>
      <c r="AE74">
        <f ca="1">IF(AND(((COLUMN()-10)&lt;=playercnt),((ROW()-41)&lt;=playercnt)),SUMPRODUCT(INDIRECT(ADDRESS(3,ROW()-31,1)):INDIRECT(ADDRESS(22,ROW()-31,1)),AE$3:AE$22),"")</f>
        <v>20</v>
      </c>
      <c r="AF74">
        <f ca="1">IF(AND(((COLUMN()-10)&lt;=playercnt),((ROW()-41)&lt;=playercnt)),SUMPRODUCT(INDIRECT(ADDRESS(3,ROW()-31,1)):INDIRECT(ADDRESS(22,ROW()-31,1)),AF$3:AF$22),"")</f>
        <v>20</v>
      </c>
      <c r="AG74">
        <f ca="1">IF(AND(((COLUMN()-10)&lt;=playercnt),((ROW()-41)&lt;=playercnt)),SUMPRODUCT(INDIRECT(ADDRESS(3,ROW()-31,1)):INDIRECT(ADDRESS(22,ROW()-31,1)),AG$3:AG$22),"")</f>
        <v>20</v>
      </c>
      <c r="AH74">
        <f ca="1">IF(AND(((COLUMN()-10)&lt;=playercnt),((ROW()-41)&lt;=playercnt)),SUMPRODUCT(INDIRECT(ADDRESS(3,ROW()-31,1)):INDIRECT(ADDRESS(22,ROW()-31,1)),AH$3:AH$22),"")</f>
        <v>20</v>
      </c>
      <c r="AI74">
        <f ca="1">IF(AND(((COLUMN()-10)&lt;=playercnt),((ROW()-41)&lt;=playercnt)),SUMPRODUCT(INDIRECT(ADDRESS(3,ROW()-31,1)):INDIRECT(ADDRESS(22,ROW()-31,1)),AI$3:AI$22),"")</f>
        <v>20</v>
      </c>
      <c r="AJ74">
        <f ca="1">IF(AND(((COLUMN()-10)&lt;=playercnt),((ROW()-41)&lt;=playercnt)),SUMPRODUCT(INDIRECT(ADDRESS(3,ROW()-31,1)):INDIRECT(ADDRESS(22,ROW()-31,1)),AJ$3:AJ$22),"")</f>
        <v>20</v>
      </c>
      <c r="AK74">
        <f ca="1">IF(AND(((COLUMN()-10)&lt;=playercnt),((ROW()-41)&lt;=playercnt)),SUMPRODUCT(INDIRECT(ADDRESS(3,ROW()-31,1)):INDIRECT(ADDRESS(22,ROW()-31,1)),AK$3:AK$22),"")</f>
        <v>20</v>
      </c>
      <c r="AL74">
        <f ca="1">IF(AND(((COLUMN()-10)&lt;=playercnt),((ROW()-41)&lt;=playercnt)),SUMPRODUCT(INDIRECT(ADDRESS(3,ROW()-31,1)):INDIRECT(ADDRESS(22,ROW()-31,1)),AL$3:AL$22),"")</f>
        <v>20</v>
      </c>
      <c r="AM74">
        <f ca="1">IF(AND(((COLUMN()-10)&lt;=playercnt),((ROW()-41)&lt;=playercnt)),SUMPRODUCT(INDIRECT(ADDRESS(3,ROW()-31,1)):INDIRECT(ADDRESS(22,ROW()-31,1)),AM$3:AM$22),"")</f>
        <v>20</v>
      </c>
      <c r="AN74">
        <f ca="1">IF(AND(((COLUMN()-10)&lt;=playercnt),((ROW()-41)&lt;=playercnt)),SUMPRODUCT(INDIRECT(ADDRESS(3,ROW()-31,1)):INDIRECT(ADDRESS(22,ROW()-31,1)),AN$3:AN$22),"")</f>
        <v>20</v>
      </c>
      <c r="AO74">
        <f ca="1">IF(AND(((COLUMN()-10)&lt;=playercnt),((ROW()-41)&lt;=playercnt)),SUMPRODUCT(INDIRECT(ADDRESS(3,ROW()-31,1)):INDIRECT(ADDRESS(22,ROW()-31,1)),AO$3:AO$22),"")</f>
        <v>20</v>
      </c>
      <c r="AP74">
        <f ca="1">IF(AND(((COLUMN()-10)&lt;=playercnt),((ROW()-41)&lt;=playercnt)),SUMPRODUCT(INDIRECT(ADDRESS(3,ROW()-31,1)):INDIRECT(ADDRESS(22,ROW()-31,1)),AP$3:AP$22),"")</f>
        <v>20</v>
      </c>
      <c r="AQ74">
        <f ca="1">IF(AND(((COLUMN()-10)&lt;=playercnt),((ROW()-41)&lt;=playercnt)),SUMPRODUCT(INDIRECT(ADDRESS(3,ROW()-31,1)):INDIRECT(ADDRESS(22,ROW()-31,1)),AQ$3:AQ$22),"")</f>
        <v>20</v>
      </c>
      <c r="AR74">
        <f ca="1">IF(AND(((COLUMN()-10)&lt;=playercnt),((ROW()-41)&lt;=playercnt)),SUMPRODUCT(INDIRECT(ADDRESS(3,ROW()-31,1)):INDIRECT(ADDRESS(22,ROW()-31,1)),AR$3:AR$22),"")</f>
        <v>20</v>
      </c>
      <c r="AS74">
        <f ca="1">IF(AND(((COLUMN()-10)&lt;=playercnt),((ROW()-41)&lt;=playercnt)),SUMPRODUCT(INDIRECT(ADDRESS(3,ROW()-31,1)):INDIRECT(ADDRESS(22,ROW()-31,1)),AS$3:AS$22),"")</f>
        <v>20</v>
      </c>
      <c r="AT74">
        <f ca="1">IF(AND(((COLUMN()-10)&lt;=playercnt),((ROW()-41)&lt;=playercnt)),SUMPRODUCT(INDIRECT(ADDRESS(3,ROW()-31,1)):INDIRECT(ADDRESS(22,ROW()-31,1)),AT$3:AT$22),"")</f>
        <v>20</v>
      </c>
      <c r="AU74">
        <f ca="1">IF(AND(((COLUMN()-10)&lt;=playercnt),((ROW()-41)&lt;=playercnt)),SUMPRODUCT(INDIRECT(ADDRESS(3,ROW()-31,1)):INDIRECT(ADDRESS(22,ROW()-31,1)),AU$3:AU$22),"")</f>
        <v>20</v>
      </c>
      <c r="AV74">
        <f ca="1">IF(AND(((COLUMN()-10)&lt;=playercnt),((ROW()-41)&lt;=playercnt)),SUMPRODUCT(INDIRECT(ADDRESS(3,ROW()-31,1)):INDIRECT(ADDRESS(22,ROW()-31,1)),AV$3:AV$22),"")</f>
        <v>20</v>
      </c>
      <c r="AW74">
        <f ca="1">IF(AND(((COLUMN()-10)&lt;=playercnt),((ROW()-41)&lt;=playercnt)),SUMPRODUCT(INDIRECT(ADDRESS(3,ROW()-31,1)):INDIRECT(ADDRESS(22,ROW()-31,1)),AW$3:AW$22),"")</f>
        <v>20</v>
      </c>
      <c r="AX74">
        <f ca="1">IF(AND(((COLUMN()-10)&lt;=playercnt),((ROW()-41)&lt;=playercnt)),SUMPRODUCT(INDIRECT(ADDRESS(3,ROW()-31,1)):INDIRECT(ADDRESS(22,ROW()-31,1)),AX$3:AX$22),"")</f>
        <v>20</v>
      </c>
      <c r="AY74">
        <f ca="1">IF(AND(((COLUMN()-10)&lt;=playercnt),((ROW()-41)&lt;=playercnt)),SUMPRODUCT(INDIRECT(ADDRESS(3,ROW()-31,1)):INDIRECT(ADDRESS(22,ROW()-31,1)),AY$3:AY$22),"")</f>
        <v>20</v>
      </c>
      <c r="AZ74">
        <f ca="1">IF(AND(((COLUMN()-10)&lt;=playercnt),((ROW()-41)&lt;=playercnt)),SUMPRODUCT(INDIRECT(ADDRESS(3,ROW()-31,1)):INDIRECT(ADDRESS(22,ROW()-31,1)),AZ$3:AZ$22),"")</f>
        <v>20</v>
      </c>
      <c r="BA74">
        <f ca="1">IF(AND(((COLUMN()-10)&lt;=playercnt),((ROW()-41)&lt;=playercnt)),SUMPRODUCT(INDIRECT(ADDRESS(3,ROW()-31,1)):INDIRECT(ADDRESS(22,ROW()-31,1)),BA$3:BA$22),"")</f>
        <v>20</v>
      </c>
      <c r="BB74">
        <f ca="1">IF(AND(((COLUMN()-10)&lt;=playercnt),((ROW()-41)&lt;=playercnt)),SUMPRODUCT(INDIRECT(ADDRESS(3,ROW()-31,1)):INDIRECT(ADDRESS(22,ROW()-31,1)),BB$3:BB$22),"")</f>
        <v>20</v>
      </c>
      <c r="BC74">
        <f ca="1">IF(AND(((COLUMN()-10)&lt;=playercnt),((ROW()-41)&lt;=playercnt)),SUMPRODUCT(INDIRECT(ADDRESS(3,ROW()-31,1)):INDIRECT(ADDRESS(22,ROW()-31,1)),BC$3:BC$22),"")</f>
        <v>20</v>
      </c>
      <c r="BD74">
        <f ca="1">IF(AND(((COLUMN()-10)&lt;=playercnt),((ROW()-41)&lt;=playercnt)),SUMPRODUCT(INDIRECT(ADDRESS(3,ROW()-31,1)):INDIRECT(ADDRESS(22,ROW()-31,1)),BD$3:BD$22),"")</f>
        <v>20</v>
      </c>
      <c r="BE74">
        <f ca="1">IF(AND(((COLUMN()-10)&lt;=playercnt),((ROW()-41)&lt;=playercnt)),SUMPRODUCT(INDIRECT(ADDRESS(3,ROW()-31,1)):INDIRECT(ADDRESS(22,ROW()-31,1)),BE$3:BE$22),"")</f>
        <v>20</v>
      </c>
      <c r="BF74">
        <f ca="1">IF(AND(((COLUMN()-10)&lt;=playercnt),((ROW()-41)&lt;=playercnt)),SUMPRODUCT(INDIRECT(ADDRESS(3,ROW()-31,1)):INDIRECT(ADDRESS(22,ROW()-31,1)),BF$3:BF$22),"")</f>
        <v>20</v>
      </c>
      <c r="BG74">
        <f ca="1">IF(AND(((COLUMN()-10)&lt;=playercnt),((ROW()-41)&lt;=playercnt)),SUMPRODUCT(INDIRECT(ADDRESS(3,ROW()-31,1)):INDIRECT(ADDRESS(22,ROW()-31,1)),BG$3:BG$22),"")</f>
        <v>20</v>
      </c>
      <c r="BH74">
        <f ca="1">IF(AND(((COLUMN()-10)&lt;=playercnt),((ROW()-41)&lt;=playercnt)),SUMPRODUCT(INDIRECT(ADDRESS(3,ROW()-31,1)):INDIRECT(ADDRESS(22,ROW()-31,1)),BH$3:BH$22),"")</f>
        <v>20</v>
      </c>
      <c r="BI74">
        <f ca="1">IF(AND(((COLUMN()-10)&lt;=playercnt),((ROW()-41)&lt;=playercnt)),SUMPRODUCT(INDIRECT(ADDRESS(3,ROW()-31,1)):INDIRECT(ADDRESS(22,ROW()-31,1)),BI$3:BI$22),"")</f>
        <v>20</v>
      </c>
      <c r="BJ74">
        <f ca="1">IF(AND(((COLUMN()-10)&lt;=playercnt),((ROW()-41)&lt;=playercnt)),SUMPRODUCT(INDIRECT(ADDRESS(3,ROW()-31,1)):INDIRECT(ADDRESS(22,ROW()-31,1)),BJ$3:BJ$22),"")</f>
        <v>20</v>
      </c>
      <c r="BK74">
        <f ca="1">IF(AND(((COLUMN()-10)&lt;=playercnt),((ROW()-41)&lt;=playercnt)),SUMPRODUCT(INDIRECT(ADDRESS(3,ROW()-31,1)):INDIRECT(ADDRESS(22,ROW()-31,1)),BK$3:BK$22),"")</f>
        <v>20</v>
      </c>
      <c r="BL74">
        <f ca="1">IF(AND(((COLUMN()-10)&lt;=playercnt),((ROW()-41)&lt;=playercnt)),SUMPRODUCT(INDIRECT(ADDRESS(3,ROW()-31,1)):INDIRECT(ADDRESS(22,ROW()-31,1)),BL$3:BL$22),"")</f>
        <v>20</v>
      </c>
      <c r="BM74">
        <f ca="1">IF(AND(((COLUMN()-10)&lt;=playercnt),((ROW()-41)&lt;=playercnt)),SUMPRODUCT(INDIRECT(ADDRESS(3,ROW()-31,1)):INDIRECT(ADDRESS(22,ROW()-31,1)),BM$3:BM$22),"")</f>
        <v>20</v>
      </c>
      <c r="BN74">
        <f ca="1">IF(AND(((COLUMN()-10)&lt;=playercnt),((ROW()-41)&lt;=playercnt)),SUMPRODUCT(INDIRECT(ADDRESS(3,ROW()-31,1)):INDIRECT(ADDRESS(22,ROW()-31,1)),BN$3:BN$22),"")</f>
        <v>20</v>
      </c>
      <c r="BO74" t="str">
        <f ca="1">IF(AND(((COLUMN()-10)&lt;=playercnt),((ROW()-41)&lt;=playercnt)),SUMPRODUCT(INDIRECT(ADDRESS(3,ROW()-31,1)):INDIRECT(ADDRESS(22,ROW()-31,1)),BO$3:BO$22),"")</f>
        <v/>
      </c>
    </row>
    <row r="75" spans="2:67" x14ac:dyDescent="0.25">
      <c r="B75" s="27" t="str">
        <f t="shared" ca="1" si="23"/>
        <v/>
      </c>
      <c r="C75" t="e">
        <f t="shared" ca="1" si="24"/>
        <v>#REF!</v>
      </c>
      <c r="G75">
        <f ca="1">IF(AND(((COLUMN()-10)&lt;=playercnt),((ROW()-41)&lt;=playercnt)),SUMPRODUCT(INDIRECT(ADDRESS(3,ROW()-31,1)):INDIRECT(ADDRESS(22,ROW()-31,1)),G$3:G$22),"")</f>
        <v>20</v>
      </c>
      <c r="H75" t="e">
        <f ca="1">IF(AND(((COLUMN()-10)&lt;=playercnt),((ROW()-41)&lt;=playercnt)),SUMPRODUCT(INDIRECT(ADDRESS(3,ROW()-31,1)):INDIRECT(ADDRESS(22,ROW()-31,1)),H$3:H$22),"")</f>
        <v>#REF!</v>
      </c>
      <c r="I75" t="e">
        <f ca="1">IF(AND(((COLUMN()-10)&lt;=playercnt),((ROW()-41)&lt;=playercnt)),SUMPRODUCT(INDIRECT(ADDRESS(3,ROW()-31,1)):INDIRECT(ADDRESS(22,ROW()-31,1)),I$3:I$22),"")</f>
        <v>#REF!</v>
      </c>
      <c r="J75">
        <f ca="1">IF(AND(((COLUMN()-10)&lt;=playercnt),((ROW()-41)&lt;=playercnt)),SUMPRODUCT(INDIRECT(ADDRESS(3,ROW()-31,1)):INDIRECT(ADDRESS(22,ROW()-31,1)),J$3:J$22),"")</f>
        <v>20</v>
      </c>
      <c r="K75">
        <f ca="1">IF(AND(((COLUMN()-10)&lt;=playercnt),((ROW()-41)&lt;=playercnt)),SUMPRODUCT(INDIRECT(ADDRESS(3,ROW()-31,1)):INDIRECT(ADDRESS(22,ROW()-31,1)),K$3:K$22),"")</f>
        <v>20</v>
      </c>
      <c r="L75">
        <f ca="1">IF(AND(((COLUMN()-10)&lt;=playercnt),((ROW()-41)&lt;=playercnt)),SUMPRODUCT(INDIRECT(ADDRESS(3,ROW()-31,1)):INDIRECT(ADDRESS(22,ROW()-31,1)),L$3:L$22),"")</f>
        <v>20</v>
      </c>
      <c r="M75">
        <f ca="1">IF(AND(((COLUMN()-10)&lt;=playercnt),((ROW()-41)&lt;=playercnt)),SUMPRODUCT(INDIRECT(ADDRESS(3,ROW()-31,1)):INDIRECT(ADDRESS(22,ROW()-31,1)),M$3:M$22),"")</f>
        <v>20</v>
      </c>
      <c r="N75">
        <f ca="1">IF(AND(((COLUMN()-10)&lt;=playercnt),((ROW()-41)&lt;=playercnt)),SUMPRODUCT(INDIRECT(ADDRESS(3,ROW()-31,1)):INDIRECT(ADDRESS(22,ROW()-31,1)),N$3:N$22),"")</f>
        <v>20</v>
      </c>
      <c r="O75">
        <f ca="1">IF(AND(((COLUMN()-10)&lt;=playercnt),((ROW()-41)&lt;=playercnt)),SUMPRODUCT(INDIRECT(ADDRESS(3,ROW()-31,1)):INDIRECT(ADDRESS(22,ROW()-31,1)),O$3:O$22),"")</f>
        <v>20</v>
      </c>
      <c r="P75">
        <f ca="1">IF(AND(((COLUMN()-10)&lt;=playercnt),((ROW()-41)&lt;=playercnt)),SUMPRODUCT(INDIRECT(ADDRESS(3,ROW()-31,1)):INDIRECT(ADDRESS(22,ROW()-31,1)),P$3:P$22),"")</f>
        <v>20</v>
      </c>
      <c r="Q75">
        <f ca="1">IF(AND(((COLUMN()-10)&lt;=playercnt),((ROW()-41)&lt;=playercnt)),SUMPRODUCT(INDIRECT(ADDRESS(3,ROW()-31,1)):INDIRECT(ADDRESS(22,ROW()-31,1)),Q$3:Q$22),"")</f>
        <v>20</v>
      </c>
      <c r="R75">
        <f ca="1">IF(AND(((COLUMN()-10)&lt;=playercnt),((ROW()-41)&lt;=playercnt)),SUMPRODUCT(INDIRECT(ADDRESS(3,ROW()-31,1)):INDIRECT(ADDRESS(22,ROW()-31,1)),R$3:R$22),"")</f>
        <v>20</v>
      </c>
      <c r="S75">
        <f ca="1">IF(AND(((COLUMN()-10)&lt;=playercnt),((ROW()-41)&lt;=playercnt)),SUMPRODUCT(INDIRECT(ADDRESS(3,ROW()-31,1)):INDIRECT(ADDRESS(22,ROW()-31,1)),S$3:S$22),"")</f>
        <v>20</v>
      </c>
      <c r="T75">
        <f ca="1">IF(AND(((COLUMN()-10)&lt;=playercnt),((ROW()-41)&lt;=playercnt)),SUMPRODUCT(INDIRECT(ADDRESS(3,ROW()-31,1)):INDIRECT(ADDRESS(22,ROW()-31,1)),T$3:T$22),"")</f>
        <v>20</v>
      </c>
      <c r="U75">
        <f ca="1">IF(AND(((COLUMN()-10)&lt;=playercnt),((ROW()-41)&lt;=playercnt)),SUMPRODUCT(INDIRECT(ADDRESS(3,ROW()-31,1)):INDIRECT(ADDRESS(22,ROW()-31,1)),U$3:U$22),"")</f>
        <v>20</v>
      </c>
      <c r="V75">
        <f ca="1">IF(AND(((COLUMN()-10)&lt;=playercnt),((ROW()-41)&lt;=playercnt)),SUMPRODUCT(INDIRECT(ADDRESS(3,ROW()-31,1)):INDIRECT(ADDRESS(22,ROW()-31,1)),V$3:V$22),"")</f>
        <v>20</v>
      </c>
      <c r="W75">
        <f ca="1">IF(AND(((COLUMN()-10)&lt;=playercnt),((ROW()-41)&lt;=playercnt)),SUMPRODUCT(INDIRECT(ADDRESS(3,ROW()-31,1)):INDIRECT(ADDRESS(22,ROW()-31,1)),W$3:W$22),"")</f>
        <v>20</v>
      </c>
      <c r="X75">
        <f ca="1">IF(AND(((COLUMN()-10)&lt;=playercnt),((ROW()-41)&lt;=playercnt)),SUMPRODUCT(INDIRECT(ADDRESS(3,ROW()-31,1)):INDIRECT(ADDRESS(22,ROW()-31,1)),X$3:X$22),"")</f>
        <v>20</v>
      </c>
      <c r="Y75">
        <f ca="1">IF(AND(((COLUMN()-10)&lt;=playercnt),((ROW()-41)&lt;=playercnt)),SUMPRODUCT(INDIRECT(ADDRESS(3,ROW()-31,1)):INDIRECT(ADDRESS(22,ROW()-31,1)),Y$3:Y$22),"")</f>
        <v>20</v>
      </c>
      <c r="Z75">
        <f ca="1">IF(AND(((COLUMN()-10)&lt;=playercnt),((ROW()-41)&lt;=playercnt)),SUMPRODUCT(INDIRECT(ADDRESS(3,ROW()-31,1)):INDIRECT(ADDRESS(22,ROW()-31,1)),Z$3:Z$22),"")</f>
        <v>20</v>
      </c>
      <c r="AA75">
        <f ca="1">IF(AND(((COLUMN()-10)&lt;=playercnt),((ROW()-41)&lt;=playercnt)),SUMPRODUCT(INDIRECT(ADDRESS(3,ROW()-31,1)):INDIRECT(ADDRESS(22,ROW()-31,1)),AA$3:AA$22),"")</f>
        <v>20</v>
      </c>
      <c r="AB75">
        <f ca="1">IF(AND(((COLUMN()-10)&lt;=playercnt),((ROW()-41)&lt;=playercnt)),SUMPRODUCT(INDIRECT(ADDRESS(3,ROW()-31,1)):INDIRECT(ADDRESS(22,ROW()-31,1)),AB$3:AB$22),"")</f>
        <v>20</v>
      </c>
      <c r="AC75">
        <f ca="1">IF(AND(((COLUMN()-10)&lt;=playercnt),((ROW()-41)&lt;=playercnt)),SUMPRODUCT(INDIRECT(ADDRESS(3,ROW()-31,1)):INDIRECT(ADDRESS(22,ROW()-31,1)),AC$3:AC$22),"")</f>
        <v>20</v>
      </c>
      <c r="AD75">
        <f ca="1">IF(AND(((COLUMN()-10)&lt;=playercnt),((ROW()-41)&lt;=playercnt)),SUMPRODUCT(INDIRECT(ADDRESS(3,ROW()-31,1)):INDIRECT(ADDRESS(22,ROW()-31,1)),AD$3:AD$22),"")</f>
        <v>20</v>
      </c>
      <c r="AE75">
        <f ca="1">IF(AND(((COLUMN()-10)&lt;=playercnt),((ROW()-41)&lt;=playercnt)),SUMPRODUCT(INDIRECT(ADDRESS(3,ROW()-31,1)):INDIRECT(ADDRESS(22,ROW()-31,1)),AE$3:AE$22),"")</f>
        <v>20</v>
      </c>
      <c r="AF75">
        <f ca="1">IF(AND(((COLUMN()-10)&lt;=playercnt),((ROW()-41)&lt;=playercnt)),SUMPRODUCT(INDIRECT(ADDRESS(3,ROW()-31,1)):INDIRECT(ADDRESS(22,ROW()-31,1)),AF$3:AF$22),"")</f>
        <v>20</v>
      </c>
      <c r="AG75">
        <f ca="1">IF(AND(((COLUMN()-10)&lt;=playercnt),((ROW()-41)&lt;=playercnt)),SUMPRODUCT(INDIRECT(ADDRESS(3,ROW()-31,1)):INDIRECT(ADDRESS(22,ROW()-31,1)),AG$3:AG$22),"")</f>
        <v>20</v>
      </c>
      <c r="AH75">
        <f ca="1">IF(AND(((COLUMN()-10)&lt;=playercnt),((ROW()-41)&lt;=playercnt)),SUMPRODUCT(INDIRECT(ADDRESS(3,ROW()-31,1)):INDIRECT(ADDRESS(22,ROW()-31,1)),AH$3:AH$22),"")</f>
        <v>20</v>
      </c>
      <c r="AI75">
        <f ca="1">IF(AND(((COLUMN()-10)&lt;=playercnt),((ROW()-41)&lt;=playercnt)),SUMPRODUCT(INDIRECT(ADDRESS(3,ROW()-31,1)):INDIRECT(ADDRESS(22,ROW()-31,1)),AI$3:AI$22),"")</f>
        <v>20</v>
      </c>
      <c r="AJ75">
        <f ca="1">IF(AND(((COLUMN()-10)&lt;=playercnt),((ROW()-41)&lt;=playercnt)),SUMPRODUCT(INDIRECT(ADDRESS(3,ROW()-31,1)):INDIRECT(ADDRESS(22,ROW()-31,1)),AJ$3:AJ$22),"")</f>
        <v>20</v>
      </c>
      <c r="AK75">
        <f ca="1">IF(AND(((COLUMN()-10)&lt;=playercnt),((ROW()-41)&lt;=playercnt)),SUMPRODUCT(INDIRECT(ADDRESS(3,ROW()-31,1)):INDIRECT(ADDRESS(22,ROW()-31,1)),AK$3:AK$22),"")</f>
        <v>20</v>
      </c>
      <c r="AL75">
        <f ca="1">IF(AND(((COLUMN()-10)&lt;=playercnt),((ROW()-41)&lt;=playercnt)),SUMPRODUCT(INDIRECT(ADDRESS(3,ROW()-31,1)):INDIRECT(ADDRESS(22,ROW()-31,1)),AL$3:AL$22),"")</f>
        <v>20</v>
      </c>
      <c r="AM75">
        <f ca="1">IF(AND(((COLUMN()-10)&lt;=playercnt),((ROW()-41)&lt;=playercnt)),SUMPRODUCT(INDIRECT(ADDRESS(3,ROW()-31,1)):INDIRECT(ADDRESS(22,ROW()-31,1)),AM$3:AM$22),"")</f>
        <v>20</v>
      </c>
      <c r="AN75">
        <f ca="1">IF(AND(((COLUMN()-10)&lt;=playercnt),((ROW()-41)&lt;=playercnt)),SUMPRODUCT(INDIRECT(ADDRESS(3,ROW()-31,1)):INDIRECT(ADDRESS(22,ROW()-31,1)),AN$3:AN$22),"")</f>
        <v>20</v>
      </c>
      <c r="AO75">
        <f ca="1">IF(AND(((COLUMN()-10)&lt;=playercnt),((ROW()-41)&lt;=playercnt)),SUMPRODUCT(INDIRECT(ADDRESS(3,ROW()-31,1)):INDIRECT(ADDRESS(22,ROW()-31,1)),AO$3:AO$22),"")</f>
        <v>20</v>
      </c>
      <c r="AP75">
        <f ca="1">IF(AND(((COLUMN()-10)&lt;=playercnt),((ROW()-41)&lt;=playercnt)),SUMPRODUCT(INDIRECT(ADDRESS(3,ROW()-31,1)):INDIRECT(ADDRESS(22,ROW()-31,1)),AP$3:AP$22),"")</f>
        <v>20</v>
      </c>
      <c r="AQ75">
        <f ca="1">IF(AND(((COLUMN()-10)&lt;=playercnt),((ROW()-41)&lt;=playercnt)),SUMPRODUCT(INDIRECT(ADDRESS(3,ROW()-31,1)):INDIRECT(ADDRESS(22,ROW()-31,1)),AQ$3:AQ$22),"")</f>
        <v>20</v>
      </c>
      <c r="AR75">
        <f ca="1">IF(AND(((COLUMN()-10)&lt;=playercnt),((ROW()-41)&lt;=playercnt)),SUMPRODUCT(INDIRECT(ADDRESS(3,ROW()-31,1)):INDIRECT(ADDRESS(22,ROW()-31,1)),AR$3:AR$22),"")</f>
        <v>20</v>
      </c>
      <c r="AS75">
        <f ca="1">IF(AND(((COLUMN()-10)&lt;=playercnt),((ROW()-41)&lt;=playercnt)),SUMPRODUCT(INDIRECT(ADDRESS(3,ROW()-31,1)):INDIRECT(ADDRESS(22,ROW()-31,1)),AS$3:AS$22),"")</f>
        <v>20</v>
      </c>
      <c r="AT75">
        <f ca="1">IF(AND(((COLUMN()-10)&lt;=playercnt),((ROW()-41)&lt;=playercnt)),SUMPRODUCT(INDIRECT(ADDRESS(3,ROW()-31,1)):INDIRECT(ADDRESS(22,ROW()-31,1)),AT$3:AT$22),"")</f>
        <v>20</v>
      </c>
      <c r="AU75">
        <f ca="1">IF(AND(((COLUMN()-10)&lt;=playercnt),((ROW()-41)&lt;=playercnt)),SUMPRODUCT(INDIRECT(ADDRESS(3,ROW()-31,1)):INDIRECT(ADDRESS(22,ROW()-31,1)),AU$3:AU$22),"")</f>
        <v>20</v>
      </c>
      <c r="AV75">
        <f ca="1">IF(AND(((COLUMN()-10)&lt;=playercnt),((ROW()-41)&lt;=playercnt)),SUMPRODUCT(INDIRECT(ADDRESS(3,ROW()-31,1)):INDIRECT(ADDRESS(22,ROW()-31,1)),AV$3:AV$22),"")</f>
        <v>20</v>
      </c>
      <c r="AW75">
        <f ca="1">IF(AND(((COLUMN()-10)&lt;=playercnt),((ROW()-41)&lt;=playercnt)),SUMPRODUCT(INDIRECT(ADDRESS(3,ROW()-31,1)):INDIRECT(ADDRESS(22,ROW()-31,1)),AW$3:AW$22),"")</f>
        <v>20</v>
      </c>
      <c r="AX75">
        <f ca="1">IF(AND(((COLUMN()-10)&lt;=playercnt),((ROW()-41)&lt;=playercnt)),SUMPRODUCT(INDIRECT(ADDRESS(3,ROW()-31,1)):INDIRECT(ADDRESS(22,ROW()-31,1)),AX$3:AX$22),"")</f>
        <v>20</v>
      </c>
      <c r="AY75">
        <f ca="1">IF(AND(((COLUMN()-10)&lt;=playercnt),((ROW()-41)&lt;=playercnt)),SUMPRODUCT(INDIRECT(ADDRESS(3,ROW()-31,1)):INDIRECT(ADDRESS(22,ROW()-31,1)),AY$3:AY$22),"")</f>
        <v>20</v>
      </c>
      <c r="AZ75">
        <f ca="1">IF(AND(((COLUMN()-10)&lt;=playercnt),((ROW()-41)&lt;=playercnt)),SUMPRODUCT(INDIRECT(ADDRESS(3,ROW()-31,1)):INDIRECT(ADDRESS(22,ROW()-31,1)),AZ$3:AZ$22),"")</f>
        <v>20</v>
      </c>
      <c r="BA75">
        <f ca="1">IF(AND(((COLUMN()-10)&lt;=playercnt),((ROW()-41)&lt;=playercnt)),SUMPRODUCT(INDIRECT(ADDRESS(3,ROW()-31,1)):INDIRECT(ADDRESS(22,ROW()-31,1)),BA$3:BA$22),"")</f>
        <v>20</v>
      </c>
      <c r="BB75">
        <f ca="1">IF(AND(((COLUMN()-10)&lt;=playercnt),((ROW()-41)&lt;=playercnt)),SUMPRODUCT(INDIRECT(ADDRESS(3,ROW()-31,1)):INDIRECT(ADDRESS(22,ROW()-31,1)),BB$3:BB$22),"")</f>
        <v>20</v>
      </c>
      <c r="BC75">
        <f ca="1">IF(AND(((COLUMN()-10)&lt;=playercnt),((ROW()-41)&lt;=playercnt)),SUMPRODUCT(INDIRECT(ADDRESS(3,ROW()-31,1)):INDIRECT(ADDRESS(22,ROW()-31,1)),BC$3:BC$22),"")</f>
        <v>20</v>
      </c>
      <c r="BD75">
        <f ca="1">IF(AND(((COLUMN()-10)&lt;=playercnt),((ROW()-41)&lt;=playercnt)),SUMPRODUCT(INDIRECT(ADDRESS(3,ROW()-31,1)):INDIRECT(ADDRESS(22,ROW()-31,1)),BD$3:BD$22),"")</f>
        <v>20</v>
      </c>
      <c r="BE75">
        <f ca="1">IF(AND(((COLUMN()-10)&lt;=playercnt),((ROW()-41)&lt;=playercnt)),SUMPRODUCT(INDIRECT(ADDRESS(3,ROW()-31,1)):INDIRECT(ADDRESS(22,ROW()-31,1)),BE$3:BE$22),"")</f>
        <v>20</v>
      </c>
      <c r="BF75">
        <f ca="1">IF(AND(((COLUMN()-10)&lt;=playercnt),((ROW()-41)&lt;=playercnt)),SUMPRODUCT(INDIRECT(ADDRESS(3,ROW()-31,1)):INDIRECT(ADDRESS(22,ROW()-31,1)),BF$3:BF$22),"")</f>
        <v>20</v>
      </c>
      <c r="BG75">
        <f ca="1">IF(AND(((COLUMN()-10)&lt;=playercnt),((ROW()-41)&lt;=playercnt)),SUMPRODUCT(INDIRECT(ADDRESS(3,ROW()-31,1)):INDIRECT(ADDRESS(22,ROW()-31,1)),BG$3:BG$22),"")</f>
        <v>20</v>
      </c>
      <c r="BH75">
        <f ca="1">IF(AND(((COLUMN()-10)&lt;=playercnt),((ROW()-41)&lt;=playercnt)),SUMPRODUCT(INDIRECT(ADDRESS(3,ROW()-31,1)):INDIRECT(ADDRESS(22,ROW()-31,1)),BH$3:BH$22),"")</f>
        <v>20</v>
      </c>
      <c r="BI75">
        <f ca="1">IF(AND(((COLUMN()-10)&lt;=playercnt),((ROW()-41)&lt;=playercnt)),SUMPRODUCT(INDIRECT(ADDRESS(3,ROW()-31,1)):INDIRECT(ADDRESS(22,ROW()-31,1)),BI$3:BI$22),"")</f>
        <v>20</v>
      </c>
      <c r="BJ75">
        <f ca="1">IF(AND(((COLUMN()-10)&lt;=playercnt),((ROW()-41)&lt;=playercnt)),SUMPRODUCT(INDIRECT(ADDRESS(3,ROW()-31,1)):INDIRECT(ADDRESS(22,ROW()-31,1)),BJ$3:BJ$22),"")</f>
        <v>20</v>
      </c>
      <c r="BK75">
        <f ca="1">IF(AND(((COLUMN()-10)&lt;=playercnt),((ROW()-41)&lt;=playercnt)),SUMPRODUCT(INDIRECT(ADDRESS(3,ROW()-31,1)):INDIRECT(ADDRESS(22,ROW()-31,1)),BK$3:BK$22),"")</f>
        <v>20</v>
      </c>
      <c r="BL75">
        <f ca="1">IF(AND(((COLUMN()-10)&lt;=playercnt),((ROW()-41)&lt;=playercnt)),SUMPRODUCT(INDIRECT(ADDRESS(3,ROW()-31,1)):INDIRECT(ADDRESS(22,ROW()-31,1)),BL$3:BL$22),"")</f>
        <v>20</v>
      </c>
      <c r="BM75">
        <f ca="1">IF(AND(((COLUMN()-10)&lt;=playercnt),((ROW()-41)&lt;=playercnt)),SUMPRODUCT(INDIRECT(ADDRESS(3,ROW()-31,1)):INDIRECT(ADDRESS(22,ROW()-31,1)),BM$3:BM$22),"")</f>
        <v>20</v>
      </c>
      <c r="BN75">
        <f ca="1">IF(AND(((COLUMN()-10)&lt;=playercnt),((ROW()-41)&lt;=playercnt)),SUMPRODUCT(INDIRECT(ADDRESS(3,ROW()-31,1)):INDIRECT(ADDRESS(22,ROW()-31,1)),BN$3:BN$22),"")</f>
        <v>20</v>
      </c>
      <c r="BO75" t="str">
        <f ca="1">IF(AND(((COLUMN()-10)&lt;=playercnt),((ROW()-41)&lt;=playercnt)),SUMPRODUCT(INDIRECT(ADDRESS(3,ROW()-31,1)):INDIRECT(ADDRESS(22,ROW()-31,1)),BO$3:BO$22),"")</f>
        <v/>
      </c>
    </row>
    <row r="76" spans="2:67" x14ac:dyDescent="0.25">
      <c r="B76" s="27" t="str">
        <f t="shared" ca="1" si="23"/>
        <v/>
      </c>
      <c r="C76" t="e">
        <f t="shared" ca="1" si="24"/>
        <v>#REF!</v>
      </c>
      <c r="G76">
        <f ca="1">IF(AND(((COLUMN()-10)&lt;=playercnt),((ROW()-41)&lt;=playercnt)),SUMPRODUCT(INDIRECT(ADDRESS(3,ROW()-31,1)):INDIRECT(ADDRESS(22,ROW()-31,1)),G$3:G$22),"")</f>
        <v>20</v>
      </c>
      <c r="H76" t="e">
        <f ca="1">IF(AND(((COLUMN()-10)&lt;=playercnt),((ROW()-41)&lt;=playercnt)),SUMPRODUCT(INDIRECT(ADDRESS(3,ROW()-31,1)):INDIRECT(ADDRESS(22,ROW()-31,1)),H$3:H$22),"")</f>
        <v>#REF!</v>
      </c>
      <c r="I76" t="e">
        <f ca="1">IF(AND(((COLUMN()-10)&lt;=playercnt),((ROW()-41)&lt;=playercnt)),SUMPRODUCT(INDIRECT(ADDRESS(3,ROW()-31,1)):INDIRECT(ADDRESS(22,ROW()-31,1)),I$3:I$22),"")</f>
        <v>#REF!</v>
      </c>
      <c r="J76">
        <f ca="1">IF(AND(((COLUMN()-10)&lt;=playercnt),((ROW()-41)&lt;=playercnt)),SUMPRODUCT(INDIRECT(ADDRESS(3,ROW()-31,1)):INDIRECT(ADDRESS(22,ROW()-31,1)),J$3:J$22),"")</f>
        <v>20</v>
      </c>
      <c r="K76">
        <f ca="1">IF(AND(((COLUMN()-10)&lt;=playercnt),((ROW()-41)&lt;=playercnt)),SUMPRODUCT(INDIRECT(ADDRESS(3,ROW()-31,1)):INDIRECT(ADDRESS(22,ROW()-31,1)),K$3:K$22),"")</f>
        <v>20</v>
      </c>
      <c r="L76">
        <f ca="1">IF(AND(((COLUMN()-10)&lt;=playercnt),((ROW()-41)&lt;=playercnt)),SUMPRODUCT(INDIRECT(ADDRESS(3,ROW()-31,1)):INDIRECT(ADDRESS(22,ROW()-31,1)),L$3:L$22),"")</f>
        <v>20</v>
      </c>
      <c r="M76">
        <f ca="1">IF(AND(((COLUMN()-10)&lt;=playercnt),((ROW()-41)&lt;=playercnt)),SUMPRODUCT(INDIRECT(ADDRESS(3,ROW()-31,1)):INDIRECT(ADDRESS(22,ROW()-31,1)),M$3:M$22),"")</f>
        <v>20</v>
      </c>
      <c r="N76">
        <f ca="1">IF(AND(((COLUMN()-10)&lt;=playercnt),((ROW()-41)&lt;=playercnt)),SUMPRODUCT(INDIRECT(ADDRESS(3,ROW()-31,1)):INDIRECT(ADDRESS(22,ROW()-31,1)),N$3:N$22),"")</f>
        <v>20</v>
      </c>
      <c r="O76">
        <f ca="1">IF(AND(((COLUMN()-10)&lt;=playercnt),((ROW()-41)&lt;=playercnt)),SUMPRODUCT(INDIRECT(ADDRESS(3,ROW()-31,1)):INDIRECT(ADDRESS(22,ROW()-31,1)),O$3:O$22),"")</f>
        <v>20</v>
      </c>
      <c r="P76">
        <f ca="1">IF(AND(((COLUMN()-10)&lt;=playercnt),((ROW()-41)&lt;=playercnt)),SUMPRODUCT(INDIRECT(ADDRESS(3,ROW()-31,1)):INDIRECT(ADDRESS(22,ROW()-31,1)),P$3:P$22),"")</f>
        <v>20</v>
      </c>
      <c r="Q76">
        <f ca="1">IF(AND(((COLUMN()-10)&lt;=playercnt),((ROW()-41)&lt;=playercnt)),SUMPRODUCT(INDIRECT(ADDRESS(3,ROW()-31,1)):INDIRECT(ADDRESS(22,ROW()-31,1)),Q$3:Q$22),"")</f>
        <v>20</v>
      </c>
      <c r="R76">
        <f ca="1">IF(AND(((COLUMN()-10)&lt;=playercnt),((ROW()-41)&lt;=playercnt)),SUMPRODUCT(INDIRECT(ADDRESS(3,ROW()-31,1)):INDIRECT(ADDRESS(22,ROW()-31,1)),R$3:R$22),"")</f>
        <v>20</v>
      </c>
      <c r="S76">
        <f ca="1">IF(AND(((COLUMN()-10)&lt;=playercnt),((ROW()-41)&lt;=playercnt)),SUMPRODUCT(INDIRECT(ADDRESS(3,ROW()-31,1)):INDIRECT(ADDRESS(22,ROW()-31,1)),S$3:S$22),"")</f>
        <v>20</v>
      </c>
      <c r="T76">
        <f ca="1">IF(AND(((COLUMN()-10)&lt;=playercnt),((ROW()-41)&lt;=playercnt)),SUMPRODUCT(INDIRECT(ADDRESS(3,ROW()-31,1)):INDIRECT(ADDRESS(22,ROW()-31,1)),T$3:T$22),"")</f>
        <v>20</v>
      </c>
      <c r="U76">
        <f ca="1">IF(AND(((COLUMN()-10)&lt;=playercnt),((ROW()-41)&lt;=playercnt)),SUMPRODUCT(INDIRECT(ADDRESS(3,ROW()-31,1)):INDIRECT(ADDRESS(22,ROW()-31,1)),U$3:U$22),"")</f>
        <v>20</v>
      </c>
      <c r="V76">
        <f ca="1">IF(AND(((COLUMN()-10)&lt;=playercnt),((ROW()-41)&lt;=playercnt)),SUMPRODUCT(INDIRECT(ADDRESS(3,ROW()-31,1)):INDIRECT(ADDRESS(22,ROW()-31,1)),V$3:V$22),"")</f>
        <v>20</v>
      </c>
      <c r="W76">
        <f ca="1">IF(AND(((COLUMN()-10)&lt;=playercnt),((ROW()-41)&lt;=playercnt)),SUMPRODUCT(INDIRECT(ADDRESS(3,ROW()-31,1)):INDIRECT(ADDRESS(22,ROW()-31,1)),W$3:W$22),"")</f>
        <v>20</v>
      </c>
      <c r="X76">
        <f ca="1">IF(AND(((COLUMN()-10)&lt;=playercnt),((ROW()-41)&lt;=playercnt)),SUMPRODUCT(INDIRECT(ADDRESS(3,ROW()-31,1)):INDIRECT(ADDRESS(22,ROW()-31,1)),X$3:X$22),"")</f>
        <v>20</v>
      </c>
      <c r="Y76">
        <f ca="1">IF(AND(((COLUMN()-10)&lt;=playercnt),((ROW()-41)&lt;=playercnt)),SUMPRODUCT(INDIRECT(ADDRESS(3,ROW()-31,1)):INDIRECT(ADDRESS(22,ROW()-31,1)),Y$3:Y$22),"")</f>
        <v>20</v>
      </c>
      <c r="Z76">
        <f ca="1">IF(AND(((COLUMN()-10)&lt;=playercnt),((ROW()-41)&lt;=playercnt)),SUMPRODUCT(INDIRECT(ADDRESS(3,ROW()-31,1)):INDIRECT(ADDRESS(22,ROW()-31,1)),Z$3:Z$22),"")</f>
        <v>20</v>
      </c>
      <c r="AA76">
        <f ca="1">IF(AND(((COLUMN()-10)&lt;=playercnt),((ROW()-41)&lt;=playercnt)),SUMPRODUCT(INDIRECT(ADDRESS(3,ROW()-31,1)):INDIRECT(ADDRESS(22,ROW()-31,1)),AA$3:AA$22),"")</f>
        <v>20</v>
      </c>
      <c r="AB76">
        <f ca="1">IF(AND(((COLUMN()-10)&lt;=playercnt),((ROW()-41)&lt;=playercnt)),SUMPRODUCT(INDIRECT(ADDRESS(3,ROW()-31,1)):INDIRECT(ADDRESS(22,ROW()-31,1)),AB$3:AB$22),"")</f>
        <v>20</v>
      </c>
      <c r="AC76">
        <f ca="1">IF(AND(((COLUMN()-10)&lt;=playercnt),((ROW()-41)&lt;=playercnt)),SUMPRODUCT(INDIRECT(ADDRESS(3,ROW()-31,1)):INDIRECT(ADDRESS(22,ROW()-31,1)),AC$3:AC$22),"")</f>
        <v>20</v>
      </c>
      <c r="AD76">
        <f ca="1">IF(AND(((COLUMN()-10)&lt;=playercnt),((ROW()-41)&lt;=playercnt)),SUMPRODUCT(INDIRECT(ADDRESS(3,ROW()-31,1)):INDIRECT(ADDRESS(22,ROW()-31,1)),AD$3:AD$22),"")</f>
        <v>20</v>
      </c>
      <c r="AE76">
        <f ca="1">IF(AND(((COLUMN()-10)&lt;=playercnt),((ROW()-41)&lt;=playercnt)),SUMPRODUCT(INDIRECT(ADDRESS(3,ROW()-31,1)):INDIRECT(ADDRESS(22,ROW()-31,1)),AE$3:AE$22),"")</f>
        <v>20</v>
      </c>
      <c r="AF76">
        <f ca="1">IF(AND(((COLUMN()-10)&lt;=playercnt),((ROW()-41)&lt;=playercnt)),SUMPRODUCT(INDIRECT(ADDRESS(3,ROW()-31,1)):INDIRECT(ADDRESS(22,ROW()-31,1)),AF$3:AF$22),"")</f>
        <v>20</v>
      </c>
      <c r="AG76">
        <f ca="1">IF(AND(((COLUMN()-10)&lt;=playercnt),((ROW()-41)&lt;=playercnt)),SUMPRODUCT(INDIRECT(ADDRESS(3,ROW()-31,1)):INDIRECT(ADDRESS(22,ROW()-31,1)),AG$3:AG$22),"")</f>
        <v>20</v>
      </c>
      <c r="AH76">
        <f ca="1">IF(AND(((COLUMN()-10)&lt;=playercnt),((ROW()-41)&lt;=playercnt)),SUMPRODUCT(INDIRECT(ADDRESS(3,ROW()-31,1)):INDIRECT(ADDRESS(22,ROW()-31,1)),AH$3:AH$22),"")</f>
        <v>20</v>
      </c>
      <c r="AI76">
        <f ca="1">IF(AND(((COLUMN()-10)&lt;=playercnt),((ROW()-41)&lt;=playercnt)),SUMPRODUCT(INDIRECT(ADDRESS(3,ROW()-31,1)):INDIRECT(ADDRESS(22,ROW()-31,1)),AI$3:AI$22),"")</f>
        <v>20</v>
      </c>
      <c r="AJ76">
        <f ca="1">IF(AND(((COLUMN()-10)&lt;=playercnt),((ROW()-41)&lt;=playercnt)),SUMPRODUCT(INDIRECT(ADDRESS(3,ROW()-31,1)):INDIRECT(ADDRESS(22,ROW()-31,1)),AJ$3:AJ$22),"")</f>
        <v>20</v>
      </c>
      <c r="AK76">
        <f ca="1">IF(AND(((COLUMN()-10)&lt;=playercnt),((ROW()-41)&lt;=playercnt)),SUMPRODUCT(INDIRECT(ADDRESS(3,ROW()-31,1)):INDIRECT(ADDRESS(22,ROW()-31,1)),AK$3:AK$22),"")</f>
        <v>20</v>
      </c>
      <c r="AL76">
        <f ca="1">IF(AND(((COLUMN()-10)&lt;=playercnt),((ROW()-41)&lt;=playercnt)),SUMPRODUCT(INDIRECT(ADDRESS(3,ROW()-31,1)):INDIRECT(ADDRESS(22,ROW()-31,1)),AL$3:AL$22),"")</f>
        <v>20</v>
      </c>
      <c r="AM76">
        <f ca="1">IF(AND(((COLUMN()-10)&lt;=playercnt),((ROW()-41)&lt;=playercnt)),SUMPRODUCT(INDIRECT(ADDRESS(3,ROW()-31,1)):INDIRECT(ADDRESS(22,ROW()-31,1)),AM$3:AM$22),"")</f>
        <v>20</v>
      </c>
      <c r="AN76">
        <f ca="1">IF(AND(((COLUMN()-10)&lt;=playercnt),((ROW()-41)&lt;=playercnt)),SUMPRODUCT(INDIRECT(ADDRESS(3,ROW()-31,1)):INDIRECT(ADDRESS(22,ROW()-31,1)),AN$3:AN$22),"")</f>
        <v>20</v>
      </c>
      <c r="AO76">
        <f ca="1">IF(AND(((COLUMN()-10)&lt;=playercnt),((ROW()-41)&lt;=playercnt)),SUMPRODUCT(INDIRECT(ADDRESS(3,ROW()-31,1)):INDIRECT(ADDRESS(22,ROW()-31,1)),AO$3:AO$22),"")</f>
        <v>20</v>
      </c>
      <c r="AP76">
        <f ca="1">IF(AND(((COLUMN()-10)&lt;=playercnt),((ROW()-41)&lt;=playercnt)),SUMPRODUCT(INDIRECT(ADDRESS(3,ROW()-31,1)):INDIRECT(ADDRESS(22,ROW()-31,1)),AP$3:AP$22),"")</f>
        <v>20</v>
      </c>
      <c r="AQ76">
        <f ca="1">IF(AND(((COLUMN()-10)&lt;=playercnt),((ROW()-41)&lt;=playercnt)),SUMPRODUCT(INDIRECT(ADDRESS(3,ROW()-31,1)):INDIRECT(ADDRESS(22,ROW()-31,1)),AQ$3:AQ$22),"")</f>
        <v>20</v>
      </c>
      <c r="AR76">
        <f ca="1">IF(AND(((COLUMN()-10)&lt;=playercnt),((ROW()-41)&lt;=playercnt)),SUMPRODUCT(INDIRECT(ADDRESS(3,ROW()-31,1)):INDIRECT(ADDRESS(22,ROW()-31,1)),AR$3:AR$22),"")</f>
        <v>20</v>
      </c>
      <c r="AS76">
        <f ca="1">IF(AND(((COLUMN()-10)&lt;=playercnt),((ROW()-41)&lt;=playercnt)),SUMPRODUCT(INDIRECT(ADDRESS(3,ROW()-31,1)):INDIRECT(ADDRESS(22,ROW()-31,1)),AS$3:AS$22),"")</f>
        <v>20</v>
      </c>
      <c r="AT76">
        <f ca="1">IF(AND(((COLUMN()-10)&lt;=playercnt),((ROW()-41)&lt;=playercnt)),SUMPRODUCT(INDIRECT(ADDRESS(3,ROW()-31,1)):INDIRECT(ADDRESS(22,ROW()-31,1)),AT$3:AT$22),"")</f>
        <v>20</v>
      </c>
      <c r="AU76">
        <f ca="1">IF(AND(((COLUMN()-10)&lt;=playercnt),((ROW()-41)&lt;=playercnt)),SUMPRODUCT(INDIRECT(ADDRESS(3,ROW()-31,1)):INDIRECT(ADDRESS(22,ROW()-31,1)),AU$3:AU$22),"")</f>
        <v>20</v>
      </c>
      <c r="AV76">
        <f ca="1">IF(AND(((COLUMN()-10)&lt;=playercnt),((ROW()-41)&lt;=playercnt)),SUMPRODUCT(INDIRECT(ADDRESS(3,ROW()-31,1)):INDIRECT(ADDRESS(22,ROW()-31,1)),AV$3:AV$22),"")</f>
        <v>20</v>
      </c>
      <c r="AW76">
        <f ca="1">IF(AND(((COLUMN()-10)&lt;=playercnt),((ROW()-41)&lt;=playercnt)),SUMPRODUCT(INDIRECT(ADDRESS(3,ROW()-31,1)):INDIRECT(ADDRESS(22,ROW()-31,1)),AW$3:AW$22),"")</f>
        <v>20</v>
      </c>
      <c r="AX76">
        <f ca="1">IF(AND(((COLUMN()-10)&lt;=playercnt),((ROW()-41)&lt;=playercnt)),SUMPRODUCT(INDIRECT(ADDRESS(3,ROW()-31,1)):INDIRECT(ADDRESS(22,ROW()-31,1)),AX$3:AX$22),"")</f>
        <v>20</v>
      </c>
      <c r="AY76">
        <f ca="1">IF(AND(((COLUMN()-10)&lt;=playercnt),((ROW()-41)&lt;=playercnt)),SUMPRODUCT(INDIRECT(ADDRESS(3,ROW()-31,1)):INDIRECT(ADDRESS(22,ROW()-31,1)),AY$3:AY$22),"")</f>
        <v>20</v>
      </c>
      <c r="AZ76">
        <f ca="1">IF(AND(((COLUMN()-10)&lt;=playercnt),((ROW()-41)&lt;=playercnt)),SUMPRODUCT(INDIRECT(ADDRESS(3,ROW()-31,1)):INDIRECT(ADDRESS(22,ROW()-31,1)),AZ$3:AZ$22),"")</f>
        <v>20</v>
      </c>
      <c r="BA76">
        <f ca="1">IF(AND(((COLUMN()-10)&lt;=playercnt),((ROW()-41)&lt;=playercnt)),SUMPRODUCT(INDIRECT(ADDRESS(3,ROW()-31,1)):INDIRECT(ADDRESS(22,ROW()-31,1)),BA$3:BA$22),"")</f>
        <v>20</v>
      </c>
      <c r="BB76">
        <f ca="1">IF(AND(((COLUMN()-10)&lt;=playercnt),((ROW()-41)&lt;=playercnt)),SUMPRODUCT(INDIRECT(ADDRESS(3,ROW()-31,1)):INDIRECT(ADDRESS(22,ROW()-31,1)),BB$3:BB$22),"")</f>
        <v>20</v>
      </c>
      <c r="BC76">
        <f ca="1">IF(AND(((COLUMN()-10)&lt;=playercnt),((ROW()-41)&lt;=playercnt)),SUMPRODUCT(INDIRECT(ADDRESS(3,ROW()-31,1)):INDIRECT(ADDRESS(22,ROW()-31,1)),BC$3:BC$22),"")</f>
        <v>20</v>
      </c>
      <c r="BD76">
        <f ca="1">IF(AND(((COLUMN()-10)&lt;=playercnt),((ROW()-41)&lt;=playercnt)),SUMPRODUCT(INDIRECT(ADDRESS(3,ROW()-31,1)):INDIRECT(ADDRESS(22,ROW()-31,1)),BD$3:BD$22),"")</f>
        <v>20</v>
      </c>
      <c r="BE76">
        <f ca="1">IF(AND(((COLUMN()-10)&lt;=playercnt),((ROW()-41)&lt;=playercnt)),SUMPRODUCT(INDIRECT(ADDRESS(3,ROW()-31,1)):INDIRECT(ADDRESS(22,ROW()-31,1)),BE$3:BE$22),"")</f>
        <v>20</v>
      </c>
      <c r="BF76">
        <f ca="1">IF(AND(((COLUMN()-10)&lt;=playercnt),((ROW()-41)&lt;=playercnt)),SUMPRODUCT(INDIRECT(ADDRESS(3,ROW()-31,1)):INDIRECT(ADDRESS(22,ROW()-31,1)),BF$3:BF$22),"")</f>
        <v>20</v>
      </c>
      <c r="BG76">
        <f ca="1">IF(AND(((COLUMN()-10)&lt;=playercnt),((ROW()-41)&lt;=playercnt)),SUMPRODUCT(INDIRECT(ADDRESS(3,ROW()-31,1)):INDIRECT(ADDRESS(22,ROW()-31,1)),BG$3:BG$22),"")</f>
        <v>20</v>
      </c>
      <c r="BH76">
        <f ca="1">IF(AND(((COLUMN()-10)&lt;=playercnt),((ROW()-41)&lt;=playercnt)),SUMPRODUCT(INDIRECT(ADDRESS(3,ROW()-31,1)):INDIRECT(ADDRESS(22,ROW()-31,1)),BH$3:BH$22),"")</f>
        <v>20</v>
      </c>
      <c r="BI76">
        <f ca="1">IF(AND(((COLUMN()-10)&lt;=playercnt),((ROW()-41)&lt;=playercnt)),SUMPRODUCT(INDIRECT(ADDRESS(3,ROW()-31,1)):INDIRECT(ADDRESS(22,ROW()-31,1)),BI$3:BI$22),"")</f>
        <v>20</v>
      </c>
      <c r="BJ76">
        <f ca="1">IF(AND(((COLUMN()-10)&lt;=playercnt),((ROW()-41)&lt;=playercnt)),SUMPRODUCT(INDIRECT(ADDRESS(3,ROW()-31,1)):INDIRECT(ADDRESS(22,ROW()-31,1)),BJ$3:BJ$22),"")</f>
        <v>20</v>
      </c>
      <c r="BK76">
        <f ca="1">IF(AND(((COLUMN()-10)&lt;=playercnt),((ROW()-41)&lt;=playercnt)),SUMPRODUCT(INDIRECT(ADDRESS(3,ROW()-31,1)):INDIRECT(ADDRESS(22,ROW()-31,1)),BK$3:BK$22),"")</f>
        <v>20</v>
      </c>
      <c r="BL76">
        <f ca="1">IF(AND(((COLUMN()-10)&lt;=playercnt),((ROW()-41)&lt;=playercnt)),SUMPRODUCT(INDIRECT(ADDRESS(3,ROW()-31,1)):INDIRECT(ADDRESS(22,ROW()-31,1)),BL$3:BL$22),"")</f>
        <v>20</v>
      </c>
      <c r="BM76">
        <f ca="1">IF(AND(((COLUMN()-10)&lt;=playercnt),((ROW()-41)&lt;=playercnt)),SUMPRODUCT(INDIRECT(ADDRESS(3,ROW()-31,1)):INDIRECT(ADDRESS(22,ROW()-31,1)),BM$3:BM$22),"")</f>
        <v>20</v>
      </c>
      <c r="BN76">
        <f ca="1">IF(AND(((COLUMN()-10)&lt;=playercnt),((ROW()-41)&lt;=playercnt)),SUMPRODUCT(INDIRECT(ADDRESS(3,ROW()-31,1)):INDIRECT(ADDRESS(22,ROW()-31,1)),BN$3:BN$22),"")</f>
        <v>20</v>
      </c>
      <c r="BO76" t="str">
        <f ca="1">IF(AND(((COLUMN()-10)&lt;=playercnt),((ROW()-41)&lt;=playercnt)),SUMPRODUCT(INDIRECT(ADDRESS(3,ROW()-31,1)):INDIRECT(ADDRESS(22,ROW()-31,1)),BO$3:BO$22),"")</f>
        <v/>
      </c>
    </row>
    <row r="77" spans="2:67" x14ac:dyDescent="0.25">
      <c r="B77" s="27" t="str">
        <f t="shared" ca="1" si="23"/>
        <v/>
      </c>
      <c r="C77" t="e">
        <f t="shared" ca="1" si="24"/>
        <v>#REF!</v>
      </c>
      <c r="G77">
        <f ca="1">IF(AND(((COLUMN()-10)&lt;=playercnt),((ROW()-41)&lt;=playercnt)),SUMPRODUCT(INDIRECT(ADDRESS(3,ROW()-31,1)):INDIRECT(ADDRESS(22,ROW()-31,1)),G$3:G$22),"")</f>
        <v>20</v>
      </c>
      <c r="H77" t="e">
        <f ca="1">IF(AND(((COLUMN()-10)&lt;=playercnt),((ROW()-41)&lt;=playercnt)),SUMPRODUCT(INDIRECT(ADDRESS(3,ROW()-31,1)):INDIRECT(ADDRESS(22,ROW()-31,1)),H$3:H$22),"")</f>
        <v>#REF!</v>
      </c>
      <c r="I77" t="e">
        <f ca="1">IF(AND(((COLUMN()-10)&lt;=playercnt),((ROW()-41)&lt;=playercnt)),SUMPRODUCT(INDIRECT(ADDRESS(3,ROW()-31,1)):INDIRECT(ADDRESS(22,ROW()-31,1)),I$3:I$22),"")</f>
        <v>#REF!</v>
      </c>
      <c r="J77">
        <f ca="1">IF(AND(((COLUMN()-10)&lt;=playercnt),((ROW()-41)&lt;=playercnt)),SUMPRODUCT(INDIRECT(ADDRESS(3,ROW()-31,1)):INDIRECT(ADDRESS(22,ROW()-31,1)),J$3:J$22),"")</f>
        <v>20</v>
      </c>
      <c r="K77">
        <f ca="1">IF(AND(((COLUMN()-10)&lt;=playercnt),((ROW()-41)&lt;=playercnt)),SUMPRODUCT(INDIRECT(ADDRESS(3,ROW()-31,1)):INDIRECT(ADDRESS(22,ROW()-31,1)),K$3:K$22),"")</f>
        <v>20</v>
      </c>
      <c r="L77">
        <f ca="1">IF(AND(((COLUMN()-10)&lt;=playercnt),((ROW()-41)&lt;=playercnt)),SUMPRODUCT(INDIRECT(ADDRESS(3,ROW()-31,1)):INDIRECT(ADDRESS(22,ROW()-31,1)),L$3:L$22),"")</f>
        <v>20</v>
      </c>
      <c r="M77">
        <f ca="1">IF(AND(((COLUMN()-10)&lt;=playercnt),((ROW()-41)&lt;=playercnt)),SUMPRODUCT(INDIRECT(ADDRESS(3,ROW()-31,1)):INDIRECT(ADDRESS(22,ROW()-31,1)),M$3:M$22),"")</f>
        <v>20</v>
      </c>
      <c r="N77">
        <f ca="1">IF(AND(((COLUMN()-10)&lt;=playercnt),((ROW()-41)&lt;=playercnt)),SUMPRODUCT(INDIRECT(ADDRESS(3,ROW()-31,1)):INDIRECT(ADDRESS(22,ROW()-31,1)),N$3:N$22),"")</f>
        <v>20</v>
      </c>
      <c r="O77">
        <f ca="1">IF(AND(((COLUMN()-10)&lt;=playercnt),((ROW()-41)&lt;=playercnt)),SUMPRODUCT(INDIRECT(ADDRESS(3,ROW()-31,1)):INDIRECT(ADDRESS(22,ROW()-31,1)),O$3:O$22),"")</f>
        <v>20</v>
      </c>
      <c r="P77">
        <f ca="1">IF(AND(((COLUMN()-10)&lt;=playercnt),((ROW()-41)&lt;=playercnt)),SUMPRODUCT(INDIRECT(ADDRESS(3,ROW()-31,1)):INDIRECT(ADDRESS(22,ROW()-31,1)),P$3:P$22),"")</f>
        <v>20</v>
      </c>
      <c r="Q77">
        <f ca="1">IF(AND(((COLUMN()-10)&lt;=playercnt),((ROW()-41)&lt;=playercnt)),SUMPRODUCT(INDIRECT(ADDRESS(3,ROW()-31,1)):INDIRECT(ADDRESS(22,ROW()-31,1)),Q$3:Q$22),"")</f>
        <v>20</v>
      </c>
      <c r="R77">
        <f ca="1">IF(AND(((COLUMN()-10)&lt;=playercnt),((ROW()-41)&lt;=playercnt)),SUMPRODUCT(INDIRECT(ADDRESS(3,ROW()-31,1)):INDIRECT(ADDRESS(22,ROW()-31,1)),R$3:R$22),"")</f>
        <v>20</v>
      </c>
      <c r="S77">
        <f ca="1">IF(AND(((COLUMN()-10)&lt;=playercnt),((ROW()-41)&lt;=playercnt)),SUMPRODUCT(INDIRECT(ADDRESS(3,ROW()-31,1)):INDIRECT(ADDRESS(22,ROW()-31,1)),S$3:S$22),"")</f>
        <v>20</v>
      </c>
      <c r="T77">
        <f ca="1">IF(AND(((COLUMN()-10)&lt;=playercnt),((ROW()-41)&lt;=playercnt)),SUMPRODUCT(INDIRECT(ADDRESS(3,ROW()-31,1)):INDIRECT(ADDRESS(22,ROW()-31,1)),T$3:T$22),"")</f>
        <v>20</v>
      </c>
      <c r="U77">
        <f ca="1">IF(AND(((COLUMN()-10)&lt;=playercnt),((ROW()-41)&lt;=playercnt)),SUMPRODUCT(INDIRECT(ADDRESS(3,ROW()-31,1)):INDIRECT(ADDRESS(22,ROW()-31,1)),U$3:U$22),"")</f>
        <v>20</v>
      </c>
      <c r="V77">
        <f ca="1">IF(AND(((COLUMN()-10)&lt;=playercnt),((ROW()-41)&lt;=playercnt)),SUMPRODUCT(INDIRECT(ADDRESS(3,ROW()-31,1)):INDIRECT(ADDRESS(22,ROW()-31,1)),V$3:V$22),"")</f>
        <v>20</v>
      </c>
      <c r="W77">
        <f ca="1">IF(AND(((COLUMN()-10)&lt;=playercnt),((ROW()-41)&lt;=playercnt)),SUMPRODUCT(INDIRECT(ADDRESS(3,ROW()-31,1)):INDIRECT(ADDRESS(22,ROW()-31,1)),W$3:W$22),"")</f>
        <v>20</v>
      </c>
      <c r="X77">
        <f ca="1">IF(AND(((COLUMN()-10)&lt;=playercnt),((ROW()-41)&lt;=playercnt)),SUMPRODUCT(INDIRECT(ADDRESS(3,ROW()-31,1)):INDIRECT(ADDRESS(22,ROW()-31,1)),X$3:X$22),"")</f>
        <v>20</v>
      </c>
      <c r="Y77">
        <f ca="1">IF(AND(((COLUMN()-10)&lt;=playercnt),((ROW()-41)&lt;=playercnt)),SUMPRODUCT(INDIRECT(ADDRESS(3,ROW()-31,1)):INDIRECT(ADDRESS(22,ROW()-31,1)),Y$3:Y$22),"")</f>
        <v>20</v>
      </c>
      <c r="Z77">
        <f ca="1">IF(AND(((COLUMN()-10)&lt;=playercnt),((ROW()-41)&lt;=playercnt)),SUMPRODUCT(INDIRECT(ADDRESS(3,ROW()-31,1)):INDIRECT(ADDRESS(22,ROW()-31,1)),Z$3:Z$22),"")</f>
        <v>20</v>
      </c>
      <c r="AA77">
        <f ca="1">IF(AND(((COLUMN()-10)&lt;=playercnt),((ROW()-41)&lt;=playercnt)),SUMPRODUCT(INDIRECT(ADDRESS(3,ROW()-31,1)):INDIRECT(ADDRESS(22,ROW()-31,1)),AA$3:AA$22),"")</f>
        <v>20</v>
      </c>
      <c r="AB77">
        <f ca="1">IF(AND(((COLUMN()-10)&lt;=playercnt),((ROW()-41)&lt;=playercnt)),SUMPRODUCT(INDIRECT(ADDRESS(3,ROW()-31,1)):INDIRECT(ADDRESS(22,ROW()-31,1)),AB$3:AB$22),"")</f>
        <v>20</v>
      </c>
      <c r="AC77">
        <f ca="1">IF(AND(((COLUMN()-10)&lt;=playercnt),((ROW()-41)&lt;=playercnt)),SUMPRODUCT(INDIRECT(ADDRESS(3,ROW()-31,1)):INDIRECT(ADDRESS(22,ROW()-31,1)),AC$3:AC$22),"")</f>
        <v>20</v>
      </c>
      <c r="AD77">
        <f ca="1">IF(AND(((COLUMN()-10)&lt;=playercnt),((ROW()-41)&lt;=playercnt)),SUMPRODUCT(INDIRECT(ADDRESS(3,ROW()-31,1)):INDIRECT(ADDRESS(22,ROW()-31,1)),AD$3:AD$22),"")</f>
        <v>20</v>
      </c>
      <c r="AE77">
        <f ca="1">IF(AND(((COLUMN()-10)&lt;=playercnt),((ROW()-41)&lt;=playercnt)),SUMPRODUCT(INDIRECT(ADDRESS(3,ROW()-31,1)):INDIRECT(ADDRESS(22,ROW()-31,1)),AE$3:AE$22),"")</f>
        <v>20</v>
      </c>
      <c r="AF77">
        <f ca="1">IF(AND(((COLUMN()-10)&lt;=playercnt),((ROW()-41)&lt;=playercnt)),SUMPRODUCT(INDIRECT(ADDRESS(3,ROW()-31,1)):INDIRECT(ADDRESS(22,ROW()-31,1)),AF$3:AF$22),"")</f>
        <v>20</v>
      </c>
      <c r="AG77">
        <f ca="1">IF(AND(((COLUMN()-10)&lt;=playercnt),((ROW()-41)&lt;=playercnt)),SUMPRODUCT(INDIRECT(ADDRESS(3,ROW()-31,1)):INDIRECT(ADDRESS(22,ROW()-31,1)),AG$3:AG$22),"")</f>
        <v>20</v>
      </c>
      <c r="AH77">
        <f ca="1">IF(AND(((COLUMN()-10)&lt;=playercnt),((ROW()-41)&lt;=playercnt)),SUMPRODUCT(INDIRECT(ADDRESS(3,ROW()-31,1)):INDIRECT(ADDRESS(22,ROW()-31,1)),AH$3:AH$22),"")</f>
        <v>20</v>
      </c>
      <c r="AI77">
        <f ca="1">IF(AND(((COLUMN()-10)&lt;=playercnt),((ROW()-41)&lt;=playercnt)),SUMPRODUCT(INDIRECT(ADDRESS(3,ROW()-31,1)):INDIRECT(ADDRESS(22,ROW()-31,1)),AI$3:AI$22),"")</f>
        <v>20</v>
      </c>
      <c r="AJ77">
        <f ca="1">IF(AND(((COLUMN()-10)&lt;=playercnt),((ROW()-41)&lt;=playercnt)),SUMPRODUCT(INDIRECT(ADDRESS(3,ROW()-31,1)):INDIRECT(ADDRESS(22,ROW()-31,1)),AJ$3:AJ$22),"")</f>
        <v>20</v>
      </c>
      <c r="AK77">
        <f ca="1">IF(AND(((COLUMN()-10)&lt;=playercnt),((ROW()-41)&lt;=playercnt)),SUMPRODUCT(INDIRECT(ADDRESS(3,ROW()-31,1)):INDIRECT(ADDRESS(22,ROW()-31,1)),AK$3:AK$22),"")</f>
        <v>20</v>
      </c>
      <c r="AL77">
        <f ca="1">IF(AND(((COLUMN()-10)&lt;=playercnt),((ROW()-41)&lt;=playercnt)),SUMPRODUCT(INDIRECT(ADDRESS(3,ROW()-31,1)):INDIRECT(ADDRESS(22,ROW()-31,1)),AL$3:AL$22),"")</f>
        <v>20</v>
      </c>
      <c r="AM77">
        <f ca="1">IF(AND(((COLUMN()-10)&lt;=playercnt),((ROW()-41)&lt;=playercnt)),SUMPRODUCT(INDIRECT(ADDRESS(3,ROW()-31,1)):INDIRECT(ADDRESS(22,ROW()-31,1)),AM$3:AM$22),"")</f>
        <v>20</v>
      </c>
      <c r="AN77">
        <f ca="1">IF(AND(((COLUMN()-10)&lt;=playercnt),((ROW()-41)&lt;=playercnt)),SUMPRODUCT(INDIRECT(ADDRESS(3,ROW()-31,1)):INDIRECT(ADDRESS(22,ROW()-31,1)),AN$3:AN$22),"")</f>
        <v>20</v>
      </c>
      <c r="AO77">
        <f ca="1">IF(AND(((COLUMN()-10)&lt;=playercnt),((ROW()-41)&lt;=playercnt)),SUMPRODUCT(INDIRECT(ADDRESS(3,ROW()-31,1)):INDIRECT(ADDRESS(22,ROW()-31,1)),AO$3:AO$22),"")</f>
        <v>20</v>
      </c>
      <c r="AP77">
        <f ca="1">IF(AND(((COLUMN()-10)&lt;=playercnt),((ROW()-41)&lt;=playercnt)),SUMPRODUCT(INDIRECT(ADDRESS(3,ROW()-31,1)):INDIRECT(ADDRESS(22,ROW()-31,1)),AP$3:AP$22),"")</f>
        <v>20</v>
      </c>
      <c r="AQ77">
        <f ca="1">IF(AND(((COLUMN()-10)&lt;=playercnt),((ROW()-41)&lt;=playercnt)),SUMPRODUCT(INDIRECT(ADDRESS(3,ROW()-31,1)):INDIRECT(ADDRESS(22,ROW()-31,1)),AQ$3:AQ$22),"")</f>
        <v>20</v>
      </c>
      <c r="AR77">
        <f ca="1">IF(AND(((COLUMN()-10)&lt;=playercnt),((ROW()-41)&lt;=playercnt)),SUMPRODUCT(INDIRECT(ADDRESS(3,ROW()-31,1)):INDIRECT(ADDRESS(22,ROW()-31,1)),AR$3:AR$22),"")</f>
        <v>20</v>
      </c>
      <c r="AS77">
        <f ca="1">IF(AND(((COLUMN()-10)&lt;=playercnt),((ROW()-41)&lt;=playercnt)),SUMPRODUCT(INDIRECT(ADDRESS(3,ROW()-31,1)):INDIRECT(ADDRESS(22,ROW()-31,1)),AS$3:AS$22),"")</f>
        <v>20</v>
      </c>
      <c r="AT77">
        <f ca="1">IF(AND(((COLUMN()-10)&lt;=playercnt),((ROW()-41)&lt;=playercnt)),SUMPRODUCT(INDIRECT(ADDRESS(3,ROW()-31,1)):INDIRECT(ADDRESS(22,ROW()-31,1)),AT$3:AT$22),"")</f>
        <v>20</v>
      </c>
      <c r="AU77">
        <f ca="1">IF(AND(((COLUMN()-10)&lt;=playercnt),((ROW()-41)&lt;=playercnt)),SUMPRODUCT(INDIRECT(ADDRESS(3,ROW()-31,1)):INDIRECT(ADDRESS(22,ROW()-31,1)),AU$3:AU$22),"")</f>
        <v>20</v>
      </c>
      <c r="AV77">
        <f ca="1">IF(AND(((COLUMN()-10)&lt;=playercnt),((ROW()-41)&lt;=playercnt)),SUMPRODUCT(INDIRECT(ADDRESS(3,ROW()-31,1)):INDIRECT(ADDRESS(22,ROW()-31,1)),AV$3:AV$22),"")</f>
        <v>20</v>
      </c>
      <c r="AW77">
        <f ca="1">IF(AND(((COLUMN()-10)&lt;=playercnt),((ROW()-41)&lt;=playercnt)),SUMPRODUCT(INDIRECT(ADDRESS(3,ROW()-31,1)):INDIRECT(ADDRESS(22,ROW()-31,1)),AW$3:AW$22),"")</f>
        <v>20</v>
      </c>
      <c r="AX77">
        <f ca="1">IF(AND(((COLUMN()-10)&lt;=playercnt),((ROW()-41)&lt;=playercnt)),SUMPRODUCT(INDIRECT(ADDRESS(3,ROW()-31,1)):INDIRECT(ADDRESS(22,ROW()-31,1)),AX$3:AX$22),"")</f>
        <v>20</v>
      </c>
      <c r="AY77">
        <f ca="1">IF(AND(((COLUMN()-10)&lt;=playercnt),((ROW()-41)&lt;=playercnt)),SUMPRODUCT(INDIRECT(ADDRESS(3,ROW()-31,1)):INDIRECT(ADDRESS(22,ROW()-31,1)),AY$3:AY$22),"")</f>
        <v>20</v>
      </c>
      <c r="AZ77">
        <f ca="1">IF(AND(((COLUMN()-10)&lt;=playercnt),((ROW()-41)&lt;=playercnt)),SUMPRODUCT(INDIRECT(ADDRESS(3,ROW()-31,1)):INDIRECT(ADDRESS(22,ROW()-31,1)),AZ$3:AZ$22),"")</f>
        <v>20</v>
      </c>
      <c r="BA77">
        <f ca="1">IF(AND(((COLUMN()-10)&lt;=playercnt),((ROW()-41)&lt;=playercnt)),SUMPRODUCT(INDIRECT(ADDRESS(3,ROW()-31,1)):INDIRECT(ADDRESS(22,ROW()-31,1)),BA$3:BA$22),"")</f>
        <v>20</v>
      </c>
      <c r="BB77">
        <f ca="1">IF(AND(((COLUMN()-10)&lt;=playercnt),((ROW()-41)&lt;=playercnt)),SUMPRODUCT(INDIRECT(ADDRESS(3,ROW()-31,1)):INDIRECT(ADDRESS(22,ROW()-31,1)),BB$3:BB$22),"")</f>
        <v>20</v>
      </c>
      <c r="BC77">
        <f ca="1">IF(AND(((COLUMN()-10)&lt;=playercnt),((ROW()-41)&lt;=playercnt)),SUMPRODUCT(INDIRECT(ADDRESS(3,ROW()-31,1)):INDIRECT(ADDRESS(22,ROW()-31,1)),BC$3:BC$22),"")</f>
        <v>20</v>
      </c>
      <c r="BD77">
        <f ca="1">IF(AND(((COLUMN()-10)&lt;=playercnt),((ROW()-41)&lt;=playercnt)),SUMPRODUCT(INDIRECT(ADDRESS(3,ROW()-31,1)):INDIRECT(ADDRESS(22,ROW()-31,1)),BD$3:BD$22),"")</f>
        <v>20</v>
      </c>
      <c r="BE77">
        <f ca="1">IF(AND(((COLUMN()-10)&lt;=playercnt),((ROW()-41)&lt;=playercnt)),SUMPRODUCT(INDIRECT(ADDRESS(3,ROW()-31,1)):INDIRECT(ADDRESS(22,ROW()-31,1)),BE$3:BE$22),"")</f>
        <v>20</v>
      </c>
      <c r="BF77">
        <f ca="1">IF(AND(((COLUMN()-10)&lt;=playercnt),((ROW()-41)&lt;=playercnt)),SUMPRODUCT(INDIRECT(ADDRESS(3,ROW()-31,1)):INDIRECT(ADDRESS(22,ROW()-31,1)),BF$3:BF$22),"")</f>
        <v>20</v>
      </c>
      <c r="BG77">
        <f ca="1">IF(AND(((COLUMN()-10)&lt;=playercnt),((ROW()-41)&lt;=playercnt)),SUMPRODUCT(INDIRECT(ADDRESS(3,ROW()-31,1)):INDIRECT(ADDRESS(22,ROW()-31,1)),BG$3:BG$22),"")</f>
        <v>20</v>
      </c>
      <c r="BH77">
        <f ca="1">IF(AND(((COLUMN()-10)&lt;=playercnt),((ROW()-41)&lt;=playercnt)),SUMPRODUCT(INDIRECT(ADDRESS(3,ROW()-31,1)):INDIRECT(ADDRESS(22,ROW()-31,1)),BH$3:BH$22),"")</f>
        <v>20</v>
      </c>
      <c r="BI77">
        <f ca="1">IF(AND(((COLUMN()-10)&lt;=playercnt),((ROW()-41)&lt;=playercnt)),SUMPRODUCT(INDIRECT(ADDRESS(3,ROW()-31,1)):INDIRECT(ADDRESS(22,ROW()-31,1)),BI$3:BI$22),"")</f>
        <v>20</v>
      </c>
      <c r="BJ77">
        <f ca="1">IF(AND(((COLUMN()-10)&lt;=playercnt),((ROW()-41)&lt;=playercnt)),SUMPRODUCT(INDIRECT(ADDRESS(3,ROW()-31,1)):INDIRECT(ADDRESS(22,ROW()-31,1)),BJ$3:BJ$22),"")</f>
        <v>20</v>
      </c>
      <c r="BK77">
        <f ca="1">IF(AND(((COLUMN()-10)&lt;=playercnt),((ROW()-41)&lt;=playercnt)),SUMPRODUCT(INDIRECT(ADDRESS(3,ROW()-31,1)):INDIRECT(ADDRESS(22,ROW()-31,1)),BK$3:BK$22),"")</f>
        <v>20</v>
      </c>
      <c r="BL77">
        <f ca="1">IF(AND(((COLUMN()-10)&lt;=playercnt),((ROW()-41)&lt;=playercnt)),SUMPRODUCT(INDIRECT(ADDRESS(3,ROW()-31,1)):INDIRECT(ADDRESS(22,ROW()-31,1)),BL$3:BL$22),"")</f>
        <v>20</v>
      </c>
      <c r="BM77">
        <f ca="1">IF(AND(((COLUMN()-10)&lt;=playercnt),((ROW()-41)&lt;=playercnt)),SUMPRODUCT(INDIRECT(ADDRESS(3,ROW()-31,1)):INDIRECT(ADDRESS(22,ROW()-31,1)),BM$3:BM$22),"")</f>
        <v>20</v>
      </c>
      <c r="BN77">
        <f ca="1">IF(AND(((COLUMN()-10)&lt;=playercnt),((ROW()-41)&lt;=playercnt)),SUMPRODUCT(INDIRECT(ADDRESS(3,ROW()-31,1)):INDIRECT(ADDRESS(22,ROW()-31,1)),BN$3:BN$22),"")</f>
        <v>20</v>
      </c>
      <c r="BO77" t="str">
        <f ca="1">IF(AND(((COLUMN()-10)&lt;=playercnt),((ROW()-41)&lt;=playercnt)),SUMPRODUCT(INDIRECT(ADDRESS(3,ROW()-31,1)):INDIRECT(ADDRESS(22,ROW()-31,1)),BO$3:BO$22),"")</f>
        <v/>
      </c>
    </row>
    <row r="78" spans="2:67" x14ac:dyDescent="0.25">
      <c r="B78" s="27" t="str">
        <f t="shared" ca="1" si="23"/>
        <v/>
      </c>
      <c r="C78" t="e">
        <f t="shared" ca="1" si="24"/>
        <v>#REF!</v>
      </c>
      <c r="G78">
        <f ca="1">IF(AND(((COLUMN()-10)&lt;=playercnt),((ROW()-41)&lt;=playercnt)),SUMPRODUCT(INDIRECT(ADDRESS(3,ROW()-31,1)):INDIRECT(ADDRESS(22,ROW()-31,1)),G$3:G$22),"")</f>
        <v>20</v>
      </c>
      <c r="H78" t="e">
        <f ca="1">IF(AND(((COLUMN()-10)&lt;=playercnt),((ROW()-41)&lt;=playercnt)),SUMPRODUCT(INDIRECT(ADDRESS(3,ROW()-31,1)):INDIRECT(ADDRESS(22,ROW()-31,1)),H$3:H$22),"")</f>
        <v>#REF!</v>
      </c>
      <c r="I78" t="e">
        <f ca="1">IF(AND(((COLUMN()-10)&lt;=playercnt),((ROW()-41)&lt;=playercnt)),SUMPRODUCT(INDIRECT(ADDRESS(3,ROW()-31,1)):INDIRECT(ADDRESS(22,ROW()-31,1)),I$3:I$22),"")</f>
        <v>#REF!</v>
      </c>
      <c r="J78">
        <f ca="1">IF(AND(((COLUMN()-10)&lt;=playercnt),((ROW()-41)&lt;=playercnt)),SUMPRODUCT(INDIRECT(ADDRESS(3,ROW()-31,1)):INDIRECT(ADDRESS(22,ROW()-31,1)),J$3:J$22),"")</f>
        <v>20</v>
      </c>
      <c r="K78">
        <f ca="1">IF(AND(((COLUMN()-10)&lt;=playercnt),((ROW()-41)&lt;=playercnt)),SUMPRODUCT(INDIRECT(ADDRESS(3,ROW()-31,1)):INDIRECT(ADDRESS(22,ROW()-31,1)),K$3:K$22),"")</f>
        <v>20</v>
      </c>
      <c r="L78">
        <f ca="1">IF(AND(((COLUMN()-10)&lt;=playercnt),((ROW()-41)&lt;=playercnt)),SUMPRODUCT(INDIRECT(ADDRESS(3,ROW()-31,1)):INDIRECT(ADDRESS(22,ROW()-31,1)),L$3:L$22),"")</f>
        <v>20</v>
      </c>
      <c r="M78">
        <f ca="1">IF(AND(((COLUMN()-10)&lt;=playercnt),((ROW()-41)&lt;=playercnt)),SUMPRODUCT(INDIRECT(ADDRESS(3,ROW()-31,1)):INDIRECT(ADDRESS(22,ROW()-31,1)),M$3:M$22),"")</f>
        <v>20</v>
      </c>
      <c r="N78">
        <f ca="1">IF(AND(((COLUMN()-10)&lt;=playercnt),((ROW()-41)&lt;=playercnt)),SUMPRODUCT(INDIRECT(ADDRESS(3,ROW()-31,1)):INDIRECT(ADDRESS(22,ROW()-31,1)),N$3:N$22),"")</f>
        <v>20</v>
      </c>
      <c r="O78">
        <f ca="1">IF(AND(((COLUMN()-10)&lt;=playercnt),((ROW()-41)&lt;=playercnt)),SUMPRODUCT(INDIRECT(ADDRESS(3,ROW()-31,1)):INDIRECT(ADDRESS(22,ROW()-31,1)),O$3:O$22),"")</f>
        <v>20</v>
      </c>
      <c r="P78">
        <f ca="1">IF(AND(((COLUMN()-10)&lt;=playercnt),((ROW()-41)&lt;=playercnt)),SUMPRODUCT(INDIRECT(ADDRESS(3,ROW()-31,1)):INDIRECT(ADDRESS(22,ROW()-31,1)),P$3:P$22),"")</f>
        <v>20</v>
      </c>
      <c r="Q78">
        <f ca="1">IF(AND(((COLUMN()-10)&lt;=playercnt),((ROW()-41)&lt;=playercnt)),SUMPRODUCT(INDIRECT(ADDRESS(3,ROW()-31,1)):INDIRECT(ADDRESS(22,ROW()-31,1)),Q$3:Q$22),"")</f>
        <v>20</v>
      </c>
      <c r="R78">
        <f ca="1">IF(AND(((COLUMN()-10)&lt;=playercnt),((ROW()-41)&lt;=playercnt)),SUMPRODUCT(INDIRECT(ADDRESS(3,ROW()-31,1)):INDIRECT(ADDRESS(22,ROW()-31,1)),R$3:R$22),"")</f>
        <v>20</v>
      </c>
      <c r="S78">
        <f ca="1">IF(AND(((COLUMN()-10)&lt;=playercnt),((ROW()-41)&lt;=playercnt)),SUMPRODUCT(INDIRECT(ADDRESS(3,ROW()-31,1)):INDIRECT(ADDRESS(22,ROW()-31,1)),S$3:S$22),"")</f>
        <v>20</v>
      </c>
      <c r="T78">
        <f ca="1">IF(AND(((COLUMN()-10)&lt;=playercnt),((ROW()-41)&lt;=playercnt)),SUMPRODUCT(INDIRECT(ADDRESS(3,ROW()-31,1)):INDIRECT(ADDRESS(22,ROW()-31,1)),T$3:T$22),"")</f>
        <v>20</v>
      </c>
      <c r="U78">
        <f ca="1">IF(AND(((COLUMN()-10)&lt;=playercnt),((ROW()-41)&lt;=playercnt)),SUMPRODUCT(INDIRECT(ADDRESS(3,ROW()-31,1)):INDIRECT(ADDRESS(22,ROW()-31,1)),U$3:U$22),"")</f>
        <v>20</v>
      </c>
      <c r="V78">
        <f ca="1">IF(AND(((COLUMN()-10)&lt;=playercnt),((ROW()-41)&lt;=playercnt)),SUMPRODUCT(INDIRECT(ADDRESS(3,ROW()-31,1)):INDIRECT(ADDRESS(22,ROW()-31,1)),V$3:V$22),"")</f>
        <v>20</v>
      </c>
      <c r="W78">
        <f ca="1">IF(AND(((COLUMN()-10)&lt;=playercnt),((ROW()-41)&lt;=playercnt)),SUMPRODUCT(INDIRECT(ADDRESS(3,ROW()-31,1)):INDIRECT(ADDRESS(22,ROW()-31,1)),W$3:W$22),"")</f>
        <v>20</v>
      </c>
      <c r="X78">
        <f ca="1">IF(AND(((COLUMN()-10)&lt;=playercnt),((ROW()-41)&lt;=playercnt)),SUMPRODUCT(INDIRECT(ADDRESS(3,ROW()-31,1)):INDIRECT(ADDRESS(22,ROW()-31,1)),X$3:X$22),"")</f>
        <v>20</v>
      </c>
      <c r="Y78">
        <f ca="1">IF(AND(((COLUMN()-10)&lt;=playercnt),((ROW()-41)&lt;=playercnt)),SUMPRODUCT(INDIRECT(ADDRESS(3,ROW()-31,1)):INDIRECT(ADDRESS(22,ROW()-31,1)),Y$3:Y$22),"")</f>
        <v>20</v>
      </c>
      <c r="Z78">
        <f ca="1">IF(AND(((COLUMN()-10)&lt;=playercnt),((ROW()-41)&lt;=playercnt)),SUMPRODUCT(INDIRECT(ADDRESS(3,ROW()-31,1)):INDIRECT(ADDRESS(22,ROW()-31,1)),Z$3:Z$22),"")</f>
        <v>20</v>
      </c>
      <c r="AA78">
        <f ca="1">IF(AND(((COLUMN()-10)&lt;=playercnt),((ROW()-41)&lt;=playercnt)),SUMPRODUCT(INDIRECT(ADDRESS(3,ROW()-31,1)):INDIRECT(ADDRESS(22,ROW()-31,1)),AA$3:AA$22),"")</f>
        <v>20</v>
      </c>
      <c r="AB78">
        <f ca="1">IF(AND(((COLUMN()-10)&lt;=playercnt),((ROW()-41)&lt;=playercnt)),SUMPRODUCT(INDIRECT(ADDRESS(3,ROW()-31,1)):INDIRECT(ADDRESS(22,ROW()-31,1)),AB$3:AB$22),"")</f>
        <v>20</v>
      </c>
      <c r="AC78">
        <f ca="1">IF(AND(((COLUMN()-10)&lt;=playercnt),((ROW()-41)&lt;=playercnt)),SUMPRODUCT(INDIRECT(ADDRESS(3,ROW()-31,1)):INDIRECT(ADDRESS(22,ROW()-31,1)),AC$3:AC$22),"")</f>
        <v>20</v>
      </c>
      <c r="AD78">
        <f ca="1">IF(AND(((COLUMN()-10)&lt;=playercnt),((ROW()-41)&lt;=playercnt)),SUMPRODUCT(INDIRECT(ADDRESS(3,ROW()-31,1)):INDIRECT(ADDRESS(22,ROW()-31,1)),AD$3:AD$22),"")</f>
        <v>20</v>
      </c>
      <c r="AE78">
        <f ca="1">IF(AND(((COLUMN()-10)&lt;=playercnt),((ROW()-41)&lt;=playercnt)),SUMPRODUCT(INDIRECT(ADDRESS(3,ROW()-31,1)):INDIRECT(ADDRESS(22,ROW()-31,1)),AE$3:AE$22),"")</f>
        <v>20</v>
      </c>
      <c r="AF78">
        <f ca="1">IF(AND(((COLUMN()-10)&lt;=playercnt),((ROW()-41)&lt;=playercnt)),SUMPRODUCT(INDIRECT(ADDRESS(3,ROW()-31,1)):INDIRECT(ADDRESS(22,ROW()-31,1)),AF$3:AF$22),"")</f>
        <v>20</v>
      </c>
      <c r="AG78">
        <f ca="1">IF(AND(((COLUMN()-10)&lt;=playercnt),((ROW()-41)&lt;=playercnt)),SUMPRODUCT(INDIRECT(ADDRESS(3,ROW()-31,1)):INDIRECT(ADDRESS(22,ROW()-31,1)),AG$3:AG$22),"")</f>
        <v>20</v>
      </c>
      <c r="AH78">
        <f ca="1">IF(AND(((COLUMN()-10)&lt;=playercnt),((ROW()-41)&lt;=playercnt)),SUMPRODUCT(INDIRECT(ADDRESS(3,ROW()-31,1)):INDIRECT(ADDRESS(22,ROW()-31,1)),AH$3:AH$22),"")</f>
        <v>20</v>
      </c>
      <c r="AI78">
        <f ca="1">IF(AND(((COLUMN()-10)&lt;=playercnt),((ROW()-41)&lt;=playercnt)),SUMPRODUCT(INDIRECT(ADDRESS(3,ROW()-31,1)):INDIRECT(ADDRESS(22,ROW()-31,1)),AI$3:AI$22),"")</f>
        <v>20</v>
      </c>
      <c r="AJ78">
        <f ca="1">IF(AND(((COLUMN()-10)&lt;=playercnt),((ROW()-41)&lt;=playercnt)),SUMPRODUCT(INDIRECT(ADDRESS(3,ROW()-31,1)):INDIRECT(ADDRESS(22,ROW()-31,1)),AJ$3:AJ$22),"")</f>
        <v>20</v>
      </c>
      <c r="AK78">
        <f ca="1">IF(AND(((COLUMN()-10)&lt;=playercnt),((ROW()-41)&lt;=playercnt)),SUMPRODUCT(INDIRECT(ADDRESS(3,ROW()-31,1)):INDIRECT(ADDRESS(22,ROW()-31,1)),AK$3:AK$22),"")</f>
        <v>20</v>
      </c>
      <c r="AL78">
        <f ca="1">IF(AND(((COLUMN()-10)&lt;=playercnt),((ROW()-41)&lt;=playercnt)),SUMPRODUCT(INDIRECT(ADDRESS(3,ROW()-31,1)):INDIRECT(ADDRESS(22,ROW()-31,1)),AL$3:AL$22),"")</f>
        <v>20</v>
      </c>
      <c r="AM78">
        <f ca="1">IF(AND(((COLUMN()-10)&lt;=playercnt),((ROW()-41)&lt;=playercnt)),SUMPRODUCT(INDIRECT(ADDRESS(3,ROW()-31,1)):INDIRECT(ADDRESS(22,ROW()-31,1)),AM$3:AM$22),"")</f>
        <v>20</v>
      </c>
      <c r="AN78">
        <f ca="1">IF(AND(((COLUMN()-10)&lt;=playercnt),((ROW()-41)&lt;=playercnt)),SUMPRODUCT(INDIRECT(ADDRESS(3,ROW()-31,1)):INDIRECT(ADDRESS(22,ROW()-31,1)),AN$3:AN$22),"")</f>
        <v>20</v>
      </c>
      <c r="AO78">
        <f ca="1">IF(AND(((COLUMN()-10)&lt;=playercnt),((ROW()-41)&lt;=playercnt)),SUMPRODUCT(INDIRECT(ADDRESS(3,ROW()-31,1)):INDIRECT(ADDRESS(22,ROW()-31,1)),AO$3:AO$22),"")</f>
        <v>20</v>
      </c>
      <c r="AP78">
        <f ca="1">IF(AND(((COLUMN()-10)&lt;=playercnt),((ROW()-41)&lt;=playercnt)),SUMPRODUCT(INDIRECT(ADDRESS(3,ROW()-31,1)):INDIRECT(ADDRESS(22,ROW()-31,1)),AP$3:AP$22),"")</f>
        <v>20</v>
      </c>
      <c r="AQ78">
        <f ca="1">IF(AND(((COLUMN()-10)&lt;=playercnt),((ROW()-41)&lt;=playercnt)),SUMPRODUCT(INDIRECT(ADDRESS(3,ROW()-31,1)):INDIRECT(ADDRESS(22,ROW()-31,1)),AQ$3:AQ$22),"")</f>
        <v>20</v>
      </c>
      <c r="AR78">
        <f ca="1">IF(AND(((COLUMN()-10)&lt;=playercnt),((ROW()-41)&lt;=playercnt)),SUMPRODUCT(INDIRECT(ADDRESS(3,ROW()-31,1)):INDIRECT(ADDRESS(22,ROW()-31,1)),AR$3:AR$22),"")</f>
        <v>20</v>
      </c>
      <c r="AS78">
        <f ca="1">IF(AND(((COLUMN()-10)&lt;=playercnt),((ROW()-41)&lt;=playercnt)),SUMPRODUCT(INDIRECT(ADDRESS(3,ROW()-31,1)):INDIRECT(ADDRESS(22,ROW()-31,1)),AS$3:AS$22),"")</f>
        <v>20</v>
      </c>
      <c r="AT78">
        <f ca="1">IF(AND(((COLUMN()-10)&lt;=playercnt),((ROW()-41)&lt;=playercnt)),SUMPRODUCT(INDIRECT(ADDRESS(3,ROW()-31,1)):INDIRECT(ADDRESS(22,ROW()-31,1)),AT$3:AT$22),"")</f>
        <v>20</v>
      </c>
      <c r="AU78">
        <f ca="1">IF(AND(((COLUMN()-10)&lt;=playercnt),((ROW()-41)&lt;=playercnt)),SUMPRODUCT(INDIRECT(ADDRESS(3,ROW()-31,1)):INDIRECT(ADDRESS(22,ROW()-31,1)),AU$3:AU$22),"")</f>
        <v>20</v>
      </c>
      <c r="AV78">
        <f ca="1">IF(AND(((COLUMN()-10)&lt;=playercnt),((ROW()-41)&lt;=playercnt)),SUMPRODUCT(INDIRECT(ADDRESS(3,ROW()-31,1)):INDIRECT(ADDRESS(22,ROW()-31,1)),AV$3:AV$22),"")</f>
        <v>20</v>
      </c>
      <c r="AW78">
        <f ca="1">IF(AND(((COLUMN()-10)&lt;=playercnt),((ROW()-41)&lt;=playercnt)),SUMPRODUCT(INDIRECT(ADDRESS(3,ROW()-31,1)):INDIRECT(ADDRESS(22,ROW()-31,1)),AW$3:AW$22),"")</f>
        <v>20</v>
      </c>
      <c r="AX78">
        <f ca="1">IF(AND(((COLUMN()-10)&lt;=playercnt),((ROW()-41)&lt;=playercnt)),SUMPRODUCT(INDIRECT(ADDRESS(3,ROW()-31,1)):INDIRECT(ADDRESS(22,ROW()-31,1)),AX$3:AX$22),"")</f>
        <v>20</v>
      </c>
      <c r="AY78">
        <f ca="1">IF(AND(((COLUMN()-10)&lt;=playercnt),((ROW()-41)&lt;=playercnt)),SUMPRODUCT(INDIRECT(ADDRESS(3,ROW()-31,1)):INDIRECT(ADDRESS(22,ROW()-31,1)),AY$3:AY$22),"")</f>
        <v>20</v>
      </c>
      <c r="AZ78">
        <f ca="1">IF(AND(((COLUMN()-10)&lt;=playercnt),((ROW()-41)&lt;=playercnt)),SUMPRODUCT(INDIRECT(ADDRESS(3,ROW()-31,1)):INDIRECT(ADDRESS(22,ROW()-31,1)),AZ$3:AZ$22),"")</f>
        <v>20</v>
      </c>
      <c r="BA78">
        <f ca="1">IF(AND(((COLUMN()-10)&lt;=playercnt),((ROW()-41)&lt;=playercnt)),SUMPRODUCT(INDIRECT(ADDRESS(3,ROW()-31,1)):INDIRECT(ADDRESS(22,ROW()-31,1)),BA$3:BA$22),"")</f>
        <v>20</v>
      </c>
      <c r="BB78">
        <f ca="1">IF(AND(((COLUMN()-10)&lt;=playercnt),((ROW()-41)&lt;=playercnt)),SUMPRODUCT(INDIRECT(ADDRESS(3,ROW()-31,1)):INDIRECT(ADDRESS(22,ROW()-31,1)),BB$3:BB$22),"")</f>
        <v>20</v>
      </c>
      <c r="BC78">
        <f ca="1">IF(AND(((COLUMN()-10)&lt;=playercnt),((ROW()-41)&lt;=playercnt)),SUMPRODUCT(INDIRECT(ADDRESS(3,ROW()-31,1)):INDIRECT(ADDRESS(22,ROW()-31,1)),BC$3:BC$22),"")</f>
        <v>20</v>
      </c>
      <c r="BD78">
        <f ca="1">IF(AND(((COLUMN()-10)&lt;=playercnt),((ROW()-41)&lt;=playercnt)),SUMPRODUCT(INDIRECT(ADDRESS(3,ROW()-31,1)):INDIRECT(ADDRESS(22,ROW()-31,1)),BD$3:BD$22),"")</f>
        <v>20</v>
      </c>
      <c r="BE78">
        <f ca="1">IF(AND(((COLUMN()-10)&lt;=playercnt),((ROW()-41)&lt;=playercnt)),SUMPRODUCT(INDIRECT(ADDRESS(3,ROW()-31,1)):INDIRECT(ADDRESS(22,ROW()-31,1)),BE$3:BE$22),"")</f>
        <v>20</v>
      </c>
      <c r="BF78">
        <f ca="1">IF(AND(((COLUMN()-10)&lt;=playercnt),((ROW()-41)&lt;=playercnt)),SUMPRODUCT(INDIRECT(ADDRESS(3,ROW()-31,1)):INDIRECT(ADDRESS(22,ROW()-31,1)),BF$3:BF$22),"")</f>
        <v>20</v>
      </c>
      <c r="BG78">
        <f ca="1">IF(AND(((COLUMN()-10)&lt;=playercnt),((ROW()-41)&lt;=playercnt)),SUMPRODUCT(INDIRECT(ADDRESS(3,ROW()-31,1)):INDIRECT(ADDRESS(22,ROW()-31,1)),BG$3:BG$22),"")</f>
        <v>20</v>
      </c>
      <c r="BH78">
        <f ca="1">IF(AND(((COLUMN()-10)&lt;=playercnt),((ROW()-41)&lt;=playercnt)),SUMPRODUCT(INDIRECT(ADDRESS(3,ROW()-31,1)):INDIRECT(ADDRESS(22,ROW()-31,1)),BH$3:BH$22),"")</f>
        <v>20</v>
      </c>
      <c r="BI78">
        <f ca="1">IF(AND(((COLUMN()-10)&lt;=playercnt),((ROW()-41)&lt;=playercnt)),SUMPRODUCT(INDIRECT(ADDRESS(3,ROW()-31,1)):INDIRECT(ADDRESS(22,ROW()-31,1)),BI$3:BI$22),"")</f>
        <v>20</v>
      </c>
      <c r="BJ78">
        <f ca="1">IF(AND(((COLUMN()-10)&lt;=playercnt),((ROW()-41)&lt;=playercnt)),SUMPRODUCT(INDIRECT(ADDRESS(3,ROW()-31,1)):INDIRECT(ADDRESS(22,ROW()-31,1)),BJ$3:BJ$22),"")</f>
        <v>20</v>
      </c>
      <c r="BK78">
        <f ca="1">IF(AND(((COLUMN()-10)&lt;=playercnt),((ROW()-41)&lt;=playercnt)),SUMPRODUCT(INDIRECT(ADDRESS(3,ROW()-31,1)):INDIRECT(ADDRESS(22,ROW()-31,1)),BK$3:BK$22),"")</f>
        <v>20</v>
      </c>
      <c r="BL78">
        <f ca="1">IF(AND(((COLUMN()-10)&lt;=playercnt),((ROW()-41)&lt;=playercnt)),SUMPRODUCT(INDIRECT(ADDRESS(3,ROW()-31,1)):INDIRECT(ADDRESS(22,ROW()-31,1)),BL$3:BL$22),"")</f>
        <v>20</v>
      </c>
      <c r="BM78">
        <f ca="1">IF(AND(((COLUMN()-10)&lt;=playercnt),((ROW()-41)&lt;=playercnt)),SUMPRODUCT(INDIRECT(ADDRESS(3,ROW()-31,1)):INDIRECT(ADDRESS(22,ROW()-31,1)),BM$3:BM$22),"")</f>
        <v>20</v>
      </c>
      <c r="BN78">
        <f ca="1">IF(AND(((COLUMN()-10)&lt;=playercnt),((ROW()-41)&lt;=playercnt)),SUMPRODUCT(INDIRECT(ADDRESS(3,ROW()-31,1)):INDIRECT(ADDRESS(22,ROW()-31,1)),BN$3:BN$22),"")</f>
        <v>20</v>
      </c>
      <c r="BO78" t="str">
        <f ca="1">IF(AND(((COLUMN()-10)&lt;=playercnt),((ROW()-41)&lt;=playercnt)),SUMPRODUCT(INDIRECT(ADDRESS(3,ROW()-31,1)):INDIRECT(ADDRESS(22,ROW()-31,1)),BO$3:BO$22),"")</f>
        <v/>
      </c>
    </row>
    <row r="79" spans="2:67" x14ac:dyDescent="0.25">
      <c r="B79" s="27" t="str">
        <f t="shared" ca="1" si="23"/>
        <v/>
      </c>
      <c r="C79" t="e">
        <f t="shared" ca="1" si="24"/>
        <v>#REF!</v>
      </c>
      <c r="G79">
        <f ca="1">IF(AND(((COLUMN()-10)&lt;=playercnt),((ROW()-41)&lt;=playercnt)),SUMPRODUCT(INDIRECT(ADDRESS(3,ROW()-31,1)):INDIRECT(ADDRESS(22,ROW()-31,1)),G$3:G$22),"")</f>
        <v>20</v>
      </c>
      <c r="H79" t="e">
        <f ca="1">IF(AND(((COLUMN()-10)&lt;=playercnt),((ROW()-41)&lt;=playercnt)),SUMPRODUCT(INDIRECT(ADDRESS(3,ROW()-31,1)):INDIRECT(ADDRESS(22,ROW()-31,1)),H$3:H$22),"")</f>
        <v>#REF!</v>
      </c>
      <c r="I79" t="e">
        <f ca="1">IF(AND(((COLUMN()-10)&lt;=playercnt),((ROW()-41)&lt;=playercnt)),SUMPRODUCT(INDIRECT(ADDRESS(3,ROW()-31,1)):INDIRECT(ADDRESS(22,ROW()-31,1)),I$3:I$22),"")</f>
        <v>#REF!</v>
      </c>
      <c r="J79">
        <f ca="1">IF(AND(((COLUMN()-10)&lt;=playercnt),((ROW()-41)&lt;=playercnt)),SUMPRODUCT(INDIRECT(ADDRESS(3,ROW()-31,1)):INDIRECT(ADDRESS(22,ROW()-31,1)),J$3:J$22),"")</f>
        <v>20</v>
      </c>
      <c r="K79">
        <f ca="1">IF(AND(((COLUMN()-10)&lt;=playercnt),((ROW()-41)&lt;=playercnt)),SUMPRODUCT(INDIRECT(ADDRESS(3,ROW()-31,1)):INDIRECT(ADDRESS(22,ROW()-31,1)),K$3:K$22),"")</f>
        <v>20</v>
      </c>
      <c r="L79">
        <f ca="1">IF(AND(((COLUMN()-10)&lt;=playercnt),((ROW()-41)&lt;=playercnt)),SUMPRODUCT(INDIRECT(ADDRESS(3,ROW()-31,1)):INDIRECT(ADDRESS(22,ROW()-31,1)),L$3:L$22),"")</f>
        <v>20</v>
      </c>
      <c r="M79">
        <f ca="1">IF(AND(((COLUMN()-10)&lt;=playercnt),((ROW()-41)&lt;=playercnt)),SUMPRODUCT(INDIRECT(ADDRESS(3,ROW()-31,1)):INDIRECT(ADDRESS(22,ROW()-31,1)),M$3:M$22),"")</f>
        <v>20</v>
      </c>
      <c r="N79">
        <f ca="1">IF(AND(((COLUMN()-10)&lt;=playercnt),((ROW()-41)&lt;=playercnt)),SUMPRODUCT(INDIRECT(ADDRESS(3,ROW()-31,1)):INDIRECT(ADDRESS(22,ROW()-31,1)),N$3:N$22),"")</f>
        <v>20</v>
      </c>
      <c r="O79">
        <f ca="1">IF(AND(((COLUMN()-10)&lt;=playercnt),((ROW()-41)&lt;=playercnt)),SUMPRODUCT(INDIRECT(ADDRESS(3,ROW()-31,1)):INDIRECT(ADDRESS(22,ROW()-31,1)),O$3:O$22),"")</f>
        <v>20</v>
      </c>
      <c r="P79">
        <f ca="1">IF(AND(((COLUMN()-10)&lt;=playercnt),((ROW()-41)&lt;=playercnt)),SUMPRODUCT(INDIRECT(ADDRESS(3,ROW()-31,1)):INDIRECT(ADDRESS(22,ROW()-31,1)),P$3:P$22),"")</f>
        <v>20</v>
      </c>
      <c r="Q79">
        <f ca="1">IF(AND(((COLUMN()-10)&lt;=playercnt),((ROW()-41)&lt;=playercnt)),SUMPRODUCT(INDIRECT(ADDRESS(3,ROW()-31,1)):INDIRECT(ADDRESS(22,ROW()-31,1)),Q$3:Q$22),"")</f>
        <v>20</v>
      </c>
      <c r="R79">
        <f ca="1">IF(AND(((COLUMN()-10)&lt;=playercnt),((ROW()-41)&lt;=playercnt)),SUMPRODUCT(INDIRECT(ADDRESS(3,ROW()-31,1)):INDIRECT(ADDRESS(22,ROW()-31,1)),R$3:R$22),"")</f>
        <v>20</v>
      </c>
      <c r="S79">
        <f ca="1">IF(AND(((COLUMN()-10)&lt;=playercnt),((ROW()-41)&lt;=playercnt)),SUMPRODUCT(INDIRECT(ADDRESS(3,ROW()-31,1)):INDIRECT(ADDRESS(22,ROW()-31,1)),S$3:S$22),"")</f>
        <v>20</v>
      </c>
      <c r="T79">
        <f ca="1">IF(AND(((COLUMN()-10)&lt;=playercnt),((ROW()-41)&lt;=playercnt)),SUMPRODUCT(INDIRECT(ADDRESS(3,ROW()-31,1)):INDIRECT(ADDRESS(22,ROW()-31,1)),T$3:T$22),"")</f>
        <v>20</v>
      </c>
      <c r="U79">
        <f ca="1">IF(AND(((COLUMN()-10)&lt;=playercnt),((ROW()-41)&lt;=playercnt)),SUMPRODUCT(INDIRECT(ADDRESS(3,ROW()-31,1)):INDIRECT(ADDRESS(22,ROW()-31,1)),U$3:U$22),"")</f>
        <v>20</v>
      </c>
      <c r="V79">
        <f ca="1">IF(AND(((COLUMN()-10)&lt;=playercnt),((ROW()-41)&lt;=playercnt)),SUMPRODUCT(INDIRECT(ADDRESS(3,ROW()-31,1)):INDIRECT(ADDRESS(22,ROW()-31,1)),V$3:V$22),"")</f>
        <v>20</v>
      </c>
      <c r="W79">
        <f ca="1">IF(AND(((COLUMN()-10)&lt;=playercnt),((ROW()-41)&lt;=playercnt)),SUMPRODUCT(INDIRECT(ADDRESS(3,ROW()-31,1)):INDIRECT(ADDRESS(22,ROW()-31,1)),W$3:W$22),"")</f>
        <v>20</v>
      </c>
      <c r="X79">
        <f ca="1">IF(AND(((COLUMN()-10)&lt;=playercnt),((ROW()-41)&lt;=playercnt)),SUMPRODUCT(INDIRECT(ADDRESS(3,ROW()-31,1)):INDIRECT(ADDRESS(22,ROW()-31,1)),X$3:X$22),"")</f>
        <v>20</v>
      </c>
      <c r="Y79">
        <f ca="1">IF(AND(((COLUMN()-10)&lt;=playercnt),((ROW()-41)&lt;=playercnt)),SUMPRODUCT(INDIRECT(ADDRESS(3,ROW()-31,1)):INDIRECT(ADDRESS(22,ROW()-31,1)),Y$3:Y$22),"")</f>
        <v>20</v>
      </c>
      <c r="Z79">
        <f ca="1">IF(AND(((COLUMN()-10)&lt;=playercnt),((ROW()-41)&lt;=playercnt)),SUMPRODUCT(INDIRECT(ADDRESS(3,ROW()-31,1)):INDIRECT(ADDRESS(22,ROW()-31,1)),Z$3:Z$22),"")</f>
        <v>20</v>
      </c>
      <c r="AA79">
        <f ca="1">IF(AND(((COLUMN()-10)&lt;=playercnt),((ROW()-41)&lt;=playercnt)),SUMPRODUCT(INDIRECT(ADDRESS(3,ROW()-31,1)):INDIRECT(ADDRESS(22,ROW()-31,1)),AA$3:AA$22),"")</f>
        <v>20</v>
      </c>
      <c r="AB79">
        <f ca="1">IF(AND(((COLUMN()-10)&lt;=playercnt),((ROW()-41)&lt;=playercnt)),SUMPRODUCT(INDIRECT(ADDRESS(3,ROW()-31,1)):INDIRECT(ADDRESS(22,ROW()-31,1)),AB$3:AB$22),"")</f>
        <v>20</v>
      </c>
      <c r="AC79">
        <f ca="1">IF(AND(((COLUMN()-10)&lt;=playercnt),((ROW()-41)&lt;=playercnt)),SUMPRODUCT(INDIRECT(ADDRESS(3,ROW()-31,1)):INDIRECT(ADDRESS(22,ROW()-31,1)),AC$3:AC$22),"")</f>
        <v>20</v>
      </c>
      <c r="AD79">
        <f ca="1">IF(AND(((COLUMN()-10)&lt;=playercnt),((ROW()-41)&lt;=playercnt)),SUMPRODUCT(INDIRECT(ADDRESS(3,ROW()-31,1)):INDIRECT(ADDRESS(22,ROW()-31,1)),AD$3:AD$22),"")</f>
        <v>20</v>
      </c>
      <c r="AE79">
        <f ca="1">IF(AND(((COLUMN()-10)&lt;=playercnt),((ROW()-41)&lt;=playercnt)),SUMPRODUCT(INDIRECT(ADDRESS(3,ROW()-31,1)):INDIRECT(ADDRESS(22,ROW()-31,1)),AE$3:AE$22),"")</f>
        <v>20</v>
      </c>
      <c r="AF79">
        <f ca="1">IF(AND(((COLUMN()-10)&lt;=playercnt),((ROW()-41)&lt;=playercnt)),SUMPRODUCT(INDIRECT(ADDRESS(3,ROW()-31,1)):INDIRECT(ADDRESS(22,ROW()-31,1)),AF$3:AF$22),"")</f>
        <v>20</v>
      </c>
      <c r="AG79">
        <f ca="1">IF(AND(((COLUMN()-10)&lt;=playercnt),((ROW()-41)&lt;=playercnt)),SUMPRODUCT(INDIRECT(ADDRESS(3,ROW()-31,1)):INDIRECT(ADDRESS(22,ROW()-31,1)),AG$3:AG$22),"")</f>
        <v>20</v>
      </c>
      <c r="AH79">
        <f ca="1">IF(AND(((COLUMN()-10)&lt;=playercnt),((ROW()-41)&lt;=playercnt)),SUMPRODUCT(INDIRECT(ADDRESS(3,ROW()-31,1)):INDIRECT(ADDRESS(22,ROW()-31,1)),AH$3:AH$22),"")</f>
        <v>20</v>
      </c>
      <c r="AI79">
        <f ca="1">IF(AND(((COLUMN()-10)&lt;=playercnt),((ROW()-41)&lt;=playercnt)),SUMPRODUCT(INDIRECT(ADDRESS(3,ROW()-31,1)):INDIRECT(ADDRESS(22,ROW()-31,1)),AI$3:AI$22),"")</f>
        <v>20</v>
      </c>
      <c r="AJ79">
        <f ca="1">IF(AND(((COLUMN()-10)&lt;=playercnt),((ROW()-41)&lt;=playercnt)),SUMPRODUCT(INDIRECT(ADDRESS(3,ROW()-31,1)):INDIRECT(ADDRESS(22,ROW()-31,1)),AJ$3:AJ$22),"")</f>
        <v>20</v>
      </c>
      <c r="AK79">
        <f ca="1">IF(AND(((COLUMN()-10)&lt;=playercnt),((ROW()-41)&lt;=playercnt)),SUMPRODUCT(INDIRECT(ADDRESS(3,ROW()-31,1)):INDIRECT(ADDRESS(22,ROW()-31,1)),AK$3:AK$22),"")</f>
        <v>20</v>
      </c>
      <c r="AL79">
        <f ca="1">IF(AND(((COLUMN()-10)&lt;=playercnt),((ROW()-41)&lt;=playercnt)),SUMPRODUCT(INDIRECT(ADDRESS(3,ROW()-31,1)):INDIRECT(ADDRESS(22,ROW()-31,1)),AL$3:AL$22),"")</f>
        <v>20</v>
      </c>
      <c r="AM79">
        <f ca="1">IF(AND(((COLUMN()-10)&lt;=playercnt),((ROW()-41)&lt;=playercnt)),SUMPRODUCT(INDIRECT(ADDRESS(3,ROW()-31,1)):INDIRECT(ADDRESS(22,ROW()-31,1)),AM$3:AM$22),"")</f>
        <v>20</v>
      </c>
      <c r="AN79">
        <f ca="1">IF(AND(((COLUMN()-10)&lt;=playercnt),((ROW()-41)&lt;=playercnt)),SUMPRODUCT(INDIRECT(ADDRESS(3,ROW()-31,1)):INDIRECT(ADDRESS(22,ROW()-31,1)),AN$3:AN$22),"")</f>
        <v>20</v>
      </c>
      <c r="AO79">
        <f ca="1">IF(AND(((COLUMN()-10)&lt;=playercnt),((ROW()-41)&lt;=playercnt)),SUMPRODUCT(INDIRECT(ADDRESS(3,ROW()-31,1)):INDIRECT(ADDRESS(22,ROW()-31,1)),AO$3:AO$22),"")</f>
        <v>20</v>
      </c>
      <c r="AP79">
        <f ca="1">IF(AND(((COLUMN()-10)&lt;=playercnt),((ROW()-41)&lt;=playercnt)),SUMPRODUCT(INDIRECT(ADDRESS(3,ROW()-31,1)):INDIRECT(ADDRESS(22,ROW()-31,1)),AP$3:AP$22),"")</f>
        <v>20</v>
      </c>
      <c r="AQ79">
        <f ca="1">IF(AND(((COLUMN()-10)&lt;=playercnt),((ROW()-41)&lt;=playercnt)),SUMPRODUCT(INDIRECT(ADDRESS(3,ROW()-31,1)):INDIRECT(ADDRESS(22,ROW()-31,1)),AQ$3:AQ$22),"")</f>
        <v>20</v>
      </c>
      <c r="AR79">
        <f ca="1">IF(AND(((COLUMN()-10)&lt;=playercnt),((ROW()-41)&lt;=playercnt)),SUMPRODUCT(INDIRECT(ADDRESS(3,ROW()-31,1)):INDIRECT(ADDRESS(22,ROW()-31,1)),AR$3:AR$22),"")</f>
        <v>20</v>
      </c>
      <c r="AS79">
        <f ca="1">IF(AND(((COLUMN()-10)&lt;=playercnt),((ROW()-41)&lt;=playercnt)),SUMPRODUCT(INDIRECT(ADDRESS(3,ROW()-31,1)):INDIRECT(ADDRESS(22,ROW()-31,1)),AS$3:AS$22),"")</f>
        <v>20</v>
      </c>
      <c r="AT79">
        <f ca="1">IF(AND(((COLUMN()-10)&lt;=playercnt),((ROW()-41)&lt;=playercnt)),SUMPRODUCT(INDIRECT(ADDRESS(3,ROW()-31,1)):INDIRECT(ADDRESS(22,ROW()-31,1)),AT$3:AT$22),"")</f>
        <v>20</v>
      </c>
      <c r="AU79">
        <f ca="1">IF(AND(((COLUMN()-10)&lt;=playercnt),((ROW()-41)&lt;=playercnt)),SUMPRODUCT(INDIRECT(ADDRESS(3,ROW()-31,1)):INDIRECT(ADDRESS(22,ROW()-31,1)),AU$3:AU$22),"")</f>
        <v>20</v>
      </c>
      <c r="AV79">
        <f ca="1">IF(AND(((COLUMN()-10)&lt;=playercnt),((ROW()-41)&lt;=playercnt)),SUMPRODUCT(INDIRECT(ADDRESS(3,ROW()-31,1)):INDIRECT(ADDRESS(22,ROW()-31,1)),AV$3:AV$22),"")</f>
        <v>20</v>
      </c>
      <c r="AW79">
        <f ca="1">IF(AND(((COLUMN()-10)&lt;=playercnt),((ROW()-41)&lt;=playercnt)),SUMPRODUCT(INDIRECT(ADDRESS(3,ROW()-31,1)):INDIRECT(ADDRESS(22,ROW()-31,1)),AW$3:AW$22),"")</f>
        <v>20</v>
      </c>
      <c r="AX79">
        <f ca="1">IF(AND(((COLUMN()-10)&lt;=playercnt),((ROW()-41)&lt;=playercnt)),SUMPRODUCT(INDIRECT(ADDRESS(3,ROW()-31,1)):INDIRECT(ADDRESS(22,ROW()-31,1)),AX$3:AX$22),"")</f>
        <v>20</v>
      </c>
      <c r="AY79">
        <f ca="1">IF(AND(((COLUMN()-10)&lt;=playercnt),((ROW()-41)&lt;=playercnt)),SUMPRODUCT(INDIRECT(ADDRESS(3,ROW()-31,1)):INDIRECT(ADDRESS(22,ROW()-31,1)),AY$3:AY$22),"")</f>
        <v>20</v>
      </c>
      <c r="AZ79">
        <f ca="1">IF(AND(((COLUMN()-10)&lt;=playercnt),((ROW()-41)&lt;=playercnt)),SUMPRODUCT(INDIRECT(ADDRESS(3,ROW()-31,1)):INDIRECT(ADDRESS(22,ROW()-31,1)),AZ$3:AZ$22),"")</f>
        <v>20</v>
      </c>
      <c r="BA79">
        <f ca="1">IF(AND(((COLUMN()-10)&lt;=playercnt),((ROW()-41)&lt;=playercnt)),SUMPRODUCT(INDIRECT(ADDRESS(3,ROW()-31,1)):INDIRECT(ADDRESS(22,ROW()-31,1)),BA$3:BA$22),"")</f>
        <v>20</v>
      </c>
      <c r="BB79">
        <f ca="1">IF(AND(((COLUMN()-10)&lt;=playercnt),((ROW()-41)&lt;=playercnt)),SUMPRODUCT(INDIRECT(ADDRESS(3,ROW()-31,1)):INDIRECT(ADDRESS(22,ROW()-31,1)),BB$3:BB$22),"")</f>
        <v>20</v>
      </c>
      <c r="BC79">
        <f ca="1">IF(AND(((COLUMN()-10)&lt;=playercnt),((ROW()-41)&lt;=playercnt)),SUMPRODUCT(INDIRECT(ADDRESS(3,ROW()-31,1)):INDIRECT(ADDRESS(22,ROW()-31,1)),BC$3:BC$22),"")</f>
        <v>20</v>
      </c>
      <c r="BD79">
        <f ca="1">IF(AND(((COLUMN()-10)&lt;=playercnt),((ROW()-41)&lt;=playercnt)),SUMPRODUCT(INDIRECT(ADDRESS(3,ROW()-31,1)):INDIRECT(ADDRESS(22,ROW()-31,1)),BD$3:BD$22),"")</f>
        <v>20</v>
      </c>
      <c r="BE79">
        <f ca="1">IF(AND(((COLUMN()-10)&lt;=playercnt),((ROW()-41)&lt;=playercnt)),SUMPRODUCT(INDIRECT(ADDRESS(3,ROW()-31,1)):INDIRECT(ADDRESS(22,ROW()-31,1)),BE$3:BE$22),"")</f>
        <v>20</v>
      </c>
      <c r="BF79">
        <f ca="1">IF(AND(((COLUMN()-10)&lt;=playercnt),((ROW()-41)&lt;=playercnt)),SUMPRODUCT(INDIRECT(ADDRESS(3,ROW()-31,1)):INDIRECT(ADDRESS(22,ROW()-31,1)),BF$3:BF$22),"")</f>
        <v>20</v>
      </c>
      <c r="BG79">
        <f ca="1">IF(AND(((COLUMN()-10)&lt;=playercnt),((ROW()-41)&lt;=playercnt)),SUMPRODUCT(INDIRECT(ADDRESS(3,ROW()-31,1)):INDIRECT(ADDRESS(22,ROW()-31,1)),BG$3:BG$22),"")</f>
        <v>20</v>
      </c>
      <c r="BH79">
        <f ca="1">IF(AND(((COLUMN()-10)&lt;=playercnt),((ROW()-41)&lt;=playercnt)),SUMPRODUCT(INDIRECT(ADDRESS(3,ROW()-31,1)):INDIRECT(ADDRESS(22,ROW()-31,1)),BH$3:BH$22),"")</f>
        <v>20</v>
      </c>
      <c r="BI79">
        <f ca="1">IF(AND(((COLUMN()-10)&lt;=playercnt),((ROW()-41)&lt;=playercnt)),SUMPRODUCT(INDIRECT(ADDRESS(3,ROW()-31,1)):INDIRECT(ADDRESS(22,ROW()-31,1)),BI$3:BI$22),"")</f>
        <v>20</v>
      </c>
      <c r="BJ79">
        <f ca="1">IF(AND(((COLUMN()-10)&lt;=playercnt),((ROW()-41)&lt;=playercnt)),SUMPRODUCT(INDIRECT(ADDRESS(3,ROW()-31,1)):INDIRECT(ADDRESS(22,ROW()-31,1)),BJ$3:BJ$22),"")</f>
        <v>20</v>
      </c>
      <c r="BK79">
        <f ca="1">IF(AND(((COLUMN()-10)&lt;=playercnt),((ROW()-41)&lt;=playercnt)),SUMPRODUCT(INDIRECT(ADDRESS(3,ROW()-31,1)):INDIRECT(ADDRESS(22,ROW()-31,1)),BK$3:BK$22),"")</f>
        <v>20</v>
      </c>
      <c r="BL79">
        <f ca="1">IF(AND(((COLUMN()-10)&lt;=playercnt),((ROW()-41)&lt;=playercnt)),SUMPRODUCT(INDIRECT(ADDRESS(3,ROW()-31,1)):INDIRECT(ADDRESS(22,ROW()-31,1)),BL$3:BL$22),"")</f>
        <v>20</v>
      </c>
      <c r="BM79">
        <f ca="1">IF(AND(((COLUMN()-10)&lt;=playercnt),((ROW()-41)&lt;=playercnt)),SUMPRODUCT(INDIRECT(ADDRESS(3,ROW()-31,1)):INDIRECT(ADDRESS(22,ROW()-31,1)),BM$3:BM$22),"")</f>
        <v>20</v>
      </c>
      <c r="BN79">
        <f ca="1">IF(AND(((COLUMN()-10)&lt;=playercnt),((ROW()-41)&lt;=playercnt)),SUMPRODUCT(INDIRECT(ADDRESS(3,ROW()-31,1)):INDIRECT(ADDRESS(22,ROW()-31,1)),BN$3:BN$22),"")</f>
        <v>20</v>
      </c>
      <c r="BO79" t="str">
        <f ca="1">IF(AND(((COLUMN()-10)&lt;=playercnt),((ROW()-41)&lt;=playercnt)),SUMPRODUCT(INDIRECT(ADDRESS(3,ROW()-31,1)):INDIRECT(ADDRESS(22,ROW()-31,1)),BO$3:BO$22),"")</f>
        <v/>
      </c>
    </row>
    <row r="80" spans="2:67" x14ac:dyDescent="0.25">
      <c r="B80" s="27" t="str">
        <f t="shared" ca="1" si="23"/>
        <v/>
      </c>
      <c r="C80" t="e">
        <f t="shared" ca="1" si="24"/>
        <v>#REF!</v>
      </c>
      <c r="G80">
        <f ca="1">IF(AND(((COLUMN()-10)&lt;=playercnt),((ROW()-41)&lt;=playercnt)),SUMPRODUCT(INDIRECT(ADDRESS(3,ROW()-31,1)):INDIRECT(ADDRESS(22,ROW()-31,1)),G$3:G$22),"")</f>
        <v>20</v>
      </c>
      <c r="H80" t="e">
        <f ca="1">IF(AND(((COLUMN()-10)&lt;=playercnt),((ROW()-41)&lt;=playercnt)),SUMPRODUCT(INDIRECT(ADDRESS(3,ROW()-31,1)):INDIRECT(ADDRESS(22,ROW()-31,1)),H$3:H$22),"")</f>
        <v>#REF!</v>
      </c>
      <c r="I80" t="e">
        <f ca="1">IF(AND(((COLUMN()-10)&lt;=playercnt),((ROW()-41)&lt;=playercnt)),SUMPRODUCT(INDIRECT(ADDRESS(3,ROW()-31,1)):INDIRECT(ADDRESS(22,ROW()-31,1)),I$3:I$22),"")</f>
        <v>#REF!</v>
      </c>
      <c r="J80">
        <f ca="1">IF(AND(((COLUMN()-10)&lt;=playercnt),((ROW()-41)&lt;=playercnt)),SUMPRODUCT(INDIRECT(ADDRESS(3,ROW()-31,1)):INDIRECT(ADDRESS(22,ROW()-31,1)),J$3:J$22),"")</f>
        <v>20</v>
      </c>
      <c r="K80">
        <f ca="1">IF(AND(((COLUMN()-10)&lt;=playercnt),((ROW()-41)&lt;=playercnt)),SUMPRODUCT(INDIRECT(ADDRESS(3,ROW()-31,1)):INDIRECT(ADDRESS(22,ROW()-31,1)),K$3:K$22),"")</f>
        <v>20</v>
      </c>
      <c r="L80">
        <f ca="1">IF(AND(((COLUMN()-10)&lt;=playercnt),((ROW()-41)&lt;=playercnt)),SUMPRODUCT(INDIRECT(ADDRESS(3,ROW()-31,1)):INDIRECT(ADDRESS(22,ROW()-31,1)),L$3:L$22),"")</f>
        <v>20</v>
      </c>
      <c r="M80">
        <f ca="1">IF(AND(((COLUMN()-10)&lt;=playercnt),((ROW()-41)&lt;=playercnt)),SUMPRODUCT(INDIRECT(ADDRESS(3,ROW()-31,1)):INDIRECT(ADDRESS(22,ROW()-31,1)),M$3:M$22),"")</f>
        <v>20</v>
      </c>
      <c r="N80">
        <f ca="1">IF(AND(((COLUMN()-10)&lt;=playercnt),((ROW()-41)&lt;=playercnt)),SUMPRODUCT(INDIRECT(ADDRESS(3,ROW()-31,1)):INDIRECT(ADDRESS(22,ROW()-31,1)),N$3:N$22),"")</f>
        <v>20</v>
      </c>
      <c r="O80">
        <f ca="1">IF(AND(((COLUMN()-10)&lt;=playercnt),((ROW()-41)&lt;=playercnt)),SUMPRODUCT(INDIRECT(ADDRESS(3,ROW()-31,1)):INDIRECT(ADDRESS(22,ROW()-31,1)),O$3:O$22),"")</f>
        <v>20</v>
      </c>
      <c r="P80">
        <f ca="1">IF(AND(((COLUMN()-10)&lt;=playercnt),((ROW()-41)&lt;=playercnt)),SUMPRODUCT(INDIRECT(ADDRESS(3,ROW()-31,1)):INDIRECT(ADDRESS(22,ROW()-31,1)),P$3:P$22),"")</f>
        <v>20</v>
      </c>
      <c r="Q80">
        <f ca="1">IF(AND(((COLUMN()-10)&lt;=playercnt),((ROW()-41)&lt;=playercnt)),SUMPRODUCT(INDIRECT(ADDRESS(3,ROW()-31,1)):INDIRECT(ADDRESS(22,ROW()-31,1)),Q$3:Q$22),"")</f>
        <v>20</v>
      </c>
      <c r="R80">
        <f ca="1">IF(AND(((COLUMN()-10)&lt;=playercnt),((ROW()-41)&lt;=playercnt)),SUMPRODUCT(INDIRECT(ADDRESS(3,ROW()-31,1)):INDIRECT(ADDRESS(22,ROW()-31,1)),R$3:R$22),"")</f>
        <v>20</v>
      </c>
      <c r="S80">
        <f ca="1">IF(AND(((COLUMN()-10)&lt;=playercnt),((ROW()-41)&lt;=playercnt)),SUMPRODUCT(INDIRECT(ADDRESS(3,ROW()-31,1)):INDIRECT(ADDRESS(22,ROW()-31,1)),S$3:S$22),"")</f>
        <v>20</v>
      </c>
      <c r="T80">
        <f ca="1">IF(AND(((COLUMN()-10)&lt;=playercnt),((ROW()-41)&lt;=playercnt)),SUMPRODUCT(INDIRECT(ADDRESS(3,ROW()-31,1)):INDIRECT(ADDRESS(22,ROW()-31,1)),T$3:T$22),"")</f>
        <v>20</v>
      </c>
      <c r="U80">
        <f ca="1">IF(AND(((COLUMN()-10)&lt;=playercnt),((ROW()-41)&lt;=playercnt)),SUMPRODUCT(INDIRECT(ADDRESS(3,ROW()-31,1)):INDIRECT(ADDRESS(22,ROW()-31,1)),U$3:U$22),"")</f>
        <v>20</v>
      </c>
      <c r="V80">
        <f ca="1">IF(AND(((COLUMN()-10)&lt;=playercnt),((ROW()-41)&lt;=playercnt)),SUMPRODUCT(INDIRECT(ADDRESS(3,ROW()-31,1)):INDIRECT(ADDRESS(22,ROW()-31,1)),V$3:V$22),"")</f>
        <v>20</v>
      </c>
      <c r="W80">
        <f ca="1">IF(AND(((COLUMN()-10)&lt;=playercnt),((ROW()-41)&lt;=playercnt)),SUMPRODUCT(INDIRECT(ADDRESS(3,ROW()-31,1)):INDIRECT(ADDRESS(22,ROW()-31,1)),W$3:W$22),"")</f>
        <v>20</v>
      </c>
      <c r="X80">
        <f ca="1">IF(AND(((COLUMN()-10)&lt;=playercnt),((ROW()-41)&lt;=playercnt)),SUMPRODUCT(INDIRECT(ADDRESS(3,ROW()-31,1)):INDIRECT(ADDRESS(22,ROW()-31,1)),X$3:X$22),"")</f>
        <v>20</v>
      </c>
      <c r="Y80">
        <f ca="1">IF(AND(((COLUMN()-10)&lt;=playercnt),((ROW()-41)&lt;=playercnt)),SUMPRODUCT(INDIRECT(ADDRESS(3,ROW()-31,1)):INDIRECT(ADDRESS(22,ROW()-31,1)),Y$3:Y$22),"")</f>
        <v>20</v>
      </c>
      <c r="Z80">
        <f ca="1">IF(AND(((COLUMN()-10)&lt;=playercnt),((ROW()-41)&lt;=playercnt)),SUMPRODUCT(INDIRECT(ADDRESS(3,ROW()-31,1)):INDIRECT(ADDRESS(22,ROW()-31,1)),Z$3:Z$22),"")</f>
        <v>20</v>
      </c>
      <c r="AA80">
        <f ca="1">IF(AND(((COLUMN()-10)&lt;=playercnt),((ROW()-41)&lt;=playercnt)),SUMPRODUCT(INDIRECT(ADDRESS(3,ROW()-31,1)):INDIRECT(ADDRESS(22,ROW()-31,1)),AA$3:AA$22),"")</f>
        <v>20</v>
      </c>
      <c r="AB80">
        <f ca="1">IF(AND(((COLUMN()-10)&lt;=playercnt),((ROW()-41)&lt;=playercnt)),SUMPRODUCT(INDIRECT(ADDRESS(3,ROW()-31,1)):INDIRECT(ADDRESS(22,ROW()-31,1)),AB$3:AB$22),"")</f>
        <v>20</v>
      </c>
      <c r="AC80">
        <f ca="1">IF(AND(((COLUMN()-10)&lt;=playercnt),((ROW()-41)&lt;=playercnt)),SUMPRODUCT(INDIRECT(ADDRESS(3,ROW()-31,1)):INDIRECT(ADDRESS(22,ROW()-31,1)),AC$3:AC$22),"")</f>
        <v>20</v>
      </c>
      <c r="AD80">
        <f ca="1">IF(AND(((COLUMN()-10)&lt;=playercnt),((ROW()-41)&lt;=playercnt)),SUMPRODUCT(INDIRECT(ADDRESS(3,ROW()-31,1)):INDIRECT(ADDRESS(22,ROW()-31,1)),AD$3:AD$22),"")</f>
        <v>20</v>
      </c>
      <c r="AE80">
        <f ca="1">IF(AND(((COLUMN()-10)&lt;=playercnt),((ROW()-41)&lt;=playercnt)),SUMPRODUCT(INDIRECT(ADDRESS(3,ROW()-31,1)):INDIRECT(ADDRESS(22,ROW()-31,1)),AE$3:AE$22),"")</f>
        <v>20</v>
      </c>
      <c r="AF80">
        <f ca="1">IF(AND(((COLUMN()-10)&lt;=playercnt),((ROW()-41)&lt;=playercnt)),SUMPRODUCT(INDIRECT(ADDRESS(3,ROW()-31,1)):INDIRECT(ADDRESS(22,ROW()-31,1)),AF$3:AF$22),"")</f>
        <v>20</v>
      </c>
      <c r="AG80">
        <f ca="1">IF(AND(((COLUMN()-10)&lt;=playercnt),((ROW()-41)&lt;=playercnt)),SUMPRODUCT(INDIRECT(ADDRESS(3,ROW()-31,1)):INDIRECT(ADDRESS(22,ROW()-31,1)),AG$3:AG$22),"")</f>
        <v>20</v>
      </c>
      <c r="AH80">
        <f ca="1">IF(AND(((COLUMN()-10)&lt;=playercnt),((ROW()-41)&lt;=playercnt)),SUMPRODUCT(INDIRECT(ADDRESS(3,ROW()-31,1)):INDIRECT(ADDRESS(22,ROW()-31,1)),AH$3:AH$22),"")</f>
        <v>20</v>
      </c>
      <c r="AI80">
        <f ca="1">IF(AND(((COLUMN()-10)&lt;=playercnt),((ROW()-41)&lt;=playercnt)),SUMPRODUCT(INDIRECT(ADDRESS(3,ROW()-31,1)):INDIRECT(ADDRESS(22,ROW()-31,1)),AI$3:AI$22),"")</f>
        <v>20</v>
      </c>
      <c r="AJ80">
        <f ca="1">IF(AND(((COLUMN()-10)&lt;=playercnt),((ROW()-41)&lt;=playercnt)),SUMPRODUCT(INDIRECT(ADDRESS(3,ROW()-31,1)):INDIRECT(ADDRESS(22,ROW()-31,1)),AJ$3:AJ$22),"")</f>
        <v>20</v>
      </c>
      <c r="AK80">
        <f ca="1">IF(AND(((COLUMN()-10)&lt;=playercnt),((ROW()-41)&lt;=playercnt)),SUMPRODUCT(INDIRECT(ADDRESS(3,ROW()-31,1)):INDIRECT(ADDRESS(22,ROW()-31,1)),AK$3:AK$22),"")</f>
        <v>20</v>
      </c>
      <c r="AL80">
        <f ca="1">IF(AND(((COLUMN()-10)&lt;=playercnt),((ROW()-41)&lt;=playercnt)),SUMPRODUCT(INDIRECT(ADDRESS(3,ROW()-31,1)):INDIRECT(ADDRESS(22,ROW()-31,1)),AL$3:AL$22),"")</f>
        <v>20</v>
      </c>
      <c r="AM80">
        <f ca="1">IF(AND(((COLUMN()-10)&lt;=playercnt),((ROW()-41)&lt;=playercnt)),SUMPRODUCT(INDIRECT(ADDRESS(3,ROW()-31,1)):INDIRECT(ADDRESS(22,ROW()-31,1)),AM$3:AM$22),"")</f>
        <v>20</v>
      </c>
      <c r="AN80">
        <f ca="1">IF(AND(((COLUMN()-10)&lt;=playercnt),((ROW()-41)&lt;=playercnt)),SUMPRODUCT(INDIRECT(ADDRESS(3,ROW()-31,1)):INDIRECT(ADDRESS(22,ROW()-31,1)),AN$3:AN$22),"")</f>
        <v>20</v>
      </c>
      <c r="AO80">
        <f ca="1">IF(AND(((COLUMN()-10)&lt;=playercnt),((ROW()-41)&lt;=playercnt)),SUMPRODUCT(INDIRECT(ADDRESS(3,ROW()-31,1)):INDIRECT(ADDRESS(22,ROW()-31,1)),AO$3:AO$22),"")</f>
        <v>20</v>
      </c>
      <c r="AP80">
        <f ca="1">IF(AND(((COLUMN()-10)&lt;=playercnt),((ROW()-41)&lt;=playercnt)),SUMPRODUCT(INDIRECT(ADDRESS(3,ROW()-31,1)):INDIRECT(ADDRESS(22,ROW()-31,1)),AP$3:AP$22),"")</f>
        <v>20</v>
      </c>
      <c r="AQ80">
        <f ca="1">IF(AND(((COLUMN()-10)&lt;=playercnt),((ROW()-41)&lt;=playercnt)),SUMPRODUCT(INDIRECT(ADDRESS(3,ROW()-31,1)):INDIRECT(ADDRESS(22,ROW()-31,1)),AQ$3:AQ$22),"")</f>
        <v>20</v>
      </c>
      <c r="AR80">
        <f ca="1">IF(AND(((COLUMN()-10)&lt;=playercnt),((ROW()-41)&lt;=playercnt)),SUMPRODUCT(INDIRECT(ADDRESS(3,ROW()-31,1)):INDIRECT(ADDRESS(22,ROW()-31,1)),AR$3:AR$22),"")</f>
        <v>20</v>
      </c>
      <c r="AS80">
        <f ca="1">IF(AND(((COLUMN()-10)&lt;=playercnt),((ROW()-41)&lt;=playercnt)),SUMPRODUCT(INDIRECT(ADDRESS(3,ROW()-31,1)):INDIRECT(ADDRESS(22,ROW()-31,1)),AS$3:AS$22),"")</f>
        <v>20</v>
      </c>
      <c r="AT80">
        <f ca="1">IF(AND(((COLUMN()-10)&lt;=playercnt),((ROW()-41)&lt;=playercnt)),SUMPRODUCT(INDIRECT(ADDRESS(3,ROW()-31,1)):INDIRECT(ADDRESS(22,ROW()-31,1)),AT$3:AT$22),"")</f>
        <v>20</v>
      </c>
      <c r="AU80">
        <f ca="1">IF(AND(((COLUMN()-10)&lt;=playercnt),((ROW()-41)&lt;=playercnt)),SUMPRODUCT(INDIRECT(ADDRESS(3,ROW()-31,1)):INDIRECT(ADDRESS(22,ROW()-31,1)),AU$3:AU$22),"")</f>
        <v>20</v>
      </c>
      <c r="AV80">
        <f ca="1">IF(AND(((COLUMN()-10)&lt;=playercnt),((ROW()-41)&lt;=playercnt)),SUMPRODUCT(INDIRECT(ADDRESS(3,ROW()-31,1)):INDIRECT(ADDRESS(22,ROW()-31,1)),AV$3:AV$22),"")</f>
        <v>20</v>
      </c>
      <c r="AW80">
        <f ca="1">IF(AND(((COLUMN()-10)&lt;=playercnt),((ROW()-41)&lt;=playercnt)),SUMPRODUCT(INDIRECT(ADDRESS(3,ROW()-31,1)):INDIRECT(ADDRESS(22,ROW()-31,1)),AW$3:AW$22),"")</f>
        <v>20</v>
      </c>
      <c r="AX80">
        <f ca="1">IF(AND(((COLUMN()-10)&lt;=playercnt),((ROW()-41)&lt;=playercnt)),SUMPRODUCT(INDIRECT(ADDRESS(3,ROW()-31,1)):INDIRECT(ADDRESS(22,ROW()-31,1)),AX$3:AX$22),"")</f>
        <v>20</v>
      </c>
      <c r="AY80">
        <f ca="1">IF(AND(((COLUMN()-10)&lt;=playercnt),((ROW()-41)&lt;=playercnt)),SUMPRODUCT(INDIRECT(ADDRESS(3,ROW()-31,1)):INDIRECT(ADDRESS(22,ROW()-31,1)),AY$3:AY$22),"")</f>
        <v>20</v>
      </c>
      <c r="AZ80">
        <f ca="1">IF(AND(((COLUMN()-10)&lt;=playercnt),((ROW()-41)&lt;=playercnt)),SUMPRODUCT(INDIRECT(ADDRESS(3,ROW()-31,1)):INDIRECT(ADDRESS(22,ROW()-31,1)),AZ$3:AZ$22),"")</f>
        <v>20</v>
      </c>
      <c r="BA80">
        <f ca="1">IF(AND(((COLUMN()-10)&lt;=playercnt),((ROW()-41)&lt;=playercnt)),SUMPRODUCT(INDIRECT(ADDRESS(3,ROW()-31,1)):INDIRECT(ADDRESS(22,ROW()-31,1)),BA$3:BA$22),"")</f>
        <v>20</v>
      </c>
      <c r="BB80">
        <f ca="1">IF(AND(((COLUMN()-10)&lt;=playercnt),((ROW()-41)&lt;=playercnt)),SUMPRODUCT(INDIRECT(ADDRESS(3,ROW()-31,1)):INDIRECT(ADDRESS(22,ROW()-31,1)),BB$3:BB$22),"")</f>
        <v>20</v>
      </c>
      <c r="BC80">
        <f ca="1">IF(AND(((COLUMN()-10)&lt;=playercnt),((ROW()-41)&lt;=playercnt)),SUMPRODUCT(INDIRECT(ADDRESS(3,ROW()-31,1)):INDIRECT(ADDRESS(22,ROW()-31,1)),BC$3:BC$22),"")</f>
        <v>20</v>
      </c>
      <c r="BD80">
        <f ca="1">IF(AND(((COLUMN()-10)&lt;=playercnt),((ROW()-41)&lt;=playercnt)),SUMPRODUCT(INDIRECT(ADDRESS(3,ROW()-31,1)):INDIRECT(ADDRESS(22,ROW()-31,1)),BD$3:BD$22),"")</f>
        <v>20</v>
      </c>
      <c r="BE80">
        <f ca="1">IF(AND(((COLUMN()-10)&lt;=playercnt),((ROW()-41)&lt;=playercnt)),SUMPRODUCT(INDIRECT(ADDRESS(3,ROW()-31,1)):INDIRECT(ADDRESS(22,ROW()-31,1)),BE$3:BE$22),"")</f>
        <v>20</v>
      </c>
      <c r="BF80">
        <f ca="1">IF(AND(((COLUMN()-10)&lt;=playercnt),((ROW()-41)&lt;=playercnt)),SUMPRODUCT(INDIRECT(ADDRESS(3,ROW()-31,1)):INDIRECT(ADDRESS(22,ROW()-31,1)),BF$3:BF$22),"")</f>
        <v>20</v>
      </c>
      <c r="BG80">
        <f ca="1">IF(AND(((COLUMN()-10)&lt;=playercnt),((ROW()-41)&lt;=playercnt)),SUMPRODUCT(INDIRECT(ADDRESS(3,ROW()-31,1)):INDIRECT(ADDRESS(22,ROW()-31,1)),BG$3:BG$22),"")</f>
        <v>20</v>
      </c>
      <c r="BH80">
        <f ca="1">IF(AND(((COLUMN()-10)&lt;=playercnt),((ROW()-41)&lt;=playercnt)),SUMPRODUCT(INDIRECT(ADDRESS(3,ROW()-31,1)):INDIRECT(ADDRESS(22,ROW()-31,1)),BH$3:BH$22),"")</f>
        <v>20</v>
      </c>
      <c r="BI80">
        <f ca="1">IF(AND(((COLUMN()-10)&lt;=playercnt),((ROW()-41)&lt;=playercnt)),SUMPRODUCT(INDIRECT(ADDRESS(3,ROW()-31,1)):INDIRECT(ADDRESS(22,ROW()-31,1)),BI$3:BI$22),"")</f>
        <v>20</v>
      </c>
      <c r="BJ80">
        <f ca="1">IF(AND(((COLUMN()-10)&lt;=playercnt),((ROW()-41)&lt;=playercnt)),SUMPRODUCT(INDIRECT(ADDRESS(3,ROW()-31,1)):INDIRECT(ADDRESS(22,ROW()-31,1)),BJ$3:BJ$22),"")</f>
        <v>20</v>
      </c>
      <c r="BK80">
        <f ca="1">IF(AND(((COLUMN()-10)&lt;=playercnt),((ROW()-41)&lt;=playercnt)),SUMPRODUCT(INDIRECT(ADDRESS(3,ROW()-31,1)):INDIRECT(ADDRESS(22,ROW()-31,1)),BK$3:BK$22),"")</f>
        <v>20</v>
      </c>
      <c r="BL80">
        <f ca="1">IF(AND(((COLUMN()-10)&lt;=playercnt),((ROW()-41)&lt;=playercnt)),SUMPRODUCT(INDIRECT(ADDRESS(3,ROW()-31,1)):INDIRECT(ADDRESS(22,ROW()-31,1)),BL$3:BL$22),"")</f>
        <v>20</v>
      </c>
      <c r="BM80">
        <f ca="1">IF(AND(((COLUMN()-10)&lt;=playercnt),((ROW()-41)&lt;=playercnt)),SUMPRODUCT(INDIRECT(ADDRESS(3,ROW()-31,1)):INDIRECT(ADDRESS(22,ROW()-31,1)),BM$3:BM$22),"")</f>
        <v>20</v>
      </c>
      <c r="BN80">
        <f ca="1">IF(AND(((COLUMN()-10)&lt;=playercnt),((ROW()-41)&lt;=playercnt)),SUMPRODUCT(INDIRECT(ADDRESS(3,ROW()-31,1)):INDIRECT(ADDRESS(22,ROW()-31,1)),BN$3:BN$22),"")</f>
        <v>20</v>
      </c>
      <c r="BO80" t="str">
        <f ca="1">IF(AND(((COLUMN()-10)&lt;=playercnt),((ROW()-41)&lt;=playercnt)),SUMPRODUCT(INDIRECT(ADDRESS(3,ROW()-31,1)):INDIRECT(ADDRESS(22,ROW()-31,1)),BO$3:BO$22),"")</f>
        <v/>
      </c>
    </row>
    <row r="81" spans="2:67" x14ac:dyDescent="0.25">
      <c r="B81" s="27" t="str">
        <f t="shared" ca="1" si="23"/>
        <v/>
      </c>
      <c r="C81" t="e">
        <f t="shared" ca="1" si="24"/>
        <v>#REF!</v>
      </c>
      <c r="G81">
        <f ca="1">IF(AND(((COLUMN()-10)&lt;=playercnt),((ROW()-41)&lt;=playercnt)),SUMPRODUCT(INDIRECT(ADDRESS(3,ROW()-31,1)):INDIRECT(ADDRESS(22,ROW()-31,1)),G$3:G$22),"")</f>
        <v>20</v>
      </c>
      <c r="H81" t="e">
        <f ca="1">IF(AND(((COLUMN()-10)&lt;=playercnt),((ROW()-41)&lt;=playercnt)),SUMPRODUCT(INDIRECT(ADDRESS(3,ROW()-31,1)):INDIRECT(ADDRESS(22,ROW()-31,1)),H$3:H$22),"")</f>
        <v>#REF!</v>
      </c>
      <c r="I81" t="e">
        <f ca="1">IF(AND(((COLUMN()-10)&lt;=playercnt),((ROW()-41)&lt;=playercnt)),SUMPRODUCT(INDIRECT(ADDRESS(3,ROW()-31,1)):INDIRECT(ADDRESS(22,ROW()-31,1)),I$3:I$22),"")</f>
        <v>#REF!</v>
      </c>
      <c r="J81">
        <f ca="1">IF(AND(((COLUMN()-10)&lt;=playercnt),((ROW()-41)&lt;=playercnt)),SUMPRODUCT(INDIRECT(ADDRESS(3,ROW()-31,1)):INDIRECT(ADDRESS(22,ROW()-31,1)),J$3:J$22),"")</f>
        <v>20</v>
      </c>
      <c r="K81">
        <f ca="1">IF(AND(((COLUMN()-10)&lt;=playercnt),((ROW()-41)&lt;=playercnt)),SUMPRODUCT(INDIRECT(ADDRESS(3,ROW()-31,1)):INDIRECT(ADDRESS(22,ROW()-31,1)),K$3:K$22),"")</f>
        <v>20</v>
      </c>
      <c r="L81">
        <f ca="1">IF(AND(((COLUMN()-10)&lt;=playercnt),((ROW()-41)&lt;=playercnt)),SUMPRODUCT(INDIRECT(ADDRESS(3,ROW()-31,1)):INDIRECT(ADDRESS(22,ROW()-31,1)),L$3:L$22),"")</f>
        <v>20</v>
      </c>
      <c r="M81">
        <f ca="1">IF(AND(((COLUMN()-10)&lt;=playercnt),((ROW()-41)&lt;=playercnt)),SUMPRODUCT(INDIRECT(ADDRESS(3,ROW()-31,1)):INDIRECT(ADDRESS(22,ROW()-31,1)),M$3:M$22),"")</f>
        <v>20</v>
      </c>
      <c r="N81">
        <f ca="1">IF(AND(((COLUMN()-10)&lt;=playercnt),((ROW()-41)&lt;=playercnt)),SUMPRODUCT(INDIRECT(ADDRESS(3,ROW()-31,1)):INDIRECT(ADDRESS(22,ROW()-31,1)),N$3:N$22),"")</f>
        <v>20</v>
      </c>
      <c r="O81">
        <f ca="1">IF(AND(((COLUMN()-10)&lt;=playercnt),((ROW()-41)&lt;=playercnt)),SUMPRODUCT(INDIRECT(ADDRESS(3,ROW()-31,1)):INDIRECT(ADDRESS(22,ROW()-31,1)),O$3:O$22),"")</f>
        <v>20</v>
      </c>
      <c r="P81">
        <f ca="1">IF(AND(((COLUMN()-10)&lt;=playercnt),((ROW()-41)&lt;=playercnt)),SUMPRODUCT(INDIRECT(ADDRESS(3,ROW()-31,1)):INDIRECT(ADDRESS(22,ROW()-31,1)),P$3:P$22),"")</f>
        <v>20</v>
      </c>
      <c r="Q81">
        <f ca="1">IF(AND(((COLUMN()-10)&lt;=playercnt),((ROW()-41)&lt;=playercnt)),SUMPRODUCT(INDIRECT(ADDRESS(3,ROW()-31,1)):INDIRECT(ADDRESS(22,ROW()-31,1)),Q$3:Q$22),"")</f>
        <v>20</v>
      </c>
      <c r="R81">
        <f ca="1">IF(AND(((COLUMN()-10)&lt;=playercnt),((ROW()-41)&lt;=playercnt)),SUMPRODUCT(INDIRECT(ADDRESS(3,ROW()-31,1)):INDIRECT(ADDRESS(22,ROW()-31,1)),R$3:R$22),"")</f>
        <v>20</v>
      </c>
      <c r="S81">
        <f ca="1">IF(AND(((COLUMN()-10)&lt;=playercnt),((ROW()-41)&lt;=playercnt)),SUMPRODUCT(INDIRECT(ADDRESS(3,ROW()-31,1)):INDIRECT(ADDRESS(22,ROW()-31,1)),S$3:S$22),"")</f>
        <v>20</v>
      </c>
      <c r="T81">
        <f ca="1">IF(AND(((COLUMN()-10)&lt;=playercnt),((ROW()-41)&lt;=playercnt)),SUMPRODUCT(INDIRECT(ADDRESS(3,ROW()-31,1)):INDIRECT(ADDRESS(22,ROW()-31,1)),T$3:T$22),"")</f>
        <v>20</v>
      </c>
      <c r="U81">
        <f ca="1">IF(AND(((COLUMN()-10)&lt;=playercnt),((ROW()-41)&lt;=playercnt)),SUMPRODUCT(INDIRECT(ADDRESS(3,ROW()-31,1)):INDIRECT(ADDRESS(22,ROW()-31,1)),U$3:U$22),"")</f>
        <v>20</v>
      </c>
      <c r="V81">
        <f ca="1">IF(AND(((COLUMN()-10)&lt;=playercnt),((ROW()-41)&lt;=playercnt)),SUMPRODUCT(INDIRECT(ADDRESS(3,ROW()-31,1)):INDIRECT(ADDRESS(22,ROW()-31,1)),V$3:V$22),"")</f>
        <v>20</v>
      </c>
      <c r="W81">
        <f ca="1">IF(AND(((COLUMN()-10)&lt;=playercnt),((ROW()-41)&lt;=playercnt)),SUMPRODUCT(INDIRECT(ADDRESS(3,ROW()-31,1)):INDIRECT(ADDRESS(22,ROW()-31,1)),W$3:W$22),"")</f>
        <v>20</v>
      </c>
      <c r="X81">
        <f ca="1">IF(AND(((COLUMN()-10)&lt;=playercnt),((ROW()-41)&lt;=playercnt)),SUMPRODUCT(INDIRECT(ADDRESS(3,ROW()-31,1)):INDIRECT(ADDRESS(22,ROW()-31,1)),X$3:X$22),"")</f>
        <v>20</v>
      </c>
      <c r="Y81">
        <f ca="1">IF(AND(((COLUMN()-10)&lt;=playercnt),((ROW()-41)&lt;=playercnt)),SUMPRODUCT(INDIRECT(ADDRESS(3,ROW()-31,1)):INDIRECT(ADDRESS(22,ROW()-31,1)),Y$3:Y$22),"")</f>
        <v>20</v>
      </c>
      <c r="Z81">
        <f ca="1">IF(AND(((COLUMN()-10)&lt;=playercnt),((ROW()-41)&lt;=playercnt)),SUMPRODUCT(INDIRECT(ADDRESS(3,ROW()-31,1)):INDIRECT(ADDRESS(22,ROW()-31,1)),Z$3:Z$22),"")</f>
        <v>20</v>
      </c>
      <c r="AA81">
        <f ca="1">IF(AND(((COLUMN()-10)&lt;=playercnt),((ROW()-41)&lt;=playercnt)),SUMPRODUCT(INDIRECT(ADDRESS(3,ROW()-31,1)):INDIRECT(ADDRESS(22,ROW()-31,1)),AA$3:AA$22),"")</f>
        <v>20</v>
      </c>
      <c r="AB81">
        <f ca="1">IF(AND(((COLUMN()-10)&lt;=playercnt),((ROW()-41)&lt;=playercnt)),SUMPRODUCT(INDIRECT(ADDRESS(3,ROW()-31,1)):INDIRECT(ADDRESS(22,ROW()-31,1)),AB$3:AB$22),"")</f>
        <v>20</v>
      </c>
      <c r="AC81">
        <f ca="1">IF(AND(((COLUMN()-10)&lt;=playercnt),((ROW()-41)&lt;=playercnt)),SUMPRODUCT(INDIRECT(ADDRESS(3,ROW()-31,1)):INDIRECT(ADDRESS(22,ROW()-31,1)),AC$3:AC$22),"")</f>
        <v>20</v>
      </c>
      <c r="AD81">
        <f ca="1">IF(AND(((COLUMN()-10)&lt;=playercnt),((ROW()-41)&lt;=playercnt)),SUMPRODUCT(INDIRECT(ADDRESS(3,ROW()-31,1)):INDIRECT(ADDRESS(22,ROW()-31,1)),AD$3:AD$22),"")</f>
        <v>20</v>
      </c>
      <c r="AE81">
        <f ca="1">IF(AND(((COLUMN()-10)&lt;=playercnt),((ROW()-41)&lt;=playercnt)),SUMPRODUCT(INDIRECT(ADDRESS(3,ROW()-31,1)):INDIRECT(ADDRESS(22,ROW()-31,1)),AE$3:AE$22),"")</f>
        <v>20</v>
      </c>
      <c r="AF81">
        <f ca="1">IF(AND(((COLUMN()-10)&lt;=playercnt),((ROW()-41)&lt;=playercnt)),SUMPRODUCT(INDIRECT(ADDRESS(3,ROW()-31,1)):INDIRECT(ADDRESS(22,ROW()-31,1)),AF$3:AF$22),"")</f>
        <v>20</v>
      </c>
      <c r="AG81">
        <f ca="1">IF(AND(((COLUMN()-10)&lt;=playercnt),((ROW()-41)&lt;=playercnt)),SUMPRODUCT(INDIRECT(ADDRESS(3,ROW()-31,1)):INDIRECT(ADDRESS(22,ROW()-31,1)),AG$3:AG$22),"")</f>
        <v>20</v>
      </c>
      <c r="AH81">
        <f ca="1">IF(AND(((COLUMN()-10)&lt;=playercnt),((ROW()-41)&lt;=playercnt)),SUMPRODUCT(INDIRECT(ADDRESS(3,ROW()-31,1)):INDIRECT(ADDRESS(22,ROW()-31,1)),AH$3:AH$22),"")</f>
        <v>20</v>
      </c>
      <c r="AI81">
        <f ca="1">IF(AND(((COLUMN()-10)&lt;=playercnt),((ROW()-41)&lt;=playercnt)),SUMPRODUCT(INDIRECT(ADDRESS(3,ROW()-31,1)):INDIRECT(ADDRESS(22,ROW()-31,1)),AI$3:AI$22),"")</f>
        <v>20</v>
      </c>
      <c r="AJ81">
        <f ca="1">IF(AND(((COLUMN()-10)&lt;=playercnt),((ROW()-41)&lt;=playercnt)),SUMPRODUCT(INDIRECT(ADDRESS(3,ROW()-31,1)):INDIRECT(ADDRESS(22,ROW()-31,1)),AJ$3:AJ$22),"")</f>
        <v>20</v>
      </c>
      <c r="AK81">
        <f ca="1">IF(AND(((COLUMN()-10)&lt;=playercnt),((ROW()-41)&lt;=playercnt)),SUMPRODUCT(INDIRECT(ADDRESS(3,ROW()-31,1)):INDIRECT(ADDRESS(22,ROW()-31,1)),AK$3:AK$22),"")</f>
        <v>20</v>
      </c>
      <c r="AL81">
        <f ca="1">IF(AND(((COLUMN()-10)&lt;=playercnt),((ROW()-41)&lt;=playercnt)),SUMPRODUCT(INDIRECT(ADDRESS(3,ROW()-31,1)):INDIRECT(ADDRESS(22,ROW()-31,1)),AL$3:AL$22),"")</f>
        <v>20</v>
      </c>
      <c r="AM81">
        <f ca="1">IF(AND(((COLUMN()-10)&lt;=playercnt),((ROW()-41)&lt;=playercnt)),SUMPRODUCT(INDIRECT(ADDRESS(3,ROW()-31,1)):INDIRECT(ADDRESS(22,ROW()-31,1)),AM$3:AM$22),"")</f>
        <v>20</v>
      </c>
      <c r="AN81">
        <f ca="1">IF(AND(((COLUMN()-10)&lt;=playercnt),((ROW()-41)&lt;=playercnt)),SUMPRODUCT(INDIRECT(ADDRESS(3,ROW()-31,1)):INDIRECT(ADDRESS(22,ROW()-31,1)),AN$3:AN$22),"")</f>
        <v>20</v>
      </c>
      <c r="AO81">
        <f ca="1">IF(AND(((COLUMN()-10)&lt;=playercnt),((ROW()-41)&lt;=playercnt)),SUMPRODUCT(INDIRECT(ADDRESS(3,ROW()-31,1)):INDIRECT(ADDRESS(22,ROW()-31,1)),AO$3:AO$22),"")</f>
        <v>20</v>
      </c>
      <c r="AP81">
        <f ca="1">IF(AND(((COLUMN()-10)&lt;=playercnt),((ROW()-41)&lt;=playercnt)),SUMPRODUCT(INDIRECT(ADDRESS(3,ROW()-31,1)):INDIRECT(ADDRESS(22,ROW()-31,1)),AP$3:AP$22),"")</f>
        <v>20</v>
      </c>
      <c r="AQ81">
        <f ca="1">IF(AND(((COLUMN()-10)&lt;=playercnt),((ROW()-41)&lt;=playercnt)),SUMPRODUCT(INDIRECT(ADDRESS(3,ROW()-31,1)):INDIRECT(ADDRESS(22,ROW()-31,1)),AQ$3:AQ$22),"")</f>
        <v>20</v>
      </c>
      <c r="AR81">
        <f ca="1">IF(AND(((COLUMN()-10)&lt;=playercnt),((ROW()-41)&lt;=playercnt)),SUMPRODUCT(INDIRECT(ADDRESS(3,ROW()-31,1)):INDIRECT(ADDRESS(22,ROW()-31,1)),AR$3:AR$22),"")</f>
        <v>20</v>
      </c>
      <c r="AS81">
        <f ca="1">IF(AND(((COLUMN()-10)&lt;=playercnt),((ROW()-41)&lt;=playercnt)),SUMPRODUCT(INDIRECT(ADDRESS(3,ROW()-31,1)):INDIRECT(ADDRESS(22,ROW()-31,1)),AS$3:AS$22),"")</f>
        <v>20</v>
      </c>
      <c r="AT81">
        <f ca="1">IF(AND(((COLUMN()-10)&lt;=playercnt),((ROW()-41)&lt;=playercnt)),SUMPRODUCT(INDIRECT(ADDRESS(3,ROW()-31,1)):INDIRECT(ADDRESS(22,ROW()-31,1)),AT$3:AT$22),"")</f>
        <v>20</v>
      </c>
      <c r="AU81">
        <f ca="1">IF(AND(((COLUMN()-10)&lt;=playercnt),((ROW()-41)&lt;=playercnt)),SUMPRODUCT(INDIRECT(ADDRESS(3,ROW()-31,1)):INDIRECT(ADDRESS(22,ROW()-31,1)),AU$3:AU$22),"")</f>
        <v>20</v>
      </c>
      <c r="AV81">
        <f ca="1">IF(AND(((COLUMN()-10)&lt;=playercnt),((ROW()-41)&lt;=playercnt)),SUMPRODUCT(INDIRECT(ADDRESS(3,ROW()-31,1)):INDIRECT(ADDRESS(22,ROW()-31,1)),AV$3:AV$22),"")</f>
        <v>20</v>
      </c>
      <c r="AW81">
        <f ca="1">IF(AND(((COLUMN()-10)&lt;=playercnt),((ROW()-41)&lt;=playercnt)),SUMPRODUCT(INDIRECT(ADDRESS(3,ROW()-31,1)):INDIRECT(ADDRESS(22,ROW()-31,1)),AW$3:AW$22),"")</f>
        <v>20</v>
      </c>
      <c r="AX81">
        <f ca="1">IF(AND(((COLUMN()-10)&lt;=playercnt),((ROW()-41)&lt;=playercnt)),SUMPRODUCT(INDIRECT(ADDRESS(3,ROW()-31,1)):INDIRECT(ADDRESS(22,ROW()-31,1)),AX$3:AX$22),"")</f>
        <v>20</v>
      </c>
      <c r="AY81">
        <f ca="1">IF(AND(((COLUMN()-10)&lt;=playercnt),((ROW()-41)&lt;=playercnt)),SUMPRODUCT(INDIRECT(ADDRESS(3,ROW()-31,1)):INDIRECT(ADDRESS(22,ROW()-31,1)),AY$3:AY$22),"")</f>
        <v>20</v>
      </c>
      <c r="AZ81">
        <f ca="1">IF(AND(((COLUMN()-10)&lt;=playercnt),((ROW()-41)&lt;=playercnt)),SUMPRODUCT(INDIRECT(ADDRESS(3,ROW()-31,1)):INDIRECT(ADDRESS(22,ROW()-31,1)),AZ$3:AZ$22),"")</f>
        <v>20</v>
      </c>
      <c r="BA81">
        <f ca="1">IF(AND(((COLUMN()-10)&lt;=playercnt),((ROW()-41)&lt;=playercnt)),SUMPRODUCT(INDIRECT(ADDRESS(3,ROW()-31,1)):INDIRECT(ADDRESS(22,ROW()-31,1)),BA$3:BA$22),"")</f>
        <v>20</v>
      </c>
      <c r="BB81">
        <f ca="1">IF(AND(((COLUMN()-10)&lt;=playercnt),((ROW()-41)&lt;=playercnt)),SUMPRODUCT(INDIRECT(ADDRESS(3,ROW()-31,1)):INDIRECT(ADDRESS(22,ROW()-31,1)),BB$3:BB$22),"")</f>
        <v>20</v>
      </c>
      <c r="BC81">
        <f ca="1">IF(AND(((COLUMN()-10)&lt;=playercnt),((ROW()-41)&lt;=playercnt)),SUMPRODUCT(INDIRECT(ADDRESS(3,ROW()-31,1)):INDIRECT(ADDRESS(22,ROW()-31,1)),BC$3:BC$22),"")</f>
        <v>20</v>
      </c>
      <c r="BD81">
        <f ca="1">IF(AND(((COLUMN()-10)&lt;=playercnt),((ROW()-41)&lt;=playercnt)),SUMPRODUCT(INDIRECT(ADDRESS(3,ROW()-31,1)):INDIRECT(ADDRESS(22,ROW()-31,1)),BD$3:BD$22),"")</f>
        <v>20</v>
      </c>
      <c r="BE81">
        <f ca="1">IF(AND(((COLUMN()-10)&lt;=playercnt),((ROW()-41)&lt;=playercnt)),SUMPRODUCT(INDIRECT(ADDRESS(3,ROW()-31,1)):INDIRECT(ADDRESS(22,ROW()-31,1)),BE$3:BE$22),"")</f>
        <v>20</v>
      </c>
      <c r="BF81">
        <f ca="1">IF(AND(((COLUMN()-10)&lt;=playercnt),((ROW()-41)&lt;=playercnt)),SUMPRODUCT(INDIRECT(ADDRESS(3,ROW()-31,1)):INDIRECT(ADDRESS(22,ROW()-31,1)),BF$3:BF$22),"")</f>
        <v>20</v>
      </c>
      <c r="BG81">
        <f ca="1">IF(AND(((COLUMN()-10)&lt;=playercnt),((ROW()-41)&lt;=playercnt)),SUMPRODUCT(INDIRECT(ADDRESS(3,ROW()-31,1)):INDIRECT(ADDRESS(22,ROW()-31,1)),BG$3:BG$22),"")</f>
        <v>20</v>
      </c>
      <c r="BH81">
        <f ca="1">IF(AND(((COLUMN()-10)&lt;=playercnt),((ROW()-41)&lt;=playercnt)),SUMPRODUCT(INDIRECT(ADDRESS(3,ROW()-31,1)):INDIRECT(ADDRESS(22,ROW()-31,1)),BH$3:BH$22),"")</f>
        <v>20</v>
      </c>
      <c r="BI81">
        <f ca="1">IF(AND(((COLUMN()-10)&lt;=playercnt),((ROW()-41)&lt;=playercnt)),SUMPRODUCT(INDIRECT(ADDRESS(3,ROW()-31,1)):INDIRECT(ADDRESS(22,ROW()-31,1)),BI$3:BI$22),"")</f>
        <v>20</v>
      </c>
      <c r="BJ81">
        <f ca="1">IF(AND(((COLUMN()-10)&lt;=playercnt),((ROW()-41)&lt;=playercnt)),SUMPRODUCT(INDIRECT(ADDRESS(3,ROW()-31,1)):INDIRECT(ADDRESS(22,ROW()-31,1)),BJ$3:BJ$22),"")</f>
        <v>20</v>
      </c>
      <c r="BK81">
        <f ca="1">IF(AND(((COLUMN()-10)&lt;=playercnt),((ROW()-41)&lt;=playercnt)),SUMPRODUCT(INDIRECT(ADDRESS(3,ROW()-31,1)):INDIRECT(ADDRESS(22,ROW()-31,1)),BK$3:BK$22),"")</f>
        <v>20</v>
      </c>
      <c r="BL81">
        <f ca="1">IF(AND(((COLUMN()-10)&lt;=playercnt),((ROW()-41)&lt;=playercnt)),SUMPRODUCT(INDIRECT(ADDRESS(3,ROW()-31,1)):INDIRECT(ADDRESS(22,ROW()-31,1)),BL$3:BL$22),"")</f>
        <v>20</v>
      </c>
      <c r="BM81">
        <f ca="1">IF(AND(((COLUMN()-10)&lt;=playercnt),((ROW()-41)&lt;=playercnt)),SUMPRODUCT(INDIRECT(ADDRESS(3,ROW()-31,1)):INDIRECT(ADDRESS(22,ROW()-31,1)),BM$3:BM$22),"")</f>
        <v>20</v>
      </c>
      <c r="BN81">
        <f ca="1">IF(AND(((COLUMN()-10)&lt;=playercnt),((ROW()-41)&lt;=playercnt)),SUMPRODUCT(INDIRECT(ADDRESS(3,ROW()-31,1)):INDIRECT(ADDRESS(22,ROW()-31,1)),BN$3:BN$22),"")</f>
        <v>20</v>
      </c>
      <c r="BO81" t="str">
        <f ca="1">IF(AND(((COLUMN()-10)&lt;=playercnt),((ROW()-41)&lt;=playercnt)),SUMPRODUCT(INDIRECT(ADDRESS(3,ROW()-31,1)):INDIRECT(ADDRESS(22,ROW()-31,1)),BO$3:BO$22),"")</f>
        <v/>
      </c>
    </row>
    <row r="82" spans="2:67" x14ac:dyDescent="0.25">
      <c r="B82" s="27" t="str">
        <f t="shared" ca="1" si="23"/>
        <v/>
      </c>
      <c r="C82" t="e">
        <f t="shared" ca="1" si="24"/>
        <v>#REF!</v>
      </c>
      <c r="G82">
        <f ca="1">IF(AND(((COLUMN()-10)&lt;=playercnt),((ROW()-41)&lt;=playercnt)),SUMPRODUCT(INDIRECT(ADDRESS(3,ROW()-31,1)):INDIRECT(ADDRESS(22,ROW()-31,1)),G$3:G$22),"")</f>
        <v>20</v>
      </c>
      <c r="H82" t="e">
        <f ca="1">IF(AND(((COLUMN()-10)&lt;=playercnt),((ROW()-41)&lt;=playercnt)),SUMPRODUCT(INDIRECT(ADDRESS(3,ROW()-31,1)):INDIRECT(ADDRESS(22,ROW()-31,1)),H$3:H$22),"")</f>
        <v>#REF!</v>
      </c>
      <c r="I82" t="e">
        <f ca="1">IF(AND(((COLUMN()-10)&lt;=playercnt),((ROW()-41)&lt;=playercnt)),SUMPRODUCT(INDIRECT(ADDRESS(3,ROW()-31,1)):INDIRECT(ADDRESS(22,ROW()-31,1)),I$3:I$22),"")</f>
        <v>#REF!</v>
      </c>
      <c r="J82">
        <f ca="1">IF(AND(((COLUMN()-10)&lt;=playercnt),((ROW()-41)&lt;=playercnt)),SUMPRODUCT(INDIRECT(ADDRESS(3,ROW()-31,1)):INDIRECT(ADDRESS(22,ROW()-31,1)),J$3:J$22),"")</f>
        <v>20</v>
      </c>
      <c r="K82">
        <f ca="1">IF(AND(((COLUMN()-10)&lt;=playercnt),((ROW()-41)&lt;=playercnt)),SUMPRODUCT(INDIRECT(ADDRESS(3,ROW()-31,1)):INDIRECT(ADDRESS(22,ROW()-31,1)),K$3:K$22),"")</f>
        <v>20</v>
      </c>
      <c r="L82">
        <f ca="1">IF(AND(((COLUMN()-10)&lt;=playercnt),((ROW()-41)&lt;=playercnt)),SUMPRODUCT(INDIRECT(ADDRESS(3,ROW()-31,1)):INDIRECT(ADDRESS(22,ROW()-31,1)),L$3:L$22),"")</f>
        <v>20</v>
      </c>
      <c r="M82">
        <f ca="1">IF(AND(((COLUMN()-10)&lt;=playercnt),((ROW()-41)&lt;=playercnt)),SUMPRODUCT(INDIRECT(ADDRESS(3,ROW()-31,1)):INDIRECT(ADDRESS(22,ROW()-31,1)),M$3:M$22),"")</f>
        <v>20</v>
      </c>
      <c r="N82">
        <f ca="1">IF(AND(((COLUMN()-10)&lt;=playercnt),((ROW()-41)&lt;=playercnt)),SUMPRODUCT(INDIRECT(ADDRESS(3,ROW()-31,1)):INDIRECT(ADDRESS(22,ROW()-31,1)),N$3:N$22),"")</f>
        <v>20</v>
      </c>
      <c r="O82">
        <f ca="1">IF(AND(((COLUMN()-10)&lt;=playercnt),((ROW()-41)&lt;=playercnt)),SUMPRODUCT(INDIRECT(ADDRESS(3,ROW()-31,1)):INDIRECT(ADDRESS(22,ROW()-31,1)),O$3:O$22),"")</f>
        <v>20</v>
      </c>
      <c r="P82">
        <f ca="1">IF(AND(((COLUMN()-10)&lt;=playercnt),((ROW()-41)&lt;=playercnt)),SUMPRODUCT(INDIRECT(ADDRESS(3,ROW()-31,1)):INDIRECT(ADDRESS(22,ROW()-31,1)),P$3:P$22),"")</f>
        <v>20</v>
      </c>
      <c r="Q82">
        <f ca="1">IF(AND(((COLUMN()-10)&lt;=playercnt),((ROW()-41)&lt;=playercnt)),SUMPRODUCT(INDIRECT(ADDRESS(3,ROW()-31,1)):INDIRECT(ADDRESS(22,ROW()-31,1)),Q$3:Q$22),"")</f>
        <v>20</v>
      </c>
      <c r="R82">
        <f ca="1">IF(AND(((COLUMN()-10)&lt;=playercnt),((ROW()-41)&lt;=playercnt)),SUMPRODUCT(INDIRECT(ADDRESS(3,ROW()-31,1)):INDIRECT(ADDRESS(22,ROW()-31,1)),R$3:R$22),"")</f>
        <v>20</v>
      </c>
      <c r="S82">
        <f ca="1">IF(AND(((COLUMN()-10)&lt;=playercnt),((ROW()-41)&lt;=playercnt)),SUMPRODUCT(INDIRECT(ADDRESS(3,ROW()-31,1)):INDIRECT(ADDRESS(22,ROW()-31,1)),S$3:S$22),"")</f>
        <v>20</v>
      </c>
      <c r="T82">
        <f ca="1">IF(AND(((COLUMN()-10)&lt;=playercnt),((ROW()-41)&lt;=playercnt)),SUMPRODUCT(INDIRECT(ADDRESS(3,ROW()-31,1)):INDIRECT(ADDRESS(22,ROW()-31,1)),T$3:T$22),"")</f>
        <v>20</v>
      </c>
      <c r="U82">
        <f ca="1">IF(AND(((COLUMN()-10)&lt;=playercnt),((ROW()-41)&lt;=playercnt)),SUMPRODUCT(INDIRECT(ADDRESS(3,ROW()-31,1)):INDIRECT(ADDRESS(22,ROW()-31,1)),U$3:U$22),"")</f>
        <v>20</v>
      </c>
      <c r="V82">
        <f ca="1">IF(AND(((COLUMN()-10)&lt;=playercnt),((ROW()-41)&lt;=playercnt)),SUMPRODUCT(INDIRECT(ADDRESS(3,ROW()-31,1)):INDIRECT(ADDRESS(22,ROW()-31,1)),V$3:V$22),"")</f>
        <v>20</v>
      </c>
      <c r="W82">
        <f ca="1">IF(AND(((COLUMN()-10)&lt;=playercnt),((ROW()-41)&lt;=playercnt)),SUMPRODUCT(INDIRECT(ADDRESS(3,ROW()-31,1)):INDIRECT(ADDRESS(22,ROW()-31,1)),W$3:W$22),"")</f>
        <v>20</v>
      </c>
      <c r="X82">
        <f ca="1">IF(AND(((COLUMN()-10)&lt;=playercnt),((ROW()-41)&lt;=playercnt)),SUMPRODUCT(INDIRECT(ADDRESS(3,ROW()-31,1)):INDIRECT(ADDRESS(22,ROW()-31,1)),X$3:X$22),"")</f>
        <v>20</v>
      </c>
      <c r="Y82">
        <f ca="1">IF(AND(((COLUMN()-10)&lt;=playercnt),((ROW()-41)&lt;=playercnt)),SUMPRODUCT(INDIRECT(ADDRESS(3,ROW()-31,1)):INDIRECT(ADDRESS(22,ROW()-31,1)),Y$3:Y$22),"")</f>
        <v>20</v>
      </c>
      <c r="Z82">
        <f ca="1">IF(AND(((COLUMN()-10)&lt;=playercnt),((ROW()-41)&lt;=playercnt)),SUMPRODUCT(INDIRECT(ADDRESS(3,ROW()-31,1)):INDIRECT(ADDRESS(22,ROW()-31,1)),Z$3:Z$22),"")</f>
        <v>20</v>
      </c>
      <c r="AA82">
        <f ca="1">IF(AND(((COLUMN()-10)&lt;=playercnt),((ROW()-41)&lt;=playercnt)),SUMPRODUCT(INDIRECT(ADDRESS(3,ROW()-31,1)):INDIRECT(ADDRESS(22,ROW()-31,1)),AA$3:AA$22),"")</f>
        <v>20</v>
      </c>
      <c r="AB82">
        <f ca="1">IF(AND(((COLUMN()-10)&lt;=playercnt),((ROW()-41)&lt;=playercnt)),SUMPRODUCT(INDIRECT(ADDRESS(3,ROW()-31,1)):INDIRECT(ADDRESS(22,ROW()-31,1)),AB$3:AB$22),"")</f>
        <v>20</v>
      </c>
      <c r="AC82">
        <f ca="1">IF(AND(((COLUMN()-10)&lt;=playercnt),((ROW()-41)&lt;=playercnt)),SUMPRODUCT(INDIRECT(ADDRESS(3,ROW()-31,1)):INDIRECT(ADDRESS(22,ROW()-31,1)),AC$3:AC$22),"")</f>
        <v>20</v>
      </c>
      <c r="AD82">
        <f ca="1">IF(AND(((COLUMN()-10)&lt;=playercnt),((ROW()-41)&lt;=playercnt)),SUMPRODUCT(INDIRECT(ADDRESS(3,ROW()-31,1)):INDIRECT(ADDRESS(22,ROW()-31,1)),AD$3:AD$22),"")</f>
        <v>20</v>
      </c>
      <c r="AE82">
        <f ca="1">IF(AND(((COLUMN()-10)&lt;=playercnt),((ROW()-41)&lt;=playercnt)),SUMPRODUCT(INDIRECT(ADDRESS(3,ROW()-31,1)):INDIRECT(ADDRESS(22,ROW()-31,1)),AE$3:AE$22),"")</f>
        <v>20</v>
      </c>
      <c r="AF82">
        <f ca="1">IF(AND(((COLUMN()-10)&lt;=playercnt),((ROW()-41)&lt;=playercnt)),SUMPRODUCT(INDIRECT(ADDRESS(3,ROW()-31,1)):INDIRECT(ADDRESS(22,ROW()-31,1)),AF$3:AF$22),"")</f>
        <v>20</v>
      </c>
      <c r="AG82">
        <f ca="1">IF(AND(((COLUMN()-10)&lt;=playercnt),((ROW()-41)&lt;=playercnt)),SUMPRODUCT(INDIRECT(ADDRESS(3,ROW()-31,1)):INDIRECT(ADDRESS(22,ROW()-31,1)),AG$3:AG$22),"")</f>
        <v>20</v>
      </c>
      <c r="AH82">
        <f ca="1">IF(AND(((COLUMN()-10)&lt;=playercnt),((ROW()-41)&lt;=playercnt)),SUMPRODUCT(INDIRECT(ADDRESS(3,ROW()-31,1)):INDIRECT(ADDRESS(22,ROW()-31,1)),AH$3:AH$22),"")</f>
        <v>20</v>
      </c>
      <c r="AI82">
        <f ca="1">IF(AND(((COLUMN()-10)&lt;=playercnt),((ROW()-41)&lt;=playercnt)),SUMPRODUCT(INDIRECT(ADDRESS(3,ROW()-31,1)):INDIRECT(ADDRESS(22,ROW()-31,1)),AI$3:AI$22),"")</f>
        <v>20</v>
      </c>
      <c r="AJ82">
        <f ca="1">IF(AND(((COLUMN()-10)&lt;=playercnt),((ROW()-41)&lt;=playercnt)),SUMPRODUCT(INDIRECT(ADDRESS(3,ROW()-31,1)):INDIRECT(ADDRESS(22,ROW()-31,1)),AJ$3:AJ$22),"")</f>
        <v>20</v>
      </c>
      <c r="AK82">
        <f ca="1">IF(AND(((COLUMN()-10)&lt;=playercnt),((ROW()-41)&lt;=playercnt)),SUMPRODUCT(INDIRECT(ADDRESS(3,ROW()-31,1)):INDIRECT(ADDRESS(22,ROW()-31,1)),AK$3:AK$22),"")</f>
        <v>20</v>
      </c>
      <c r="AL82">
        <f ca="1">IF(AND(((COLUMN()-10)&lt;=playercnt),((ROW()-41)&lt;=playercnt)),SUMPRODUCT(INDIRECT(ADDRESS(3,ROW()-31,1)):INDIRECT(ADDRESS(22,ROW()-31,1)),AL$3:AL$22),"")</f>
        <v>20</v>
      </c>
      <c r="AM82">
        <f ca="1">IF(AND(((COLUMN()-10)&lt;=playercnt),((ROW()-41)&lt;=playercnt)),SUMPRODUCT(INDIRECT(ADDRESS(3,ROW()-31,1)):INDIRECT(ADDRESS(22,ROW()-31,1)),AM$3:AM$22),"")</f>
        <v>20</v>
      </c>
      <c r="AN82">
        <f ca="1">IF(AND(((COLUMN()-10)&lt;=playercnt),((ROW()-41)&lt;=playercnt)),SUMPRODUCT(INDIRECT(ADDRESS(3,ROW()-31,1)):INDIRECT(ADDRESS(22,ROW()-31,1)),AN$3:AN$22),"")</f>
        <v>20</v>
      </c>
      <c r="AO82">
        <f ca="1">IF(AND(((COLUMN()-10)&lt;=playercnt),((ROW()-41)&lt;=playercnt)),SUMPRODUCT(INDIRECT(ADDRESS(3,ROW()-31,1)):INDIRECT(ADDRESS(22,ROW()-31,1)),AO$3:AO$22),"")</f>
        <v>20</v>
      </c>
      <c r="AP82">
        <f ca="1">IF(AND(((COLUMN()-10)&lt;=playercnt),((ROW()-41)&lt;=playercnt)),SUMPRODUCT(INDIRECT(ADDRESS(3,ROW()-31,1)):INDIRECT(ADDRESS(22,ROW()-31,1)),AP$3:AP$22),"")</f>
        <v>20</v>
      </c>
      <c r="AQ82">
        <f ca="1">IF(AND(((COLUMN()-10)&lt;=playercnt),((ROW()-41)&lt;=playercnt)),SUMPRODUCT(INDIRECT(ADDRESS(3,ROW()-31,1)):INDIRECT(ADDRESS(22,ROW()-31,1)),AQ$3:AQ$22),"")</f>
        <v>20</v>
      </c>
      <c r="AR82">
        <f ca="1">IF(AND(((COLUMN()-10)&lt;=playercnt),((ROW()-41)&lt;=playercnt)),SUMPRODUCT(INDIRECT(ADDRESS(3,ROW()-31,1)):INDIRECT(ADDRESS(22,ROW()-31,1)),AR$3:AR$22),"")</f>
        <v>20</v>
      </c>
      <c r="AS82">
        <f ca="1">IF(AND(((COLUMN()-10)&lt;=playercnt),((ROW()-41)&lt;=playercnt)),SUMPRODUCT(INDIRECT(ADDRESS(3,ROW()-31,1)):INDIRECT(ADDRESS(22,ROW()-31,1)),AS$3:AS$22),"")</f>
        <v>20</v>
      </c>
      <c r="AT82">
        <f ca="1">IF(AND(((COLUMN()-10)&lt;=playercnt),((ROW()-41)&lt;=playercnt)),SUMPRODUCT(INDIRECT(ADDRESS(3,ROW()-31,1)):INDIRECT(ADDRESS(22,ROW()-31,1)),AT$3:AT$22),"")</f>
        <v>20</v>
      </c>
      <c r="AU82">
        <f ca="1">IF(AND(((COLUMN()-10)&lt;=playercnt),((ROW()-41)&lt;=playercnt)),SUMPRODUCT(INDIRECT(ADDRESS(3,ROW()-31,1)):INDIRECT(ADDRESS(22,ROW()-31,1)),AU$3:AU$22),"")</f>
        <v>20</v>
      </c>
      <c r="AV82">
        <f ca="1">IF(AND(((COLUMN()-10)&lt;=playercnt),((ROW()-41)&lt;=playercnt)),SUMPRODUCT(INDIRECT(ADDRESS(3,ROW()-31,1)):INDIRECT(ADDRESS(22,ROW()-31,1)),AV$3:AV$22),"")</f>
        <v>20</v>
      </c>
      <c r="AW82">
        <f ca="1">IF(AND(((COLUMN()-10)&lt;=playercnt),((ROW()-41)&lt;=playercnt)),SUMPRODUCT(INDIRECT(ADDRESS(3,ROW()-31,1)):INDIRECT(ADDRESS(22,ROW()-31,1)),AW$3:AW$22),"")</f>
        <v>20</v>
      </c>
      <c r="AX82">
        <f ca="1">IF(AND(((COLUMN()-10)&lt;=playercnt),((ROW()-41)&lt;=playercnt)),SUMPRODUCT(INDIRECT(ADDRESS(3,ROW()-31,1)):INDIRECT(ADDRESS(22,ROW()-31,1)),AX$3:AX$22),"")</f>
        <v>20</v>
      </c>
      <c r="AY82">
        <f ca="1">IF(AND(((COLUMN()-10)&lt;=playercnt),((ROW()-41)&lt;=playercnt)),SUMPRODUCT(INDIRECT(ADDRESS(3,ROW()-31,1)):INDIRECT(ADDRESS(22,ROW()-31,1)),AY$3:AY$22),"")</f>
        <v>20</v>
      </c>
      <c r="AZ82">
        <f ca="1">IF(AND(((COLUMN()-10)&lt;=playercnt),((ROW()-41)&lt;=playercnt)),SUMPRODUCT(INDIRECT(ADDRESS(3,ROW()-31,1)):INDIRECT(ADDRESS(22,ROW()-31,1)),AZ$3:AZ$22),"")</f>
        <v>20</v>
      </c>
      <c r="BA82">
        <f ca="1">IF(AND(((COLUMN()-10)&lt;=playercnt),((ROW()-41)&lt;=playercnt)),SUMPRODUCT(INDIRECT(ADDRESS(3,ROW()-31,1)):INDIRECT(ADDRESS(22,ROW()-31,1)),BA$3:BA$22),"")</f>
        <v>20</v>
      </c>
      <c r="BB82">
        <f ca="1">IF(AND(((COLUMN()-10)&lt;=playercnt),((ROW()-41)&lt;=playercnt)),SUMPRODUCT(INDIRECT(ADDRESS(3,ROW()-31,1)):INDIRECT(ADDRESS(22,ROW()-31,1)),BB$3:BB$22),"")</f>
        <v>20</v>
      </c>
      <c r="BC82">
        <f ca="1">IF(AND(((COLUMN()-10)&lt;=playercnt),((ROW()-41)&lt;=playercnt)),SUMPRODUCT(INDIRECT(ADDRESS(3,ROW()-31,1)):INDIRECT(ADDRESS(22,ROW()-31,1)),BC$3:BC$22),"")</f>
        <v>20</v>
      </c>
      <c r="BD82">
        <f ca="1">IF(AND(((COLUMN()-10)&lt;=playercnt),((ROW()-41)&lt;=playercnt)),SUMPRODUCT(INDIRECT(ADDRESS(3,ROW()-31,1)):INDIRECT(ADDRESS(22,ROW()-31,1)),BD$3:BD$22),"")</f>
        <v>20</v>
      </c>
      <c r="BE82">
        <f ca="1">IF(AND(((COLUMN()-10)&lt;=playercnt),((ROW()-41)&lt;=playercnt)),SUMPRODUCT(INDIRECT(ADDRESS(3,ROW()-31,1)):INDIRECT(ADDRESS(22,ROW()-31,1)),BE$3:BE$22),"")</f>
        <v>20</v>
      </c>
      <c r="BF82">
        <f ca="1">IF(AND(((COLUMN()-10)&lt;=playercnt),((ROW()-41)&lt;=playercnt)),SUMPRODUCT(INDIRECT(ADDRESS(3,ROW()-31,1)):INDIRECT(ADDRESS(22,ROW()-31,1)),BF$3:BF$22),"")</f>
        <v>20</v>
      </c>
      <c r="BG82">
        <f ca="1">IF(AND(((COLUMN()-10)&lt;=playercnt),((ROW()-41)&lt;=playercnt)),SUMPRODUCT(INDIRECT(ADDRESS(3,ROW()-31,1)):INDIRECT(ADDRESS(22,ROW()-31,1)),BG$3:BG$22),"")</f>
        <v>20</v>
      </c>
      <c r="BH82">
        <f ca="1">IF(AND(((COLUMN()-10)&lt;=playercnt),((ROW()-41)&lt;=playercnt)),SUMPRODUCT(INDIRECT(ADDRESS(3,ROW()-31,1)):INDIRECT(ADDRESS(22,ROW()-31,1)),BH$3:BH$22),"")</f>
        <v>20</v>
      </c>
      <c r="BI82">
        <f ca="1">IF(AND(((COLUMN()-10)&lt;=playercnt),((ROW()-41)&lt;=playercnt)),SUMPRODUCT(INDIRECT(ADDRESS(3,ROW()-31,1)):INDIRECT(ADDRESS(22,ROW()-31,1)),BI$3:BI$22),"")</f>
        <v>20</v>
      </c>
      <c r="BJ82">
        <f ca="1">IF(AND(((COLUMN()-10)&lt;=playercnt),((ROW()-41)&lt;=playercnt)),SUMPRODUCT(INDIRECT(ADDRESS(3,ROW()-31,1)):INDIRECT(ADDRESS(22,ROW()-31,1)),BJ$3:BJ$22),"")</f>
        <v>20</v>
      </c>
      <c r="BK82">
        <f ca="1">IF(AND(((COLUMN()-10)&lt;=playercnt),((ROW()-41)&lt;=playercnt)),SUMPRODUCT(INDIRECT(ADDRESS(3,ROW()-31,1)):INDIRECT(ADDRESS(22,ROW()-31,1)),BK$3:BK$22),"")</f>
        <v>20</v>
      </c>
      <c r="BL82">
        <f ca="1">IF(AND(((COLUMN()-10)&lt;=playercnt),((ROW()-41)&lt;=playercnt)),SUMPRODUCT(INDIRECT(ADDRESS(3,ROW()-31,1)):INDIRECT(ADDRESS(22,ROW()-31,1)),BL$3:BL$22),"")</f>
        <v>20</v>
      </c>
      <c r="BM82">
        <f ca="1">IF(AND(((COLUMN()-10)&lt;=playercnt),((ROW()-41)&lt;=playercnt)),SUMPRODUCT(INDIRECT(ADDRESS(3,ROW()-31,1)):INDIRECT(ADDRESS(22,ROW()-31,1)),BM$3:BM$22),"")</f>
        <v>20</v>
      </c>
      <c r="BN82">
        <f ca="1">IF(AND(((COLUMN()-10)&lt;=playercnt),((ROW()-41)&lt;=playercnt)),SUMPRODUCT(INDIRECT(ADDRESS(3,ROW()-31,1)):INDIRECT(ADDRESS(22,ROW()-31,1)),BN$3:BN$22),"")</f>
        <v>20</v>
      </c>
      <c r="BO82" t="str">
        <f ca="1">IF(AND(((COLUMN()-10)&lt;=playercnt),((ROW()-41)&lt;=playercnt)),SUMPRODUCT(INDIRECT(ADDRESS(3,ROW()-31,1)):INDIRECT(ADDRESS(22,ROW()-31,1)),BO$3:BO$22),"")</f>
        <v/>
      </c>
    </row>
    <row r="83" spans="2:67" x14ac:dyDescent="0.25">
      <c r="B83" s="27" t="str">
        <f t="shared" ca="1" si="23"/>
        <v/>
      </c>
      <c r="C83" t="e">
        <f t="shared" ca="1" si="24"/>
        <v>#REF!</v>
      </c>
      <c r="G83">
        <f ca="1">IF(AND(((COLUMN()-10)&lt;=playercnt),((ROW()-41)&lt;=playercnt)),SUMPRODUCT(INDIRECT(ADDRESS(3,ROW()-31,1)):INDIRECT(ADDRESS(22,ROW()-31,1)),G$3:G$22),"")</f>
        <v>20</v>
      </c>
      <c r="H83" t="e">
        <f ca="1">IF(AND(((COLUMN()-10)&lt;=playercnt),((ROW()-41)&lt;=playercnt)),SUMPRODUCT(INDIRECT(ADDRESS(3,ROW()-31,1)):INDIRECT(ADDRESS(22,ROW()-31,1)),H$3:H$22),"")</f>
        <v>#REF!</v>
      </c>
      <c r="I83" t="e">
        <f ca="1">IF(AND(((COLUMN()-10)&lt;=playercnt),((ROW()-41)&lt;=playercnt)),SUMPRODUCT(INDIRECT(ADDRESS(3,ROW()-31,1)):INDIRECT(ADDRESS(22,ROW()-31,1)),I$3:I$22),"")</f>
        <v>#REF!</v>
      </c>
      <c r="J83">
        <f ca="1">IF(AND(((COLUMN()-10)&lt;=playercnt),((ROW()-41)&lt;=playercnt)),SUMPRODUCT(INDIRECT(ADDRESS(3,ROW()-31,1)):INDIRECT(ADDRESS(22,ROW()-31,1)),J$3:J$22),"")</f>
        <v>20</v>
      </c>
      <c r="K83">
        <f ca="1">IF(AND(((COLUMN()-10)&lt;=playercnt),((ROW()-41)&lt;=playercnt)),SUMPRODUCT(INDIRECT(ADDRESS(3,ROW()-31,1)):INDIRECT(ADDRESS(22,ROW()-31,1)),K$3:K$22),"")</f>
        <v>20</v>
      </c>
      <c r="L83">
        <f ca="1">IF(AND(((COLUMN()-10)&lt;=playercnt),((ROW()-41)&lt;=playercnt)),SUMPRODUCT(INDIRECT(ADDRESS(3,ROW()-31,1)):INDIRECT(ADDRESS(22,ROW()-31,1)),L$3:L$22),"")</f>
        <v>20</v>
      </c>
      <c r="M83">
        <f ca="1">IF(AND(((COLUMN()-10)&lt;=playercnt),((ROW()-41)&lt;=playercnt)),SUMPRODUCT(INDIRECT(ADDRESS(3,ROW()-31,1)):INDIRECT(ADDRESS(22,ROW()-31,1)),M$3:M$22),"")</f>
        <v>20</v>
      </c>
      <c r="N83">
        <f ca="1">IF(AND(((COLUMN()-10)&lt;=playercnt),((ROW()-41)&lt;=playercnt)),SUMPRODUCT(INDIRECT(ADDRESS(3,ROW()-31,1)):INDIRECT(ADDRESS(22,ROW()-31,1)),N$3:N$22),"")</f>
        <v>20</v>
      </c>
      <c r="O83">
        <f ca="1">IF(AND(((COLUMN()-10)&lt;=playercnt),((ROW()-41)&lt;=playercnt)),SUMPRODUCT(INDIRECT(ADDRESS(3,ROW()-31,1)):INDIRECT(ADDRESS(22,ROW()-31,1)),O$3:O$22),"")</f>
        <v>20</v>
      </c>
      <c r="P83">
        <f ca="1">IF(AND(((COLUMN()-10)&lt;=playercnt),((ROW()-41)&lt;=playercnt)),SUMPRODUCT(INDIRECT(ADDRESS(3,ROW()-31,1)):INDIRECT(ADDRESS(22,ROW()-31,1)),P$3:P$22),"")</f>
        <v>20</v>
      </c>
      <c r="Q83">
        <f ca="1">IF(AND(((COLUMN()-10)&lt;=playercnt),((ROW()-41)&lt;=playercnt)),SUMPRODUCT(INDIRECT(ADDRESS(3,ROW()-31,1)):INDIRECT(ADDRESS(22,ROW()-31,1)),Q$3:Q$22),"")</f>
        <v>20</v>
      </c>
      <c r="R83">
        <f ca="1">IF(AND(((COLUMN()-10)&lt;=playercnt),((ROW()-41)&lt;=playercnt)),SUMPRODUCT(INDIRECT(ADDRESS(3,ROW()-31,1)):INDIRECT(ADDRESS(22,ROW()-31,1)),R$3:R$22),"")</f>
        <v>20</v>
      </c>
      <c r="S83">
        <f ca="1">IF(AND(((COLUMN()-10)&lt;=playercnt),((ROW()-41)&lt;=playercnt)),SUMPRODUCT(INDIRECT(ADDRESS(3,ROW()-31,1)):INDIRECT(ADDRESS(22,ROW()-31,1)),S$3:S$22),"")</f>
        <v>20</v>
      </c>
      <c r="T83">
        <f ca="1">IF(AND(((COLUMN()-10)&lt;=playercnt),((ROW()-41)&lt;=playercnt)),SUMPRODUCT(INDIRECT(ADDRESS(3,ROW()-31,1)):INDIRECT(ADDRESS(22,ROW()-31,1)),T$3:T$22),"")</f>
        <v>20</v>
      </c>
      <c r="U83">
        <f ca="1">IF(AND(((COLUMN()-10)&lt;=playercnt),((ROW()-41)&lt;=playercnt)),SUMPRODUCT(INDIRECT(ADDRESS(3,ROW()-31,1)):INDIRECT(ADDRESS(22,ROW()-31,1)),U$3:U$22),"")</f>
        <v>20</v>
      </c>
      <c r="V83">
        <f ca="1">IF(AND(((COLUMN()-10)&lt;=playercnt),((ROW()-41)&lt;=playercnt)),SUMPRODUCT(INDIRECT(ADDRESS(3,ROW()-31,1)):INDIRECT(ADDRESS(22,ROW()-31,1)),V$3:V$22),"")</f>
        <v>20</v>
      </c>
      <c r="W83">
        <f ca="1">IF(AND(((COLUMN()-10)&lt;=playercnt),((ROW()-41)&lt;=playercnt)),SUMPRODUCT(INDIRECT(ADDRESS(3,ROW()-31,1)):INDIRECT(ADDRESS(22,ROW()-31,1)),W$3:W$22),"")</f>
        <v>20</v>
      </c>
      <c r="X83">
        <f ca="1">IF(AND(((COLUMN()-10)&lt;=playercnt),((ROW()-41)&lt;=playercnt)),SUMPRODUCT(INDIRECT(ADDRESS(3,ROW()-31,1)):INDIRECT(ADDRESS(22,ROW()-31,1)),X$3:X$22),"")</f>
        <v>20</v>
      </c>
      <c r="Y83">
        <f ca="1">IF(AND(((COLUMN()-10)&lt;=playercnt),((ROW()-41)&lt;=playercnt)),SUMPRODUCT(INDIRECT(ADDRESS(3,ROW()-31,1)):INDIRECT(ADDRESS(22,ROW()-31,1)),Y$3:Y$22),"")</f>
        <v>20</v>
      </c>
      <c r="Z83">
        <f ca="1">IF(AND(((COLUMN()-10)&lt;=playercnt),((ROW()-41)&lt;=playercnt)),SUMPRODUCT(INDIRECT(ADDRESS(3,ROW()-31,1)):INDIRECT(ADDRESS(22,ROW()-31,1)),Z$3:Z$22),"")</f>
        <v>20</v>
      </c>
      <c r="AA83">
        <f ca="1">IF(AND(((COLUMN()-10)&lt;=playercnt),((ROW()-41)&lt;=playercnt)),SUMPRODUCT(INDIRECT(ADDRESS(3,ROW()-31,1)):INDIRECT(ADDRESS(22,ROW()-31,1)),AA$3:AA$22),"")</f>
        <v>20</v>
      </c>
      <c r="AB83">
        <f ca="1">IF(AND(((COLUMN()-10)&lt;=playercnt),((ROW()-41)&lt;=playercnt)),SUMPRODUCT(INDIRECT(ADDRESS(3,ROW()-31,1)):INDIRECT(ADDRESS(22,ROW()-31,1)),AB$3:AB$22),"")</f>
        <v>20</v>
      </c>
      <c r="AC83">
        <f ca="1">IF(AND(((COLUMN()-10)&lt;=playercnt),((ROW()-41)&lt;=playercnt)),SUMPRODUCT(INDIRECT(ADDRESS(3,ROW()-31,1)):INDIRECT(ADDRESS(22,ROW()-31,1)),AC$3:AC$22),"")</f>
        <v>20</v>
      </c>
      <c r="AD83">
        <f ca="1">IF(AND(((COLUMN()-10)&lt;=playercnt),((ROW()-41)&lt;=playercnt)),SUMPRODUCT(INDIRECT(ADDRESS(3,ROW()-31,1)):INDIRECT(ADDRESS(22,ROW()-31,1)),AD$3:AD$22),"")</f>
        <v>20</v>
      </c>
      <c r="AE83">
        <f ca="1">IF(AND(((COLUMN()-10)&lt;=playercnt),((ROW()-41)&lt;=playercnt)),SUMPRODUCT(INDIRECT(ADDRESS(3,ROW()-31,1)):INDIRECT(ADDRESS(22,ROW()-31,1)),AE$3:AE$22),"")</f>
        <v>20</v>
      </c>
      <c r="AF83">
        <f ca="1">IF(AND(((COLUMN()-10)&lt;=playercnt),((ROW()-41)&lt;=playercnt)),SUMPRODUCT(INDIRECT(ADDRESS(3,ROW()-31,1)):INDIRECT(ADDRESS(22,ROW()-31,1)),AF$3:AF$22),"")</f>
        <v>20</v>
      </c>
      <c r="AG83">
        <f ca="1">IF(AND(((COLUMN()-10)&lt;=playercnt),((ROW()-41)&lt;=playercnt)),SUMPRODUCT(INDIRECT(ADDRESS(3,ROW()-31,1)):INDIRECT(ADDRESS(22,ROW()-31,1)),AG$3:AG$22),"")</f>
        <v>20</v>
      </c>
      <c r="AH83">
        <f ca="1">IF(AND(((COLUMN()-10)&lt;=playercnt),((ROW()-41)&lt;=playercnt)),SUMPRODUCT(INDIRECT(ADDRESS(3,ROW()-31,1)):INDIRECT(ADDRESS(22,ROW()-31,1)),AH$3:AH$22),"")</f>
        <v>20</v>
      </c>
      <c r="AI83">
        <f ca="1">IF(AND(((COLUMN()-10)&lt;=playercnt),((ROW()-41)&lt;=playercnt)),SUMPRODUCT(INDIRECT(ADDRESS(3,ROW()-31,1)):INDIRECT(ADDRESS(22,ROW()-31,1)),AI$3:AI$22),"")</f>
        <v>20</v>
      </c>
      <c r="AJ83">
        <f ca="1">IF(AND(((COLUMN()-10)&lt;=playercnt),((ROW()-41)&lt;=playercnt)),SUMPRODUCT(INDIRECT(ADDRESS(3,ROW()-31,1)):INDIRECT(ADDRESS(22,ROW()-31,1)),AJ$3:AJ$22),"")</f>
        <v>20</v>
      </c>
      <c r="AK83">
        <f ca="1">IF(AND(((COLUMN()-10)&lt;=playercnt),((ROW()-41)&lt;=playercnt)),SUMPRODUCT(INDIRECT(ADDRESS(3,ROW()-31,1)):INDIRECT(ADDRESS(22,ROW()-31,1)),AK$3:AK$22),"")</f>
        <v>20</v>
      </c>
      <c r="AL83">
        <f ca="1">IF(AND(((COLUMN()-10)&lt;=playercnt),((ROW()-41)&lt;=playercnt)),SUMPRODUCT(INDIRECT(ADDRESS(3,ROW()-31,1)):INDIRECT(ADDRESS(22,ROW()-31,1)),AL$3:AL$22),"")</f>
        <v>20</v>
      </c>
      <c r="AM83">
        <f ca="1">IF(AND(((COLUMN()-10)&lt;=playercnt),((ROW()-41)&lt;=playercnt)),SUMPRODUCT(INDIRECT(ADDRESS(3,ROW()-31,1)):INDIRECT(ADDRESS(22,ROW()-31,1)),AM$3:AM$22),"")</f>
        <v>20</v>
      </c>
      <c r="AN83">
        <f ca="1">IF(AND(((COLUMN()-10)&lt;=playercnt),((ROW()-41)&lt;=playercnt)),SUMPRODUCT(INDIRECT(ADDRESS(3,ROW()-31,1)):INDIRECT(ADDRESS(22,ROW()-31,1)),AN$3:AN$22),"")</f>
        <v>20</v>
      </c>
      <c r="AO83">
        <f ca="1">IF(AND(((COLUMN()-10)&lt;=playercnt),((ROW()-41)&lt;=playercnt)),SUMPRODUCT(INDIRECT(ADDRESS(3,ROW()-31,1)):INDIRECT(ADDRESS(22,ROW()-31,1)),AO$3:AO$22),"")</f>
        <v>20</v>
      </c>
      <c r="AP83">
        <f ca="1">IF(AND(((COLUMN()-10)&lt;=playercnt),((ROW()-41)&lt;=playercnt)),SUMPRODUCT(INDIRECT(ADDRESS(3,ROW()-31,1)):INDIRECT(ADDRESS(22,ROW()-31,1)),AP$3:AP$22),"")</f>
        <v>20</v>
      </c>
      <c r="AQ83">
        <f ca="1">IF(AND(((COLUMN()-10)&lt;=playercnt),((ROW()-41)&lt;=playercnt)),SUMPRODUCT(INDIRECT(ADDRESS(3,ROW()-31,1)):INDIRECT(ADDRESS(22,ROW()-31,1)),AQ$3:AQ$22),"")</f>
        <v>20</v>
      </c>
      <c r="AR83">
        <f ca="1">IF(AND(((COLUMN()-10)&lt;=playercnt),((ROW()-41)&lt;=playercnt)),SUMPRODUCT(INDIRECT(ADDRESS(3,ROW()-31,1)):INDIRECT(ADDRESS(22,ROW()-31,1)),AR$3:AR$22),"")</f>
        <v>20</v>
      </c>
      <c r="AS83">
        <f ca="1">IF(AND(((COLUMN()-10)&lt;=playercnt),((ROW()-41)&lt;=playercnt)),SUMPRODUCT(INDIRECT(ADDRESS(3,ROW()-31,1)):INDIRECT(ADDRESS(22,ROW()-31,1)),AS$3:AS$22),"")</f>
        <v>20</v>
      </c>
      <c r="AT83">
        <f ca="1">IF(AND(((COLUMN()-10)&lt;=playercnt),((ROW()-41)&lt;=playercnt)),SUMPRODUCT(INDIRECT(ADDRESS(3,ROW()-31,1)):INDIRECT(ADDRESS(22,ROW()-31,1)),AT$3:AT$22),"")</f>
        <v>20</v>
      </c>
      <c r="AU83">
        <f ca="1">IF(AND(((COLUMN()-10)&lt;=playercnt),((ROW()-41)&lt;=playercnt)),SUMPRODUCT(INDIRECT(ADDRESS(3,ROW()-31,1)):INDIRECT(ADDRESS(22,ROW()-31,1)),AU$3:AU$22),"")</f>
        <v>20</v>
      </c>
      <c r="AV83">
        <f ca="1">IF(AND(((COLUMN()-10)&lt;=playercnt),((ROW()-41)&lt;=playercnt)),SUMPRODUCT(INDIRECT(ADDRESS(3,ROW()-31,1)):INDIRECT(ADDRESS(22,ROW()-31,1)),AV$3:AV$22),"")</f>
        <v>20</v>
      </c>
      <c r="AW83">
        <f ca="1">IF(AND(((COLUMN()-10)&lt;=playercnt),((ROW()-41)&lt;=playercnt)),SUMPRODUCT(INDIRECT(ADDRESS(3,ROW()-31,1)):INDIRECT(ADDRESS(22,ROW()-31,1)),AW$3:AW$22),"")</f>
        <v>20</v>
      </c>
      <c r="AX83">
        <f ca="1">IF(AND(((COLUMN()-10)&lt;=playercnt),((ROW()-41)&lt;=playercnt)),SUMPRODUCT(INDIRECT(ADDRESS(3,ROW()-31,1)):INDIRECT(ADDRESS(22,ROW()-31,1)),AX$3:AX$22),"")</f>
        <v>20</v>
      </c>
      <c r="AY83">
        <f ca="1">IF(AND(((COLUMN()-10)&lt;=playercnt),((ROW()-41)&lt;=playercnt)),SUMPRODUCT(INDIRECT(ADDRESS(3,ROW()-31,1)):INDIRECT(ADDRESS(22,ROW()-31,1)),AY$3:AY$22),"")</f>
        <v>20</v>
      </c>
      <c r="AZ83">
        <f ca="1">IF(AND(((COLUMN()-10)&lt;=playercnt),((ROW()-41)&lt;=playercnt)),SUMPRODUCT(INDIRECT(ADDRESS(3,ROW()-31,1)):INDIRECT(ADDRESS(22,ROW()-31,1)),AZ$3:AZ$22),"")</f>
        <v>20</v>
      </c>
      <c r="BA83">
        <f ca="1">IF(AND(((COLUMN()-10)&lt;=playercnt),((ROW()-41)&lt;=playercnt)),SUMPRODUCT(INDIRECT(ADDRESS(3,ROW()-31,1)):INDIRECT(ADDRESS(22,ROW()-31,1)),BA$3:BA$22),"")</f>
        <v>20</v>
      </c>
      <c r="BB83">
        <f ca="1">IF(AND(((COLUMN()-10)&lt;=playercnt),((ROW()-41)&lt;=playercnt)),SUMPRODUCT(INDIRECT(ADDRESS(3,ROW()-31,1)):INDIRECT(ADDRESS(22,ROW()-31,1)),BB$3:BB$22),"")</f>
        <v>20</v>
      </c>
      <c r="BC83">
        <f ca="1">IF(AND(((COLUMN()-10)&lt;=playercnt),((ROW()-41)&lt;=playercnt)),SUMPRODUCT(INDIRECT(ADDRESS(3,ROW()-31,1)):INDIRECT(ADDRESS(22,ROW()-31,1)),BC$3:BC$22),"")</f>
        <v>20</v>
      </c>
      <c r="BD83">
        <f ca="1">IF(AND(((COLUMN()-10)&lt;=playercnt),((ROW()-41)&lt;=playercnt)),SUMPRODUCT(INDIRECT(ADDRESS(3,ROW()-31,1)):INDIRECT(ADDRESS(22,ROW()-31,1)),BD$3:BD$22),"")</f>
        <v>20</v>
      </c>
      <c r="BE83">
        <f ca="1">IF(AND(((COLUMN()-10)&lt;=playercnt),((ROW()-41)&lt;=playercnt)),SUMPRODUCT(INDIRECT(ADDRESS(3,ROW()-31,1)):INDIRECT(ADDRESS(22,ROW()-31,1)),BE$3:BE$22),"")</f>
        <v>20</v>
      </c>
      <c r="BF83">
        <f ca="1">IF(AND(((COLUMN()-10)&lt;=playercnt),((ROW()-41)&lt;=playercnt)),SUMPRODUCT(INDIRECT(ADDRESS(3,ROW()-31,1)):INDIRECT(ADDRESS(22,ROW()-31,1)),BF$3:BF$22),"")</f>
        <v>20</v>
      </c>
      <c r="BG83">
        <f ca="1">IF(AND(((COLUMN()-10)&lt;=playercnt),((ROW()-41)&lt;=playercnt)),SUMPRODUCT(INDIRECT(ADDRESS(3,ROW()-31,1)):INDIRECT(ADDRESS(22,ROW()-31,1)),BG$3:BG$22),"")</f>
        <v>20</v>
      </c>
      <c r="BH83">
        <f ca="1">IF(AND(((COLUMN()-10)&lt;=playercnt),((ROW()-41)&lt;=playercnt)),SUMPRODUCT(INDIRECT(ADDRESS(3,ROW()-31,1)):INDIRECT(ADDRESS(22,ROW()-31,1)),BH$3:BH$22),"")</f>
        <v>20</v>
      </c>
      <c r="BI83">
        <f ca="1">IF(AND(((COLUMN()-10)&lt;=playercnt),((ROW()-41)&lt;=playercnt)),SUMPRODUCT(INDIRECT(ADDRESS(3,ROW()-31,1)):INDIRECT(ADDRESS(22,ROW()-31,1)),BI$3:BI$22),"")</f>
        <v>20</v>
      </c>
      <c r="BJ83">
        <f ca="1">IF(AND(((COLUMN()-10)&lt;=playercnt),((ROW()-41)&lt;=playercnt)),SUMPRODUCT(INDIRECT(ADDRESS(3,ROW()-31,1)):INDIRECT(ADDRESS(22,ROW()-31,1)),BJ$3:BJ$22),"")</f>
        <v>20</v>
      </c>
      <c r="BK83">
        <f ca="1">IF(AND(((COLUMN()-10)&lt;=playercnt),((ROW()-41)&lt;=playercnt)),SUMPRODUCT(INDIRECT(ADDRESS(3,ROW()-31,1)):INDIRECT(ADDRESS(22,ROW()-31,1)),BK$3:BK$22),"")</f>
        <v>20</v>
      </c>
      <c r="BL83">
        <f ca="1">IF(AND(((COLUMN()-10)&lt;=playercnt),((ROW()-41)&lt;=playercnt)),SUMPRODUCT(INDIRECT(ADDRESS(3,ROW()-31,1)):INDIRECT(ADDRESS(22,ROW()-31,1)),BL$3:BL$22),"")</f>
        <v>20</v>
      </c>
      <c r="BM83">
        <f ca="1">IF(AND(((COLUMN()-10)&lt;=playercnt),((ROW()-41)&lt;=playercnt)),SUMPRODUCT(INDIRECT(ADDRESS(3,ROW()-31,1)):INDIRECT(ADDRESS(22,ROW()-31,1)),BM$3:BM$22),"")</f>
        <v>20</v>
      </c>
      <c r="BN83">
        <f ca="1">IF(AND(((COLUMN()-10)&lt;=playercnt),((ROW()-41)&lt;=playercnt)),SUMPRODUCT(INDIRECT(ADDRESS(3,ROW()-31,1)):INDIRECT(ADDRESS(22,ROW()-31,1)),BN$3:BN$22),"")</f>
        <v>20</v>
      </c>
      <c r="BO83" t="str">
        <f ca="1">IF(AND(((COLUMN()-10)&lt;=playercnt),((ROW()-41)&lt;=playercnt)),SUMPRODUCT(INDIRECT(ADDRESS(3,ROW()-31,1)):INDIRECT(ADDRESS(22,ROW()-31,1)),BO$3:BO$22),"")</f>
        <v/>
      </c>
    </row>
    <row r="84" spans="2:67" x14ac:dyDescent="0.25">
      <c r="B84" s="27" t="str">
        <f t="shared" ca="1" si="23"/>
        <v/>
      </c>
      <c r="C84" t="e">
        <f t="shared" ca="1" si="24"/>
        <v>#REF!</v>
      </c>
      <c r="G84">
        <f ca="1">IF(AND(((COLUMN()-10)&lt;=playercnt),((ROW()-41)&lt;=playercnt)),SUMPRODUCT(INDIRECT(ADDRESS(3,ROW()-31,1)):INDIRECT(ADDRESS(22,ROW()-31,1)),G$3:G$22),"")</f>
        <v>20</v>
      </c>
      <c r="H84" t="e">
        <f ca="1">IF(AND(((COLUMN()-10)&lt;=playercnt),((ROW()-41)&lt;=playercnt)),SUMPRODUCT(INDIRECT(ADDRESS(3,ROW()-31,1)):INDIRECT(ADDRESS(22,ROW()-31,1)),H$3:H$22),"")</f>
        <v>#REF!</v>
      </c>
      <c r="I84" t="e">
        <f ca="1">IF(AND(((COLUMN()-10)&lt;=playercnt),((ROW()-41)&lt;=playercnt)),SUMPRODUCT(INDIRECT(ADDRESS(3,ROW()-31,1)):INDIRECT(ADDRESS(22,ROW()-31,1)),I$3:I$22),"")</f>
        <v>#REF!</v>
      </c>
      <c r="J84">
        <f ca="1">IF(AND(((COLUMN()-10)&lt;=playercnt),((ROW()-41)&lt;=playercnt)),SUMPRODUCT(INDIRECT(ADDRESS(3,ROW()-31,1)):INDIRECT(ADDRESS(22,ROW()-31,1)),J$3:J$22),"")</f>
        <v>20</v>
      </c>
      <c r="K84">
        <f ca="1">IF(AND(((COLUMN()-10)&lt;=playercnt),((ROW()-41)&lt;=playercnt)),SUMPRODUCT(INDIRECT(ADDRESS(3,ROW()-31,1)):INDIRECT(ADDRESS(22,ROW()-31,1)),K$3:K$22),"")</f>
        <v>20</v>
      </c>
      <c r="L84">
        <f ca="1">IF(AND(((COLUMN()-10)&lt;=playercnt),((ROW()-41)&lt;=playercnt)),SUMPRODUCT(INDIRECT(ADDRESS(3,ROW()-31,1)):INDIRECT(ADDRESS(22,ROW()-31,1)),L$3:L$22),"")</f>
        <v>20</v>
      </c>
      <c r="M84">
        <f ca="1">IF(AND(((COLUMN()-10)&lt;=playercnt),((ROW()-41)&lt;=playercnt)),SUMPRODUCT(INDIRECT(ADDRESS(3,ROW()-31,1)):INDIRECT(ADDRESS(22,ROW()-31,1)),M$3:M$22),"")</f>
        <v>20</v>
      </c>
      <c r="N84">
        <f ca="1">IF(AND(((COLUMN()-10)&lt;=playercnt),((ROW()-41)&lt;=playercnt)),SUMPRODUCT(INDIRECT(ADDRESS(3,ROW()-31,1)):INDIRECT(ADDRESS(22,ROW()-31,1)),N$3:N$22),"")</f>
        <v>20</v>
      </c>
      <c r="O84">
        <f ca="1">IF(AND(((COLUMN()-10)&lt;=playercnt),((ROW()-41)&lt;=playercnt)),SUMPRODUCT(INDIRECT(ADDRESS(3,ROW()-31,1)):INDIRECT(ADDRESS(22,ROW()-31,1)),O$3:O$22),"")</f>
        <v>20</v>
      </c>
      <c r="P84">
        <f ca="1">IF(AND(((COLUMN()-10)&lt;=playercnt),((ROW()-41)&lt;=playercnt)),SUMPRODUCT(INDIRECT(ADDRESS(3,ROW()-31,1)):INDIRECT(ADDRESS(22,ROW()-31,1)),P$3:P$22),"")</f>
        <v>20</v>
      </c>
      <c r="Q84">
        <f ca="1">IF(AND(((COLUMN()-10)&lt;=playercnt),((ROW()-41)&lt;=playercnt)),SUMPRODUCT(INDIRECT(ADDRESS(3,ROW()-31,1)):INDIRECT(ADDRESS(22,ROW()-31,1)),Q$3:Q$22),"")</f>
        <v>20</v>
      </c>
      <c r="R84">
        <f ca="1">IF(AND(((COLUMN()-10)&lt;=playercnt),((ROW()-41)&lt;=playercnt)),SUMPRODUCT(INDIRECT(ADDRESS(3,ROW()-31,1)):INDIRECT(ADDRESS(22,ROW()-31,1)),R$3:R$22),"")</f>
        <v>20</v>
      </c>
      <c r="S84">
        <f ca="1">IF(AND(((COLUMN()-10)&lt;=playercnt),((ROW()-41)&lt;=playercnt)),SUMPRODUCT(INDIRECT(ADDRESS(3,ROW()-31,1)):INDIRECT(ADDRESS(22,ROW()-31,1)),S$3:S$22),"")</f>
        <v>20</v>
      </c>
      <c r="T84">
        <f ca="1">IF(AND(((COLUMN()-10)&lt;=playercnt),((ROW()-41)&lt;=playercnt)),SUMPRODUCT(INDIRECT(ADDRESS(3,ROW()-31,1)):INDIRECT(ADDRESS(22,ROW()-31,1)),T$3:T$22),"")</f>
        <v>20</v>
      </c>
      <c r="U84">
        <f ca="1">IF(AND(((COLUMN()-10)&lt;=playercnt),((ROW()-41)&lt;=playercnt)),SUMPRODUCT(INDIRECT(ADDRESS(3,ROW()-31,1)):INDIRECT(ADDRESS(22,ROW()-31,1)),U$3:U$22),"")</f>
        <v>20</v>
      </c>
      <c r="V84">
        <f ca="1">IF(AND(((COLUMN()-10)&lt;=playercnt),((ROW()-41)&lt;=playercnt)),SUMPRODUCT(INDIRECT(ADDRESS(3,ROW()-31,1)):INDIRECT(ADDRESS(22,ROW()-31,1)),V$3:V$22),"")</f>
        <v>20</v>
      </c>
      <c r="W84">
        <f ca="1">IF(AND(((COLUMN()-10)&lt;=playercnt),((ROW()-41)&lt;=playercnt)),SUMPRODUCT(INDIRECT(ADDRESS(3,ROW()-31,1)):INDIRECT(ADDRESS(22,ROW()-31,1)),W$3:W$22),"")</f>
        <v>20</v>
      </c>
      <c r="X84">
        <f ca="1">IF(AND(((COLUMN()-10)&lt;=playercnt),((ROW()-41)&lt;=playercnt)),SUMPRODUCT(INDIRECT(ADDRESS(3,ROW()-31,1)):INDIRECT(ADDRESS(22,ROW()-31,1)),X$3:X$22),"")</f>
        <v>20</v>
      </c>
      <c r="Y84">
        <f ca="1">IF(AND(((COLUMN()-10)&lt;=playercnt),((ROW()-41)&lt;=playercnt)),SUMPRODUCT(INDIRECT(ADDRESS(3,ROW()-31,1)):INDIRECT(ADDRESS(22,ROW()-31,1)),Y$3:Y$22),"")</f>
        <v>20</v>
      </c>
      <c r="Z84">
        <f ca="1">IF(AND(((COLUMN()-10)&lt;=playercnt),((ROW()-41)&lt;=playercnt)),SUMPRODUCT(INDIRECT(ADDRESS(3,ROW()-31,1)):INDIRECT(ADDRESS(22,ROW()-31,1)),Z$3:Z$22),"")</f>
        <v>20</v>
      </c>
      <c r="AA84">
        <f ca="1">IF(AND(((COLUMN()-10)&lt;=playercnt),((ROW()-41)&lt;=playercnt)),SUMPRODUCT(INDIRECT(ADDRESS(3,ROW()-31,1)):INDIRECT(ADDRESS(22,ROW()-31,1)),AA$3:AA$22),"")</f>
        <v>20</v>
      </c>
      <c r="AB84">
        <f ca="1">IF(AND(((COLUMN()-10)&lt;=playercnt),((ROW()-41)&lt;=playercnt)),SUMPRODUCT(INDIRECT(ADDRESS(3,ROW()-31,1)):INDIRECT(ADDRESS(22,ROW()-31,1)),AB$3:AB$22),"")</f>
        <v>20</v>
      </c>
      <c r="AC84">
        <f ca="1">IF(AND(((COLUMN()-10)&lt;=playercnt),((ROW()-41)&lt;=playercnt)),SUMPRODUCT(INDIRECT(ADDRESS(3,ROW()-31,1)):INDIRECT(ADDRESS(22,ROW()-31,1)),AC$3:AC$22),"")</f>
        <v>20</v>
      </c>
      <c r="AD84">
        <f ca="1">IF(AND(((COLUMN()-10)&lt;=playercnt),((ROW()-41)&lt;=playercnt)),SUMPRODUCT(INDIRECT(ADDRESS(3,ROW()-31,1)):INDIRECT(ADDRESS(22,ROW()-31,1)),AD$3:AD$22),"")</f>
        <v>20</v>
      </c>
      <c r="AE84">
        <f ca="1">IF(AND(((COLUMN()-10)&lt;=playercnt),((ROW()-41)&lt;=playercnt)),SUMPRODUCT(INDIRECT(ADDRESS(3,ROW()-31,1)):INDIRECT(ADDRESS(22,ROW()-31,1)),AE$3:AE$22),"")</f>
        <v>20</v>
      </c>
      <c r="AF84">
        <f ca="1">IF(AND(((COLUMN()-10)&lt;=playercnt),((ROW()-41)&lt;=playercnt)),SUMPRODUCT(INDIRECT(ADDRESS(3,ROW()-31,1)):INDIRECT(ADDRESS(22,ROW()-31,1)),AF$3:AF$22),"")</f>
        <v>20</v>
      </c>
      <c r="AG84">
        <f ca="1">IF(AND(((COLUMN()-10)&lt;=playercnt),((ROW()-41)&lt;=playercnt)),SUMPRODUCT(INDIRECT(ADDRESS(3,ROW()-31,1)):INDIRECT(ADDRESS(22,ROW()-31,1)),AG$3:AG$22),"")</f>
        <v>20</v>
      </c>
      <c r="AH84">
        <f ca="1">IF(AND(((COLUMN()-10)&lt;=playercnt),((ROW()-41)&lt;=playercnt)),SUMPRODUCT(INDIRECT(ADDRESS(3,ROW()-31,1)):INDIRECT(ADDRESS(22,ROW()-31,1)),AH$3:AH$22),"")</f>
        <v>20</v>
      </c>
      <c r="AI84">
        <f ca="1">IF(AND(((COLUMN()-10)&lt;=playercnt),((ROW()-41)&lt;=playercnt)),SUMPRODUCT(INDIRECT(ADDRESS(3,ROW()-31,1)):INDIRECT(ADDRESS(22,ROW()-31,1)),AI$3:AI$22),"")</f>
        <v>20</v>
      </c>
      <c r="AJ84">
        <f ca="1">IF(AND(((COLUMN()-10)&lt;=playercnt),((ROW()-41)&lt;=playercnt)),SUMPRODUCT(INDIRECT(ADDRESS(3,ROW()-31,1)):INDIRECT(ADDRESS(22,ROW()-31,1)),AJ$3:AJ$22),"")</f>
        <v>20</v>
      </c>
      <c r="AK84">
        <f ca="1">IF(AND(((COLUMN()-10)&lt;=playercnt),((ROW()-41)&lt;=playercnt)),SUMPRODUCT(INDIRECT(ADDRESS(3,ROW()-31,1)):INDIRECT(ADDRESS(22,ROW()-31,1)),AK$3:AK$22),"")</f>
        <v>20</v>
      </c>
      <c r="AL84">
        <f ca="1">IF(AND(((COLUMN()-10)&lt;=playercnt),((ROW()-41)&lt;=playercnt)),SUMPRODUCT(INDIRECT(ADDRESS(3,ROW()-31,1)):INDIRECT(ADDRESS(22,ROW()-31,1)),AL$3:AL$22),"")</f>
        <v>20</v>
      </c>
      <c r="AM84">
        <f ca="1">IF(AND(((COLUMN()-10)&lt;=playercnt),((ROW()-41)&lt;=playercnt)),SUMPRODUCT(INDIRECT(ADDRESS(3,ROW()-31,1)):INDIRECT(ADDRESS(22,ROW()-31,1)),AM$3:AM$22),"")</f>
        <v>20</v>
      </c>
      <c r="AN84">
        <f ca="1">IF(AND(((COLUMN()-10)&lt;=playercnt),((ROW()-41)&lt;=playercnt)),SUMPRODUCT(INDIRECT(ADDRESS(3,ROW()-31,1)):INDIRECT(ADDRESS(22,ROW()-31,1)),AN$3:AN$22),"")</f>
        <v>20</v>
      </c>
      <c r="AO84">
        <f ca="1">IF(AND(((COLUMN()-10)&lt;=playercnt),((ROW()-41)&lt;=playercnt)),SUMPRODUCT(INDIRECT(ADDRESS(3,ROW()-31,1)):INDIRECT(ADDRESS(22,ROW()-31,1)),AO$3:AO$22),"")</f>
        <v>20</v>
      </c>
      <c r="AP84">
        <f ca="1">IF(AND(((COLUMN()-10)&lt;=playercnt),((ROW()-41)&lt;=playercnt)),SUMPRODUCT(INDIRECT(ADDRESS(3,ROW()-31,1)):INDIRECT(ADDRESS(22,ROW()-31,1)),AP$3:AP$22),"")</f>
        <v>20</v>
      </c>
      <c r="AQ84">
        <f ca="1">IF(AND(((COLUMN()-10)&lt;=playercnt),((ROW()-41)&lt;=playercnt)),SUMPRODUCT(INDIRECT(ADDRESS(3,ROW()-31,1)):INDIRECT(ADDRESS(22,ROW()-31,1)),AQ$3:AQ$22),"")</f>
        <v>20</v>
      </c>
      <c r="AR84">
        <f ca="1">IF(AND(((COLUMN()-10)&lt;=playercnt),((ROW()-41)&lt;=playercnt)),SUMPRODUCT(INDIRECT(ADDRESS(3,ROW()-31,1)):INDIRECT(ADDRESS(22,ROW()-31,1)),AR$3:AR$22),"")</f>
        <v>20</v>
      </c>
      <c r="AS84">
        <f ca="1">IF(AND(((COLUMN()-10)&lt;=playercnt),((ROW()-41)&lt;=playercnt)),SUMPRODUCT(INDIRECT(ADDRESS(3,ROW()-31,1)):INDIRECT(ADDRESS(22,ROW()-31,1)),AS$3:AS$22),"")</f>
        <v>20</v>
      </c>
      <c r="AT84">
        <f ca="1">IF(AND(((COLUMN()-10)&lt;=playercnt),((ROW()-41)&lt;=playercnt)),SUMPRODUCT(INDIRECT(ADDRESS(3,ROW()-31,1)):INDIRECT(ADDRESS(22,ROW()-31,1)),AT$3:AT$22),"")</f>
        <v>20</v>
      </c>
      <c r="AU84">
        <f ca="1">IF(AND(((COLUMN()-10)&lt;=playercnt),((ROW()-41)&lt;=playercnt)),SUMPRODUCT(INDIRECT(ADDRESS(3,ROW()-31,1)):INDIRECT(ADDRESS(22,ROW()-31,1)),AU$3:AU$22),"")</f>
        <v>20</v>
      </c>
      <c r="AV84">
        <f ca="1">IF(AND(((COLUMN()-10)&lt;=playercnt),((ROW()-41)&lt;=playercnt)),SUMPRODUCT(INDIRECT(ADDRESS(3,ROW()-31,1)):INDIRECT(ADDRESS(22,ROW()-31,1)),AV$3:AV$22),"")</f>
        <v>20</v>
      </c>
      <c r="AW84">
        <f ca="1">IF(AND(((COLUMN()-10)&lt;=playercnt),((ROW()-41)&lt;=playercnt)),SUMPRODUCT(INDIRECT(ADDRESS(3,ROW()-31,1)):INDIRECT(ADDRESS(22,ROW()-31,1)),AW$3:AW$22),"")</f>
        <v>20</v>
      </c>
      <c r="AX84">
        <f ca="1">IF(AND(((COLUMN()-10)&lt;=playercnt),((ROW()-41)&lt;=playercnt)),SUMPRODUCT(INDIRECT(ADDRESS(3,ROW()-31,1)):INDIRECT(ADDRESS(22,ROW()-31,1)),AX$3:AX$22),"")</f>
        <v>20</v>
      </c>
      <c r="AY84">
        <f ca="1">IF(AND(((COLUMN()-10)&lt;=playercnt),((ROW()-41)&lt;=playercnt)),SUMPRODUCT(INDIRECT(ADDRESS(3,ROW()-31,1)):INDIRECT(ADDRESS(22,ROW()-31,1)),AY$3:AY$22),"")</f>
        <v>20</v>
      </c>
      <c r="AZ84">
        <f ca="1">IF(AND(((COLUMN()-10)&lt;=playercnt),((ROW()-41)&lt;=playercnt)),SUMPRODUCT(INDIRECT(ADDRESS(3,ROW()-31,1)):INDIRECT(ADDRESS(22,ROW()-31,1)),AZ$3:AZ$22),"")</f>
        <v>20</v>
      </c>
      <c r="BA84">
        <f ca="1">IF(AND(((COLUMN()-10)&lt;=playercnt),((ROW()-41)&lt;=playercnt)),SUMPRODUCT(INDIRECT(ADDRESS(3,ROW()-31,1)):INDIRECT(ADDRESS(22,ROW()-31,1)),BA$3:BA$22),"")</f>
        <v>20</v>
      </c>
      <c r="BB84">
        <f ca="1">IF(AND(((COLUMN()-10)&lt;=playercnt),((ROW()-41)&lt;=playercnt)),SUMPRODUCT(INDIRECT(ADDRESS(3,ROW()-31,1)):INDIRECT(ADDRESS(22,ROW()-31,1)),BB$3:BB$22),"")</f>
        <v>20</v>
      </c>
      <c r="BC84">
        <f ca="1">IF(AND(((COLUMN()-10)&lt;=playercnt),((ROW()-41)&lt;=playercnt)),SUMPRODUCT(INDIRECT(ADDRESS(3,ROW()-31,1)):INDIRECT(ADDRESS(22,ROW()-31,1)),BC$3:BC$22),"")</f>
        <v>20</v>
      </c>
      <c r="BD84">
        <f ca="1">IF(AND(((COLUMN()-10)&lt;=playercnt),((ROW()-41)&lt;=playercnt)),SUMPRODUCT(INDIRECT(ADDRESS(3,ROW()-31,1)):INDIRECT(ADDRESS(22,ROW()-31,1)),BD$3:BD$22),"")</f>
        <v>20</v>
      </c>
      <c r="BE84">
        <f ca="1">IF(AND(((COLUMN()-10)&lt;=playercnt),((ROW()-41)&lt;=playercnt)),SUMPRODUCT(INDIRECT(ADDRESS(3,ROW()-31,1)):INDIRECT(ADDRESS(22,ROW()-31,1)),BE$3:BE$22),"")</f>
        <v>20</v>
      </c>
      <c r="BF84">
        <f ca="1">IF(AND(((COLUMN()-10)&lt;=playercnt),((ROW()-41)&lt;=playercnt)),SUMPRODUCT(INDIRECT(ADDRESS(3,ROW()-31,1)):INDIRECT(ADDRESS(22,ROW()-31,1)),BF$3:BF$22),"")</f>
        <v>20</v>
      </c>
      <c r="BG84">
        <f ca="1">IF(AND(((COLUMN()-10)&lt;=playercnt),((ROW()-41)&lt;=playercnt)),SUMPRODUCT(INDIRECT(ADDRESS(3,ROW()-31,1)):INDIRECT(ADDRESS(22,ROW()-31,1)),BG$3:BG$22),"")</f>
        <v>20</v>
      </c>
      <c r="BH84">
        <f ca="1">IF(AND(((COLUMN()-10)&lt;=playercnt),((ROW()-41)&lt;=playercnt)),SUMPRODUCT(INDIRECT(ADDRESS(3,ROW()-31,1)):INDIRECT(ADDRESS(22,ROW()-31,1)),BH$3:BH$22),"")</f>
        <v>20</v>
      </c>
      <c r="BI84">
        <f ca="1">IF(AND(((COLUMN()-10)&lt;=playercnt),((ROW()-41)&lt;=playercnt)),SUMPRODUCT(INDIRECT(ADDRESS(3,ROW()-31,1)):INDIRECT(ADDRESS(22,ROW()-31,1)),BI$3:BI$22),"")</f>
        <v>20</v>
      </c>
      <c r="BJ84">
        <f ca="1">IF(AND(((COLUMN()-10)&lt;=playercnt),((ROW()-41)&lt;=playercnt)),SUMPRODUCT(INDIRECT(ADDRESS(3,ROW()-31,1)):INDIRECT(ADDRESS(22,ROW()-31,1)),BJ$3:BJ$22),"")</f>
        <v>20</v>
      </c>
      <c r="BK84">
        <f ca="1">IF(AND(((COLUMN()-10)&lt;=playercnt),((ROW()-41)&lt;=playercnt)),SUMPRODUCT(INDIRECT(ADDRESS(3,ROW()-31,1)):INDIRECT(ADDRESS(22,ROW()-31,1)),BK$3:BK$22),"")</f>
        <v>20</v>
      </c>
      <c r="BL84">
        <f ca="1">IF(AND(((COLUMN()-10)&lt;=playercnt),((ROW()-41)&lt;=playercnt)),SUMPRODUCT(INDIRECT(ADDRESS(3,ROW()-31,1)):INDIRECT(ADDRESS(22,ROW()-31,1)),BL$3:BL$22),"")</f>
        <v>20</v>
      </c>
      <c r="BM84">
        <f ca="1">IF(AND(((COLUMN()-10)&lt;=playercnt),((ROW()-41)&lt;=playercnt)),SUMPRODUCT(INDIRECT(ADDRESS(3,ROW()-31,1)):INDIRECT(ADDRESS(22,ROW()-31,1)),BM$3:BM$22),"")</f>
        <v>20</v>
      </c>
      <c r="BN84">
        <f ca="1">IF(AND(((COLUMN()-10)&lt;=playercnt),((ROW()-41)&lt;=playercnt)),SUMPRODUCT(INDIRECT(ADDRESS(3,ROW()-31,1)):INDIRECT(ADDRESS(22,ROW()-31,1)),BN$3:BN$22),"")</f>
        <v>20</v>
      </c>
      <c r="BO84" t="str">
        <f ca="1">IF(AND(((COLUMN()-10)&lt;=playercnt),((ROW()-41)&lt;=playercnt)),SUMPRODUCT(INDIRECT(ADDRESS(3,ROW()-31,1)):INDIRECT(ADDRESS(22,ROW()-31,1)),BO$3:BO$22),"")</f>
        <v/>
      </c>
    </row>
    <row r="85" spans="2:67" x14ac:dyDescent="0.25">
      <c r="B85" s="27" t="str">
        <f t="shared" ca="1" si="23"/>
        <v/>
      </c>
      <c r="C85" t="e">
        <f t="shared" ca="1" si="24"/>
        <v>#REF!</v>
      </c>
      <c r="G85">
        <f ca="1">IF(AND(((COLUMN()-10)&lt;=playercnt),((ROW()-41)&lt;=playercnt)),SUMPRODUCT(INDIRECT(ADDRESS(3,ROW()-31,1)):INDIRECT(ADDRESS(22,ROW()-31,1)),G$3:G$22),"")</f>
        <v>20</v>
      </c>
      <c r="H85" t="e">
        <f ca="1">IF(AND(((COLUMN()-10)&lt;=playercnt),((ROW()-41)&lt;=playercnt)),SUMPRODUCT(INDIRECT(ADDRESS(3,ROW()-31,1)):INDIRECT(ADDRESS(22,ROW()-31,1)),H$3:H$22),"")</f>
        <v>#REF!</v>
      </c>
      <c r="I85" t="e">
        <f ca="1">IF(AND(((COLUMN()-10)&lt;=playercnt),((ROW()-41)&lt;=playercnt)),SUMPRODUCT(INDIRECT(ADDRESS(3,ROW()-31,1)):INDIRECT(ADDRESS(22,ROW()-31,1)),I$3:I$22),"")</f>
        <v>#REF!</v>
      </c>
      <c r="J85">
        <f ca="1">IF(AND(((COLUMN()-10)&lt;=playercnt),((ROW()-41)&lt;=playercnt)),SUMPRODUCT(INDIRECT(ADDRESS(3,ROW()-31,1)):INDIRECT(ADDRESS(22,ROW()-31,1)),J$3:J$22),"")</f>
        <v>20</v>
      </c>
      <c r="K85">
        <f ca="1">IF(AND(((COLUMN()-10)&lt;=playercnt),((ROW()-41)&lt;=playercnt)),SUMPRODUCT(INDIRECT(ADDRESS(3,ROW()-31,1)):INDIRECT(ADDRESS(22,ROW()-31,1)),K$3:K$22),"")</f>
        <v>20</v>
      </c>
      <c r="L85">
        <f ca="1">IF(AND(((COLUMN()-10)&lt;=playercnt),((ROW()-41)&lt;=playercnt)),SUMPRODUCT(INDIRECT(ADDRESS(3,ROW()-31,1)):INDIRECT(ADDRESS(22,ROW()-31,1)),L$3:L$22),"")</f>
        <v>20</v>
      </c>
      <c r="M85">
        <f ca="1">IF(AND(((COLUMN()-10)&lt;=playercnt),((ROW()-41)&lt;=playercnt)),SUMPRODUCT(INDIRECT(ADDRESS(3,ROW()-31,1)):INDIRECT(ADDRESS(22,ROW()-31,1)),M$3:M$22),"")</f>
        <v>20</v>
      </c>
      <c r="N85">
        <f ca="1">IF(AND(((COLUMN()-10)&lt;=playercnt),((ROW()-41)&lt;=playercnt)),SUMPRODUCT(INDIRECT(ADDRESS(3,ROW()-31,1)):INDIRECT(ADDRESS(22,ROW()-31,1)),N$3:N$22),"")</f>
        <v>20</v>
      </c>
      <c r="O85">
        <f ca="1">IF(AND(((COLUMN()-10)&lt;=playercnt),((ROW()-41)&lt;=playercnt)),SUMPRODUCT(INDIRECT(ADDRESS(3,ROW()-31,1)):INDIRECT(ADDRESS(22,ROW()-31,1)),O$3:O$22),"")</f>
        <v>20</v>
      </c>
      <c r="P85">
        <f ca="1">IF(AND(((COLUMN()-10)&lt;=playercnt),((ROW()-41)&lt;=playercnt)),SUMPRODUCT(INDIRECT(ADDRESS(3,ROW()-31,1)):INDIRECT(ADDRESS(22,ROW()-31,1)),P$3:P$22),"")</f>
        <v>20</v>
      </c>
      <c r="Q85">
        <f ca="1">IF(AND(((COLUMN()-10)&lt;=playercnt),((ROW()-41)&lt;=playercnt)),SUMPRODUCT(INDIRECT(ADDRESS(3,ROW()-31,1)):INDIRECT(ADDRESS(22,ROW()-31,1)),Q$3:Q$22),"")</f>
        <v>20</v>
      </c>
      <c r="R85">
        <f ca="1">IF(AND(((COLUMN()-10)&lt;=playercnt),((ROW()-41)&lt;=playercnt)),SUMPRODUCT(INDIRECT(ADDRESS(3,ROW()-31,1)):INDIRECT(ADDRESS(22,ROW()-31,1)),R$3:R$22),"")</f>
        <v>20</v>
      </c>
      <c r="S85">
        <f ca="1">IF(AND(((COLUMN()-10)&lt;=playercnt),((ROW()-41)&lt;=playercnt)),SUMPRODUCT(INDIRECT(ADDRESS(3,ROW()-31,1)):INDIRECT(ADDRESS(22,ROW()-31,1)),S$3:S$22),"")</f>
        <v>20</v>
      </c>
      <c r="T85">
        <f ca="1">IF(AND(((COLUMN()-10)&lt;=playercnt),((ROW()-41)&lt;=playercnt)),SUMPRODUCT(INDIRECT(ADDRESS(3,ROW()-31,1)):INDIRECT(ADDRESS(22,ROW()-31,1)),T$3:T$22),"")</f>
        <v>20</v>
      </c>
      <c r="U85">
        <f ca="1">IF(AND(((COLUMN()-10)&lt;=playercnt),((ROW()-41)&lt;=playercnt)),SUMPRODUCT(INDIRECT(ADDRESS(3,ROW()-31,1)):INDIRECT(ADDRESS(22,ROW()-31,1)),U$3:U$22),"")</f>
        <v>20</v>
      </c>
      <c r="V85">
        <f ca="1">IF(AND(((COLUMN()-10)&lt;=playercnt),((ROW()-41)&lt;=playercnt)),SUMPRODUCT(INDIRECT(ADDRESS(3,ROW()-31,1)):INDIRECT(ADDRESS(22,ROW()-31,1)),V$3:V$22),"")</f>
        <v>20</v>
      </c>
      <c r="W85">
        <f ca="1">IF(AND(((COLUMN()-10)&lt;=playercnt),((ROW()-41)&lt;=playercnt)),SUMPRODUCT(INDIRECT(ADDRESS(3,ROW()-31,1)):INDIRECT(ADDRESS(22,ROW()-31,1)),W$3:W$22),"")</f>
        <v>20</v>
      </c>
      <c r="X85">
        <f ca="1">IF(AND(((COLUMN()-10)&lt;=playercnt),((ROW()-41)&lt;=playercnt)),SUMPRODUCT(INDIRECT(ADDRESS(3,ROW()-31,1)):INDIRECT(ADDRESS(22,ROW()-31,1)),X$3:X$22),"")</f>
        <v>20</v>
      </c>
      <c r="Y85">
        <f ca="1">IF(AND(((COLUMN()-10)&lt;=playercnt),((ROW()-41)&lt;=playercnt)),SUMPRODUCT(INDIRECT(ADDRESS(3,ROW()-31,1)):INDIRECT(ADDRESS(22,ROW()-31,1)),Y$3:Y$22),"")</f>
        <v>20</v>
      </c>
      <c r="Z85">
        <f ca="1">IF(AND(((COLUMN()-10)&lt;=playercnt),((ROW()-41)&lt;=playercnt)),SUMPRODUCT(INDIRECT(ADDRESS(3,ROW()-31,1)):INDIRECT(ADDRESS(22,ROW()-31,1)),Z$3:Z$22),"")</f>
        <v>20</v>
      </c>
      <c r="AA85">
        <f ca="1">IF(AND(((COLUMN()-10)&lt;=playercnt),((ROW()-41)&lt;=playercnt)),SUMPRODUCT(INDIRECT(ADDRESS(3,ROW()-31,1)):INDIRECT(ADDRESS(22,ROW()-31,1)),AA$3:AA$22),"")</f>
        <v>20</v>
      </c>
      <c r="AB85">
        <f ca="1">IF(AND(((COLUMN()-10)&lt;=playercnt),((ROW()-41)&lt;=playercnt)),SUMPRODUCT(INDIRECT(ADDRESS(3,ROW()-31,1)):INDIRECT(ADDRESS(22,ROW()-31,1)),AB$3:AB$22),"")</f>
        <v>20</v>
      </c>
      <c r="AC85">
        <f ca="1">IF(AND(((COLUMN()-10)&lt;=playercnt),((ROW()-41)&lt;=playercnt)),SUMPRODUCT(INDIRECT(ADDRESS(3,ROW()-31,1)):INDIRECT(ADDRESS(22,ROW()-31,1)),AC$3:AC$22),"")</f>
        <v>20</v>
      </c>
      <c r="AD85">
        <f ca="1">IF(AND(((COLUMN()-10)&lt;=playercnt),((ROW()-41)&lt;=playercnt)),SUMPRODUCT(INDIRECT(ADDRESS(3,ROW()-31,1)):INDIRECT(ADDRESS(22,ROW()-31,1)),AD$3:AD$22),"")</f>
        <v>20</v>
      </c>
      <c r="AE85">
        <f ca="1">IF(AND(((COLUMN()-10)&lt;=playercnt),((ROW()-41)&lt;=playercnt)),SUMPRODUCT(INDIRECT(ADDRESS(3,ROW()-31,1)):INDIRECT(ADDRESS(22,ROW()-31,1)),AE$3:AE$22),"")</f>
        <v>20</v>
      </c>
      <c r="AF85">
        <f ca="1">IF(AND(((COLUMN()-10)&lt;=playercnt),((ROW()-41)&lt;=playercnt)),SUMPRODUCT(INDIRECT(ADDRESS(3,ROW()-31,1)):INDIRECT(ADDRESS(22,ROW()-31,1)),AF$3:AF$22),"")</f>
        <v>20</v>
      </c>
      <c r="AG85">
        <f ca="1">IF(AND(((COLUMN()-10)&lt;=playercnt),((ROW()-41)&lt;=playercnt)),SUMPRODUCT(INDIRECT(ADDRESS(3,ROW()-31,1)):INDIRECT(ADDRESS(22,ROW()-31,1)),AG$3:AG$22),"")</f>
        <v>20</v>
      </c>
      <c r="AH85">
        <f ca="1">IF(AND(((COLUMN()-10)&lt;=playercnt),((ROW()-41)&lt;=playercnt)),SUMPRODUCT(INDIRECT(ADDRESS(3,ROW()-31,1)):INDIRECT(ADDRESS(22,ROW()-31,1)),AH$3:AH$22),"")</f>
        <v>20</v>
      </c>
      <c r="AI85">
        <f ca="1">IF(AND(((COLUMN()-10)&lt;=playercnt),((ROW()-41)&lt;=playercnt)),SUMPRODUCT(INDIRECT(ADDRESS(3,ROW()-31,1)):INDIRECT(ADDRESS(22,ROW()-31,1)),AI$3:AI$22),"")</f>
        <v>20</v>
      </c>
      <c r="AJ85">
        <f ca="1">IF(AND(((COLUMN()-10)&lt;=playercnt),((ROW()-41)&lt;=playercnt)),SUMPRODUCT(INDIRECT(ADDRESS(3,ROW()-31,1)):INDIRECT(ADDRESS(22,ROW()-31,1)),AJ$3:AJ$22),"")</f>
        <v>20</v>
      </c>
      <c r="AK85">
        <f ca="1">IF(AND(((COLUMN()-10)&lt;=playercnt),((ROW()-41)&lt;=playercnt)),SUMPRODUCT(INDIRECT(ADDRESS(3,ROW()-31,1)):INDIRECT(ADDRESS(22,ROW()-31,1)),AK$3:AK$22),"")</f>
        <v>20</v>
      </c>
      <c r="AL85">
        <f ca="1">IF(AND(((COLUMN()-10)&lt;=playercnt),((ROW()-41)&lt;=playercnt)),SUMPRODUCT(INDIRECT(ADDRESS(3,ROW()-31,1)):INDIRECT(ADDRESS(22,ROW()-31,1)),AL$3:AL$22),"")</f>
        <v>20</v>
      </c>
      <c r="AM85">
        <f ca="1">IF(AND(((COLUMN()-10)&lt;=playercnt),((ROW()-41)&lt;=playercnt)),SUMPRODUCT(INDIRECT(ADDRESS(3,ROW()-31,1)):INDIRECT(ADDRESS(22,ROW()-31,1)),AM$3:AM$22),"")</f>
        <v>20</v>
      </c>
      <c r="AN85">
        <f ca="1">IF(AND(((COLUMN()-10)&lt;=playercnt),((ROW()-41)&lt;=playercnt)),SUMPRODUCT(INDIRECT(ADDRESS(3,ROW()-31,1)):INDIRECT(ADDRESS(22,ROW()-31,1)),AN$3:AN$22),"")</f>
        <v>20</v>
      </c>
      <c r="AO85">
        <f ca="1">IF(AND(((COLUMN()-10)&lt;=playercnt),((ROW()-41)&lt;=playercnt)),SUMPRODUCT(INDIRECT(ADDRESS(3,ROW()-31,1)):INDIRECT(ADDRESS(22,ROW()-31,1)),AO$3:AO$22),"")</f>
        <v>20</v>
      </c>
      <c r="AP85">
        <f ca="1">IF(AND(((COLUMN()-10)&lt;=playercnt),((ROW()-41)&lt;=playercnt)),SUMPRODUCT(INDIRECT(ADDRESS(3,ROW()-31,1)):INDIRECT(ADDRESS(22,ROW()-31,1)),AP$3:AP$22),"")</f>
        <v>20</v>
      </c>
      <c r="AQ85">
        <f ca="1">IF(AND(((COLUMN()-10)&lt;=playercnt),((ROW()-41)&lt;=playercnt)),SUMPRODUCT(INDIRECT(ADDRESS(3,ROW()-31,1)):INDIRECT(ADDRESS(22,ROW()-31,1)),AQ$3:AQ$22),"")</f>
        <v>20</v>
      </c>
      <c r="AR85">
        <f ca="1">IF(AND(((COLUMN()-10)&lt;=playercnt),((ROW()-41)&lt;=playercnt)),SUMPRODUCT(INDIRECT(ADDRESS(3,ROW()-31,1)):INDIRECT(ADDRESS(22,ROW()-31,1)),AR$3:AR$22),"")</f>
        <v>20</v>
      </c>
      <c r="AS85">
        <f ca="1">IF(AND(((COLUMN()-10)&lt;=playercnt),((ROW()-41)&lt;=playercnt)),SUMPRODUCT(INDIRECT(ADDRESS(3,ROW()-31,1)):INDIRECT(ADDRESS(22,ROW()-31,1)),AS$3:AS$22),"")</f>
        <v>20</v>
      </c>
      <c r="AT85">
        <f ca="1">IF(AND(((COLUMN()-10)&lt;=playercnt),((ROW()-41)&lt;=playercnt)),SUMPRODUCT(INDIRECT(ADDRESS(3,ROW()-31,1)):INDIRECT(ADDRESS(22,ROW()-31,1)),AT$3:AT$22),"")</f>
        <v>20</v>
      </c>
      <c r="AU85">
        <f ca="1">IF(AND(((COLUMN()-10)&lt;=playercnt),((ROW()-41)&lt;=playercnt)),SUMPRODUCT(INDIRECT(ADDRESS(3,ROW()-31,1)):INDIRECT(ADDRESS(22,ROW()-31,1)),AU$3:AU$22),"")</f>
        <v>20</v>
      </c>
      <c r="AV85">
        <f ca="1">IF(AND(((COLUMN()-10)&lt;=playercnt),((ROW()-41)&lt;=playercnt)),SUMPRODUCT(INDIRECT(ADDRESS(3,ROW()-31,1)):INDIRECT(ADDRESS(22,ROW()-31,1)),AV$3:AV$22),"")</f>
        <v>20</v>
      </c>
      <c r="AW85">
        <f ca="1">IF(AND(((COLUMN()-10)&lt;=playercnt),((ROW()-41)&lt;=playercnt)),SUMPRODUCT(INDIRECT(ADDRESS(3,ROW()-31,1)):INDIRECT(ADDRESS(22,ROW()-31,1)),AW$3:AW$22),"")</f>
        <v>20</v>
      </c>
      <c r="AX85">
        <f ca="1">IF(AND(((COLUMN()-10)&lt;=playercnt),((ROW()-41)&lt;=playercnt)),SUMPRODUCT(INDIRECT(ADDRESS(3,ROW()-31,1)):INDIRECT(ADDRESS(22,ROW()-31,1)),AX$3:AX$22),"")</f>
        <v>20</v>
      </c>
      <c r="AY85">
        <f ca="1">IF(AND(((COLUMN()-10)&lt;=playercnt),((ROW()-41)&lt;=playercnt)),SUMPRODUCT(INDIRECT(ADDRESS(3,ROW()-31,1)):INDIRECT(ADDRESS(22,ROW()-31,1)),AY$3:AY$22),"")</f>
        <v>20</v>
      </c>
      <c r="AZ85">
        <f ca="1">IF(AND(((COLUMN()-10)&lt;=playercnt),((ROW()-41)&lt;=playercnt)),SUMPRODUCT(INDIRECT(ADDRESS(3,ROW()-31,1)):INDIRECT(ADDRESS(22,ROW()-31,1)),AZ$3:AZ$22),"")</f>
        <v>20</v>
      </c>
      <c r="BA85">
        <f ca="1">IF(AND(((COLUMN()-10)&lt;=playercnt),((ROW()-41)&lt;=playercnt)),SUMPRODUCT(INDIRECT(ADDRESS(3,ROW()-31,1)):INDIRECT(ADDRESS(22,ROW()-31,1)),BA$3:BA$22),"")</f>
        <v>20</v>
      </c>
      <c r="BB85">
        <f ca="1">IF(AND(((COLUMN()-10)&lt;=playercnt),((ROW()-41)&lt;=playercnt)),SUMPRODUCT(INDIRECT(ADDRESS(3,ROW()-31,1)):INDIRECT(ADDRESS(22,ROW()-31,1)),BB$3:BB$22),"")</f>
        <v>20</v>
      </c>
      <c r="BC85">
        <f ca="1">IF(AND(((COLUMN()-10)&lt;=playercnt),((ROW()-41)&lt;=playercnt)),SUMPRODUCT(INDIRECT(ADDRESS(3,ROW()-31,1)):INDIRECT(ADDRESS(22,ROW()-31,1)),BC$3:BC$22),"")</f>
        <v>20</v>
      </c>
      <c r="BD85">
        <f ca="1">IF(AND(((COLUMN()-10)&lt;=playercnt),((ROW()-41)&lt;=playercnt)),SUMPRODUCT(INDIRECT(ADDRESS(3,ROW()-31,1)):INDIRECT(ADDRESS(22,ROW()-31,1)),BD$3:BD$22),"")</f>
        <v>20</v>
      </c>
      <c r="BE85">
        <f ca="1">IF(AND(((COLUMN()-10)&lt;=playercnt),((ROW()-41)&lt;=playercnt)),SUMPRODUCT(INDIRECT(ADDRESS(3,ROW()-31,1)):INDIRECT(ADDRESS(22,ROW()-31,1)),BE$3:BE$22),"")</f>
        <v>20</v>
      </c>
      <c r="BF85">
        <f ca="1">IF(AND(((COLUMN()-10)&lt;=playercnt),((ROW()-41)&lt;=playercnt)),SUMPRODUCT(INDIRECT(ADDRESS(3,ROW()-31,1)):INDIRECT(ADDRESS(22,ROW()-31,1)),BF$3:BF$22),"")</f>
        <v>20</v>
      </c>
      <c r="BG85">
        <f ca="1">IF(AND(((COLUMN()-10)&lt;=playercnt),((ROW()-41)&lt;=playercnt)),SUMPRODUCT(INDIRECT(ADDRESS(3,ROW()-31,1)):INDIRECT(ADDRESS(22,ROW()-31,1)),BG$3:BG$22),"")</f>
        <v>20</v>
      </c>
      <c r="BH85">
        <f ca="1">IF(AND(((COLUMN()-10)&lt;=playercnt),((ROW()-41)&lt;=playercnt)),SUMPRODUCT(INDIRECT(ADDRESS(3,ROW()-31,1)):INDIRECT(ADDRESS(22,ROW()-31,1)),BH$3:BH$22),"")</f>
        <v>20</v>
      </c>
      <c r="BI85">
        <f ca="1">IF(AND(((COLUMN()-10)&lt;=playercnt),((ROW()-41)&lt;=playercnt)),SUMPRODUCT(INDIRECT(ADDRESS(3,ROW()-31,1)):INDIRECT(ADDRESS(22,ROW()-31,1)),BI$3:BI$22),"")</f>
        <v>20</v>
      </c>
      <c r="BJ85">
        <f ca="1">IF(AND(((COLUMN()-10)&lt;=playercnt),((ROW()-41)&lt;=playercnt)),SUMPRODUCT(INDIRECT(ADDRESS(3,ROW()-31,1)):INDIRECT(ADDRESS(22,ROW()-31,1)),BJ$3:BJ$22),"")</f>
        <v>20</v>
      </c>
      <c r="BK85">
        <f ca="1">IF(AND(((COLUMN()-10)&lt;=playercnt),((ROW()-41)&lt;=playercnt)),SUMPRODUCT(INDIRECT(ADDRESS(3,ROW()-31,1)):INDIRECT(ADDRESS(22,ROW()-31,1)),BK$3:BK$22),"")</f>
        <v>20</v>
      </c>
      <c r="BL85">
        <f ca="1">IF(AND(((COLUMN()-10)&lt;=playercnt),((ROW()-41)&lt;=playercnt)),SUMPRODUCT(INDIRECT(ADDRESS(3,ROW()-31,1)):INDIRECT(ADDRESS(22,ROW()-31,1)),BL$3:BL$22),"")</f>
        <v>20</v>
      </c>
      <c r="BM85">
        <f ca="1">IF(AND(((COLUMN()-10)&lt;=playercnt),((ROW()-41)&lt;=playercnt)),SUMPRODUCT(INDIRECT(ADDRESS(3,ROW()-31,1)):INDIRECT(ADDRESS(22,ROW()-31,1)),BM$3:BM$22),"")</f>
        <v>20</v>
      </c>
      <c r="BN85">
        <f ca="1">IF(AND(((COLUMN()-10)&lt;=playercnt),((ROW()-41)&lt;=playercnt)),SUMPRODUCT(INDIRECT(ADDRESS(3,ROW()-31,1)):INDIRECT(ADDRESS(22,ROW()-31,1)),BN$3:BN$22),"")</f>
        <v>20</v>
      </c>
      <c r="BO85" t="str">
        <f ca="1">IF(AND(((COLUMN()-10)&lt;=playercnt),((ROW()-41)&lt;=playercnt)),SUMPRODUCT(INDIRECT(ADDRESS(3,ROW()-31,1)):INDIRECT(ADDRESS(22,ROW()-31,1)),BO$3:BO$22),"")</f>
        <v/>
      </c>
    </row>
    <row r="86" spans="2:67" ht="13.5" customHeight="1" x14ac:dyDescent="0.25">
      <c r="B86" s="27" t="str">
        <f t="shared" ca="1" si="23"/>
        <v/>
      </c>
      <c r="C86" t="e">
        <f t="shared" ca="1" si="24"/>
        <v>#REF!</v>
      </c>
      <c r="G86">
        <f ca="1">IF(AND(((COLUMN()-10)&lt;=playercnt),((ROW()-41)&lt;=playercnt)),SUMPRODUCT(INDIRECT(ADDRESS(3,ROW()-31,1)):INDIRECT(ADDRESS(22,ROW()-31,1)),G$3:G$22),"")</f>
        <v>20</v>
      </c>
      <c r="H86" t="e">
        <f ca="1">IF(AND(((COLUMN()-10)&lt;=playercnt),((ROW()-41)&lt;=playercnt)),SUMPRODUCT(INDIRECT(ADDRESS(3,ROW()-31,1)):INDIRECT(ADDRESS(22,ROW()-31,1)),H$3:H$22),"")</f>
        <v>#REF!</v>
      </c>
      <c r="I86" t="e">
        <f ca="1">IF(AND(((COLUMN()-10)&lt;=playercnt),((ROW()-41)&lt;=playercnt)),SUMPRODUCT(INDIRECT(ADDRESS(3,ROW()-31,1)):INDIRECT(ADDRESS(22,ROW()-31,1)),I$3:I$22),"")</f>
        <v>#REF!</v>
      </c>
      <c r="J86">
        <f ca="1">IF(AND(((COLUMN()-10)&lt;=playercnt),((ROW()-41)&lt;=playercnt)),SUMPRODUCT(INDIRECT(ADDRESS(3,ROW()-31,1)):INDIRECT(ADDRESS(22,ROW()-31,1)),J$3:J$22),"")</f>
        <v>20</v>
      </c>
      <c r="K86">
        <f ca="1">IF(AND(((COLUMN()-10)&lt;=playercnt),((ROW()-41)&lt;=playercnt)),SUMPRODUCT(INDIRECT(ADDRESS(3,ROW()-31,1)):INDIRECT(ADDRESS(22,ROW()-31,1)),K$3:K$22),"")</f>
        <v>20</v>
      </c>
      <c r="L86">
        <f ca="1">IF(AND(((COLUMN()-10)&lt;=playercnt),((ROW()-41)&lt;=playercnt)),SUMPRODUCT(INDIRECT(ADDRESS(3,ROW()-31,1)):INDIRECT(ADDRESS(22,ROW()-31,1)),L$3:L$22),"")</f>
        <v>20</v>
      </c>
      <c r="M86">
        <f ca="1">IF(AND(((COLUMN()-10)&lt;=playercnt),((ROW()-41)&lt;=playercnt)),SUMPRODUCT(INDIRECT(ADDRESS(3,ROW()-31,1)):INDIRECT(ADDRESS(22,ROW()-31,1)),M$3:M$22),"")</f>
        <v>20</v>
      </c>
      <c r="N86">
        <f ca="1">IF(AND(((COLUMN()-10)&lt;=playercnt),((ROW()-41)&lt;=playercnt)),SUMPRODUCT(INDIRECT(ADDRESS(3,ROW()-31,1)):INDIRECT(ADDRESS(22,ROW()-31,1)),N$3:N$22),"")</f>
        <v>20</v>
      </c>
      <c r="O86">
        <f ca="1">IF(AND(((COLUMN()-10)&lt;=playercnt),((ROW()-41)&lt;=playercnt)),SUMPRODUCT(INDIRECT(ADDRESS(3,ROW()-31,1)):INDIRECT(ADDRESS(22,ROW()-31,1)),O$3:O$22),"")</f>
        <v>20</v>
      </c>
      <c r="P86">
        <f ca="1">IF(AND(((COLUMN()-10)&lt;=playercnt),((ROW()-41)&lt;=playercnt)),SUMPRODUCT(INDIRECT(ADDRESS(3,ROW()-31,1)):INDIRECT(ADDRESS(22,ROW()-31,1)),P$3:P$22),"")</f>
        <v>20</v>
      </c>
      <c r="Q86">
        <f ca="1">IF(AND(((COLUMN()-10)&lt;=playercnt),((ROW()-41)&lt;=playercnt)),SUMPRODUCT(INDIRECT(ADDRESS(3,ROW()-31,1)):INDIRECT(ADDRESS(22,ROW()-31,1)),Q$3:Q$22),"")</f>
        <v>20</v>
      </c>
      <c r="R86">
        <f ca="1">IF(AND(((COLUMN()-10)&lt;=playercnt),((ROW()-41)&lt;=playercnt)),SUMPRODUCT(INDIRECT(ADDRESS(3,ROW()-31,1)):INDIRECT(ADDRESS(22,ROW()-31,1)),R$3:R$22),"")</f>
        <v>20</v>
      </c>
      <c r="S86">
        <f ca="1">IF(AND(((COLUMN()-10)&lt;=playercnt),((ROW()-41)&lt;=playercnt)),SUMPRODUCT(INDIRECT(ADDRESS(3,ROW()-31,1)):INDIRECT(ADDRESS(22,ROW()-31,1)),S$3:S$22),"")</f>
        <v>20</v>
      </c>
      <c r="T86">
        <f ca="1">IF(AND(((COLUMN()-10)&lt;=playercnt),((ROW()-41)&lt;=playercnt)),SUMPRODUCT(INDIRECT(ADDRESS(3,ROW()-31,1)):INDIRECT(ADDRESS(22,ROW()-31,1)),T$3:T$22),"")</f>
        <v>20</v>
      </c>
      <c r="U86">
        <f ca="1">IF(AND(((COLUMN()-10)&lt;=playercnt),((ROW()-41)&lt;=playercnt)),SUMPRODUCT(INDIRECT(ADDRESS(3,ROW()-31,1)):INDIRECT(ADDRESS(22,ROW()-31,1)),U$3:U$22),"")</f>
        <v>20</v>
      </c>
      <c r="V86">
        <f ca="1">IF(AND(((COLUMN()-10)&lt;=playercnt),((ROW()-41)&lt;=playercnt)),SUMPRODUCT(INDIRECT(ADDRESS(3,ROW()-31,1)):INDIRECT(ADDRESS(22,ROW()-31,1)),V$3:V$22),"")</f>
        <v>20</v>
      </c>
      <c r="W86">
        <f ca="1">IF(AND(((COLUMN()-10)&lt;=playercnt),((ROW()-41)&lt;=playercnt)),SUMPRODUCT(INDIRECT(ADDRESS(3,ROW()-31,1)):INDIRECT(ADDRESS(22,ROW()-31,1)),W$3:W$22),"")</f>
        <v>20</v>
      </c>
      <c r="X86">
        <f ca="1">IF(AND(((COLUMN()-10)&lt;=playercnt),((ROW()-41)&lt;=playercnt)),SUMPRODUCT(INDIRECT(ADDRESS(3,ROW()-31,1)):INDIRECT(ADDRESS(22,ROW()-31,1)),X$3:X$22),"")</f>
        <v>20</v>
      </c>
      <c r="Y86">
        <f ca="1">IF(AND(((COLUMN()-10)&lt;=playercnt),((ROW()-41)&lt;=playercnt)),SUMPRODUCT(INDIRECT(ADDRESS(3,ROW()-31,1)):INDIRECT(ADDRESS(22,ROW()-31,1)),Y$3:Y$22),"")</f>
        <v>20</v>
      </c>
      <c r="Z86">
        <f ca="1">IF(AND(((COLUMN()-10)&lt;=playercnt),((ROW()-41)&lt;=playercnt)),SUMPRODUCT(INDIRECT(ADDRESS(3,ROW()-31,1)):INDIRECT(ADDRESS(22,ROW()-31,1)),Z$3:Z$22),"")</f>
        <v>20</v>
      </c>
      <c r="AA86">
        <f ca="1">IF(AND(((COLUMN()-10)&lt;=playercnt),((ROW()-41)&lt;=playercnt)),SUMPRODUCT(INDIRECT(ADDRESS(3,ROW()-31,1)):INDIRECT(ADDRESS(22,ROW()-31,1)),AA$3:AA$22),"")</f>
        <v>20</v>
      </c>
      <c r="AB86">
        <f ca="1">IF(AND(((COLUMN()-10)&lt;=playercnt),((ROW()-41)&lt;=playercnt)),SUMPRODUCT(INDIRECT(ADDRESS(3,ROW()-31,1)):INDIRECT(ADDRESS(22,ROW()-31,1)),AB$3:AB$22),"")</f>
        <v>20</v>
      </c>
      <c r="AC86">
        <f ca="1">IF(AND(((COLUMN()-10)&lt;=playercnt),((ROW()-41)&lt;=playercnt)),SUMPRODUCT(INDIRECT(ADDRESS(3,ROW()-31,1)):INDIRECT(ADDRESS(22,ROW()-31,1)),AC$3:AC$22),"")</f>
        <v>20</v>
      </c>
      <c r="AD86">
        <f ca="1">IF(AND(((COLUMN()-10)&lt;=playercnt),((ROW()-41)&lt;=playercnt)),SUMPRODUCT(INDIRECT(ADDRESS(3,ROW()-31,1)):INDIRECT(ADDRESS(22,ROW()-31,1)),AD$3:AD$22),"")</f>
        <v>20</v>
      </c>
      <c r="AE86">
        <f ca="1">IF(AND(((COLUMN()-10)&lt;=playercnt),((ROW()-41)&lt;=playercnt)),SUMPRODUCT(INDIRECT(ADDRESS(3,ROW()-31,1)):INDIRECT(ADDRESS(22,ROW()-31,1)),AE$3:AE$22),"")</f>
        <v>20</v>
      </c>
      <c r="AF86">
        <f ca="1">IF(AND(((COLUMN()-10)&lt;=playercnt),((ROW()-41)&lt;=playercnt)),SUMPRODUCT(INDIRECT(ADDRESS(3,ROW()-31,1)):INDIRECT(ADDRESS(22,ROW()-31,1)),AF$3:AF$22),"")</f>
        <v>20</v>
      </c>
      <c r="AG86">
        <f ca="1">IF(AND(((COLUMN()-10)&lt;=playercnt),((ROW()-41)&lt;=playercnt)),SUMPRODUCT(INDIRECT(ADDRESS(3,ROW()-31,1)):INDIRECT(ADDRESS(22,ROW()-31,1)),AG$3:AG$22),"")</f>
        <v>20</v>
      </c>
      <c r="AH86">
        <f ca="1">IF(AND(((COLUMN()-10)&lt;=playercnt),((ROW()-41)&lt;=playercnt)),SUMPRODUCT(INDIRECT(ADDRESS(3,ROW()-31,1)):INDIRECT(ADDRESS(22,ROW()-31,1)),AH$3:AH$22),"")</f>
        <v>20</v>
      </c>
      <c r="AI86">
        <f ca="1">IF(AND(((COLUMN()-10)&lt;=playercnt),((ROW()-41)&lt;=playercnt)),SUMPRODUCT(INDIRECT(ADDRESS(3,ROW()-31,1)):INDIRECT(ADDRESS(22,ROW()-31,1)),AI$3:AI$22),"")</f>
        <v>20</v>
      </c>
      <c r="AJ86">
        <f ca="1">IF(AND(((COLUMN()-10)&lt;=playercnt),((ROW()-41)&lt;=playercnt)),SUMPRODUCT(INDIRECT(ADDRESS(3,ROW()-31,1)):INDIRECT(ADDRESS(22,ROW()-31,1)),AJ$3:AJ$22),"")</f>
        <v>20</v>
      </c>
      <c r="AK86">
        <f ca="1">IF(AND(((COLUMN()-10)&lt;=playercnt),((ROW()-41)&lt;=playercnt)),SUMPRODUCT(INDIRECT(ADDRESS(3,ROW()-31,1)):INDIRECT(ADDRESS(22,ROW()-31,1)),AK$3:AK$22),"")</f>
        <v>20</v>
      </c>
      <c r="AL86">
        <f ca="1">IF(AND(((COLUMN()-10)&lt;=playercnt),((ROW()-41)&lt;=playercnt)),SUMPRODUCT(INDIRECT(ADDRESS(3,ROW()-31,1)):INDIRECT(ADDRESS(22,ROW()-31,1)),AL$3:AL$22),"")</f>
        <v>20</v>
      </c>
      <c r="AM86">
        <f ca="1">IF(AND(((COLUMN()-10)&lt;=playercnt),((ROW()-41)&lt;=playercnt)),SUMPRODUCT(INDIRECT(ADDRESS(3,ROW()-31,1)):INDIRECT(ADDRESS(22,ROW()-31,1)),AM$3:AM$22),"")</f>
        <v>20</v>
      </c>
      <c r="AN86">
        <f ca="1">IF(AND(((COLUMN()-10)&lt;=playercnt),((ROW()-41)&lt;=playercnt)),SUMPRODUCT(INDIRECT(ADDRESS(3,ROW()-31,1)):INDIRECT(ADDRESS(22,ROW()-31,1)),AN$3:AN$22),"")</f>
        <v>20</v>
      </c>
      <c r="AO86">
        <f ca="1">IF(AND(((COLUMN()-10)&lt;=playercnt),((ROW()-41)&lt;=playercnt)),SUMPRODUCT(INDIRECT(ADDRESS(3,ROW()-31,1)):INDIRECT(ADDRESS(22,ROW()-31,1)),AO$3:AO$22),"")</f>
        <v>20</v>
      </c>
      <c r="AP86">
        <f ca="1">IF(AND(((COLUMN()-10)&lt;=playercnt),((ROW()-41)&lt;=playercnt)),SUMPRODUCT(INDIRECT(ADDRESS(3,ROW()-31,1)):INDIRECT(ADDRESS(22,ROW()-31,1)),AP$3:AP$22),"")</f>
        <v>20</v>
      </c>
      <c r="AQ86">
        <f ca="1">IF(AND(((COLUMN()-10)&lt;=playercnt),((ROW()-41)&lt;=playercnt)),SUMPRODUCT(INDIRECT(ADDRESS(3,ROW()-31,1)):INDIRECT(ADDRESS(22,ROW()-31,1)),AQ$3:AQ$22),"")</f>
        <v>20</v>
      </c>
      <c r="AR86">
        <f ca="1">IF(AND(((COLUMN()-10)&lt;=playercnt),((ROW()-41)&lt;=playercnt)),SUMPRODUCT(INDIRECT(ADDRESS(3,ROW()-31,1)):INDIRECT(ADDRESS(22,ROW()-31,1)),AR$3:AR$22),"")</f>
        <v>20</v>
      </c>
      <c r="AS86">
        <f ca="1">IF(AND(((COLUMN()-10)&lt;=playercnt),((ROW()-41)&lt;=playercnt)),SUMPRODUCT(INDIRECT(ADDRESS(3,ROW()-31,1)):INDIRECT(ADDRESS(22,ROW()-31,1)),AS$3:AS$22),"")</f>
        <v>20</v>
      </c>
      <c r="AT86">
        <f ca="1">IF(AND(((COLUMN()-10)&lt;=playercnt),((ROW()-41)&lt;=playercnt)),SUMPRODUCT(INDIRECT(ADDRESS(3,ROW()-31,1)):INDIRECT(ADDRESS(22,ROW()-31,1)),AT$3:AT$22),"")</f>
        <v>20</v>
      </c>
      <c r="AU86">
        <f ca="1">IF(AND(((COLUMN()-10)&lt;=playercnt),((ROW()-41)&lt;=playercnt)),SUMPRODUCT(INDIRECT(ADDRESS(3,ROW()-31,1)):INDIRECT(ADDRESS(22,ROW()-31,1)),AU$3:AU$22),"")</f>
        <v>20</v>
      </c>
      <c r="AV86">
        <f ca="1">IF(AND(((COLUMN()-10)&lt;=playercnt),((ROW()-41)&lt;=playercnt)),SUMPRODUCT(INDIRECT(ADDRESS(3,ROW()-31,1)):INDIRECT(ADDRESS(22,ROW()-31,1)),AV$3:AV$22),"")</f>
        <v>20</v>
      </c>
      <c r="AW86">
        <f ca="1">IF(AND(((COLUMN()-10)&lt;=playercnt),((ROW()-41)&lt;=playercnt)),SUMPRODUCT(INDIRECT(ADDRESS(3,ROW()-31,1)):INDIRECT(ADDRESS(22,ROW()-31,1)),AW$3:AW$22),"")</f>
        <v>20</v>
      </c>
      <c r="AX86">
        <f ca="1">IF(AND(((COLUMN()-10)&lt;=playercnt),((ROW()-41)&lt;=playercnt)),SUMPRODUCT(INDIRECT(ADDRESS(3,ROW()-31,1)):INDIRECT(ADDRESS(22,ROW()-31,1)),AX$3:AX$22),"")</f>
        <v>20</v>
      </c>
      <c r="AY86">
        <f ca="1">IF(AND(((COLUMN()-10)&lt;=playercnt),((ROW()-41)&lt;=playercnt)),SUMPRODUCT(INDIRECT(ADDRESS(3,ROW()-31,1)):INDIRECT(ADDRESS(22,ROW()-31,1)),AY$3:AY$22),"")</f>
        <v>20</v>
      </c>
      <c r="AZ86">
        <f ca="1">IF(AND(((COLUMN()-10)&lt;=playercnt),((ROW()-41)&lt;=playercnt)),SUMPRODUCT(INDIRECT(ADDRESS(3,ROW()-31,1)):INDIRECT(ADDRESS(22,ROW()-31,1)),AZ$3:AZ$22),"")</f>
        <v>20</v>
      </c>
      <c r="BA86">
        <f ca="1">IF(AND(((COLUMN()-10)&lt;=playercnt),((ROW()-41)&lt;=playercnt)),SUMPRODUCT(INDIRECT(ADDRESS(3,ROW()-31,1)):INDIRECT(ADDRESS(22,ROW()-31,1)),BA$3:BA$22),"")</f>
        <v>20</v>
      </c>
      <c r="BB86">
        <f ca="1">IF(AND(((COLUMN()-10)&lt;=playercnt),((ROW()-41)&lt;=playercnt)),SUMPRODUCT(INDIRECT(ADDRESS(3,ROW()-31,1)):INDIRECT(ADDRESS(22,ROW()-31,1)),BB$3:BB$22),"")</f>
        <v>20</v>
      </c>
      <c r="BC86">
        <f ca="1">IF(AND(((COLUMN()-10)&lt;=playercnt),((ROW()-41)&lt;=playercnt)),SUMPRODUCT(INDIRECT(ADDRESS(3,ROW()-31,1)):INDIRECT(ADDRESS(22,ROW()-31,1)),BC$3:BC$22),"")</f>
        <v>20</v>
      </c>
      <c r="BD86">
        <f ca="1">IF(AND(((COLUMN()-10)&lt;=playercnt),((ROW()-41)&lt;=playercnt)),SUMPRODUCT(INDIRECT(ADDRESS(3,ROW()-31,1)):INDIRECT(ADDRESS(22,ROW()-31,1)),BD$3:BD$22),"")</f>
        <v>20</v>
      </c>
      <c r="BE86">
        <f ca="1">IF(AND(((COLUMN()-10)&lt;=playercnt),((ROW()-41)&lt;=playercnt)),SUMPRODUCT(INDIRECT(ADDRESS(3,ROW()-31,1)):INDIRECT(ADDRESS(22,ROW()-31,1)),BE$3:BE$22),"")</f>
        <v>20</v>
      </c>
      <c r="BF86">
        <f ca="1">IF(AND(((COLUMN()-10)&lt;=playercnt),((ROW()-41)&lt;=playercnt)),SUMPRODUCT(INDIRECT(ADDRESS(3,ROW()-31,1)):INDIRECT(ADDRESS(22,ROW()-31,1)),BF$3:BF$22),"")</f>
        <v>20</v>
      </c>
      <c r="BG86">
        <f ca="1">IF(AND(((COLUMN()-10)&lt;=playercnt),((ROW()-41)&lt;=playercnt)),SUMPRODUCT(INDIRECT(ADDRESS(3,ROW()-31,1)):INDIRECT(ADDRESS(22,ROW()-31,1)),BG$3:BG$22),"")</f>
        <v>20</v>
      </c>
      <c r="BH86">
        <f ca="1">IF(AND(((COLUMN()-10)&lt;=playercnt),((ROW()-41)&lt;=playercnt)),SUMPRODUCT(INDIRECT(ADDRESS(3,ROW()-31,1)):INDIRECT(ADDRESS(22,ROW()-31,1)),BH$3:BH$22),"")</f>
        <v>20</v>
      </c>
      <c r="BI86">
        <f ca="1">IF(AND(((COLUMN()-10)&lt;=playercnt),((ROW()-41)&lt;=playercnt)),SUMPRODUCT(INDIRECT(ADDRESS(3,ROW()-31,1)):INDIRECT(ADDRESS(22,ROW()-31,1)),BI$3:BI$22),"")</f>
        <v>20</v>
      </c>
      <c r="BJ86">
        <f ca="1">IF(AND(((COLUMN()-10)&lt;=playercnt),((ROW()-41)&lt;=playercnt)),SUMPRODUCT(INDIRECT(ADDRESS(3,ROW()-31,1)):INDIRECT(ADDRESS(22,ROW()-31,1)),BJ$3:BJ$22),"")</f>
        <v>20</v>
      </c>
      <c r="BK86">
        <f ca="1">IF(AND(((COLUMN()-10)&lt;=playercnt),((ROW()-41)&lt;=playercnt)),SUMPRODUCT(INDIRECT(ADDRESS(3,ROW()-31,1)):INDIRECT(ADDRESS(22,ROW()-31,1)),BK$3:BK$22),"")</f>
        <v>20</v>
      </c>
      <c r="BL86">
        <f ca="1">IF(AND(((COLUMN()-10)&lt;=playercnt),((ROW()-41)&lt;=playercnt)),SUMPRODUCT(INDIRECT(ADDRESS(3,ROW()-31,1)):INDIRECT(ADDRESS(22,ROW()-31,1)),BL$3:BL$22),"")</f>
        <v>20</v>
      </c>
      <c r="BM86">
        <f ca="1">IF(AND(((COLUMN()-10)&lt;=playercnt),((ROW()-41)&lt;=playercnt)),SUMPRODUCT(INDIRECT(ADDRESS(3,ROW()-31,1)):INDIRECT(ADDRESS(22,ROW()-31,1)),BM$3:BM$22),"")</f>
        <v>20</v>
      </c>
      <c r="BN86">
        <f ca="1">IF(AND(((COLUMN()-10)&lt;=playercnt),((ROW()-41)&lt;=playercnt)),SUMPRODUCT(INDIRECT(ADDRESS(3,ROW()-31,1)):INDIRECT(ADDRESS(22,ROW()-31,1)),BN$3:BN$22),"")</f>
        <v>20</v>
      </c>
      <c r="BO86" t="str">
        <f ca="1">IF(AND(((COLUMN()-10)&lt;=playercnt),((ROW()-41)&lt;=playercnt)),SUMPRODUCT(INDIRECT(ADDRESS(3,ROW()-31,1)):INDIRECT(ADDRESS(22,ROW()-31,1)),BO$3:BO$22),"")</f>
        <v/>
      </c>
    </row>
    <row r="87" spans="2:67" x14ac:dyDescent="0.25">
      <c r="B87" s="27" t="str">
        <f t="shared" ca="1" si="23"/>
        <v/>
      </c>
      <c r="C87" t="e">
        <f t="shared" ca="1" si="24"/>
        <v>#REF!</v>
      </c>
      <c r="G87">
        <f ca="1">IF(AND(((COLUMN()-10)&lt;=playercnt),((ROW()-41)&lt;=playercnt)),SUMPRODUCT(INDIRECT(ADDRESS(3,ROW()-31,1)):INDIRECT(ADDRESS(22,ROW()-31,1)),G$3:G$22),"")</f>
        <v>20</v>
      </c>
      <c r="H87" t="e">
        <f ca="1">IF(AND(((COLUMN()-10)&lt;=playercnt),((ROW()-41)&lt;=playercnt)),SUMPRODUCT(INDIRECT(ADDRESS(3,ROW()-31,1)):INDIRECT(ADDRESS(22,ROW()-31,1)),H$3:H$22),"")</f>
        <v>#REF!</v>
      </c>
      <c r="I87" t="e">
        <f ca="1">IF(AND(((COLUMN()-10)&lt;=playercnt),((ROW()-41)&lt;=playercnt)),SUMPRODUCT(INDIRECT(ADDRESS(3,ROW()-31,1)):INDIRECT(ADDRESS(22,ROW()-31,1)),I$3:I$22),"")</f>
        <v>#REF!</v>
      </c>
      <c r="J87">
        <f ca="1">IF(AND(((COLUMN()-10)&lt;=playercnt),((ROW()-41)&lt;=playercnt)),SUMPRODUCT(INDIRECT(ADDRESS(3,ROW()-31,1)):INDIRECT(ADDRESS(22,ROW()-31,1)),J$3:J$22),"")</f>
        <v>20</v>
      </c>
      <c r="K87">
        <f ca="1">IF(AND(((COLUMN()-10)&lt;=playercnt),((ROW()-41)&lt;=playercnt)),SUMPRODUCT(INDIRECT(ADDRESS(3,ROW()-31,1)):INDIRECT(ADDRESS(22,ROW()-31,1)),K$3:K$22),"")</f>
        <v>20</v>
      </c>
      <c r="L87">
        <f ca="1">IF(AND(((COLUMN()-10)&lt;=playercnt),((ROW()-41)&lt;=playercnt)),SUMPRODUCT(INDIRECT(ADDRESS(3,ROW()-31,1)):INDIRECT(ADDRESS(22,ROW()-31,1)),L$3:L$22),"")</f>
        <v>20</v>
      </c>
      <c r="M87">
        <f ca="1">IF(AND(((COLUMN()-10)&lt;=playercnt),((ROW()-41)&lt;=playercnt)),SUMPRODUCT(INDIRECT(ADDRESS(3,ROW()-31,1)):INDIRECT(ADDRESS(22,ROW()-31,1)),M$3:M$22),"")</f>
        <v>20</v>
      </c>
      <c r="N87">
        <f ca="1">IF(AND(((COLUMN()-10)&lt;=playercnt),((ROW()-41)&lt;=playercnt)),SUMPRODUCT(INDIRECT(ADDRESS(3,ROW()-31,1)):INDIRECT(ADDRESS(22,ROW()-31,1)),N$3:N$22),"")</f>
        <v>20</v>
      </c>
      <c r="O87">
        <f ca="1">IF(AND(((COLUMN()-10)&lt;=playercnt),((ROW()-41)&lt;=playercnt)),SUMPRODUCT(INDIRECT(ADDRESS(3,ROW()-31,1)):INDIRECT(ADDRESS(22,ROW()-31,1)),O$3:O$22),"")</f>
        <v>20</v>
      </c>
      <c r="P87">
        <f ca="1">IF(AND(((COLUMN()-10)&lt;=playercnt),((ROW()-41)&lt;=playercnt)),SUMPRODUCT(INDIRECT(ADDRESS(3,ROW()-31,1)):INDIRECT(ADDRESS(22,ROW()-31,1)),P$3:P$22),"")</f>
        <v>20</v>
      </c>
      <c r="Q87">
        <f ca="1">IF(AND(((COLUMN()-10)&lt;=playercnt),((ROW()-41)&lt;=playercnt)),SUMPRODUCT(INDIRECT(ADDRESS(3,ROW()-31,1)):INDIRECT(ADDRESS(22,ROW()-31,1)),Q$3:Q$22),"")</f>
        <v>20</v>
      </c>
      <c r="R87">
        <f ca="1">IF(AND(((COLUMN()-10)&lt;=playercnt),((ROW()-41)&lt;=playercnt)),SUMPRODUCT(INDIRECT(ADDRESS(3,ROW()-31,1)):INDIRECT(ADDRESS(22,ROW()-31,1)),R$3:R$22),"")</f>
        <v>20</v>
      </c>
      <c r="S87">
        <f ca="1">IF(AND(((COLUMN()-10)&lt;=playercnt),((ROW()-41)&lt;=playercnt)),SUMPRODUCT(INDIRECT(ADDRESS(3,ROW()-31,1)):INDIRECT(ADDRESS(22,ROW()-31,1)),S$3:S$22),"")</f>
        <v>20</v>
      </c>
      <c r="T87">
        <f ca="1">IF(AND(((COLUMN()-10)&lt;=playercnt),((ROW()-41)&lt;=playercnt)),SUMPRODUCT(INDIRECT(ADDRESS(3,ROW()-31,1)):INDIRECT(ADDRESS(22,ROW()-31,1)),T$3:T$22),"")</f>
        <v>20</v>
      </c>
      <c r="U87">
        <f ca="1">IF(AND(((COLUMN()-10)&lt;=playercnt),((ROW()-41)&lt;=playercnt)),SUMPRODUCT(INDIRECT(ADDRESS(3,ROW()-31,1)):INDIRECT(ADDRESS(22,ROW()-31,1)),U$3:U$22),"")</f>
        <v>20</v>
      </c>
      <c r="V87">
        <f ca="1">IF(AND(((COLUMN()-10)&lt;=playercnt),((ROW()-41)&lt;=playercnt)),SUMPRODUCT(INDIRECT(ADDRESS(3,ROW()-31,1)):INDIRECT(ADDRESS(22,ROW()-31,1)),V$3:V$22),"")</f>
        <v>20</v>
      </c>
      <c r="W87">
        <f ca="1">IF(AND(((COLUMN()-10)&lt;=playercnt),((ROW()-41)&lt;=playercnt)),SUMPRODUCT(INDIRECT(ADDRESS(3,ROW()-31,1)):INDIRECT(ADDRESS(22,ROW()-31,1)),W$3:W$22),"")</f>
        <v>20</v>
      </c>
      <c r="X87">
        <f ca="1">IF(AND(((COLUMN()-10)&lt;=playercnt),((ROW()-41)&lt;=playercnt)),SUMPRODUCT(INDIRECT(ADDRESS(3,ROW()-31,1)):INDIRECT(ADDRESS(22,ROW()-31,1)),X$3:X$22),"")</f>
        <v>20</v>
      </c>
      <c r="Y87">
        <f ca="1">IF(AND(((COLUMN()-10)&lt;=playercnt),((ROW()-41)&lt;=playercnt)),SUMPRODUCT(INDIRECT(ADDRESS(3,ROW()-31,1)):INDIRECT(ADDRESS(22,ROW()-31,1)),Y$3:Y$22),"")</f>
        <v>20</v>
      </c>
      <c r="Z87">
        <f ca="1">IF(AND(((COLUMN()-10)&lt;=playercnt),((ROW()-41)&lt;=playercnt)),SUMPRODUCT(INDIRECT(ADDRESS(3,ROW()-31,1)):INDIRECT(ADDRESS(22,ROW()-31,1)),Z$3:Z$22),"")</f>
        <v>20</v>
      </c>
      <c r="AA87">
        <f ca="1">IF(AND(((COLUMN()-10)&lt;=playercnt),((ROW()-41)&lt;=playercnt)),SUMPRODUCT(INDIRECT(ADDRESS(3,ROW()-31,1)):INDIRECT(ADDRESS(22,ROW()-31,1)),AA$3:AA$22),"")</f>
        <v>20</v>
      </c>
      <c r="AB87">
        <f ca="1">IF(AND(((COLUMN()-10)&lt;=playercnt),((ROW()-41)&lt;=playercnt)),SUMPRODUCT(INDIRECT(ADDRESS(3,ROW()-31,1)):INDIRECT(ADDRESS(22,ROW()-31,1)),AB$3:AB$22),"")</f>
        <v>20</v>
      </c>
      <c r="AC87">
        <f ca="1">IF(AND(((COLUMN()-10)&lt;=playercnt),((ROW()-41)&lt;=playercnt)),SUMPRODUCT(INDIRECT(ADDRESS(3,ROW()-31,1)):INDIRECT(ADDRESS(22,ROW()-31,1)),AC$3:AC$22),"")</f>
        <v>20</v>
      </c>
      <c r="AD87">
        <f ca="1">IF(AND(((COLUMN()-10)&lt;=playercnt),((ROW()-41)&lt;=playercnt)),SUMPRODUCT(INDIRECT(ADDRESS(3,ROW()-31,1)):INDIRECT(ADDRESS(22,ROW()-31,1)),AD$3:AD$22),"")</f>
        <v>20</v>
      </c>
      <c r="AE87">
        <f ca="1">IF(AND(((COLUMN()-10)&lt;=playercnt),((ROW()-41)&lt;=playercnt)),SUMPRODUCT(INDIRECT(ADDRESS(3,ROW()-31,1)):INDIRECT(ADDRESS(22,ROW()-31,1)),AE$3:AE$22),"")</f>
        <v>20</v>
      </c>
      <c r="AF87">
        <f ca="1">IF(AND(((COLUMN()-10)&lt;=playercnt),((ROW()-41)&lt;=playercnt)),SUMPRODUCT(INDIRECT(ADDRESS(3,ROW()-31,1)):INDIRECT(ADDRESS(22,ROW()-31,1)),AF$3:AF$22),"")</f>
        <v>20</v>
      </c>
      <c r="AG87">
        <f ca="1">IF(AND(((COLUMN()-10)&lt;=playercnt),((ROW()-41)&lt;=playercnt)),SUMPRODUCT(INDIRECT(ADDRESS(3,ROW()-31,1)):INDIRECT(ADDRESS(22,ROW()-31,1)),AG$3:AG$22),"")</f>
        <v>20</v>
      </c>
      <c r="AH87">
        <f ca="1">IF(AND(((COLUMN()-10)&lt;=playercnt),((ROW()-41)&lt;=playercnt)),SUMPRODUCT(INDIRECT(ADDRESS(3,ROW()-31,1)):INDIRECT(ADDRESS(22,ROW()-31,1)),AH$3:AH$22),"")</f>
        <v>20</v>
      </c>
      <c r="AI87">
        <f ca="1">IF(AND(((COLUMN()-10)&lt;=playercnt),((ROW()-41)&lt;=playercnt)),SUMPRODUCT(INDIRECT(ADDRESS(3,ROW()-31,1)):INDIRECT(ADDRESS(22,ROW()-31,1)),AI$3:AI$22),"")</f>
        <v>20</v>
      </c>
      <c r="AJ87">
        <f ca="1">IF(AND(((COLUMN()-10)&lt;=playercnt),((ROW()-41)&lt;=playercnt)),SUMPRODUCT(INDIRECT(ADDRESS(3,ROW()-31,1)):INDIRECT(ADDRESS(22,ROW()-31,1)),AJ$3:AJ$22),"")</f>
        <v>20</v>
      </c>
      <c r="AK87">
        <f ca="1">IF(AND(((COLUMN()-10)&lt;=playercnt),((ROW()-41)&lt;=playercnt)),SUMPRODUCT(INDIRECT(ADDRESS(3,ROW()-31,1)):INDIRECT(ADDRESS(22,ROW()-31,1)),AK$3:AK$22),"")</f>
        <v>20</v>
      </c>
      <c r="AL87">
        <f ca="1">IF(AND(((COLUMN()-10)&lt;=playercnt),((ROW()-41)&lt;=playercnt)),SUMPRODUCT(INDIRECT(ADDRESS(3,ROW()-31,1)):INDIRECT(ADDRESS(22,ROW()-31,1)),AL$3:AL$22),"")</f>
        <v>20</v>
      </c>
      <c r="AM87">
        <f ca="1">IF(AND(((COLUMN()-10)&lt;=playercnt),((ROW()-41)&lt;=playercnt)),SUMPRODUCT(INDIRECT(ADDRESS(3,ROW()-31,1)):INDIRECT(ADDRESS(22,ROW()-31,1)),AM$3:AM$22),"")</f>
        <v>20</v>
      </c>
      <c r="AN87">
        <f ca="1">IF(AND(((COLUMN()-10)&lt;=playercnt),((ROW()-41)&lt;=playercnt)),SUMPRODUCT(INDIRECT(ADDRESS(3,ROW()-31,1)):INDIRECT(ADDRESS(22,ROW()-31,1)),AN$3:AN$22),"")</f>
        <v>20</v>
      </c>
      <c r="AO87">
        <f ca="1">IF(AND(((COLUMN()-10)&lt;=playercnt),((ROW()-41)&lt;=playercnt)),SUMPRODUCT(INDIRECT(ADDRESS(3,ROW()-31,1)):INDIRECT(ADDRESS(22,ROW()-31,1)),AO$3:AO$22),"")</f>
        <v>20</v>
      </c>
      <c r="AP87">
        <f ca="1">IF(AND(((COLUMN()-10)&lt;=playercnt),((ROW()-41)&lt;=playercnt)),SUMPRODUCT(INDIRECT(ADDRESS(3,ROW()-31,1)):INDIRECT(ADDRESS(22,ROW()-31,1)),AP$3:AP$22),"")</f>
        <v>20</v>
      </c>
      <c r="AQ87">
        <f ca="1">IF(AND(((COLUMN()-10)&lt;=playercnt),((ROW()-41)&lt;=playercnt)),SUMPRODUCT(INDIRECT(ADDRESS(3,ROW()-31,1)):INDIRECT(ADDRESS(22,ROW()-31,1)),AQ$3:AQ$22),"")</f>
        <v>20</v>
      </c>
      <c r="AR87">
        <f ca="1">IF(AND(((COLUMN()-10)&lt;=playercnt),((ROW()-41)&lt;=playercnt)),SUMPRODUCT(INDIRECT(ADDRESS(3,ROW()-31,1)):INDIRECT(ADDRESS(22,ROW()-31,1)),AR$3:AR$22),"")</f>
        <v>20</v>
      </c>
      <c r="AS87">
        <f ca="1">IF(AND(((COLUMN()-10)&lt;=playercnt),((ROW()-41)&lt;=playercnt)),SUMPRODUCT(INDIRECT(ADDRESS(3,ROW()-31,1)):INDIRECT(ADDRESS(22,ROW()-31,1)),AS$3:AS$22),"")</f>
        <v>20</v>
      </c>
      <c r="AT87">
        <f ca="1">IF(AND(((COLUMN()-10)&lt;=playercnt),((ROW()-41)&lt;=playercnt)),SUMPRODUCT(INDIRECT(ADDRESS(3,ROW()-31,1)):INDIRECT(ADDRESS(22,ROW()-31,1)),AT$3:AT$22),"")</f>
        <v>20</v>
      </c>
      <c r="AU87">
        <f ca="1">IF(AND(((COLUMN()-10)&lt;=playercnt),((ROW()-41)&lt;=playercnt)),SUMPRODUCT(INDIRECT(ADDRESS(3,ROW()-31,1)):INDIRECT(ADDRESS(22,ROW()-31,1)),AU$3:AU$22),"")</f>
        <v>20</v>
      </c>
      <c r="AV87">
        <f ca="1">IF(AND(((COLUMN()-10)&lt;=playercnt),((ROW()-41)&lt;=playercnt)),SUMPRODUCT(INDIRECT(ADDRESS(3,ROW()-31,1)):INDIRECT(ADDRESS(22,ROW()-31,1)),AV$3:AV$22),"")</f>
        <v>20</v>
      </c>
      <c r="AW87">
        <f ca="1">IF(AND(((COLUMN()-10)&lt;=playercnt),((ROW()-41)&lt;=playercnt)),SUMPRODUCT(INDIRECT(ADDRESS(3,ROW()-31,1)):INDIRECT(ADDRESS(22,ROW()-31,1)),AW$3:AW$22),"")</f>
        <v>20</v>
      </c>
      <c r="AX87">
        <f ca="1">IF(AND(((COLUMN()-10)&lt;=playercnt),((ROW()-41)&lt;=playercnt)),SUMPRODUCT(INDIRECT(ADDRESS(3,ROW()-31,1)):INDIRECT(ADDRESS(22,ROW()-31,1)),AX$3:AX$22),"")</f>
        <v>20</v>
      </c>
      <c r="AY87">
        <f ca="1">IF(AND(((COLUMN()-10)&lt;=playercnt),((ROW()-41)&lt;=playercnt)),SUMPRODUCT(INDIRECT(ADDRESS(3,ROW()-31,1)):INDIRECT(ADDRESS(22,ROW()-31,1)),AY$3:AY$22),"")</f>
        <v>20</v>
      </c>
      <c r="AZ87">
        <f ca="1">IF(AND(((COLUMN()-10)&lt;=playercnt),((ROW()-41)&lt;=playercnt)),SUMPRODUCT(INDIRECT(ADDRESS(3,ROW()-31,1)):INDIRECT(ADDRESS(22,ROW()-31,1)),AZ$3:AZ$22),"")</f>
        <v>20</v>
      </c>
      <c r="BA87">
        <f ca="1">IF(AND(((COLUMN()-10)&lt;=playercnt),((ROW()-41)&lt;=playercnt)),SUMPRODUCT(INDIRECT(ADDRESS(3,ROW()-31,1)):INDIRECT(ADDRESS(22,ROW()-31,1)),BA$3:BA$22),"")</f>
        <v>20</v>
      </c>
      <c r="BB87">
        <f ca="1">IF(AND(((COLUMN()-10)&lt;=playercnt),((ROW()-41)&lt;=playercnt)),SUMPRODUCT(INDIRECT(ADDRESS(3,ROW()-31,1)):INDIRECT(ADDRESS(22,ROW()-31,1)),BB$3:BB$22),"")</f>
        <v>20</v>
      </c>
      <c r="BC87">
        <f ca="1">IF(AND(((COLUMN()-10)&lt;=playercnt),((ROW()-41)&lt;=playercnt)),SUMPRODUCT(INDIRECT(ADDRESS(3,ROW()-31,1)):INDIRECT(ADDRESS(22,ROW()-31,1)),BC$3:BC$22),"")</f>
        <v>20</v>
      </c>
      <c r="BD87">
        <f ca="1">IF(AND(((COLUMN()-10)&lt;=playercnt),((ROW()-41)&lt;=playercnt)),SUMPRODUCT(INDIRECT(ADDRESS(3,ROW()-31,1)):INDIRECT(ADDRESS(22,ROW()-31,1)),BD$3:BD$22),"")</f>
        <v>20</v>
      </c>
      <c r="BE87">
        <f ca="1">IF(AND(((COLUMN()-10)&lt;=playercnt),((ROW()-41)&lt;=playercnt)),SUMPRODUCT(INDIRECT(ADDRESS(3,ROW()-31,1)):INDIRECT(ADDRESS(22,ROW()-31,1)),BE$3:BE$22),"")</f>
        <v>20</v>
      </c>
      <c r="BF87">
        <f ca="1">IF(AND(((COLUMN()-10)&lt;=playercnt),((ROW()-41)&lt;=playercnt)),SUMPRODUCT(INDIRECT(ADDRESS(3,ROW()-31,1)):INDIRECT(ADDRESS(22,ROW()-31,1)),BF$3:BF$22),"")</f>
        <v>20</v>
      </c>
      <c r="BG87">
        <f ca="1">IF(AND(((COLUMN()-10)&lt;=playercnt),((ROW()-41)&lt;=playercnt)),SUMPRODUCT(INDIRECT(ADDRESS(3,ROW()-31,1)):INDIRECT(ADDRESS(22,ROW()-31,1)),BG$3:BG$22),"")</f>
        <v>20</v>
      </c>
      <c r="BH87">
        <f ca="1">IF(AND(((COLUMN()-10)&lt;=playercnt),((ROW()-41)&lt;=playercnt)),SUMPRODUCT(INDIRECT(ADDRESS(3,ROW()-31,1)):INDIRECT(ADDRESS(22,ROW()-31,1)),BH$3:BH$22),"")</f>
        <v>20</v>
      </c>
      <c r="BI87">
        <f ca="1">IF(AND(((COLUMN()-10)&lt;=playercnt),((ROW()-41)&lt;=playercnt)),SUMPRODUCT(INDIRECT(ADDRESS(3,ROW()-31,1)):INDIRECT(ADDRESS(22,ROW()-31,1)),BI$3:BI$22),"")</f>
        <v>20</v>
      </c>
      <c r="BJ87">
        <f ca="1">IF(AND(((COLUMN()-10)&lt;=playercnt),((ROW()-41)&lt;=playercnt)),SUMPRODUCT(INDIRECT(ADDRESS(3,ROW()-31,1)):INDIRECT(ADDRESS(22,ROW()-31,1)),BJ$3:BJ$22),"")</f>
        <v>20</v>
      </c>
      <c r="BK87">
        <f ca="1">IF(AND(((COLUMN()-10)&lt;=playercnt),((ROW()-41)&lt;=playercnt)),SUMPRODUCT(INDIRECT(ADDRESS(3,ROW()-31,1)):INDIRECT(ADDRESS(22,ROW()-31,1)),BK$3:BK$22),"")</f>
        <v>20</v>
      </c>
      <c r="BL87">
        <f ca="1">IF(AND(((COLUMN()-10)&lt;=playercnt),((ROW()-41)&lt;=playercnt)),SUMPRODUCT(INDIRECT(ADDRESS(3,ROW()-31,1)):INDIRECT(ADDRESS(22,ROW()-31,1)),BL$3:BL$22),"")</f>
        <v>20</v>
      </c>
      <c r="BM87">
        <f ca="1">IF(AND(((COLUMN()-10)&lt;=playercnt),((ROW()-41)&lt;=playercnt)),SUMPRODUCT(INDIRECT(ADDRESS(3,ROW()-31,1)):INDIRECT(ADDRESS(22,ROW()-31,1)),BM$3:BM$22),"")</f>
        <v>20</v>
      </c>
      <c r="BN87">
        <f ca="1">IF(AND(((COLUMN()-10)&lt;=playercnt),((ROW()-41)&lt;=playercnt)),SUMPRODUCT(INDIRECT(ADDRESS(3,ROW()-31,1)):INDIRECT(ADDRESS(22,ROW()-31,1)),BN$3:BN$22),"")</f>
        <v>20</v>
      </c>
      <c r="BO87" t="str">
        <f ca="1">IF(AND(((COLUMN()-10)&lt;=playercnt),((ROW()-41)&lt;=playercnt)),SUMPRODUCT(INDIRECT(ADDRESS(3,ROW()-31,1)):INDIRECT(ADDRESS(22,ROW()-31,1)),BO$3:BO$22),"")</f>
        <v/>
      </c>
    </row>
    <row r="88" spans="2:67" x14ac:dyDescent="0.25">
      <c r="B88" s="27" t="str">
        <f t="shared" ca="1" si="23"/>
        <v/>
      </c>
      <c r="C88" t="e">
        <f t="shared" ca="1" si="24"/>
        <v>#REF!</v>
      </c>
      <c r="G88">
        <f ca="1">IF(AND(((COLUMN()-10)&lt;=playercnt),((ROW()-41)&lt;=playercnt)),SUMPRODUCT(INDIRECT(ADDRESS(3,ROW()-31,1)):INDIRECT(ADDRESS(22,ROW()-31,1)),G$3:G$22),"")</f>
        <v>20</v>
      </c>
      <c r="H88" t="e">
        <f ca="1">IF(AND(((COLUMN()-10)&lt;=playercnt),((ROW()-41)&lt;=playercnt)),SUMPRODUCT(INDIRECT(ADDRESS(3,ROW()-31,1)):INDIRECT(ADDRESS(22,ROW()-31,1)),H$3:H$22),"")</f>
        <v>#REF!</v>
      </c>
      <c r="I88" t="e">
        <f ca="1">IF(AND(((COLUMN()-10)&lt;=playercnt),((ROW()-41)&lt;=playercnt)),SUMPRODUCT(INDIRECT(ADDRESS(3,ROW()-31,1)):INDIRECT(ADDRESS(22,ROW()-31,1)),I$3:I$22),"")</f>
        <v>#REF!</v>
      </c>
      <c r="J88">
        <f ca="1">IF(AND(((COLUMN()-10)&lt;=playercnt),((ROW()-41)&lt;=playercnt)),SUMPRODUCT(INDIRECT(ADDRESS(3,ROW()-31,1)):INDIRECT(ADDRESS(22,ROW()-31,1)),J$3:J$22),"")</f>
        <v>20</v>
      </c>
      <c r="K88">
        <f ca="1">IF(AND(((COLUMN()-10)&lt;=playercnt),((ROW()-41)&lt;=playercnt)),SUMPRODUCT(INDIRECT(ADDRESS(3,ROW()-31,1)):INDIRECT(ADDRESS(22,ROW()-31,1)),K$3:K$22),"")</f>
        <v>20</v>
      </c>
      <c r="L88">
        <f ca="1">IF(AND(((COLUMN()-10)&lt;=playercnt),((ROW()-41)&lt;=playercnt)),SUMPRODUCT(INDIRECT(ADDRESS(3,ROW()-31,1)):INDIRECT(ADDRESS(22,ROW()-31,1)),L$3:L$22),"")</f>
        <v>20</v>
      </c>
      <c r="M88">
        <f ca="1">IF(AND(((COLUMN()-10)&lt;=playercnt),((ROW()-41)&lt;=playercnt)),SUMPRODUCT(INDIRECT(ADDRESS(3,ROW()-31,1)):INDIRECT(ADDRESS(22,ROW()-31,1)),M$3:M$22),"")</f>
        <v>20</v>
      </c>
      <c r="N88">
        <f ca="1">IF(AND(((COLUMN()-10)&lt;=playercnt),((ROW()-41)&lt;=playercnt)),SUMPRODUCT(INDIRECT(ADDRESS(3,ROW()-31,1)):INDIRECT(ADDRESS(22,ROW()-31,1)),N$3:N$22),"")</f>
        <v>20</v>
      </c>
      <c r="O88">
        <f ca="1">IF(AND(((COLUMN()-10)&lt;=playercnt),((ROW()-41)&lt;=playercnt)),SUMPRODUCT(INDIRECT(ADDRESS(3,ROW()-31,1)):INDIRECT(ADDRESS(22,ROW()-31,1)),O$3:O$22),"")</f>
        <v>20</v>
      </c>
      <c r="P88">
        <f ca="1">IF(AND(((COLUMN()-10)&lt;=playercnt),((ROW()-41)&lt;=playercnt)),SUMPRODUCT(INDIRECT(ADDRESS(3,ROW()-31,1)):INDIRECT(ADDRESS(22,ROW()-31,1)),P$3:P$22),"")</f>
        <v>20</v>
      </c>
      <c r="Q88">
        <f ca="1">IF(AND(((COLUMN()-10)&lt;=playercnt),((ROW()-41)&lt;=playercnt)),SUMPRODUCT(INDIRECT(ADDRESS(3,ROW()-31,1)):INDIRECT(ADDRESS(22,ROW()-31,1)),Q$3:Q$22),"")</f>
        <v>20</v>
      </c>
      <c r="R88">
        <f ca="1">IF(AND(((COLUMN()-10)&lt;=playercnt),((ROW()-41)&lt;=playercnt)),SUMPRODUCT(INDIRECT(ADDRESS(3,ROW()-31,1)):INDIRECT(ADDRESS(22,ROW()-31,1)),R$3:R$22),"")</f>
        <v>20</v>
      </c>
      <c r="S88">
        <f ca="1">IF(AND(((COLUMN()-10)&lt;=playercnt),((ROW()-41)&lt;=playercnt)),SUMPRODUCT(INDIRECT(ADDRESS(3,ROW()-31,1)):INDIRECT(ADDRESS(22,ROW()-31,1)),S$3:S$22),"")</f>
        <v>20</v>
      </c>
      <c r="T88">
        <f ca="1">IF(AND(((COLUMN()-10)&lt;=playercnt),((ROW()-41)&lt;=playercnt)),SUMPRODUCT(INDIRECT(ADDRESS(3,ROW()-31,1)):INDIRECT(ADDRESS(22,ROW()-31,1)),T$3:T$22),"")</f>
        <v>20</v>
      </c>
      <c r="U88">
        <f ca="1">IF(AND(((COLUMN()-10)&lt;=playercnt),((ROW()-41)&lt;=playercnt)),SUMPRODUCT(INDIRECT(ADDRESS(3,ROW()-31,1)):INDIRECT(ADDRESS(22,ROW()-31,1)),U$3:U$22),"")</f>
        <v>20</v>
      </c>
      <c r="V88">
        <f ca="1">IF(AND(((COLUMN()-10)&lt;=playercnt),((ROW()-41)&lt;=playercnt)),SUMPRODUCT(INDIRECT(ADDRESS(3,ROW()-31,1)):INDIRECT(ADDRESS(22,ROW()-31,1)),V$3:V$22),"")</f>
        <v>20</v>
      </c>
      <c r="W88">
        <f ca="1">IF(AND(((COLUMN()-10)&lt;=playercnt),((ROW()-41)&lt;=playercnt)),SUMPRODUCT(INDIRECT(ADDRESS(3,ROW()-31,1)):INDIRECT(ADDRESS(22,ROW()-31,1)),W$3:W$22),"")</f>
        <v>20</v>
      </c>
      <c r="X88">
        <f ca="1">IF(AND(((COLUMN()-10)&lt;=playercnt),((ROW()-41)&lt;=playercnt)),SUMPRODUCT(INDIRECT(ADDRESS(3,ROW()-31,1)):INDIRECT(ADDRESS(22,ROW()-31,1)),X$3:X$22),"")</f>
        <v>20</v>
      </c>
      <c r="Y88">
        <f ca="1">IF(AND(((COLUMN()-10)&lt;=playercnt),((ROW()-41)&lt;=playercnt)),SUMPRODUCT(INDIRECT(ADDRESS(3,ROW()-31,1)):INDIRECT(ADDRESS(22,ROW()-31,1)),Y$3:Y$22),"")</f>
        <v>20</v>
      </c>
      <c r="Z88">
        <f ca="1">IF(AND(((COLUMN()-10)&lt;=playercnt),((ROW()-41)&lt;=playercnt)),SUMPRODUCT(INDIRECT(ADDRESS(3,ROW()-31,1)):INDIRECT(ADDRESS(22,ROW()-31,1)),Z$3:Z$22),"")</f>
        <v>20</v>
      </c>
      <c r="AA88">
        <f ca="1">IF(AND(((COLUMN()-10)&lt;=playercnt),((ROW()-41)&lt;=playercnt)),SUMPRODUCT(INDIRECT(ADDRESS(3,ROW()-31,1)):INDIRECT(ADDRESS(22,ROW()-31,1)),AA$3:AA$22),"")</f>
        <v>20</v>
      </c>
      <c r="AB88">
        <f ca="1">IF(AND(((COLUMN()-10)&lt;=playercnt),((ROW()-41)&lt;=playercnt)),SUMPRODUCT(INDIRECT(ADDRESS(3,ROW()-31,1)):INDIRECT(ADDRESS(22,ROW()-31,1)),AB$3:AB$22),"")</f>
        <v>20</v>
      </c>
      <c r="AC88">
        <f ca="1">IF(AND(((COLUMN()-10)&lt;=playercnt),((ROW()-41)&lt;=playercnt)),SUMPRODUCT(INDIRECT(ADDRESS(3,ROW()-31,1)):INDIRECT(ADDRESS(22,ROW()-31,1)),AC$3:AC$22),"")</f>
        <v>20</v>
      </c>
      <c r="AD88">
        <f ca="1">IF(AND(((COLUMN()-10)&lt;=playercnt),((ROW()-41)&lt;=playercnt)),SUMPRODUCT(INDIRECT(ADDRESS(3,ROW()-31,1)):INDIRECT(ADDRESS(22,ROW()-31,1)),AD$3:AD$22),"")</f>
        <v>20</v>
      </c>
      <c r="AE88">
        <f ca="1">IF(AND(((COLUMN()-10)&lt;=playercnt),((ROW()-41)&lt;=playercnt)),SUMPRODUCT(INDIRECT(ADDRESS(3,ROW()-31,1)):INDIRECT(ADDRESS(22,ROW()-31,1)),AE$3:AE$22),"")</f>
        <v>20</v>
      </c>
      <c r="AF88">
        <f ca="1">IF(AND(((COLUMN()-10)&lt;=playercnt),((ROW()-41)&lt;=playercnt)),SUMPRODUCT(INDIRECT(ADDRESS(3,ROW()-31,1)):INDIRECT(ADDRESS(22,ROW()-31,1)),AF$3:AF$22),"")</f>
        <v>20</v>
      </c>
      <c r="AG88">
        <f ca="1">IF(AND(((COLUMN()-10)&lt;=playercnt),((ROW()-41)&lt;=playercnt)),SUMPRODUCT(INDIRECT(ADDRESS(3,ROW()-31,1)):INDIRECT(ADDRESS(22,ROW()-31,1)),AG$3:AG$22),"")</f>
        <v>20</v>
      </c>
      <c r="AH88">
        <f ca="1">IF(AND(((COLUMN()-10)&lt;=playercnt),((ROW()-41)&lt;=playercnt)),SUMPRODUCT(INDIRECT(ADDRESS(3,ROW()-31,1)):INDIRECT(ADDRESS(22,ROW()-31,1)),AH$3:AH$22),"")</f>
        <v>20</v>
      </c>
      <c r="AI88">
        <f ca="1">IF(AND(((COLUMN()-10)&lt;=playercnt),((ROW()-41)&lt;=playercnt)),SUMPRODUCT(INDIRECT(ADDRESS(3,ROW()-31,1)):INDIRECT(ADDRESS(22,ROW()-31,1)),AI$3:AI$22),"")</f>
        <v>20</v>
      </c>
      <c r="AJ88">
        <f ca="1">IF(AND(((COLUMN()-10)&lt;=playercnt),((ROW()-41)&lt;=playercnt)),SUMPRODUCT(INDIRECT(ADDRESS(3,ROW()-31,1)):INDIRECT(ADDRESS(22,ROW()-31,1)),AJ$3:AJ$22),"")</f>
        <v>20</v>
      </c>
      <c r="AK88">
        <f ca="1">IF(AND(((COLUMN()-10)&lt;=playercnt),((ROW()-41)&lt;=playercnt)),SUMPRODUCT(INDIRECT(ADDRESS(3,ROW()-31,1)):INDIRECT(ADDRESS(22,ROW()-31,1)),AK$3:AK$22),"")</f>
        <v>20</v>
      </c>
      <c r="AL88">
        <f ca="1">IF(AND(((COLUMN()-10)&lt;=playercnt),((ROW()-41)&lt;=playercnt)),SUMPRODUCT(INDIRECT(ADDRESS(3,ROW()-31,1)):INDIRECT(ADDRESS(22,ROW()-31,1)),AL$3:AL$22),"")</f>
        <v>20</v>
      </c>
      <c r="AM88">
        <f ca="1">IF(AND(((COLUMN()-10)&lt;=playercnt),((ROW()-41)&lt;=playercnt)),SUMPRODUCT(INDIRECT(ADDRESS(3,ROW()-31,1)):INDIRECT(ADDRESS(22,ROW()-31,1)),AM$3:AM$22),"")</f>
        <v>20</v>
      </c>
      <c r="AN88">
        <f ca="1">IF(AND(((COLUMN()-10)&lt;=playercnt),((ROW()-41)&lt;=playercnt)),SUMPRODUCT(INDIRECT(ADDRESS(3,ROW()-31,1)):INDIRECT(ADDRESS(22,ROW()-31,1)),AN$3:AN$22),"")</f>
        <v>20</v>
      </c>
      <c r="AO88">
        <f ca="1">IF(AND(((COLUMN()-10)&lt;=playercnt),((ROW()-41)&lt;=playercnt)),SUMPRODUCT(INDIRECT(ADDRESS(3,ROW()-31,1)):INDIRECT(ADDRESS(22,ROW()-31,1)),AO$3:AO$22),"")</f>
        <v>20</v>
      </c>
      <c r="AP88">
        <f ca="1">IF(AND(((COLUMN()-10)&lt;=playercnt),((ROW()-41)&lt;=playercnt)),SUMPRODUCT(INDIRECT(ADDRESS(3,ROW()-31,1)):INDIRECT(ADDRESS(22,ROW()-31,1)),AP$3:AP$22),"")</f>
        <v>20</v>
      </c>
      <c r="AQ88">
        <f ca="1">IF(AND(((COLUMN()-10)&lt;=playercnt),((ROW()-41)&lt;=playercnt)),SUMPRODUCT(INDIRECT(ADDRESS(3,ROW()-31,1)):INDIRECT(ADDRESS(22,ROW()-31,1)),AQ$3:AQ$22),"")</f>
        <v>20</v>
      </c>
      <c r="AR88">
        <f ca="1">IF(AND(((COLUMN()-10)&lt;=playercnt),((ROW()-41)&lt;=playercnt)),SUMPRODUCT(INDIRECT(ADDRESS(3,ROW()-31,1)):INDIRECT(ADDRESS(22,ROW()-31,1)),AR$3:AR$22),"")</f>
        <v>20</v>
      </c>
      <c r="AS88">
        <f ca="1">IF(AND(((COLUMN()-10)&lt;=playercnt),((ROW()-41)&lt;=playercnt)),SUMPRODUCT(INDIRECT(ADDRESS(3,ROW()-31,1)):INDIRECT(ADDRESS(22,ROW()-31,1)),AS$3:AS$22),"")</f>
        <v>20</v>
      </c>
      <c r="AT88">
        <f ca="1">IF(AND(((COLUMN()-10)&lt;=playercnt),((ROW()-41)&lt;=playercnt)),SUMPRODUCT(INDIRECT(ADDRESS(3,ROW()-31,1)):INDIRECT(ADDRESS(22,ROW()-31,1)),AT$3:AT$22),"")</f>
        <v>20</v>
      </c>
      <c r="AU88">
        <f ca="1">IF(AND(((COLUMN()-10)&lt;=playercnt),((ROW()-41)&lt;=playercnt)),SUMPRODUCT(INDIRECT(ADDRESS(3,ROW()-31,1)):INDIRECT(ADDRESS(22,ROW()-31,1)),AU$3:AU$22),"")</f>
        <v>20</v>
      </c>
      <c r="AV88">
        <f ca="1">IF(AND(((COLUMN()-10)&lt;=playercnt),((ROW()-41)&lt;=playercnt)),SUMPRODUCT(INDIRECT(ADDRESS(3,ROW()-31,1)):INDIRECT(ADDRESS(22,ROW()-31,1)),AV$3:AV$22),"")</f>
        <v>20</v>
      </c>
      <c r="AW88">
        <f ca="1">IF(AND(((COLUMN()-10)&lt;=playercnt),((ROW()-41)&lt;=playercnt)),SUMPRODUCT(INDIRECT(ADDRESS(3,ROW()-31,1)):INDIRECT(ADDRESS(22,ROW()-31,1)),AW$3:AW$22),"")</f>
        <v>20</v>
      </c>
      <c r="AX88">
        <f ca="1">IF(AND(((COLUMN()-10)&lt;=playercnt),((ROW()-41)&lt;=playercnt)),SUMPRODUCT(INDIRECT(ADDRESS(3,ROW()-31,1)):INDIRECT(ADDRESS(22,ROW()-31,1)),AX$3:AX$22),"")</f>
        <v>20</v>
      </c>
      <c r="AY88">
        <f ca="1">IF(AND(((COLUMN()-10)&lt;=playercnt),((ROW()-41)&lt;=playercnt)),SUMPRODUCT(INDIRECT(ADDRESS(3,ROW()-31,1)):INDIRECT(ADDRESS(22,ROW()-31,1)),AY$3:AY$22),"")</f>
        <v>20</v>
      </c>
      <c r="AZ88">
        <f ca="1">IF(AND(((COLUMN()-10)&lt;=playercnt),((ROW()-41)&lt;=playercnt)),SUMPRODUCT(INDIRECT(ADDRESS(3,ROW()-31,1)):INDIRECT(ADDRESS(22,ROW()-31,1)),AZ$3:AZ$22),"")</f>
        <v>20</v>
      </c>
      <c r="BA88">
        <f ca="1">IF(AND(((COLUMN()-10)&lt;=playercnt),((ROW()-41)&lt;=playercnt)),SUMPRODUCT(INDIRECT(ADDRESS(3,ROW()-31,1)):INDIRECT(ADDRESS(22,ROW()-31,1)),BA$3:BA$22),"")</f>
        <v>20</v>
      </c>
      <c r="BB88">
        <f ca="1">IF(AND(((COLUMN()-10)&lt;=playercnt),((ROW()-41)&lt;=playercnt)),SUMPRODUCT(INDIRECT(ADDRESS(3,ROW()-31,1)):INDIRECT(ADDRESS(22,ROW()-31,1)),BB$3:BB$22),"")</f>
        <v>20</v>
      </c>
      <c r="BC88">
        <f ca="1">IF(AND(((COLUMN()-10)&lt;=playercnt),((ROW()-41)&lt;=playercnt)),SUMPRODUCT(INDIRECT(ADDRESS(3,ROW()-31,1)):INDIRECT(ADDRESS(22,ROW()-31,1)),BC$3:BC$22),"")</f>
        <v>20</v>
      </c>
      <c r="BD88">
        <f ca="1">IF(AND(((COLUMN()-10)&lt;=playercnt),((ROW()-41)&lt;=playercnt)),SUMPRODUCT(INDIRECT(ADDRESS(3,ROW()-31,1)):INDIRECT(ADDRESS(22,ROW()-31,1)),BD$3:BD$22),"")</f>
        <v>20</v>
      </c>
      <c r="BE88">
        <f ca="1">IF(AND(((COLUMN()-10)&lt;=playercnt),((ROW()-41)&lt;=playercnt)),SUMPRODUCT(INDIRECT(ADDRESS(3,ROW()-31,1)):INDIRECT(ADDRESS(22,ROW()-31,1)),BE$3:BE$22),"")</f>
        <v>20</v>
      </c>
      <c r="BF88">
        <f ca="1">IF(AND(((COLUMN()-10)&lt;=playercnt),((ROW()-41)&lt;=playercnt)),SUMPRODUCT(INDIRECT(ADDRESS(3,ROW()-31,1)):INDIRECT(ADDRESS(22,ROW()-31,1)),BF$3:BF$22),"")</f>
        <v>20</v>
      </c>
      <c r="BG88">
        <f ca="1">IF(AND(((COLUMN()-10)&lt;=playercnt),((ROW()-41)&lt;=playercnt)),SUMPRODUCT(INDIRECT(ADDRESS(3,ROW()-31,1)):INDIRECT(ADDRESS(22,ROW()-31,1)),BG$3:BG$22),"")</f>
        <v>20</v>
      </c>
      <c r="BH88">
        <f ca="1">IF(AND(((COLUMN()-10)&lt;=playercnt),((ROW()-41)&lt;=playercnt)),SUMPRODUCT(INDIRECT(ADDRESS(3,ROW()-31,1)):INDIRECT(ADDRESS(22,ROW()-31,1)),BH$3:BH$22),"")</f>
        <v>20</v>
      </c>
      <c r="BI88">
        <f ca="1">IF(AND(((COLUMN()-10)&lt;=playercnt),((ROW()-41)&lt;=playercnt)),SUMPRODUCT(INDIRECT(ADDRESS(3,ROW()-31,1)):INDIRECT(ADDRESS(22,ROW()-31,1)),BI$3:BI$22),"")</f>
        <v>20</v>
      </c>
      <c r="BJ88">
        <f ca="1">IF(AND(((COLUMN()-10)&lt;=playercnt),((ROW()-41)&lt;=playercnt)),SUMPRODUCT(INDIRECT(ADDRESS(3,ROW()-31,1)):INDIRECT(ADDRESS(22,ROW()-31,1)),BJ$3:BJ$22),"")</f>
        <v>20</v>
      </c>
      <c r="BK88">
        <f ca="1">IF(AND(((COLUMN()-10)&lt;=playercnt),((ROW()-41)&lt;=playercnt)),SUMPRODUCT(INDIRECT(ADDRESS(3,ROW()-31,1)):INDIRECT(ADDRESS(22,ROW()-31,1)),BK$3:BK$22),"")</f>
        <v>20</v>
      </c>
      <c r="BL88">
        <f ca="1">IF(AND(((COLUMN()-10)&lt;=playercnt),((ROW()-41)&lt;=playercnt)),SUMPRODUCT(INDIRECT(ADDRESS(3,ROW()-31,1)):INDIRECT(ADDRESS(22,ROW()-31,1)),BL$3:BL$22),"")</f>
        <v>20</v>
      </c>
      <c r="BM88">
        <f ca="1">IF(AND(((COLUMN()-10)&lt;=playercnt),((ROW()-41)&lt;=playercnt)),SUMPRODUCT(INDIRECT(ADDRESS(3,ROW()-31,1)):INDIRECT(ADDRESS(22,ROW()-31,1)),BM$3:BM$22),"")</f>
        <v>20</v>
      </c>
      <c r="BN88">
        <f ca="1">IF(AND(((COLUMN()-10)&lt;=playercnt),((ROW()-41)&lt;=playercnt)),SUMPRODUCT(INDIRECT(ADDRESS(3,ROW()-31,1)):INDIRECT(ADDRESS(22,ROW()-31,1)),BN$3:BN$22),"")</f>
        <v>20</v>
      </c>
      <c r="BO88" t="str">
        <f ca="1">IF(AND(((COLUMN()-10)&lt;=playercnt),((ROW()-41)&lt;=playercnt)),SUMPRODUCT(INDIRECT(ADDRESS(3,ROW()-31,1)):INDIRECT(ADDRESS(22,ROW()-31,1)),BO$3:BO$22),"")</f>
        <v/>
      </c>
    </row>
    <row r="89" spans="2:67" x14ac:dyDescent="0.25">
      <c r="B89" s="27" t="str">
        <f t="shared" ca="1" si="23"/>
        <v/>
      </c>
      <c r="C89" t="e">
        <f t="shared" ca="1" si="24"/>
        <v>#REF!</v>
      </c>
      <c r="G89">
        <f ca="1">IF(AND(((COLUMN()-10)&lt;=playercnt),((ROW()-41)&lt;=playercnt)),SUMPRODUCT(INDIRECT(ADDRESS(3,ROW()-31,1)):INDIRECT(ADDRESS(22,ROW()-31,1)),G$3:G$22),"")</f>
        <v>20</v>
      </c>
      <c r="H89" t="e">
        <f ca="1">IF(AND(((COLUMN()-10)&lt;=playercnt),((ROW()-41)&lt;=playercnt)),SUMPRODUCT(INDIRECT(ADDRESS(3,ROW()-31,1)):INDIRECT(ADDRESS(22,ROW()-31,1)),H$3:H$22),"")</f>
        <v>#REF!</v>
      </c>
      <c r="I89" t="e">
        <f ca="1">IF(AND(((COLUMN()-10)&lt;=playercnt),((ROW()-41)&lt;=playercnt)),SUMPRODUCT(INDIRECT(ADDRESS(3,ROW()-31,1)):INDIRECT(ADDRESS(22,ROW()-31,1)),I$3:I$22),"")</f>
        <v>#REF!</v>
      </c>
      <c r="J89">
        <f ca="1">IF(AND(((COLUMN()-10)&lt;=playercnt),((ROW()-41)&lt;=playercnt)),SUMPRODUCT(INDIRECT(ADDRESS(3,ROW()-31,1)):INDIRECT(ADDRESS(22,ROW()-31,1)),J$3:J$22),"")</f>
        <v>20</v>
      </c>
      <c r="K89">
        <f ca="1">IF(AND(((COLUMN()-10)&lt;=playercnt),((ROW()-41)&lt;=playercnt)),SUMPRODUCT(INDIRECT(ADDRESS(3,ROW()-31,1)):INDIRECT(ADDRESS(22,ROW()-31,1)),K$3:K$22),"")</f>
        <v>20</v>
      </c>
      <c r="L89">
        <f ca="1">IF(AND(((COLUMN()-10)&lt;=playercnt),((ROW()-41)&lt;=playercnt)),SUMPRODUCT(INDIRECT(ADDRESS(3,ROW()-31,1)):INDIRECT(ADDRESS(22,ROW()-31,1)),L$3:L$22),"")</f>
        <v>20</v>
      </c>
      <c r="M89">
        <f ca="1">IF(AND(((COLUMN()-10)&lt;=playercnt),((ROW()-41)&lt;=playercnt)),SUMPRODUCT(INDIRECT(ADDRESS(3,ROW()-31,1)):INDIRECT(ADDRESS(22,ROW()-31,1)),M$3:M$22),"")</f>
        <v>20</v>
      </c>
      <c r="N89">
        <f ca="1">IF(AND(((COLUMN()-10)&lt;=playercnt),((ROW()-41)&lt;=playercnt)),SUMPRODUCT(INDIRECT(ADDRESS(3,ROW()-31,1)):INDIRECT(ADDRESS(22,ROW()-31,1)),N$3:N$22),"")</f>
        <v>20</v>
      </c>
      <c r="O89">
        <f ca="1">IF(AND(((COLUMN()-10)&lt;=playercnt),((ROW()-41)&lt;=playercnt)),SUMPRODUCT(INDIRECT(ADDRESS(3,ROW()-31,1)):INDIRECT(ADDRESS(22,ROW()-31,1)),O$3:O$22),"")</f>
        <v>20</v>
      </c>
      <c r="P89">
        <f ca="1">IF(AND(((COLUMN()-10)&lt;=playercnt),((ROW()-41)&lt;=playercnt)),SUMPRODUCT(INDIRECT(ADDRESS(3,ROW()-31,1)):INDIRECT(ADDRESS(22,ROW()-31,1)),P$3:P$22),"")</f>
        <v>20</v>
      </c>
      <c r="Q89">
        <f ca="1">IF(AND(((COLUMN()-10)&lt;=playercnt),((ROW()-41)&lt;=playercnt)),SUMPRODUCT(INDIRECT(ADDRESS(3,ROW()-31,1)):INDIRECT(ADDRESS(22,ROW()-31,1)),Q$3:Q$22),"")</f>
        <v>20</v>
      </c>
      <c r="R89">
        <f ca="1">IF(AND(((COLUMN()-10)&lt;=playercnt),((ROW()-41)&lt;=playercnt)),SUMPRODUCT(INDIRECT(ADDRESS(3,ROW()-31,1)):INDIRECT(ADDRESS(22,ROW()-31,1)),R$3:R$22),"")</f>
        <v>20</v>
      </c>
      <c r="S89">
        <f ca="1">IF(AND(((COLUMN()-10)&lt;=playercnt),((ROW()-41)&lt;=playercnt)),SUMPRODUCT(INDIRECT(ADDRESS(3,ROW()-31,1)):INDIRECT(ADDRESS(22,ROW()-31,1)),S$3:S$22),"")</f>
        <v>20</v>
      </c>
      <c r="T89">
        <f ca="1">IF(AND(((COLUMN()-10)&lt;=playercnt),((ROW()-41)&lt;=playercnt)),SUMPRODUCT(INDIRECT(ADDRESS(3,ROW()-31,1)):INDIRECT(ADDRESS(22,ROW()-31,1)),T$3:T$22),"")</f>
        <v>20</v>
      </c>
      <c r="U89">
        <f ca="1">IF(AND(((COLUMN()-10)&lt;=playercnt),((ROW()-41)&lt;=playercnt)),SUMPRODUCT(INDIRECT(ADDRESS(3,ROW()-31,1)):INDIRECT(ADDRESS(22,ROW()-31,1)),U$3:U$22),"")</f>
        <v>20</v>
      </c>
      <c r="V89">
        <f ca="1">IF(AND(((COLUMN()-10)&lt;=playercnt),((ROW()-41)&lt;=playercnt)),SUMPRODUCT(INDIRECT(ADDRESS(3,ROW()-31,1)):INDIRECT(ADDRESS(22,ROW()-31,1)),V$3:V$22),"")</f>
        <v>20</v>
      </c>
      <c r="W89">
        <f ca="1">IF(AND(((COLUMN()-10)&lt;=playercnt),((ROW()-41)&lt;=playercnt)),SUMPRODUCT(INDIRECT(ADDRESS(3,ROW()-31,1)):INDIRECT(ADDRESS(22,ROW()-31,1)),W$3:W$22),"")</f>
        <v>20</v>
      </c>
      <c r="X89">
        <f ca="1">IF(AND(((COLUMN()-10)&lt;=playercnt),((ROW()-41)&lt;=playercnt)),SUMPRODUCT(INDIRECT(ADDRESS(3,ROW()-31,1)):INDIRECT(ADDRESS(22,ROW()-31,1)),X$3:X$22),"")</f>
        <v>20</v>
      </c>
      <c r="Y89">
        <f ca="1">IF(AND(((COLUMN()-10)&lt;=playercnt),((ROW()-41)&lt;=playercnt)),SUMPRODUCT(INDIRECT(ADDRESS(3,ROW()-31,1)):INDIRECT(ADDRESS(22,ROW()-31,1)),Y$3:Y$22),"")</f>
        <v>20</v>
      </c>
      <c r="Z89">
        <f ca="1">IF(AND(((COLUMN()-10)&lt;=playercnt),((ROW()-41)&lt;=playercnt)),SUMPRODUCT(INDIRECT(ADDRESS(3,ROW()-31,1)):INDIRECT(ADDRESS(22,ROW()-31,1)),Z$3:Z$22),"")</f>
        <v>20</v>
      </c>
      <c r="AA89">
        <f ca="1">IF(AND(((COLUMN()-10)&lt;=playercnt),((ROW()-41)&lt;=playercnt)),SUMPRODUCT(INDIRECT(ADDRESS(3,ROW()-31,1)):INDIRECT(ADDRESS(22,ROW()-31,1)),AA$3:AA$22),"")</f>
        <v>20</v>
      </c>
      <c r="AB89">
        <f ca="1">IF(AND(((COLUMN()-10)&lt;=playercnt),((ROW()-41)&lt;=playercnt)),SUMPRODUCT(INDIRECT(ADDRESS(3,ROW()-31,1)):INDIRECT(ADDRESS(22,ROW()-31,1)),AB$3:AB$22),"")</f>
        <v>20</v>
      </c>
      <c r="AC89">
        <f ca="1">IF(AND(((COLUMN()-10)&lt;=playercnt),((ROW()-41)&lt;=playercnt)),SUMPRODUCT(INDIRECT(ADDRESS(3,ROW()-31,1)):INDIRECT(ADDRESS(22,ROW()-31,1)),AC$3:AC$22),"")</f>
        <v>20</v>
      </c>
      <c r="AD89">
        <f ca="1">IF(AND(((COLUMN()-10)&lt;=playercnt),((ROW()-41)&lt;=playercnt)),SUMPRODUCT(INDIRECT(ADDRESS(3,ROW()-31,1)):INDIRECT(ADDRESS(22,ROW()-31,1)),AD$3:AD$22),"")</f>
        <v>20</v>
      </c>
      <c r="AE89">
        <f ca="1">IF(AND(((COLUMN()-10)&lt;=playercnt),((ROW()-41)&lt;=playercnt)),SUMPRODUCT(INDIRECT(ADDRESS(3,ROW()-31,1)):INDIRECT(ADDRESS(22,ROW()-31,1)),AE$3:AE$22),"")</f>
        <v>20</v>
      </c>
      <c r="AF89">
        <f ca="1">IF(AND(((COLUMN()-10)&lt;=playercnt),((ROW()-41)&lt;=playercnt)),SUMPRODUCT(INDIRECT(ADDRESS(3,ROW()-31,1)):INDIRECT(ADDRESS(22,ROW()-31,1)),AF$3:AF$22),"")</f>
        <v>20</v>
      </c>
      <c r="AG89">
        <f ca="1">IF(AND(((COLUMN()-10)&lt;=playercnt),((ROW()-41)&lt;=playercnt)),SUMPRODUCT(INDIRECT(ADDRESS(3,ROW()-31,1)):INDIRECT(ADDRESS(22,ROW()-31,1)),AG$3:AG$22),"")</f>
        <v>20</v>
      </c>
      <c r="AH89">
        <f ca="1">IF(AND(((COLUMN()-10)&lt;=playercnt),((ROW()-41)&lt;=playercnt)),SUMPRODUCT(INDIRECT(ADDRESS(3,ROW()-31,1)):INDIRECT(ADDRESS(22,ROW()-31,1)),AH$3:AH$22),"")</f>
        <v>20</v>
      </c>
      <c r="AI89">
        <f ca="1">IF(AND(((COLUMN()-10)&lt;=playercnt),((ROW()-41)&lt;=playercnt)),SUMPRODUCT(INDIRECT(ADDRESS(3,ROW()-31,1)):INDIRECT(ADDRESS(22,ROW()-31,1)),AI$3:AI$22),"")</f>
        <v>20</v>
      </c>
      <c r="AJ89">
        <f ca="1">IF(AND(((COLUMN()-10)&lt;=playercnt),((ROW()-41)&lt;=playercnt)),SUMPRODUCT(INDIRECT(ADDRESS(3,ROW()-31,1)):INDIRECT(ADDRESS(22,ROW()-31,1)),AJ$3:AJ$22),"")</f>
        <v>20</v>
      </c>
      <c r="AK89">
        <f ca="1">IF(AND(((COLUMN()-10)&lt;=playercnt),((ROW()-41)&lt;=playercnt)),SUMPRODUCT(INDIRECT(ADDRESS(3,ROW()-31,1)):INDIRECT(ADDRESS(22,ROW()-31,1)),AK$3:AK$22),"")</f>
        <v>20</v>
      </c>
      <c r="AL89">
        <f ca="1">IF(AND(((COLUMN()-10)&lt;=playercnt),((ROW()-41)&lt;=playercnt)),SUMPRODUCT(INDIRECT(ADDRESS(3,ROW()-31,1)):INDIRECT(ADDRESS(22,ROW()-31,1)),AL$3:AL$22),"")</f>
        <v>20</v>
      </c>
      <c r="AM89">
        <f ca="1">IF(AND(((COLUMN()-10)&lt;=playercnt),((ROW()-41)&lt;=playercnt)),SUMPRODUCT(INDIRECT(ADDRESS(3,ROW()-31,1)):INDIRECT(ADDRESS(22,ROW()-31,1)),AM$3:AM$22),"")</f>
        <v>20</v>
      </c>
      <c r="AN89">
        <f ca="1">IF(AND(((COLUMN()-10)&lt;=playercnt),((ROW()-41)&lt;=playercnt)),SUMPRODUCT(INDIRECT(ADDRESS(3,ROW()-31,1)):INDIRECT(ADDRESS(22,ROW()-31,1)),AN$3:AN$22),"")</f>
        <v>20</v>
      </c>
      <c r="AO89">
        <f ca="1">IF(AND(((COLUMN()-10)&lt;=playercnt),((ROW()-41)&lt;=playercnt)),SUMPRODUCT(INDIRECT(ADDRESS(3,ROW()-31,1)):INDIRECT(ADDRESS(22,ROW()-31,1)),AO$3:AO$22),"")</f>
        <v>20</v>
      </c>
      <c r="AP89">
        <f ca="1">IF(AND(((COLUMN()-10)&lt;=playercnt),((ROW()-41)&lt;=playercnt)),SUMPRODUCT(INDIRECT(ADDRESS(3,ROW()-31,1)):INDIRECT(ADDRESS(22,ROW()-31,1)),AP$3:AP$22),"")</f>
        <v>20</v>
      </c>
      <c r="AQ89">
        <f ca="1">IF(AND(((COLUMN()-10)&lt;=playercnt),((ROW()-41)&lt;=playercnt)),SUMPRODUCT(INDIRECT(ADDRESS(3,ROW()-31,1)):INDIRECT(ADDRESS(22,ROW()-31,1)),AQ$3:AQ$22),"")</f>
        <v>20</v>
      </c>
      <c r="AR89">
        <f ca="1">IF(AND(((COLUMN()-10)&lt;=playercnt),((ROW()-41)&lt;=playercnt)),SUMPRODUCT(INDIRECT(ADDRESS(3,ROW()-31,1)):INDIRECT(ADDRESS(22,ROW()-31,1)),AR$3:AR$22),"")</f>
        <v>20</v>
      </c>
      <c r="AS89">
        <f ca="1">IF(AND(((COLUMN()-10)&lt;=playercnt),((ROW()-41)&lt;=playercnt)),SUMPRODUCT(INDIRECT(ADDRESS(3,ROW()-31,1)):INDIRECT(ADDRESS(22,ROW()-31,1)),AS$3:AS$22),"")</f>
        <v>20</v>
      </c>
      <c r="AT89">
        <f ca="1">IF(AND(((COLUMN()-10)&lt;=playercnt),((ROW()-41)&lt;=playercnt)),SUMPRODUCT(INDIRECT(ADDRESS(3,ROW()-31,1)):INDIRECT(ADDRESS(22,ROW()-31,1)),AT$3:AT$22),"")</f>
        <v>20</v>
      </c>
      <c r="AU89">
        <f ca="1">IF(AND(((COLUMN()-10)&lt;=playercnt),((ROW()-41)&lt;=playercnt)),SUMPRODUCT(INDIRECT(ADDRESS(3,ROW()-31,1)):INDIRECT(ADDRESS(22,ROW()-31,1)),AU$3:AU$22),"")</f>
        <v>20</v>
      </c>
      <c r="AV89">
        <f ca="1">IF(AND(((COLUMN()-10)&lt;=playercnt),((ROW()-41)&lt;=playercnt)),SUMPRODUCT(INDIRECT(ADDRESS(3,ROW()-31,1)):INDIRECT(ADDRESS(22,ROW()-31,1)),AV$3:AV$22),"")</f>
        <v>20</v>
      </c>
      <c r="AW89">
        <f ca="1">IF(AND(((COLUMN()-10)&lt;=playercnt),((ROW()-41)&lt;=playercnt)),SUMPRODUCT(INDIRECT(ADDRESS(3,ROW()-31,1)):INDIRECT(ADDRESS(22,ROW()-31,1)),AW$3:AW$22),"")</f>
        <v>20</v>
      </c>
      <c r="AX89">
        <f ca="1">IF(AND(((COLUMN()-10)&lt;=playercnt),((ROW()-41)&lt;=playercnt)),SUMPRODUCT(INDIRECT(ADDRESS(3,ROW()-31,1)):INDIRECT(ADDRESS(22,ROW()-31,1)),AX$3:AX$22),"")</f>
        <v>20</v>
      </c>
      <c r="AY89">
        <f ca="1">IF(AND(((COLUMN()-10)&lt;=playercnt),((ROW()-41)&lt;=playercnt)),SUMPRODUCT(INDIRECT(ADDRESS(3,ROW()-31,1)):INDIRECT(ADDRESS(22,ROW()-31,1)),AY$3:AY$22),"")</f>
        <v>20</v>
      </c>
      <c r="AZ89">
        <f ca="1">IF(AND(((COLUMN()-10)&lt;=playercnt),((ROW()-41)&lt;=playercnt)),SUMPRODUCT(INDIRECT(ADDRESS(3,ROW()-31,1)):INDIRECT(ADDRESS(22,ROW()-31,1)),AZ$3:AZ$22),"")</f>
        <v>20</v>
      </c>
      <c r="BA89">
        <f ca="1">IF(AND(((COLUMN()-10)&lt;=playercnt),((ROW()-41)&lt;=playercnt)),SUMPRODUCT(INDIRECT(ADDRESS(3,ROW()-31,1)):INDIRECT(ADDRESS(22,ROW()-31,1)),BA$3:BA$22),"")</f>
        <v>20</v>
      </c>
      <c r="BB89">
        <f ca="1">IF(AND(((COLUMN()-10)&lt;=playercnt),((ROW()-41)&lt;=playercnt)),SUMPRODUCT(INDIRECT(ADDRESS(3,ROW()-31,1)):INDIRECT(ADDRESS(22,ROW()-31,1)),BB$3:BB$22),"")</f>
        <v>20</v>
      </c>
      <c r="BC89">
        <f ca="1">IF(AND(((COLUMN()-10)&lt;=playercnt),((ROW()-41)&lt;=playercnt)),SUMPRODUCT(INDIRECT(ADDRESS(3,ROW()-31,1)):INDIRECT(ADDRESS(22,ROW()-31,1)),BC$3:BC$22),"")</f>
        <v>20</v>
      </c>
      <c r="BD89">
        <f ca="1">IF(AND(((COLUMN()-10)&lt;=playercnt),((ROW()-41)&lt;=playercnt)),SUMPRODUCT(INDIRECT(ADDRESS(3,ROW()-31,1)):INDIRECT(ADDRESS(22,ROW()-31,1)),BD$3:BD$22),"")</f>
        <v>20</v>
      </c>
      <c r="BE89">
        <f ca="1">IF(AND(((COLUMN()-10)&lt;=playercnt),((ROW()-41)&lt;=playercnt)),SUMPRODUCT(INDIRECT(ADDRESS(3,ROW()-31,1)):INDIRECT(ADDRESS(22,ROW()-31,1)),BE$3:BE$22),"")</f>
        <v>20</v>
      </c>
      <c r="BF89">
        <f ca="1">IF(AND(((COLUMN()-10)&lt;=playercnt),((ROW()-41)&lt;=playercnt)),SUMPRODUCT(INDIRECT(ADDRESS(3,ROW()-31,1)):INDIRECT(ADDRESS(22,ROW()-31,1)),BF$3:BF$22),"")</f>
        <v>20</v>
      </c>
      <c r="BG89">
        <f ca="1">IF(AND(((COLUMN()-10)&lt;=playercnt),((ROW()-41)&lt;=playercnt)),SUMPRODUCT(INDIRECT(ADDRESS(3,ROW()-31,1)):INDIRECT(ADDRESS(22,ROW()-31,1)),BG$3:BG$22),"")</f>
        <v>20</v>
      </c>
      <c r="BH89">
        <f ca="1">IF(AND(((COLUMN()-10)&lt;=playercnt),((ROW()-41)&lt;=playercnt)),SUMPRODUCT(INDIRECT(ADDRESS(3,ROW()-31,1)):INDIRECT(ADDRESS(22,ROW()-31,1)),BH$3:BH$22),"")</f>
        <v>20</v>
      </c>
      <c r="BI89">
        <f ca="1">IF(AND(((COLUMN()-10)&lt;=playercnt),((ROW()-41)&lt;=playercnt)),SUMPRODUCT(INDIRECT(ADDRESS(3,ROW()-31,1)):INDIRECT(ADDRESS(22,ROW()-31,1)),BI$3:BI$22),"")</f>
        <v>20</v>
      </c>
      <c r="BJ89">
        <f ca="1">IF(AND(((COLUMN()-10)&lt;=playercnt),((ROW()-41)&lt;=playercnt)),SUMPRODUCT(INDIRECT(ADDRESS(3,ROW()-31,1)):INDIRECT(ADDRESS(22,ROW()-31,1)),BJ$3:BJ$22),"")</f>
        <v>20</v>
      </c>
      <c r="BK89">
        <f ca="1">IF(AND(((COLUMN()-10)&lt;=playercnt),((ROW()-41)&lt;=playercnt)),SUMPRODUCT(INDIRECT(ADDRESS(3,ROW()-31,1)):INDIRECT(ADDRESS(22,ROW()-31,1)),BK$3:BK$22),"")</f>
        <v>20</v>
      </c>
      <c r="BL89">
        <f ca="1">IF(AND(((COLUMN()-10)&lt;=playercnt),((ROW()-41)&lt;=playercnt)),SUMPRODUCT(INDIRECT(ADDRESS(3,ROW()-31,1)):INDIRECT(ADDRESS(22,ROW()-31,1)),BL$3:BL$22),"")</f>
        <v>20</v>
      </c>
      <c r="BM89">
        <f ca="1">IF(AND(((COLUMN()-10)&lt;=playercnt),((ROW()-41)&lt;=playercnt)),SUMPRODUCT(INDIRECT(ADDRESS(3,ROW()-31,1)):INDIRECT(ADDRESS(22,ROW()-31,1)),BM$3:BM$22),"")</f>
        <v>20</v>
      </c>
      <c r="BN89">
        <f ca="1">IF(AND(((COLUMN()-10)&lt;=playercnt),((ROW()-41)&lt;=playercnt)),SUMPRODUCT(INDIRECT(ADDRESS(3,ROW()-31,1)):INDIRECT(ADDRESS(22,ROW()-31,1)),BN$3:BN$22),"")</f>
        <v>20</v>
      </c>
      <c r="BO89" t="str">
        <f ca="1">IF(AND(((COLUMN()-10)&lt;=playercnt),((ROW()-41)&lt;=playercnt)),SUMPRODUCT(INDIRECT(ADDRESS(3,ROW()-31,1)):INDIRECT(ADDRESS(22,ROW()-31,1)),BO$3:BO$22),"")</f>
        <v/>
      </c>
    </row>
    <row r="90" spans="2:67" x14ac:dyDescent="0.25">
      <c r="B90" s="27" t="str">
        <f t="shared" ca="1" si="23"/>
        <v/>
      </c>
      <c r="C90" t="e">
        <f t="shared" ca="1" si="24"/>
        <v>#REF!</v>
      </c>
      <c r="G90">
        <f ca="1">IF(AND(((COLUMN()-10)&lt;=playercnt),((ROW()-41)&lt;=playercnt)),SUMPRODUCT(INDIRECT(ADDRESS(3,ROW()-31,1)):INDIRECT(ADDRESS(22,ROW()-31,1)),G$3:G$22),"")</f>
        <v>20</v>
      </c>
      <c r="H90" t="e">
        <f ca="1">IF(AND(((COLUMN()-10)&lt;=playercnt),((ROW()-41)&lt;=playercnt)),SUMPRODUCT(INDIRECT(ADDRESS(3,ROW()-31,1)):INDIRECT(ADDRESS(22,ROW()-31,1)),H$3:H$22),"")</f>
        <v>#REF!</v>
      </c>
      <c r="I90" t="e">
        <f ca="1">IF(AND(((COLUMN()-10)&lt;=playercnt),((ROW()-41)&lt;=playercnt)),SUMPRODUCT(INDIRECT(ADDRESS(3,ROW()-31,1)):INDIRECT(ADDRESS(22,ROW()-31,1)),I$3:I$22),"")</f>
        <v>#REF!</v>
      </c>
      <c r="J90">
        <f ca="1">IF(AND(((COLUMN()-10)&lt;=playercnt),((ROW()-41)&lt;=playercnt)),SUMPRODUCT(INDIRECT(ADDRESS(3,ROW()-31,1)):INDIRECT(ADDRESS(22,ROW()-31,1)),J$3:J$22),"")</f>
        <v>20</v>
      </c>
      <c r="K90">
        <f ca="1">IF(AND(((COLUMN()-10)&lt;=playercnt),((ROW()-41)&lt;=playercnt)),SUMPRODUCT(INDIRECT(ADDRESS(3,ROW()-31,1)):INDIRECT(ADDRESS(22,ROW()-31,1)),K$3:K$22),"")</f>
        <v>20</v>
      </c>
      <c r="L90">
        <f ca="1">IF(AND(((COLUMN()-10)&lt;=playercnt),((ROW()-41)&lt;=playercnt)),SUMPRODUCT(INDIRECT(ADDRESS(3,ROW()-31,1)):INDIRECT(ADDRESS(22,ROW()-31,1)),L$3:L$22),"")</f>
        <v>20</v>
      </c>
      <c r="M90">
        <f ca="1">IF(AND(((COLUMN()-10)&lt;=playercnt),((ROW()-41)&lt;=playercnt)),SUMPRODUCT(INDIRECT(ADDRESS(3,ROW()-31,1)):INDIRECT(ADDRESS(22,ROW()-31,1)),M$3:M$22),"")</f>
        <v>20</v>
      </c>
      <c r="N90">
        <f ca="1">IF(AND(((COLUMN()-10)&lt;=playercnt),((ROW()-41)&lt;=playercnt)),SUMPRODUCT(INDIRECT(ADDRESS(3,ROW()-31,1)):INDIRECT(ADDRESS(22,ROW()-31,1)),N$3:N$22),"")</f>
        <v>20</v>
      </c>
      <c r="O90">
        <f ca="1">IF(AND(((COLUMN()-10)&lt;=playercnt),((ROW()-41)&lt;=playercnt)),SUMPRODUCT(INDIRECT(ADDRESS(3,ROW()-31,1)):INDIRECT(ADDRESS(22,ROW()-31,1)),O$3:O$22),"")</f>
        <v>20</v>
      </c>
      <c r="P90">
        <f ca="1">IF(AND(((COLUMN()-10)&lt;=playercnt),((ROW()-41)&lt;=playercnt)),SUMPRODUCT(INDIRECT(ADDRESS(3,ROW()-31,1)):INDIRECT(ADDRESS(22,ROW()-31,1)),P$3:P$22),"")</f>
        <v>20</v>
      </c>
      <c r="Q90">
        <f ca="1">IF(AND(((COLUMN()-10)&lt;=playercnt),((ROW()-41)&lt;=playercnt)),SUMPRODUCT(INDIRECT(ADDRESS(3,ROW()-31,1)):INDIRECT(ADDRESS(22,ROW()-31,1)),Q$3:Q$22),"")</f>
        <v>20</v>
      </c>
      <c r="R90">
        <f ca="1">IF(AND(((COLUMN()-10)&lt;=playercnt),((ROW()-41)&lt;=playercnt)),SUMPRODUCT(INDIRECT(ADDRESS(3,ROW()-31,1)):INDIRECT(ADDRESS(22,ROW()-31,1)),R$3:R$22),"")</f>
        <v>20</v>
      </c>
      <c r="S90">
        <f ca="1">IF(AND(((COLUMN()-10)&lt;=playercnt),((ROW()-41)&lt;=playercnt)),SUMPRODUCT(INDIRECT(ADDRESS(3,ROW()-31,1)):INDIRECT(ADDRESS(22,ROW()-31,1)),S$3:S$22),"")</f>
        <v>20</v>
      </c>
      <c r="T90">
        <f ca="1">IF(AND(((COLUMN()-10)&lt;=playercnt),((ROW()-41)&lt;=playercnt)),SUMPRODUCT(INDIRECT(ADDRESS(3,ROW()-31,1)):INDIRECT(ADDRESS(22,ROW()-31,1)),T$3:T$22),"")</f>
        <v>20</v>
      </c>
      <c r="U90">
        <f ca="1">IF(AND(((COLUMN()-10)&lt;=playercnt),((ROW()-41)&lt;=playercnt)),SUMPRODUCT(INDIRECT(ADDRESS(3,ROW()-31,1)):INDIRECT(ADDRESS(22,ROW()-31,1)),U$3:U$22),"")</f>
        <v>20</v>
      </c>
      <c r="V90">
        <f ca="1">IF(AND(((COLUMN()-10)&lt;=playercnt),((ROW()-41)&lt;=playercnt)),SUMPRODUCT(INDIRECT(ADDRESS(3,ROW()-31,1)):INDIRECT(ADDRESS(22,ROW()-31,1)),V$3:V$22),"")</f>
        <v>20</v>
      </c>
      <c r="W90">
        <f ca="1">IF(AND(((COLUMN()-10)&lt;=playercnt),((ROW()-41)&lt;=playercnt)),SUMPRODUCT(INDIRECT(ADDRESS(3,ROW()-31,1)):INDIRECT(ADDRESS(22,ROW()-31,1)),W$3:W$22),"")</f>
        <v>20</v>
      </c>
      <c r="X90">
        <f ca="1">IF(AND(((COLUMN()-10)&lt;=playercnt),((ROW()-41)&lt;=playercnt)),SUMPRODUCT(INDIRECT(ADDRESS(3,ROW()-31,1)):INDIRECT(ADDRESS(22,ROW()-31,1)),X$3:X$22),"")</f>
        <v>20</v>
      </c>
      <c r="Y90">
        <f ca="1">IF(AND(((COLUMN()-10)&lt;=playercnt),((ROW()-41)&lt;=playercnt)),SUMPRODUCT(INDIRECT(ADDRESS(3,ROW()-31,1)):INDIRECT(ADDRESS(22,ROW()-31,1)),Y$3:Y$22),"")</f>
        <v>20</v>
      </c>
      <c r="Z90">
        <f ca="1">IF(AND(((COLUMN()-10)&lt;=playercnt),((ROW()-41)&lt;=playercnt)),SUMPRODUCT(INDIRECT(ADDRESS(3,ROW()-31,1)):INDIRECT(ADDRESS(22,ROW()-31,1)),Z$3:Z$22),"")</f>
        <v>20</v>
      </c>
      <c r="AA90">
        <f ca="1">IF(AND(((COLUMN()-10)&lt;=playercnt),((ROW()-41)&lt;=playercnt)),SUMPRODUCT(INDIRECT(ADDRESS(3,ROW()-31,1)):INDIRECT(ADDRESS(22,ROW()-31,1)),AA$3:AA$22),"")</f>
        <v>20</v>
      </c>
      <c r="AB90">
        <f ca="1">IF(AND(((COLUMN()-10)&lt;=playercnt),((ROW()-41)&lt;=playercnt)),SUMPRODUCT(INDIRECT(ADDRESS(3,ROW()-31,1)):INDIRECT(ADDRESS(22,ROW()-31,1)),AB$3:AB$22),"")</f>
        <v>20</v>
      </c>
      <c r="AC90">
        <f ca="1">IF(AND(((COLUMN()-10)&lt;=playercnt),((ROW()-41)&lt;=playercnt)),SUMPRODUCT(INDIRECT(ADDRESS(3,ROW()-31,1)):INDIRECT(ADDRESS(22,ROW()-31,1)),AC$3:AC$22),"")</f>
        <v>20</v>
      </c>
      <c r="AD90">
        <f ca="1">IF(AND(((COLUMN()-10)&lt;=playercnt),((ROW()-41)&lt;=playercnt)),SUMPRODUCT(INDIRECT(ADDRESS(3,ROW()-31,1)):INDIRECT(ADDRESS(22,ROW()-31,1)),AD$3:AD$22),"")</f>
        <v>20</v>
      </c>
      <c r="AE90">
        <f ca="1">IF(AND(((COLUMN()-10)&lt;=playercnt),((ROW()-41)&lt;=playercnt)),SUMPRODUCT(INDIRECT(ADDRESS(3,ROW()-31,1)):INDIRECT(ADDRESS(22,ROW()-31,1)),AE$3:AE$22),"")</f>
        <v>20</v>
      </c>
      <c r="AF90">
        <f ca="1">IF(AND(((COLUMN()-10)&lt;=playercnt),((ROW()-41)&lt;=playercnt)),SUMPRODUCT(INDIRECT(ADDRESS(3,ROW()-31,1)):INDIRECT(ADDRESS(22,ROW()-31,1)),AF$3:AF$22),"")</f>
        <v>20</v>
      </c>
      <c r="AG90">
        <f ca="1">IF(AND(((COLUMN()-10)&lt;=playercnt),((ROW()-41)&lt;=playercnt)),SUMPRODUCT(INDIRECT(ADDRESS(3,ROW()-31,1)):INDIRECT(ADDRESS(22,ROW()-31,1)),AG$3:AG$22),"")</f>
        <v>20</v>
      </c>
      <c r="AH90">
        <f ca="1">IF(AND(((COLUMN()-10)&lt;=playercnt),((ROW()-41)&lt;=playercnt)),SUMPRODUCT(INDIRECT(ADDRESS(3,ROW()-31,1)):INDIRECT(ADDRESS(22,ROW()-31,1)),AH$3:AH$22),"")</f>
        <v>20</v>
      </c>
      <c r="AI90">
        <f ca="1">IF(AND(((COLUMN()-10)&lt;=playercnt),((ROW()-41)&lt;=playercnt)),SUMPRODUCT(INDIRECT(ADDRESS(3,ROW()-31,1)):INDIRECT(ADDRESS(22,ROW()-31,1)),AI$3:AI$22),"")</f>
        <v>20</v>
      </c>
      <c r="AJ90">
        <f ca="1">IF(AND(((COLUMN()-10)&lt;=playercnt),((ROW()-41)&lt;=playercnt)),SUMPRODUCT(INDIRECT(ADDRESS(3,ROW()-31,1)):INDIRECT(ADDRESS(22,ROW()-31,1)),AJ$3:AJ$22),"")</f>
        <v>20</v>
      </c>
      <c r="AK90">
        <f ca="1">IF(AND(((COLUMN()-10)&lt;=playercnt),((ROW()-41)&lt;=playercnt)),SUMPRODUCT(INDIRECT(ADDRESS(3,ROW()-31,1)):INDIRECT(ADDRESS(22,ROW()-31,1)),AK$3:AK$22),"")</f>
        <v>20</v>
      </c>
      <c r="AL90">
        <f ca="1">IF(AND(((COLUMN()-10)&lt;=playercnt),((ROW()-41)&lt;=playercnt)),SUMPRODUCT(INDIRECT(ADDRESS(3,ROW()-31,1)):INDIRECT(ADDRESS(22,ROW()-31,1)),AL$3:AL$22),"")</f>
        <v>20</v>
      </c>
      <c r="AM90">
        <f ca="1">IF(AND(((COLUMN()-10)&lt;=playercnt),((ROW()-41)&lt;=playercnt)),SUMPRODUCT(INDIRECT(ADDRESS(3,ROW()-31,1)):INDIRECT(ADDRESS(22,ROW()-31,1)),AM$3:AM$22),"")</f>
        <v>20</v>
      </c>
      <c r="AN90">
        <f ca="1">IF(AND(((COLUMN()-10)&lt;=playercnt),((ROW()-41)&lt;=playercnt)),SUMPRODUCT(INDIRECT(ADDRESS(3,ROW()-31,1)):INDIRECT(ADDRESS(22,ROW()-31,1)),AN$3:AN$22),"")</f>
        <v>20</v>
      </c>
      <c r="AO90">
        <f ca="1">IF(AND(((COLUMN()-10)&lt;=playercnt),((ROW()-41)&lt;=playercnt)),SUMPRODUCT(INDIRECT(ADDRESS(3,ROW()-31,1)):INDIRECT(ADDRESS(22,ROW()-31,1)),AO$3:AO$22),"")</f>
        <v>20</v>
      </c>
      <c r="AP90">
        <f ca="1">IF(AND(((COLUMN()-10)&lt;=playercnt),((ROW()-41)&lt;=playercnt)),SUMPRODUCT(INDIRECT(ADDRESS(3,ROW()-31,1)):INDIRECT(ADDRESS(22,ROW()-31,1)),AP$3:AP$22),"")</f>
        <v>20</v>
      </c>
      <c r="AQ90">
        <f ca="1">IF(AND(((COLUMN()-10)&lt;=playercnt),((ROW()-41)&lt;=playercnt)),SUMPRODUCT(INDIRECT(ADDRESS(3,ROW()-31,1)):INDIRECT(ADDRESS(22,ROW()-31,1)),AQ$3:AQ$22),"")</f>
        <v>20</v>
      </c>
      <c r="AR90">
        <f ca="1">IF(AND(((COLUMN()-10)&lt;=playercnt),((ROW()-41)&lt;=playercnt)),SUMPRODUCT(INDIRECT(ADDRESS(3,ROW()-31,1)):INDIRECT(ADDRESS(22,ROW()-31,1)),AR$3:AR$22),"")</f>
        <v>20</v>
      </c>
      <c r="AS90">
        <f ca="1">IF(AND(((COLUMN()-10)&lt;=playercnt),((ROW()-41)&lt;=playercnt)),SUMPRODUCT(INDIRECT(ADDRESS(3,ROW()-31,1)):INDIRECT(ADDRESS(22,ROW()-31,1)),AS$3:AS$22),"")</f>
        <v>20</v>
      </c>
      <c r="AT90">
        <f ca="1">IF(AND(((COLUMN()-10)&lt;=playercnt),((ROW()-41)&lt;=playercnt)),SUMPRODUCT(INDIRECT(ADDRESS(3,ROW()-31,1)):INDIRECT(ADDRESS(22,ROW()-31,1)),AT$3:AT$22),"")</f>
        <v>20</v>
      </c>
      <c r="AU90">
        <f ca="1">IF(AND(((COLUMN()-10)&lt;=playercnt),((ROW()-41)&lt;=playercnt)),SUMPRODUCT(INDIRECT(ADDRESS(3,ROW()-31,1)):INDIRECT(ADDRESS(22,ROW()-31,1)),AU$3:AU$22),"")</f>
        <v>20</v>
      </c>
      <c r="AV90">
        <f ca="1">IF(AND(((COLUMN()-10)&lt;=playercnt),((ROW()-41)&lt;=playercnt)),SUMPRODUCT(INDIRECT(ADDRESS(3,ROW()-31,1)):INDIRECT(ADDRESS(22,ROW()-31,1)),AV$3:AV$22),"")</f>
        <v>20</v>
      </c>
      <c r="AW90">
        <f ca="1">IF(AND(((COLUMN()-10)&lt;=playercnt),((ROW()-41)&lt;=playercnt)),SUMPRODUCT(INDIRECT(ADDRESS(3,ROW()-31,1)):INDIRECT(ADDRESS(22,ROW()-31,1)),AW$3:AW$22),"")</f>
        <v>20</v>
      </c>
      <c r="AX90">
        <f ca="1">IF(AND(((COLUMN()-10)&lt;=playercnt),((ROW()-41)&lt;=playercnt)),SUMPRODUCT(INDIRECT(ADDRESS(3,ROW()-31,1)):INDIRECT(ADDRESS(22,ROW()-31,1)),AX$3:AX$22),"")</f>
        <v>20</v>
      </c>
      <c r="AY90">
        <f ca="1">IF(AND(((COLUMN()-10)&lt;=playercnt),((ROW()-41)&lt;=playercnt)),SUMPRODUCT(INDIRECT(ADDRESS(3,ROW()-31,1)):INDIRECT(ADDRESS(22,ROW()-31,1)),AY$3:AY$22),"")</f>
        <v>20</v>
      </c>
      <c r="AZ90">
        <f ca="1">IF(AND(((COLUMN()-10)&lt;=playercnt),((ROW()-41)&lt;=playercnt)),SUMPRODUCT(INDIRECT(ADDRESS(3,ROW()-31,1)):INDIRECT(ADDRESS(22,ROW()-31,1)),AZ$3:AZ$22),"")</f>
        <v>20</v>
      </c>
      <c r="BA90">
        <f ca="1">IF(AND(((COLUMN()-10)&lt;=playercnt),((ROW()-41)&lt;=playercnt)),SUMPRODUCT(INDIRECT(ADDRESS(3,ROW()-31,1)):INDIRECT(ADDRESS(22,ROW()-31,1)),BA$3:BA$22),"")</f>
        <v>20</v>
      </c>
      <c r="BB90">
        <f ca="1">IF(AND(((COLUMN()-10)&lt;=playercnt),((ROW()-41)&lt;=playercnt)),SUMPRODUCT(INDIRECT(ADDRESS(3,ROW()-31,1)):INDIRECT(ADDRESS(22,ROW()-31,1)),BB$3:BB$22),"")</f>
        <v>20</v>
      </c>
      <c r="BC90">
        <f ca="1">IF(AND(((COLUMN()-10)&lt;=playercnt),((ROW()-41)&lt;=playercnt)),SUMPRODUCT(INDIRECT(ADDRESS(3,ROW()-31,1)):INDIRECT(ADDRESS(22,ROW()-31,1)),BC$3:BC$22),"")</f>
        <v>20</v>
      </c>
      <c r="BD90">
        <f ca="1">IF(AND(((COLUMN()-10)&lt;=playercnt),((ROW()-41)&lt;=playercnt)),SUMPRODUCT(INDIRECT(ADDRESS(3,ROW()-31,1)):INDIRECT(ADDRESS(22,ROW()-31,1)),BD$3:BD$22),"")</f>
        <v>20</v>
      </c>
      <c r="BE90">
        <f ca="1">IF(AND(((COLUMN()-10)&lt;=playercnt),((ROW()-41)&lt;=playercnt)),SUMPRODUCT(INDIRECT(ADDRESS(3,ROW()-31,1)):INDIRECT(ADDRESS(22,ROW()-31,1)),BE$3:BE$22),"")</f>
        <v>20</v>
      </c>
      <c r="BF90">
        <f ca="1">IF(AND(((COLUMN()-10)&lt;=playercnt),((ROW()-41)&lt;=playercnt)),SUMPRODUCT(INDIRECT(ADDRESS(3,ROW()-31,1)):INDIRECT(ADDRESS(22,ROW()-31,1)),BF$3:BF$22),"")</f>
        <v>20</v>
      </c>
      <c r="BG90">
        <f ca="1">IF(AND(((COLUMN()-10)&lt;=playercnt),((ROW()-41)&lt;=playercnt)),SUMPRODUCT(INDIRECT(ADDRESS(3,ROW()-31,1)):INDIRECT(ADDRESS(22,ROW()-31,1)),BG$3:BG$22),"")</f>
        <v>20</v>
      </c>
      <c r="BH90">
        <f ca="1">IF(AND(((COLUMN()-10)&lt;=playercnt),((ROW()-41)&lt;=playercnt)),SUMPRODUCT(INDIRECT(ADDRESS(3,ROW()-31,1)):INDIRECT(ADDRESS(22,ROW()-31,1)),BH$3:BH$22),"")</f>
        <v>20</v>
      </c>
      <c r="BI90">
        <f ca="1">IF(AND(((COLUMN()-10)&lt;=playercnt),((ROW()-41)&lt;=playercnt)),SUMPRODUCT(INDIRECT(ADDRESS(3,ROW()-31,1)):INDIRECT(ADDRESS(22,ROW()-31,1)),BI$3:BI$22),"")</f>
        <v>20</v>
      </c>
      <c r="BJ90">
        <f ca="1">IF(AND(((COLUMN()-10)&lt;=playercnt),((ROW()-41)&lt;=playercnt)),SUMPRODUCT(INDIRECT(ADDRESS(3,ROW()-31,1)):INDIRECT(ADDRESS(22,ROW()-31,1)),BJ$3:BJ$22),"")</f>
        <v>20</v>
      </c>
      <c r="BK90">
        <f ca="1">IF(AND(((COLUMN()-10)&lt;=playercnt),((ROW()-41)&lt;=playercnt)),SUMPRODUCT(INDIRECT(ADDRESS(3,ROW()-31,1)):INDIRECT(ADDRESS(22,ROW()-31,1)),BK$3:BK$22),"")</f>
        <v>20</v>
      </c>
      <c r="BL90">
        <f ca="1">IF(AND(((COLUMN()-10)&lt;=playercnt),((ROW()-41)&lt;=playercnt)),SUMPRODUCT(INDIRECT(ADDRESS(3,ROW()-31,1)):INDIRECT(ADDRESS(22,ROW()-31,1)),BL$3:BL$22),"")</f>
        <v>20</v>
      </c>
      <c r="BM90">
        <f ca="1">IF(AND(((COLUMN()-10)&lt;=playercnt),((ROW()-41)&lt;=playercnt)),SUMPRODUCT(INDIRECT(ADDRESS(3,ROW()-31,1)):INDIRECT(ADDRESS(22,ROW()-31,1)),BM$3:BM$22),"")</f>
        <v>20</v>
      </c>
      <c r="BN90">
        <f ca="1">IF(AND(((COLUMN()-10)&lt;=playercnt),((ROW()-41)&lt;=playercnt)),SUMPRODUCT(INDIRECT(ADDRESS(3,ROW()-31,1)):INDIRECT(ADDRESS(22,ROW()-31,1)),BN$3:BN$22),"")</f>
        <v>20</v>
      </c>
      <c r="BO90" t="str">
        <f ca="1">IF(AND(((COLUMN()-10)&lt;=playercnt),((ROW()-41)&lt;=playercnt)),SUMPRODUCT(INDIRECT(ADDRESS(3,ROW()-31,1)):INDIRECT(ADDRESS(22,ROW()-31,1)),BO$3:BO$22),"")</f>
        <v/>
      </c>
    </row>
    <row r="91" spans="2:67" x14ac:dyDescent="0.25">
      <c r="B91" s="27" t="str">
        <f t="shared" ca="1" si="23"/>
        <v/>
      </c>
      <c r="C91" t="e">
        <f t="shared" ca="1" si="24"/>
        <v>#REF!</v>
      </c>
      <c r="G91">
        <f ca="1">IF(AND(((COLUMN()-10)&lt;=playercnt),((ROW()-41)&lt;=playercnt)),SUMPRODUCT(INDIRECT(ADDRESS(3,ROW()-31,1)):INDIRECT(ADDRESS(22,ROW()-31,1)),G$3:G$22),"")</f>
        <v>20</v>
      </c>
      <c r="H91" t="e">
        <f ca="1">IF(AND(((COLUMN()-10)&lt;=playercnt),((ROW()-41)&lt;=playercnt)),SUMPRODUCT(INDIRECT(ADDRESS(3,ROW()-31,1)):INDIRECT(ADDRESS(22,ROW()-31,1)),H$3:H$22),"")</f>
        <v>#REF!</v>
      </c>
      <c r="I91" t="e">
        <f ca="1">IF(AND(((COLUMN()-10)&lt;=playercnt),((ROW()-41)&lt;=playercnt)),SUMPRODUCT(INDIRECT(ADDRESS(3,ROW()-31,1)):INDIRECT(ADDRESS(22,ROW()-31,1)),I$3:I$22),"")</f>
        <v>#REF!</v>
      </c>
      <c r="J91">
        <f ca="1">IF(AND(((COLUMN()-10)&lt;=playercnt),((ROW()-41)&lt;=playercnt)),SUMPRODUCT(INDIRECT(ADDRESS(3,ROW()-31,1)):INDIRECT(ADDRESS(22,ROW()-31,1)),J$3:J$22),"")</f>
        <v>20</v>
      </c>
      <c r="K91">
        <f ca="1">IF(AND(((COLUMN()-10)&lt;=playercnt),((ROW()-41)&lt;=playercnt)),SUMPRODUCT(INDIRECT(ADDRESS(3,ROW()-31,1)):INDIRECT(ADDRESS(22,ROW()-31,1)),K$3:K$22),"")</f>
        <v>20</v>
      </c>
      <c r="L91">
        <f ca="1">IF(AND(((COLUMN()-10)&lt;=playercnt),((ROW()-41)&lt;=playercnt)),SUMPRODUCT(INDIRECT(ADDRESS(3,ROW()-31,1)):INDIRECT(ADDRESS(22,ROW()-31,1)),L$3:L$22),"")</f>
        <v>20</v>
      </c>
      <c r="M91">
        <f ca="1">IF(AND(((COLUMN()-10)&lt;=playercnt),((ROW()-41)&lt;=playercnt)),SUMPRODUCT(INDIRECT(ADDRESS(3,ROW()-31,1)):INDIRECT(ADDRESS(22,ROW()-31,1)),M$3:M$22),"")</f>
        <v>20</v>
      </c>
      <c r="N91">
        <f ca="1">IF(AND(((COLUMN()-10)&lt;=playercnt),((ROW()-41)&lt;=playercnt)),SUMPRODUCT(INDIRECT(ADDRESS(3,ROW()-31,1)):INDIRECT(ADDRESS(22,ROW()-31,1)),N$3:N$22),"")</f>
        <v>20</v>
      </c>
      <c r="O91">
        <f ca="1">IF(AND(((COLUMN()-10)&lt;=playercnt),((ROW()-41)&lt;=playercnt)),SUMPRODUCT(INDIRECT(ADDRESS(3,ROW()-31,1)):INDIRECT(ADDRESS(22,ROW()-31,1)),O$3:O$22),"")</f>
        <v>20</v>
      </c>
      <c r="P91">
        <f ca="1">IF(AND(((COLUMN()-10)&lt;=playercnt),((ROW()-41)&lt;=playercnt)),SUMPRODUCT(INDIRECT(ADDRESS(3,ROW()-31,1)):INDIRECT(ADDRESS(22,ROW()-31,1)),P$3:P$22),"")</f>
        <v>20</v>
      </c>
      <c r="Q91">
        <f ca="1">IF(AND(((COLUMN()-10)&lt;=playercnt),((ROW()-41)&lt;=playercnt)),SUMPRODUCT(INDIRECT(ADDRESS(3,ROW()-31,1)):INDIRECT(ADDRESS(22,ROW()-31,1)),Q$3:Q$22),"")</f>
        <v>20</v>
      </c>
      <c r="R91">
        <f ca="1">IF(AND(((COLUMN()-10)&lt;=playercnt),((ROW()-41)&lt;=playercnt)),SUMPRODUCT(INDIRECT(ADDRESS(3,ROW()-31,1)):INDIRECT(ADDRESS(22,ROW()-31,1)),R$3:R$22),"")</f>
        <v>20</v>
      </c>
      <c r="S91">
        <f ca="1">IF(AND(((COLUMN()-10)&lt;=playercnt),((ROW()-41)&lt;=playercnt)),SUMPRODUCT(INDIRECT(ADDRESS(3,ROW()-31,1)):INDIRECT(ADDRESS(22,ROW()-31,1)),S$3:S$22),"")</f>
        <v>20</v>
      </c>
      <c r="T91">
        <f ca="1">IF(AND(((COLUMN()-10)&lt;=playercnt),((ROW()-41)&lt;=playercnt)),SUMPRODUCT(INDIRECT(ADDRESS(3,ROW()-31,1)):INDIRECT(ADDRESS(22,ROW()-31,1)),T$3:T$22),"")</f>
        <v>20</v>
      </c>
      <c r="U91">
        <f ca="1">IF(AND(((COLUMN()-10)&lt;=playercnt),((ROW()-41)&lt;=playercnt)),SUMPRODUCT(INDIRECT(ADDRESS(3,ROW()-31,1)):INDIRECT(ADDRESS(22,ROW()-31,1)),U$3:U$22),"")</f>
        <v>20</v>
      </c>
      <c r="V91">
        <f ca="1">IF(AND(((COLUMN()-10)&lt;=playercnt),((ROW()-41)&lt;=playercnt)),SUMPRODUCT(INDIRECT(ADDRESS(3,ROW()-31,1)):INDIRECT(ADDRESS(22,ROW()-31,1)),V$3:V$22),"")</f>
        <v>20</v>
      </c>
      <c r="W91">
        <f ca="1">IF(AND(((COLUMN()-10)&lt;=playercnt),((ROW()-41)&lt;=playercnt)),SUMPRODUCT(INDIRECT(ADDRESS(3,ROW()-31,1)):INDIRECT(ADDRESS(22,ROW()-31,1)),W$3:W$22),"")</f>
        <v>20</v>
      </c>
      <c r="X91">
        <f ca="1">IF(AND(((COLUMN()-10)&lt;=playercnt),((ROW()-41)&lt;=playercnt)),SUMPRODUCT(INDIRECT(ADDRESS(3,ROW()-31,1)):INDIRECT(ADDRESS(22,ROW()-31,1)),X$3:X$22),"")</f>
        <v>20</v>
      </c>
      <c r="Y91">
        <f ca="1">IF(AND(((COLUMN()-10)&lt;=playercnt),((ROW()-41)&lt;=playercnt)),SUMPRODUCT(INDIRECT(ADDRESS(3,ROW()-31,1)):INDIRECT(ADDRESS(22,ROW()-31,1)),Y$3:Y$22),"")</f>
        <v>20</v>
      </c>
      <c r="Z91">
        <f ca="1">IF(AND(((COLUMN()-10)&lt;=playercnt),((ROW()-41)&lt;=playercnt)),SUMPRODUCT(INDIRECT(ADDRESS(3,ROW()-31,1)):INDIRECT(ADDRESS(22,ROW()-31,1)),Z$3:Z$22),"")</f>
        <v>20</v>
      </c>
      <c r="AA91">
        <f ca="1">IF(AND(((COLUMN()-10)&lt;=playercnt),((ROW()-41)&lt;=playercnt)),SUMPRODUCT(INDIRECT(ADDRESS(3,ROW()-31,1)):INDIRECT(ADDRESS(22,ROW()-31,1)),AA$3:AA$22),"")</f>
        <v>20</v>
      </c>
      <c r="AB91">
        <f ca="1">IF(AND(((COLUMN()-10)&lt;=playercnt),((ROW()-41)&lt;=playercnt)),SUMPRODUCT(INDIRECT(ADDRESS(3,ROW()-31,1)):INDIRECT(ADDRESS(22,ROW()-31,1)),AB$3:AB$22),"")</f>
        <v>20</v>
      </c>
      <c r="AC91">
        <f ca="1">IF(AND(((COLUMN()-10)&lt;=playercnt),((ROW()-41)&lt;=playercnt)),SUMPRODUCT(INDIRECT(ADDRESS(3,ROW()-31,1)):INDIRECT(ADDRESS(22,ROW()-31,1)),AC$3:AC$22),"")</f>
        <v>20</v>
      </c>
      <c r="AD91">
        <f ca="1">IF(AND(((COLUMN()-10)&lt;=playercnt),((ROW()-41)&lt;=playercnt)),SUMPRODUCT(INDIRECT(ADDRESS(3,ROW()-31,1)):INDIRECT(ADDRESS(22,ROW()-31,1)),AD$3:AD$22),"")</f>
        <v>20</v>
      </c>
      <c r="AE91">
        <f ca="1">IF(AND(((COLUMN()-10)&lt;=playercnt),((ROW()-41)&lt;=playercnt)),SUMPRODUCT(INDIRECT(ADDRESS(3,ROW()-31,1)):INDIRECT(ADDRESS(22,ROW()-31,1)),AE$3:AE$22),"")</f>
        <v>20</v>
      </c>
      <c r="AF91">
        <f ca="1">IF(AND(((COLUMN()-10)&lt;=playercnt),((ROW()-41)&lt;=playercnt)),SUMPRODUCT(INDIRECT(ADDRESS(3,ROW()-31,1)):INDIRECT(ADDRESS(22,ROW()-31,1)),AF$3:AF$22),"")</f>
        <v>20</v>
      </c>
      <c r="AG91">
        <f ca="1">IF(AND(((COLUMN()-10)&lt;=playercnt),((ROW()-41)&lt;=playercnt)),SUMPRODUCT(INDIRECT(ADDRESS(3,ROW()-31,1)):INDIRECT(ADDRESS(22,ROW()-31,1)),AG$3:AG$22),"")</f>
        <v>20</v>
      </c>
      <c r="AH91">
        <f ca="1">IF(AND(((COLUMN()-10)&lt;=playercnt),((ROW()-41)&lt;=playercnt)),SUMPRODUCT(INDIRECT(ADDRESS(3,ROW()-31,1)):INDIRECT(ADDRESS(22,ROW()-31,1)),AH$3:AH$22),"")</f>
        <v>20</v>
      </c>
      <c r="AI91">
        <f ca="1">IF(AND(((COLUMN()-10)&lt;=playercnt),((ROW()-41)&lt;=playercnt)),SUMPRODUCT(INDIRECT(ADDRESS(3,ROW()-31,1)):INDIRECT(ADDRESS(22,ROW()-31,1)),AI$3:AI$22),"")</f>
        <v>20</v>
      </c>
      <c r="AJ91">
        <f ca="1">IF(AND(((COLUMN()-10)&lt;=playercnt),((ROW()-41)&lt;=playercnt)),SUMPRODUCT(INDIRECT(ADDRESS(3,ROW()-31,1)):INDIRECT(ADDRESS(22,ROW()-31,1)),AJ$3:AJ$22),"")</f>
        <v>20</v>
      </c>
      <c r="AK91">
        <f ca="1">IF(AND(((COLUMN()-10)&lt;=playercnt),((ROW()-41)&lt;=playercnt)),SUMPRODUCT(INDIRECT(ADDRESS(3,ROW()-31,1)):INDIRECT(ADDRESS(22,ROW()-31,1)),AK$3:AK$22),"")</f>
        <v>20</v>
      </c>
      <c r="AL91">
        <f ca="1">IF(AND(((COLUMN()-10)&lt;=playercnt),((ROW()-41)&lt;=playercnt)),SUMPRODUCT(INDIRECT(ADDRESS(3,ROW()-31,1)):INDIRECT(ADDRESS(22,ROW()-31,1)),AL$3:AL$22),"")</f>
        <v>20</v>
      </c>
      <c r="AM91">
        <f ca="1">IF(AND(((COLUMN()-10)&lt;=playercnt),((ROW()-41)&lt;=playercnt)),SUMPRODUCT(INDIRECT(ADDRESS(3,ROW()-31,1)):INDIRECT(ADDRESS(22,ROW()-31,1)),AM$3:AM$22),"")</f>
        <v>20</v>
      </c>
      <c r="AN91">
        <f ca="1">IF(AND(((COLUMN()-10)&lt;=playercnt),((ROW()-41)&lt;=playercnt)),SUMPRODUCT(INDIRECT(ADDRESS(3,ROW()-31,1)):INDIRECT(ADDRESS(22,ROW()-31,1)),AN$3:AN$22),"")</f>
        <v>20</v>
      </c>
      <c r="AO91">
        <f ca="1">IF(AND(((COLUMN()-10)&lt;=playercnt),((ROW()-41)&lt;=playercnt)),SUMPRODUCT(INDIRECT(ADDRESS(3,ROW()-31,1)):INDIRECT(ADDRESS(22,ROW()-31,1)),AO$3:AO$22),"")</f>
        <v>20</v>
      </c>
      <c r="AP91">
        <f ca="1">IF(AND(((COLUMN()-10)&lt;=playercnt),((ROW()-41)&lt;=playercnt)),SUMPRODUCT(INDIRECT(ADDRESS(3,ROW()-31,1)):INDIRECT(ADDRESS(22,ROW()-31,1)),AP$3:AP$22),"")</f>
        <v>20</v>
      </c>
      <c r="AQ91">
        <f ca="1">IF(AND(((COLUMN()-10)&lt;=playercnt),((ROW()-41)&lt;=playercnt)),SUMPRODUCT(INDIRECT(ADDRESS(3,ROW()-31,1)):INDIRECT(ADDRESS(22,ROW()-31,1)),AQ$3:AQ$22),"")</f>
        <v>20</v>
      </c>
      <c r="AR91">
        <f ca="1">IF(AND(((COLUMN()-10)&lt;=playercnt),((ROW()-41)&lt;=playercnt)),SUMPRODUCT(INDIRECT(ADDRESS(3,ROW()-31,1)):INDIRECT(ADDRESS(22,ROW()-31,1)),AR$3:AR$22),"")</f>
        <v>20</v>
      </c>
      <c r="AS91">
        <f ca="1">IF(AND(((COLUMN()-10)&lt;=playercnt),((ROW()-41)&lt;=playercnt)),SUMPRODUCT(INDIRECT(ADDRESS(3,ROW()-31,1)):INDIRECT(ADDRESS(22,ROW()-31,1)),AS$3:AS$22),"")</f>
        <v>20</v>
      </c>
      <c r="AT91">
        <f ca="1">IF(AND(((COLUMN()-10)&lt;=playercnt),((ROW()-41)&lt;=playercnt)),SUMPRODUCT(INDIRECT(ADDRESS(3,ROW()-31,1)):INDIRECT(ADDRESS(22,ROW()-31,1)),AT$3:AT$22),"")</f>
        <v>20</v>
      </c>
      <c r="AU91">
        <f ca="1">IF(AND(((COLUMN()-10)&lt;=playercnt),((ROW()-41)&lt;=playercnt)),SUMPRODUCT(INDIRECT(ADDRESS(3,ROW()-31,1)):INDIRECT(ADDRESS(22,ROW()-31,1)),AU$3:AU$22),"")</f>
        <v>20</v>
      </c>
      <c r="AV91">
        <f ca="1">IF(AND(((COLUMN()-10)&lt;=playercnt),((ROW()-41)&lt;=playercnt)),SUMPRODUCT(INDIRECT(ADDRESS(3,ROW()-31,1)):INDIRECT(ADDRESS(22,ROW()-31,1)),AV$3:AV$22),"")</f>
        <v>20</v>
      </c>
      <c r="AW91">
        <f ca="1">IF(AND(((COLUMN()-10)&lt;=playercnt),((ROW()-41)&lt;=playercnt)),SUMPRODUCT(INDIRECT(ADDRESS(3,ROW()-31,1)):INDIRECT(ADDRESS(22,ROW()-31,1)),AW$3:AW$22),"")</f>
        <v>20</v>
      </c>
      <c r="AX91">
        <f ca="1">IF(AND(((COLUMN()-10)&lt;=playercnt),((ROW()-41)&lt;=playercnt)),SUMPRODUCT(INDIRECT(ADDRESS(3,ROW()-31,1)):INDIRECT(ADDRESS(22,ROW()-31,1)),AX$3:AX$22),"")</f>
        <v>20</v>
      </c>
      <c r="AY91">
        <f ca="1">IF(AND(((COLUMN()-10)&lt;=playercnt),((ROW()-41)&lt;=playercnt)),SUMPRODUCT(INDIRECT(ADDRESS(3,ROW()-31,1)):INDIRECT(ADDRESS(22,ROW()-31,1)),AY$3:AY$22),"")</f>
        <v>20</v>
      </c>
      <c r="AZ91">
        <f ca="1">IF(AND(((COLUMN()-10)&lt;=playercnt),((ROW()-41)&lt;=playercnt)),SUMPRODUCT(INDIRECT(ADDRESS(3,ROW()-31,1)):INDIRECT(ADDRESS(22,ROW()-31,1)),AZ$3:AZ$22),"")</f>
        <v>20</v>
      </c>
      <c r="BA91">
        <f ca="1">IF(AND(((COLUMN()-10)&lt;=playercnt),((ROW()-41)&lt;=playercnt)),SUMPRODUCT(INDIRECT(ADDRESS(3,ROW()-31,1)):INDIRECT(ADDRESS(22,ROW()-31,1)),BA$3:BA$22),"")</f>
        <v>20</v>
      </c>
      <c r="BB91">
        <f ca="1">IF(AND(((COLUMN()-10)&lt;=playercnt),((ROW()-41)&lt;=playercnt)),SUMPRODUCT(INDIRECT(ADDRESS(3,ROW()-31,1)):INDIRECT(ADDRESS(22,ROW()-31,1)),BB$3:BB$22),"")</f>
        <v>20</v>
      </c>
      <c r="BC91">
        <f ca="1">IF(AND(((COLUMN()-10)&lt;=playercnt),((ROW()-41)&lt;=playercnt)),SUMPRODUCT(INDIRECT(ADDRESS(3,ROW()-31,1)):INDIRECT(ADDRESS(22,ROW()-31,1)),BC$3:BC$22),"")</f>
        <v>20</v>
      </c>
      <c r="BD91">
        <f ca="1">IF(AND(((COLUMN()-10)&lt;=playercnt),((ROW()-41)&lt;=playercnt)),SUMPRODUCT(INDIRECT(ADDRESS(3,ROW()-31,1)):INDIRECT(ADDRESS(22,ROW()-31,1)),BD$3:BD$22),"")</f>
        <v>20</v>
      </c>
      <c r="BE91">
        <f ca="1">IF(AND(((COLUMN()-10)&lt;=playercnt),((ROW()-41)&lt;=playercnt)),SUMPRODUCT(INDIRECT(ADDRESS(3,ROW()-31,1)):INDIRECT(ADDRESS(22,ROW()-31,1)),BE$3:BE$22),"")</f>
        <v>20</v>
      </c>
      <c r="BF91">
        <f ca="1">IF(AND(((COLUMN()-10)&lt;=playercnt),((ROW()-41)&lt;=playercnt)),SUMPRODUCT(INDIRECT(ADDRESS(3,ROW()-31,1)):INDIRECT(ADDRESS(22,ROW()-31,1)),BF$3:BF$22),"")</f>
        <v>20</v>
      </c>
      <c r="BG91">
        <f ca="1">IF(AND(((COLUMN()-10)&lt;=playercnt),((ROW()-41)&lt;=playercnt)),SUMPRODUCT(INDIRECT(ADDRESS(3,ROW()-31,1)):INDIRECT(ADDRESS(22,ROW()-31,1)),BG$3:BG$22),"")</f>
        <v>20</v>
      </c>
      <c r="BH91">
        <f ca="1">IF(AND(((COLUMN()-10)&lt;=playercnt),((ROW()-41)&lt;=playercnt)),SUMPRODUCT(INDIRECT(ADDRESS(3,ROW()-31,1)):INDIRECT(ADDRESS(22,ROW()-31,1)),BH$3:BH$22),"")</f>
        <v>20</v>
      </c>
      <c r="BI91">
        <f ca="1">IF(AND(((COLUMN()-10)&lt;=playercnt),((ROW()-41)&lt;=playercnt)),SUMPRODUCT(INDIRECT(ADDRESS(3,ROW()-31,1)):INDIRECT(ADDRESS(22,ROW()-31,1)),BI$3:BI$22),"")</f>
        <v>20</v>
      </c>
      <c r="BJ91">
        <f ca="1">IF(AND(((COLUMN()-10)&lt;=playercnt),((ROW()-41)&lt;=playercnt)),SUMPRODUCT(INDIRECT(ADDRESS(3,ROW()-31,1)):INDIRECT(ADDRESS(22,ROW()-31,1)),BJ$3:BJ$22),"")</f>
        <v>20</v>
      </c>
      <c r="BK91">
        <f ca="1">IF(AND(((COLUMN()-10)&lt;=playercnt),((ROW()-41)&lt;=playercnt)),SUMPRODUCT(INDIRECT(ADDRESS(3,ROW()-31,1)):INDIRECT(ADDRESS(22,ROW()-31,1)),BK$3:BK$22),"")</f>
        <v>20</v>
      </c>
      <c r="BL91">
        <f ca="1">IF(AND(((COLUMN()-10)&lt;=playercnt),((ROW()-41)&lt;=playercnt)),SUMPRODUCT(INDIRECT(ADDRESS(3,ROW()-31,1)):INDIRECT(ADDRESS(22,ROW()-31,1)),BL$3:BL$22),"")</f>
        <v>20</v>
      </c>
      <c r="BM91">
        <f ca="1">IF(AND(((COLUMN()-10)&lt;=playercnt),((ROW()-41)&lt;=playercnt)),SUMPRODUCT(INDIRECT(ADDRESS(3,ROW()-31,1)):INDIRECT(ADDRESS(22,ROW()-31,1)),BM$3:BM$22),"")</f>
        <v>20</v>
      </c>
      <c r="BN91">
        <f ca="1">IF(AND(((COLUMN()-10)&lt;=playercnt),((ROW()-41)&lt;=playercnt)),SUMPRODUCT(INDIRECT(ADDRESS(3,ROW()-31,1)):INDIRECT(ADDRESS(22,ROW()-31,1)),BN$3:BN$22),"")</f>
        <v>20</v>
      </c>
      <c r="BO91" t="str">
        <f ca="1">IF(AND(((COLUMN()-10)&lt;=playercnt),((ROW()-41)&lt;=playercnt)),SUMPRODUCT(INDIRECT(ADDRESS(3,ROW()-31,1)):INDIRECT(ADDRESS(22,ROW()-31,1)),BO$3:BO$22),"")</f>
        <v/>
      </c>
    </row>
    <row r="92" spans="2:67" x14ac:dyDescent="0.25">
      <c r="B92" s="27" t="str">
        <f t="shared" ca="1" si="23"/>
        <v/>
      </c>
      <c r="C92" t="e">
        <f t="shared" ca="1" si="24"/>
        <v>#REF!</v>
      </c>
      <c r="G92">
        <f ca="1">IF(AND(((COLUMN()-10)&lt;=playercnt),((ROW()-41)&lt;=playercnt)),SUMPRODUCT(INDIRECT(ADDRESS(3,ROW()-31,1)):INDIRECT(ADDRESS(22,ROW()-31,1)),G$3:G$22),"")</f>
        <v>20</v>
      </c>
      <c r="H92" t="e">
        <f ca="1">IF(AND(((COLUMN()-10)&lt;=playercnt),((ROW()-41)&lt;=playercnt)),SUMPRODUCT(INDIRECT(ADDRESS(3,ROW()-31,1)):INDIRECT(ADDRESS(22,ROW()-31,1)),H$3:H$22),"")</f>
        <v>#REF!</v>
      </c>
      <c r="I92" t="e">
        <f ca="1">IF(AND(((COLUMN()-10)&lt;=playercnt),((ROW()-41)&lt;=playercnt)),SUMPRODUCT(INDIRECT(ADDRESS(3,ROW()-31,1)):INDIRECT(ADDRESS(22,ROW()-31,1)),I$3:I$22),"")</f>
        <v>#REF!</v>
      </c>
      <c r="J92">
        <f ca="1">IF(AND(((COLUMN()-10)&lt;=playercnt),((ROW()-41)&lt;=playercnt)),SUMPRODUCT(INDIRECT(ADDRESS(3,ROW()-31,1)):INDIRECT(ADDRESS(22,ROW()-31,1)),J$3:J$22),"")</f>
        <v>20</v>
      </c>
      <c r="K92">
        <f ca="1">IF(AND(((COLUMN()-10)&lt;=playercnt),((ROW()-41)&lt;=playercnt)),SUMPRODUCT(INDIRECT(ADDRESS(3,ROW()-31,1)):INDIRECT(ADDRESS(22,ROW()-31,1)),K$3:K$22),"")</f>
        <v>20</v>
      </c>
      <c r="L92">
        <f ca="1">IF(AND(((COLUMN()-10)&lt;=playercnt),((ROW()-41)&lt;=playercnt)),SUMPRODUCT(INDIRECT(ADDRESS(3,ROW()-31,1)):INDIRECT(ADDRESS(22,ROW()-31,1)),L$3:L$22),"")</f>
        <v>20</v>
      </c>
      <c r="M92">
        <f ca="1">IF(AND(((COLUMN()-10)&lt;=playercnt),((ROW()-41)&lt;=playercnt)),SUMPRODUCT(INDIRECT(ADDRESS(3,ROW()-31,1)):INDIRECT(ADDRESS(22,ROW()-31,1)),M$3:M$22),"")</f>
        <v>20</v>
      </c>
      <c r="N92">
        <f ca="1">IF(AND(((COLUMN()-10)&lt;=playercnt),((ROW()-41)&lt;=playercnt)),SUMPRODUCT(INDIRECT(ADDRESS(3,ROW()-31,1)):INDIRECT(ADDRESS(22,ROW()-31,1)),N$3:N$22),"")</f>
        <v>20</v>
      </c>
      <c r="O92">
        <f ca="1">IF(AND(((COLUMN()-10)&lt;=playercnt),((ROW()-41)&lt;=playercnt)),SUMPRODUCT(INDIRECT(ADDRESS(3,ROW()-31,1)):INDIRECT(ADDRESS(22,ROW()-31,1)),O$3:O$22),"")</f>
        <v>20</v>
      </c>
      <c r="P92">
        <f ca="1">IF(AND(((COLUMN()-10)&lt;=playercnt),((ROW()-41)&lt;=playercnt)),SUMPRODUCT(INDIRECT(ADDRESS(3,ROW()-31,1)):INDIRECT(ADDRESS(22,ROW()-31,1)),P$3:P$22),"")</f>
        <v>20</v>
      </c>
      <c r="Q92">
        <f ca="1">IF(AND(((COLUMN()-10)&lt;=playercnt),((ROW()-41)&lt;=playercnt)),SUMPRODUCT(INDIRECT(ADDRESS(3,ROW()-31,1)):INDIRECT(ADDRESS(22,ROW()-31,1)),Q$3:Q$22),"")</f>
        <v>20</v>
      </c>
      <c r="R92">
        <f ca="1">IF(AND(((COLUMN()-10)&lt;=playercnt),((ROW()-41)&lt;=playercnt)),SUMPRODUCT(INDIRECT(ADDRESS(3,ROW()-31,1)):INDIRECT(ADDRESS(22,ROW()-31,1)),R$3:R$22),"")</f>
        <v>20</v>
      </c>
      <c r="S92">
        <f ca="1">IF(AND(((COLUMN()-10)&lt;=playercnt),((ROW()-41)&lt;=playercnt)),SUMPRODUCT(INDIRECT(ADDRESS(3,ROW()-31,1)):INDIRECT(ADDRESS(22,ROW()-31,1)),S$3:S$22),"")</f>
        <v>20</v>
      </c>
      <c r="T92">
        <f ca="1">IF(AND(((COLUMN()-10)&lt;=playercnt),((ROW()-41)&lt;=playercnt)),SUMPRODUCT(INDIRECT(ADDRESS(3,ROW()-31,1)):INDIRECT(ADDRESS(22,ROW()-31,1)),T$3:T$22),"")</f>
        <v>20</v>
      </c>
      <c r="U92">
        <f ca="1">IF(AND(((COLUMN()-10)&lt;=playercnt),((ROW()-41)&lt;=playercnt)),SUMPRODUCT(INDIRECT(ADDRESS(3,ROW()-31,1)):INDIRECT(ADDRESS(22,ROW()-31,1)),U$3:U$22),"")</f>
        <v>20</v>
      </c>
      <c r="V92">
        <f ca="1">IF(AND(((COLUMN()-10)&lt;=playercnt),((ROW()-41)&lt;=playercnt)),SUMPRODUCT(INDIRECT(ADDRESS(3,ROW()-31,1)):INDIRECT(ADDRESS(22,ROW()-31,1)),V$3:V$22),"")</f>
        <v>20</v>
      </c>
      <c r="W92">
        <f ca="1">IF(AND(((COLUMN()-10)&lt;=playercnt),((ROW()-41)&lt;=playercnt)),SUMPRODUCT(INDIRECT(ADDRESS(3,ROW()-31,1)):INDIRECT(ADDRESS(22,ROW()-31,1)),W$3:W$22),"")</f>
        <v>20</v>
      </c>
      <c r="X92">
        <f ca="1">IF(AND(((COLUMN()-10)&lt;=playercnt),((ROW()-41)&lt;=playercnt)),SUMPRODUCT(INDIRECT(ADDRESS(3,ROW()-31,1)):INDIRECT(ADDRESS(22,ROW()-31,1)),X$3:X$22),"")</f>
        <v>20</v>
      </c>
      <c r="Y92">
        <f ca="1">IF(AND(((COLUMN()-10)&lt;=playercnt),((ROW()-41)&lt;=playercnt)),SUMPRODUCT(INDIRECT(ADDRESS(3,ROW()-31,1)):INDIRECT(ADDRESS(22,ROW()-31,1)),Y$3:Y$22),"")</f>
        <v>20</v>
      </c>
      <c r="Z92">
        <f ca="1">IF(AND(((COLUMN()-10)&lt;=playercnt),((ROW()-41)&lt;=playercnt)),SUMPRODUCT(INDIRECT(ADDRESS(3,ROW()-31,1)):INDIRECT(ADDRESS(22,ROW()-31,1)),Z$3:Z$22),"")</f>
        <v>20</v>
      </c>
      <c r="AA92">
        <f ca="1">IF(AND(((COLUMN()-10)&lt;=playercnt),((ROW()-41)&lt;=playercnt)),SUMPRODUCT(INDIRECT(ADDRESS(3,ROW()-31,1)):INDIRECT(ADDRESS(22,ROW()-31,1)),AA$3:AA$22),"")</f>
        <v>20</v>
      </c>
      <c r="AB92">
        <f ca="1">IF(AND(((COLUMN()-10)&lt;=playercnt),((ROW()-41)&lt;=playercnt)),SUMPRODUCT(INDIRECT(ADDRESS(3,ROW()-31,1)):INDIRECT(ADDRESS(22,ROW()-31,1)),AB$3:AB$22),"")</f>
        <v>20</v>
      </c>
      <c r="AC92">
        <f ca="1">IF(AND(((COLUMN()-10)&lt;=playercnt),((ROW()-41)&lt;=playercnt)),SUMPRODUCT(INDIRECT(ADDRESS(3,ROW()-31,1)):INDIRECT(ADDRESS(22,ROW()-31,1)),AC$3:AC$22),"")</f>
        <v>20</v>
      </c>
      <c r="AD92">
        <f ca="1">IF(AND(((COLUMN()-10)&lt;=playercnt),((ROW()-41)&lt;=playercnt)),SUMPRODUCT(INDIRECT(ADDRESS(3,ROW()-31,1)):INDIRECT(ADDRESS(22,ROW()-31,1)),AD$3:AD$22),"")</f>
        <v>20</v>
      </c>
      <c r="AE92">
        <f ca="1">IF(AND(((COLUMN()-10)&lt;=playercnt),((ROW()-41)&lt;=playercnt)),SUMPRODUCT(INDIRECT(ADDRESS(3,ROW()-31,1)):INDIRECT(ADDRESS(22,ROW()-31,1)),AE$3:AE$22),"")</f>
        <v>20</v>
      </c>
      <c r="AF92">
        <f ca="1">IF(AND(((COLUMN()-10)&lt;=playercnt),((ROW()-41)&lt;=playercnt)),SUMPRODUCT(INDIRECT(ADDRESS(3,ROW()-31,1)):INDIRECT(ADDRESS(22,ROW()-31,1)),AF$3:AF$22),"")</f>
        <v>20</v>
      </c>
      <c r="AG92">
        <f ca="1">IF(AND(((COLUMN()-10)&lt;=playercnt),((ROW()-41)&lt;=playercnt)),SUMPRODUCT(INDIRECT(ADDRESS(3,ROW()-31,1)):INDIRECT(ADDRESS(22,ROW()-31,1)),AG$3:AG$22),"")</f>
        <v>20</v>
      </c>
      <c r="AH92">
        <f ca="1">IF(AND(((COLUMN()-10)&lt;=playercnt),((ROW()-41)&lt;=playercnt)),SUMPRODUCT(INDIRECT(ADDRESS(3,ROW()-31,1)):INDIRECT(ADDRESS(22,ROW()-31,1)),AH$3:AH$22),"")</f>
        <v>20</v>
      </c>
      <c r="AI92">
        <f ca="1">IF(AND(((COLUMN()-10)&lt;=playercnt),((ROW()-41)&lt;=playercnt)),SUMPRODUCT(INDIRECT(ADDRESS(3,ROW()-31,1)):INDIRECT(ADDRESS(22,ROW()-31,1)),AI$3:AI$22),"")</f>
        <v>20</v>
      </c>
      <c r="AJ92">
        <f ca="1">IF(AND(((COLUMN()-10)&lt;=playercnt),((ROW()-41)&lt;=playercnt)),SUMPRODUCT(INDIRECT(ADDRESS(3,ROW()-31,1)):INDIRECT(ADDRESS(22,ROW()-31,1)),AJ$3:AJ$22),"")</f>
        <v>20</v>
      </c>
      <c r="AK92">
        <f ca="1">IF(AND(((COLUMN()-10)&lt;=playercnt),((ROW()-41)&lt;=playercnt)),SUMPRODUCT(INDIRECT(ADDRESS(3,ROW()-31,1)):INDIRECT(ADDRESS(22,ROW()-31,1)),AK$3:AK$22),"")</f>
        <v>20</v>
      </c>
      <c r="AL92">
        <f ca="1">IF(AND(((COLUMN()-10)&lt;=playercnt),((ROW()-41)&lt;=playercnt)),SUMPRODUCT(INDIRECT(ADDRESS(3,ROW()-31,1)):INDIRECT(ADDRESS(22,ROW()-31,1)),AL$3:AL$22),"")</f>
        <v>20</v>
      </c>
      <c r="AM92">
        <f ca="1">IF(AND(((COLUMN()-10)&lt;=playercnt),((ROW()-41)&lt;=playercnt)),SUMPRODUCT(INDIRECT(ADDRESS(3,ROW()-31,1)):INDIRECT(ADDRESS(22,ROW()-31,1)),AM$3:AM$22),"")</f>
        <v>20</v>
      </c>
      <c r="AN92">
        <f ca="1">IF(AND(((COLUMN()-10)&lt;=playercnt),((ROW()-41)&lt;=playercnt)),SUMPRODUCT(INDIRECT(ADDRESS(3,ROW()-31,1)):INDIRECT(ADDRESS(22,ROW()-31,1)),AN$3:AN$22),"")</f>
        <v>20</v>
      </c>
      <c r="AO92">
        <f ca="1">IF(AND(((COLUMN()-10)&lt;=playercnt),((ROW()-41)&lt;=playercnt)),SUMPRODUCT(INDIRECT(ADDRESS(3,ROW()-31,1)):INDIRECT(ADDRESS(22,ROW()-31,1)),AO$3:AO$22),"")</f>
        <v>20</v>
      </c>
      <c r="AP92">
        <f ca="1">IF(AND(((COLUMN()-10)&lt;=playercnt),((ROW()-41)&lt;=playercnt)),SUMPRODUCT(INDIRECT(ADDRESS(3,ROW()-31,1)):INDIRECT(ADDRESS(22,ROW()-31,1)),AP$3:AP$22),"")</f>
        <v>20</v>
      </c>
      <c r="AQ92">
        <f ca="1">IF(AND(((COLUMN()-10)&lt;=playercnt),((ROW()-41)&lt;=playercnt)),SUMPRODUCT(INDIRECT(ADDRESS(3,ROW()-31,1)):INDIRECT(ADDRESS(22,ROW()-31,1)),AQ$3:AQ$22),"")</f>
        <v>20</v>
      </c>
      <c r="AR92">
        <f ca="1">IF(AND(((COLUMN()-10)&lt;=playercnt),((ROW()-41)&lt;=playercnt)),SUMPRODUCT(INDIRECT(ADDRESS(3,ROW()-31,1)):INDIRECT(ADDRESS(22,ROW()-31,1)),AR$3:AR$22),"")</f>
        <v>20</v>
      </c>
      <c r="AS92">
        <f ca="1">IF(AND(((COLUMN()-10)&lt;=playercnt),((ROW()-41)&lt;=playercnt)),SUMPRODUCT(INDIRECT(ADDRESS(3,ROW()-31,1)):INDIRECT(ADDRESS(22,ROW()-31,1)),AS$3:AS$22),"")</f>
        <v>20</v>
      </c>
      <c r="AT92">
        <f ca="1">IF(AND(((COLUMN()-10)&lt;=playercnt),((ROW()-41)&lt;=playercnt)),SUMPRODUCT(INDIRECT(ADDRESS(3,ROW()-31,1)):INDIRECT(ADDRESS(22,ROW()-31,1)),AT$3:AT$22),"")</f>
        <v>20</v>
      </c>
      <c r="AU92">
        <f ca="1">IF(AND(((COLUMN()-10)&lt;=playercnt),((ROW()-41)&lt;=playercnt)),SUMPRODUCT(INDIRECT(ADDRESS(3,ROW()-31,1)):INDIRECT(ADDRESS(22,ROW()-31,1)),AU$3:AU$22),"")</f>
        <v>20</v>
      </c>
      <c r="AV92">
        <f ca="1">IF(AND(((COLUMN()-10)&lt;=playercnt),((ROW()-41)&lt;=playercnt)),SUMPRODUCT(INDIRECT(ADDRESS(3,ROW()-31,1)):INDIRECT(ADDRESS(22,ROW()-31,1)),AV$3:AV$22),"")</f>
        <v>20</v>
      </c>
      <c r="AW92">
        <f ca="1">IF(AND(((COLUMN()-10)&lt;=playercnt),((ROW()-41)&lt;=playercnt)),SUMPRODUCT(INDIRECT(ADDRESS(3,ROW()-31,1)):INDIRECT(ADDRESS(22,ROW()-31,1)),AW$3:AW$22),"")</f>
        <v>20</v>
      </c>
      <c r="AX92">
        <f ca="1">IF(AND(((COLUMN()-10)&lt;=playercnt),((ROW()-41)&lt;=playercnt)),SUMPRODUCT(INDIRECT(ADDRESS(3,ROW()-31,1)):INDIRECT(ADDRESS(22,ROW()-31,1)),AX$3:AX$22),"")</f>
        <v>20</v>
      </c>
      <c r="AY92">
        <f ca="1">IF(AND(((COLUMN()-10)&lt;=playercnt),((ROW()-41)&lt;=playercnt)),SUMPRODUCT(INDIRECT(ADDRESS(3,ROW()-31,1)):INDIRECT(ADDRESS(22,ROW()-31,1)),AY$3:AY$22),"")</f>
        <v>20</v>
      </c>
      <c r="AZ92">
        <f ca="1">IF(AND(((COLUMN()-10)&lt;=playercnt),((ROW()-41)&lt;=playercnt)),SUMPRODUCT(INDIRECT(ADDRESS(3,ROW()-31,1)):INDIRECT(ADDRESS(22,ROW()-31,1)),AZ$3:AZ$22),"")</f>
        <v>20</v>
      </c>
      <c r="BA92">
        <f ca="1">IF(AND(((COLUMN()-10)&lt;=playercnt),((ROW()-41)&lt;=playercnt)),SUMPRODUCT(INDIRECT(ADDRESS(3,ROW()-31,1)):INDIRECT(ADDRESS(22,ROW()-31,1)),BA$3:BA$22),"")</f>
        <v>20</v>
      </c>
      <c r="BB92">
        <f ca="1">IF(AND(((COLUMN()-10)&lt;=playercnt),((ROW()-41)&lt;=playercnt)),SUMPRODUCT(INDIRECT(ADDRESS(3,ROW()-31,1)):INDIRECT(ADDRESS(22,ROW()-31,1)),BB$3:BB$22),"")</f>
        <v>20</v>
      </c>
      <c r="BC92">
        <f ca="1">IF(AND(((COLUMN()-10)&lt;=playercnt),((ROW()-41)&lt;=playercnt)),SUMPRODUCT(INDIRECT(ADDRESS(3,ROW()-31,1)):INDIRECT(ADDRESS(22,ROW()-31,1)),BC$3:BC$22),"")</f>
        <v>20</v>
      </c>
      <c r="BD92">
        <f ca="1">IF(AND(((COLUMN()-10)&lt;=playercnt),((ROW()-41)&lt;=playercnt)),SUMPRODUCT(INDIRECT(ADDRESS(3,ROW()-31,1)):INDIRECT(ADDRESS(22,ROW()-31,1)),BD$3:BD$22),"")</f>
        <v>20</v>
      </c>
      <c r="BE92">
        <f ca="1">IF(AND(((COLUMN()-10)&lt;=playercnt),((ROW()-41)&lt;=playercnt)),SUMPRODUCT(INDIRECT(ADDRESS(3,ROW()-31,1)):INDIRECT(ADDRESS(22,ROW()-31,1)),BE$3:BE$22),"")</f>
        <v>20</v>
      </c>
      <c r="BF92">
        <f ca="1">IF(AND(((COLUMN()-10)&lt;=playercnt),((ROW()-41)&lt;=playercnt)),SUMPRODUCT(INDIRECT(ADDRESS(3,ROW()-31,1)):INDIRECT(ADDRESS(22,ROW()-31,1)),BF$3:BF$22),"")</f>
        <v>20</v>
      </c>
      <c r="BG92">
        <f ca="1">IF(AND(((COLUMN()-10)&lt;=playercnt),((ROW()-41)&lt;=playercnt)),SUMPRODUCT(INDIRECT(ADDRESS(3,ROW()-31,1)):INDIRECT(ADDRESS(22,ROW()-31,1)),BG$3:BG$22),"")</f>
        <v>20</v>
      </c>
      <c r="BH92">
        <f ca="1">IF(AND(((COLUMN()-10)&lt;=playercnt),((ROW()-41)&lt;=playercnt)),SUMPRODUCT(INDIRECT(ADDRESS(3,ROW()-31,1)):INDIRECT(ADDRESS(22,ROW()-31,1)),BH$3:BH$22),"")</f>
        <v>20</v>
      </c>
      <c r="BI92">
        <f ca="1">IF(AND(((COLUMN()-10)&lt;=playercnt),((ROW()-41)&lt;=playercnt)),SUMPRODUCT(INDIRECT(ADDRESS(3,ROW()-31,1)):INDIRECT(ADDRESS(22,ROW()-31,1)),BI$3:BI$22),"")</f>
        <v>20</v>
      </c>
      <c r="BJ92">
        <f ca="1">IF(AND(((COLUMN()-10)&lt;=playercnt),((ROW()-41)&lt;=playercnt)),SUMPRODUCT(INDIRECT(ADDRESS(3,ROW()-31,1)):INDIRECT(ADDRESS(22,ROW()-31,1)),BJ$3:BJ$22),"")</f>
        <v>20</v>
      </c>
      <c r="BK92">
        <f ca="1">IF(AND(((COLUMN()-10)&lt;=playercnt),((ROW()-41)&lt;=playercnt)),SUMPRODUCT(INDIRECT(ADDRESS(3,ROW()-31,1)):INDIRECT(ADDRESS(22,ROW()-31,1)),BK$3:BK$22),"")</f>
        <v>20</v>
      </c>
      <c r="BL92">
        <f ca="1">IF(AND(((COLUMN()-10)&lt;=playercnt),((ROW()-41)&lt;=playercnt)),SUMPRODUCT(INDIRECT(ADDRESS(3,ROW()-31,1)):INDIRECT(ADDRESS(22,ROW()-31,1)),BL$3:BL$22),"")</f>
        <v>20</v>
      </c>
      <c r="BM92">
        <f ca="1">IF(AND(((COLUMN()-10)&lt;=playercnt),((ROW()-41)&lt;=playercnt)),SUMPRODUCT(INDIRECT(ADDRESS(3,ROW()-31,1)):INDIRECT(ADDRESS(22,ROW()-31,1)),BM$3:BM$22),"")</f>
        <v>20</v>
      </c>
      <c r="BN92">
        <f ca="1">IF(AND(((COLUMN()-10)&lt;=playercnt),((ROW()-41)&lt;=playercnt)),SUMPRODUCT(INDIRECT(ADDRESS(3,ROW()-31,1)):INDIRECT(ADDRESS(22,ROW()-31,1)),BN$3:BN$22),"")</f>
        <v>20</v>
      </c>
      <c r="BO92" t="str">
        <f ca="1">IF(AND(((COLUMN()-10)&lt;=playercnt),((ROW()-41)&lt;=playercnt)),SUMPRODUCT(INDIRECT(ADDRESS(3,ROW()-31,1)):INDIRECT(ADDRESS(22,ROW()-31,1)),BO$3:BO$22),"")</f>
        <v/>
      </c>
    </row>
    <row r="93" spans="2:67" x14ac:dyDescent="0.25">
      <c r="B93" s="27" t="str">
        <f t="shared" ca="1" si="23"/>
        <v/>
      </c>
      <c r="C93" t="e">
        <f t="shared" ca="1" si="24"/>
        <v>#REF!</v>
      </c>
      <c r="G93">
        <f ca="1">IF(AND(((COLUMN()-10)&lt;=playercnt),((ROW()-41)&lt;=playercnt)),SUMPRODUCT(INDIRECT(ADDRESS(3,ROW()-31,1)):INDIRECT(ADDRESS(22,ROW()-31,1)),G$3:G$22),"")</f>
        <v>20</v>
      </c>
      <c r="H93" t="e">
        <f ca="1">IF(AND(((COLUMN()-10)&lt;=playercnt),((ROW()-41)&lt;=playercnt)),SUMPRODUCT(INDIRECT(ADDRESS(3,ROW()-31,1)):INDIRECT(ADDRESS(22,ROW()-31,1)),H$3:H$22),"")</f>
        <v>#REF!</v>
      </c>
      <c r="I93" t="e">
        <f ca="1">IF(AND(((COLUMN()-10)&lt;=playercnt),((ROW()-41)&lt;=playercnt)),SUMPRODUCT(INDIRECT(ADDRESS(3,ROW()-31,1)):INDIRECT(ADDRESS(22,ROW()-31,1)),I$3:I$22),"")</f>
        <v>#REF!</v>
      </c>
      <c r="J93">
        <f ca="1">IF(AND(((COLUMN()-10)&lt;=playercnt),((ROW()-41)&lt;=playercnt)),SUMPRODUCT(INDIRECT(ADDRESS(3,ROW()-31,1)):INDIRECT(ADDRESS(22,ROW()-31,1)),J$3:J$22),"")</f>
        <v>20</v>
      </c>
      <c r="K93">
        <f ca="1">IF(AND(((COLUMN()-10)&lt;=playercnt),((ROW()-41)&lt;=playercnt)),SUMPRODUCT(INDIRECT(ADDRESS(3,ROW()-31,1)):INDIRECT(ADDRESS(22,ROW()-31,1)),K$3:K$22),"")</f>
        <v>20</v>
      </c>
      <c r="L93">
        <f ca="1">IF(AND(((COLUMN()-10)&lt;=playercnt),((ROW()-41)&lt;=playercnt)),SUMPRODUCT(INDIRECT(ADDRESS(3,ROW()-31,1)):INDIRECT(ADDRESS(22,ROW()-31,1)),L$3:L$22),"")</f>
        <v>20</v>
      </c>
      <c r="M93">
        <f ca="1">IF(AND(((COLUMN()-10)&lt;=playercnt),((ROW()-41)&lt;=playercnt)),SUMPRODUCT(INDIRECT(ADDRESS(3,ROW()-31,1)):INDIRECT(ADDRESS(22,ROW()-31,1)),M$3:M$22),"")</f>
        <v>20</v>
      </c>
      <c r="N93">
        <f ca="1">IF(AND(((COLUMN()-10)&lt;=playercnt),((ROW()-41)&lt;=playercnt)),SUMPRODUCT(INDIRECT(ADDRESS(3,ROW()-31,1)):INDIRECT(ADDRESS(22,ROW()-31,1)),N$3:N$22),"")</f>
        <v>20</v>
      </c>
      <c r="O93">
        <f ca="1">IF(AND(((COLUMN()-10)&lt;=playercnt),((ROW()-41)&lt;=playercnt)),SUMPRODUCT(INDIRECT(ADDRESS(3,ROW()-31,1)):INDIRECT(ADDRESS(22,ROW()-31,1)),O$3:O$22),"")</f>
        <v>20</v>
      </c>
      <c r="P93">
        <f ca="1">IF(AND(((COLUMN()-10)&lt;=playercnt),((ROW()-41)&lt;=playercnt)),SUMPRODUCT(INDIRECT(ADDRESS(3,ROW()-31,1)):INDIRECT(ADDRESS(22,ROW()-31,1)),P$3:P$22),"")</f>
        <v>20</v>
      </c>
      <c r="Q93">
        <f ca="1">IF(AND(((COLUMN()-10)&lt;=playercnt),((ROW()-41)&lt;=playercnt)),SUMPRODUCT(INDIRECT(ADDRESS(3,ROW()-31,1)):INDIRECT(ADDRESS(22,ROW()-31,1)),Q$3:Q$22),"")</f>
        <v>20</v>
      </c>
      <c r="R93">
        <f ca="1">IF(AND(((COLUMN()-10)&lt;=playercnt),((ROW()-41)&lt;=playercnt)),SUMPRODUCT(INDIRECT(ADDRESS(3,ROW()-31,1)):INDIRECT(ADDRESS(22,ROW()-31,1)),R$3:R$22),"")</f>
        <v>20</v>
      </c>
      <c r="S93">
        <f ca="1">IF(AND(((COLUMN()-10)&lt;=playercnt),((ROW()-41)&lt;=playercnt)),SUMPRODUCT(INDIRECT(ADDRESS(3,ROW()-31,1)):INDIRECT(ADDRESS(22,ROW()-31,1)),S$3:S$22),"")</f>
        <v>20</v>
      </c>
      <c r="T93">
        <f ca="1">IF(AND(((COLUMN()-10)&lt;=playercnt),((ROW()-41)&lt;=playercnt)),SUMPRODUCT(INDIRECT(ADDRESS(3,ROW()-31,1)):INDIRECT(ADDRESS(22,ROW()-31,1)),T$3:T$22),"")</f>
        <v>20</v>
      </c>
      <c r="U93">
        <f ca="1">IF(AND(((COLUMN()-10)&lt;=playercnt),((ROW()-41)&lt;=playercnt)),SUMPRODUCT(INDIRECT(ADDRESS(3,ROW()-31,1)):INDIRECT(ADDRESS(22,ROW()-31,1)),U$3:U$22),"")</f>
        <v>20</v>
      </c>
      <c r="V93">
        <f ca="1">IF(AND(((COLUMN()-10)&lt;=playercnt),((ROW()-41)&lt;=playercnt)),SUMPRODUCT(INDIRECT(ADDRESS(3,ROW()-31,1)):INDIRECT(ADDRESS(22,ROW()-31,1)),V$3:V$22),"")</f>
        <v>20</v>
      </c>
      <c r="W93">
        <f ca="1">IF(AND(((COLUMN()-10)&lt;=playercnt),((ROW()-41)&lt;=playercnt)),SUMPRODUCT(INDIRECT(ADDRESS(3,ROW()-31,1)):INDIRECT(ADDRESS(22,ROW()-31,1)),W$3:W$22),"")</f>
        <v>20</v>
      </c>
      <c r="X93">
        <f ca="1">IF(AND(((COLUMN()-10)&lt;=playercnt),((ROW()-41)&lt;=playercnt)),SUMPRODUCT(INDIRECT(ADDRESS(3,ROW()-31,1)):INDIRECT(ADDRESS(22,ROW()-31,1)),X$3:X$22),"")</f>
        <v>20</v>
      </c>
      <c r="Y93">
        <f ca="1">IF(AND(((COLUMN()-10)&lt;=playercnt),((ROW()-41)&lt;=playercnt)),SUMPRODUCT(INDIRECT(ADDRESS(3,ROW()-31,1)):INDIRECT(ADDRESS(22,ROW()-31,1)),Y$3:Y$22),"")</f>
        <v>20</v>
      </c>
      <c r="Z93">
        <f ca="1">IF(AND(((COLUMN()-10)&lt;=playercnt),((ROW()-41)&lt;=playercnt)),SUMPRODUCT(INDIRECT(ADDRESS(3,ROW()-31,1)):INDIRECT(ADDRESS(22,ROW()-31,1)),Z$3:Z$22),"")</f>
        <v>20</v>
      </c>
      <c r="AA93">
        <f ca="1">IF(AND(((COLUMN()-10)&lt;=playercnt),((ROW()-41)&lt;=playercnt)),SUMPRODUCT(INDIRECT(ADDRESS(3,ROW()-31,1)):INDIRECT(ADDRESS(22,ROW()-31,1)),AA$3:AA$22),"")</f>
        <v>20</v>
      </c>
      <c r="AB93">
        <f ca="1">IF(AND(((COLUMN()-10)&lt;=playercnt),((ROW()-41)&lt;=playercnt)),SUMPRODUCT(INDIRECT(ADDRESS(3,ROW()-31,1)):INDIRECT(ADDRESS(22,ROW()-31,1)),AB$3:AB$22),"")</f>
        <v>20</v>
      </c>
      <c r="AC93">
        <f ca="1">IF(AND(((COLUMN()-10)&lt;=playercnt),((ROW()-41)&lt;=playercnt)),SUMPRODUCT(INDIRECT(ADDRESS(3,ROW()-31,1)):INDIRECT(ADDRESS(22,ROW()-31,1)),AC$3:AC$22),"")</f>
        <v>20</v>
      </c>
      <c r="AD93">
        <f ca="1">IF(AND(((COLUMN()-10)&lt;=playercnt),((ROW()-41)&lt;=playercnt)),SUMPRODUCT(INDIRECT(ADDRESS(3,ROW()-31,1)):INDIRECT(ADDRESS(22,ROW()-31,1)),AD$3:AD$22),"")</f>
        <v>20</v>
      </c>
      <c r="AE93">
        <f ca="1">IF(AND(((COLUMN()-10)&lt;=playercnt),((ROW()-41)&lt;=playercnt)),SUMPRODUCT(INDIRECT(ADDRESS(3,ROW()-31,1)):INDIRECT(ADDRESS(22,ROW()-31,1)),AE$3:AE$22),"")</f>
        <v>20</v>
      </c>
      <c r="AF93">
        <f ca="1">IF(AND(((COLUMN()-10)&lt;=playercnt),((ROW()-41)&lt;=playercnt)),SUMPRODUCT(INDIRECT(ADDRESS(3,ROW()-31,1)):INDIRECT(ADDRESS(22,ROW()-31,1)),AF$3:AF$22),"")</f>
        <v>20</v>
      </c>
      <c r="AG93">
        <f ca="1">IF(AND(((COLUMN()-10)&lt;=playercnt),((ROW()-41)&lt;=playercnt)),SUMPRODUCT(INDIRECT(ADDRESS(3,ROW()-31,1)):INDIRECT(ADDRESS(22,ROW()-31,1)),AG$3:AG$22),"")</f>
        <v>20</v>
      </c>
      <c r="AH93">
        <f ca="1">IF(AND(((COLUMN()-10)&lt;=playercnt),((ROW()-41)&lt;=playercnt)),SUMPRODUCT(INDIRECT(ADDRESS(3,ROW()-31,1)):INDIRECT(ADDRESS(22,ROW()-31,1)),AH$3:AH$22),"")</f>
        <v>20</v>
      </c>
      <c r="AI93">
        <f ca="1">IF(AND(((COLUMN()-10)&lt;=playercnt),((ROW()-41)&lt;=playercnt)),SUMPRODUCT(INDIRECT(ADDRESS(3,ROW()-31,1)):INDIRECT(ADDRESS(22,ROW()-31,1)),AI$3:AI$22),"")</f>
        <v>20</v>
      </c>
      <c r="AJ93">
        <f ca="1">IF(AND(((COLUMN()-10)&lt;=playercnt),((ROW()-41)&lt;=playercnt)),SUMPRODUCT(INDIRECT(ADDRESS(3,ROW()-31,1)):INDIRECT(ADDRESS(22,ROW()-31,1)),AJ$3:AJ$22),"")</f>
        <v>20</v>
      </c>
      <c r="AK93">
        <f ca="1">IF(AND(((COLUMN()-10)&lt;=playercnt),((ROW()-41)&lt;=playercnt)),SUMPRODUCT(INDIRECT(ADDRESS(3,ROW()-31,1)):INDIRECT(ADDRESS(22,ROW()-31,1)),AK$3:AK$22),"")</f>
        <v>20</v>
      </c>
      <c r="AL93">
        <f ca="1">IF(AND(((COLUMN()-10)&lt;=playercnt),((ROW()-41)&lt;=playercnt)),SUMPRODUCT(INDIRECT(ADDRESS(3,ROW()-31,1)):INDIRECT(ADDRESS(22,ROW()-31,1)),AL$3:AL$22),"")</f>
        <v>20</v>
      </c>
      <c r="AM93">
        <f ca="1">IF(AND(((COLUMN()-10)&lt;=playercnt),((ROW()-41)&lt;=playercnt)),SUMPRODUCT(INDIRECT(ADDRESS(3,ROW()-31,1)):INDIRECT(ADDRESS(22,ROW()-31,1)),AM$3:AM$22),"")</f>
        <v>20</v>
      </c>
      <c r="AN93">
        <f ca="1">IF(AND(((COLUMN()-10)&lt;=playercnt),((ROW()-41)&lt;=playercnt)),SUMPRODUCT(INDIRECT(ADDRESS(3,ROW()-31,1)):INDIRECT(ADDRESS(22,ROW()-31,1)),AN$3:AN$22),"")</f>
        <v>20</v>
      </c>
      <c r="AO93">
        <f ca="1">IF(AND(((COLUMN()-10)&lt;=playercnt),((ROW()-41)&lt;=playercnt)),SUMPRODUCT(INDIRECT(ADDRESS(3,ROW()-31,1)):INDIRECT(ADDRESS(22,ROW()-31,1)),AO$3:AO$22),"")</f>
        <v>20</v>
      </c>
      <c r="AP93">
        <f ca="1">IF(AND(((COLUMN()-10)&lt;=playercnt),((ROW()-41)&lt;=playercnt)),SUMPRODUCT(INDIRECT(ADDRESS(3,ROW()-31,1)):INDIRECT(ADDRESS(22,ROW()-31,1)),AP$3:AP$22),"")</f>
        <v>20</v>
      </c>
      <c r="AQ93">
        <f ca="1">IF(AND(((COLUMN()-10)&lt;=playercnt),((ROW()-41)&lt;=playercnt)),SUMPRODUCT(INDIRECT(ADDRESS(3,ROW()-31,1)):INDIRECT(ADDRESS(22,ROW()-31,1)),AQ$3:AQ$22),"")</f>
        <v>20</v>
      </c>
      <c r="AR93">
        <f ca="1">IF(AND(((COLUMN()-10)&lt;=playercnt),((ROW()-41)&lt;=playercnt)),SUMPRODUCT(INDIRECT(ADDRESS(3,ROW()-31,1)):INDIRECT(ADDRESS(22,ROW()-31,1)),AR$3:AR$22),"")</f>
        <v>20</v>
      </c>
      <c r="AS93">
        <f ca="1">IF(AND(((COLUMN()-10)&lt;=playercnt),((ROW()-41)&lt;=playercnt)),SUMPRODUCT(INDIRECT(ADDRESS(3,ROW()-31,1)):INDIRECT(ADDRESS(22,ROW()-31,1)),AS$3:AS$22),"")</f>
        <v>20</v>
      </c>
      <c r="AT93">
        <f ca="1">IF(AND(((COLUMN()-10)&lt;=playercnt),((ROW()-41)&lt;=playercnt)),SUMPRODUCT(INDIRECT(ADDRESS(3,ROW()-31,1)):INDIRECT(ADDRESS(22,ROW()-31,1)),AT$3:AT$22),"")</f>
        <v>20</v>
      </c>
      <c r="AU93">
        <f ca="1">IF(AND(((COLUMN()-10)&lt;=playercnt),((ROW()-41)&lt;=playercnt)),SUMPRODUCT(INDIRECT(ADDRESS(3,ROW()-31,1)):INDIRECT(ADDRESS(22,ROW()-31,1)),AU$3:AU$22),"")</f>
        <v>20</v>
      </c>
      <c r="AV93">
        <f ca="1">IF(AND(((COLUMN()-10)&lt;=playercnt),((ROW()-41)&lt;=playercnt)),SUMPRODUCT(INDIRECT(ADDRESS(3,ROW()-31,1)):INDIRECT(ADDRESS(22,ROW()-31,1)),AV$3:AV$22),"")</f>
        <v>20</v>
      </c>
      <c r="AW93">
        <f ca="1">IF(AND(((COLUMN()-10)&lt;=playercnt),((ROW()-41)&lt;=playercnt)),SUMPRODUCT(INDIRECT(ADDRESS(3,ROW()-31,1)):INDIRECT(ADDRESS(22,ROW()-31,1)),AW$3:AW$22),"")</f>
        <v>20</v>
      </c>
      <c r="AX93">
        <f ca="1">IF(AND(((COLUMN()-10)&lt;=playercnt),((ROW()-41)&lt;=playercnt)),SUMPRODUCT(INDIRECT(ADDRESS(3,ROW()-31,1)):INDIRECT(ADDRESS(22,ROW()-31,1)),AX$3:AX$22),"")</f>
        <v>20</v>
      </c>
      <c r="AY93">
        <f ca="1">IF(AND(((COLUMN()-10)&lt;=playercnt),((ROW()-41)&lt;=playercnt)),SUMPRODUCT(INDIRECT(ADDRESS(3,ROW()-31,1)):INDIRECT(ADDRESS(22,ROW()-31,1)),AY$3:AY$22),"")</f>
        <v>20</v>
      </c>
      <c r="AZ93">
        <f ca="1">IF(AND(((COLUMN()-10)&lt;=playercnt),((ROW()-41)&lt;=playercnt)),SUMPRODUCT(INDIRECT(ADDRESS(3,ROW()-31,1)):INDIRECT(ADDRESS(22,ROW()-31,1)),AZ$3:AZ$22),"")</f>
        <v>20</v>
      </c>
      <c r="BA93">
        <f ca="1">IF(AND(((COLUMN()-10)&lt;=playercnt),((ROW()-41)&lt;=playercnt)),SUMPRODUCT(INDIRECT(ADDRESS(3,ROW()-31,1)):INDIRECT(ADDRESS(22,ROW()-31,1)),BA$3:BA$22),"")</f>
        <v>20</v>
      </c>
      <c r="BB93">
        <f ca="1">IF(AND(((COLUMN()-10)&lt;=playercnt),((ROW()-41)&lt;=playercnt)),SUMPRODUCT(INDIRECT(ADDRESS(3,ROW()-31,1)):INDIRECT(ADDRESS(22,ROW()-31,1)),BB$3:BB$22),"")</f>
        <v>20</v>
      </c>
      <c r="BC93">
        <f ca="1">IF(AND(((COLUMN()-10)&lt;=playercnt),((ROW()-41)&lt;=playercnt)),SUMPRODUCT(INDIRECT(ADDRESS(3,ROW()-31,1)):INDIRECT(ADDRESS(22,ROW()-31,1)),BC$3:BC$22),"")</f>
        <v>20</v>
      </c>
      <c r="BD93">
        <f ca="1">IF(AND(((COLUMN()-10)&lt;=playercnt),((ROW()-41)&lt;=playercnt)),SUMPRODUCT(INDIRECT(ADDRESS(3,ROW()-31,1)):INDIRECT(ADDRESS(22,ROW()-31,1)),BD$3:BD$22),"")</f>
        <v>20</v>
      </c>
      <c r="BE93">
        <f ca="1">IF(AND(((COLUMN()-10)&lt;=playercnt),((ROW()-41)&lt;=playercnt)),SUMPRODUCT(INDIRECT(ADDRESS(3,ROW()-31,1)):INDIRECT(ADDRESS(22,ROW()-31,1)),BE$3:BE$22),"")</f>
        <v>20</v>
      </c>
      <c r="BF93">
        <f ca="1">IF(AND(((COLUMN()-10)&lt;=playercnt),((ROW()-41)&lt;=playercnt)),SUMPRODUCT(INDIRECT(ADDRESS(3,ROW()-31,1)):INDIRECT(ADDRESS(22,ROW()-31,1)),BF$3:BF$22),"")</f>
        <v>20</v>
      </c>
      <c r="BG93">
        <f ca="1">IF(AND(((COLUMN()-10)&lt;=playercnt),((ROW()-41)&lt;=playercnt)),SUMPRODUCT(INDIRECT(ADDRESS(3,ROW()-31,1)):INDIRECT(ADDRESS(22,ROW()-31,1)),BG$3:BG$22),"")</f>
        <v>20</v>
      </c>
      <c r="BH93">
        <f ca="1">IF(AND(((COLUMN()-10)&lt;=playercnt),((ROW()-41)&lt;=playercnt)),SUMPRODUCT(INDIRECT(ADDRESS(3,ROW()-31,1)):INDIRECT(ADDRESS(22,ROW()-31,1)),BH$3:BH$22),"")</f>
        <v>20</v>
      </c>
      <c r="BI93">
        <f ca="1">IF(AND(((COLUMN()-10)&lt;=playercnt),((ROW()-41)&lt;=playercnt)),SUMPRODUCT(INDIRECT(ADDRESS(3,ROW()-31,1)):INDIRECT(ADDRESS(22,ROW()-31,1)),BI$3:BI$22),"")</f>
        <v>20</v>
      </c>
      <c r="BJ93">
        <f ca="1">IF(AND(((COLUMN()-10)&lt;=playercnt),((ROW()-41)&lt;=playercnt)),SUMPRODUCT(INDIRECT(ADDRESS(3,ROW()-31,1)):INDIRECT(ADDRESS(22,ROW()-31,1)),BJ$3:BJ$22),"")</f>
        <v>20</v>
      </c>
      <c r="BK93">
        <f ca="1">IF(AND(((COLUMN()-10)&lt;=playercnt),((ROW()-41)&lt;=playercnt)),SUMPRODUCT(INDIRECT(ADDRESS(3,ROW()-31,1)):INDIRECT(ADDRESS(22,ROW()-31,1)),BK$3:BK$22),"")</f>
        <v>20</v>
      </c>
      <c r="BL93">
        <f ca="1">IF(AND(((COLUMN()-10)&lt;=playercnt),((ROW()-41)&lt;=playercnt)),SUMPRODUCT(INDIRECT(ADDRESS(3,ROW()-31,1)):INDIRECT(ADDRESS(22,ROW()-31,1)),BL$3:BL$22),"")</f>
        <v>20</v>
      </c>
      <c r="BM93">
        <f ca="1">IF(AND(((COLUMN()-10)&lt;=playercnt),((ROW()-41)&lt;=playercnt)),SUMPRODUCT(INDIRECT(ADDRESS(3,ROW()-31,1)):INDIRECT(ADDRESS(22,ROW()-31,1)),BM$3:BM$22),"")</f>
        <v>20</v>
      </c>
      <c r="BN93">
        <f ca="1">IF(AND(((COLUMN()-10)&lt;=playercnt),((ROW()-41)&lt;=playercnt)),SUMPRODUCT(INDIRECT(ADDRESS(3,ROW()-31,1)):INDIRECT(ADDRESS(22,ROW()-31,1)),BN$3:BN$22),"")</f>
        <v>20</v>
      </c>
      <c r="BO93" t="str">
        <f ca="1">IF(AND(((COLUMN()-10)&lt;=playercnt),((ROW()-41)&lt;=playercnt)),SUMPRODUCT(INDIRECT(ADDRESS(3,ROW()-31,1)):INDIRECT(ADDRESS(22,ROW()-31,1)),BO$3:BO$22),"")</f>
        <v/>
      </c>
    </row>
    <row r="94" spans="2:67" x14ac:dyDescent="0.25">
      <c r="B94" s="27" t="str">
        <f t="shared" ca="1" si="23"/>
        <v/>
      </c>
      <c r="C94" t="e">
        <f t="shared" ca="1" si="24"/>
        <v>#REF!</v>
      </c>
      <c r="G94">
        <f ca="1">IF(AND(((COLUMN()-10)&lt;=playercnt),((ROW()-41)&lt;=playercnt)),SUMPRODUCT(INDIRECT(ADDRESS(3,ROW()-31,1)):INDIRECT(ADDRESS(22,ROW()-31,1)),G$3:G$22),"")</f>
        <v>20</v>
      </c>
      <c r="H94" t="e">
        <f ca="1">IF(AND(((COLUMN()-10)&lt;=playercnt),((ROW()-41)&lt;=playercnt)),SUMPRODUCT(INDIRECT(ADDRESS(3,ROW()-31,1)):INDIRECT(ADDRESS(22,ROW()-31,1)),H$3:H$22),"")</f>
        <v>#REF!</v>
      </c>
      <c r="I94" t="e">
        <f ca="1">IF(AND(((COLUMN()-10)&lt;=playercnt),((ROW()-41)&lt;=playercnt)),SUMPRODUCT(INDIRECT(ADDRESS(3,ROW()-31,1)):INDIRECT(ADDRESS(22,ROW()-31,1)),I$3:I$22),"")</f>
        <v>#REF!</v>
      </c>
      <c r="J94">
        <f ca="1">IF(AND(((COLUMN()-10)&lt;=playercnt),((ROW()-41)&lt;=playercnt)),SUMPRODUCT(INDIRECT(ADDRESS(3,ROW()-31,1)):INDIRECT(ADDRESS(22,ROW()-31,1)),J$3:J$22),"")</f>
        <v>20</v>
      </c>
      <c r="K94">
        <f ca="1">IF(AND(((COLUMN()-10)&lt;=playercnt),((ROW()-41)&lt;=playercnt)),SUMPRODUCT(INDIRECT(ADDRESS(3,ROW()-31,1)):INDIRECT(ADDRESS(22,ROW()-31,1)),K$3:K$22),"")</f>
        <v>20</v>
      </c>
      <c r="L94">
        <f ca="1">IF(AND(((COLUMN()-10)&lt;=playercnt),((ROW()-41)&lt;=playercnt)),SUMPRODUCT(INDIRECT(ADDRESS(3,ROW()-31,1)):INDIRECT(ADDRESS(22,ROW()-31,1)),L$3:L$22),"")</f>
        <v>20</v>
      </c>
      <c r="M94">
        <f ca="1">IF(AND(((COLUMN()-10)&lt;=playercnt),((ROW()-41)&lt;=playercnt)),SUMPRODUCT(INDIRECT(ADDRESS(3,ROW()-31,1)):INDIRECT(ADDRESS(22,ROW()-31,1)),M$3:M$22),"")</f>
        <v>20</v>
      </c>
      <c r="N94">
        <f ca="1">IF(AND(((COLUMN()-10)&lt;=playercnt),((ROW()-41)&lt;=playercnt)),SUMPRODUCT(INDIRECT(ADDRESS(3,ROW()-31,1)):INDIRECT(ADDRESS(22,ROW()-31,1)),N$3:N$22),"")</f>
        <v>20</v>
      </c>
      <c r="O94">
        <f ca="1">IF(AND(((COLUMN()-10)&lt;=playercnt),((ROW()-41)&lt;=playercnt)),SUMPRODUCT(INDIRECT(ADDRESS(3,ROW()-31,1)):INDIRECT(ADDRESS(22,ROW()-31,1)),O$3:O$22),"")</f>
        <v>20</v>
      </c>
      <c r="P94">
        <f ca="1">IF(AND(((COLUMN()-10)&lt;=playercnt),((ROW()-41)&lt;=playercnt)),SUMPRODUCT(INDIRECT(ADDRESS(3,ROW()-31,1)):INDIRECT(ADDRESS(22,ROW()-31,1)),P$3:P$22),"")</f>
        <v>20</v>
      </c>
      <c r="Q94">
        <f ca="1">IF(AND(((COLUMN()-10)&lt;=playercnt),((ROW()-41)&lt;=playercnt)),SUMPRODUCT(INDIRECT(ADDRESS(3,ROW()-31,1)):INDIRECT(ADDRESS(22,ROW()-31,1)),Q$3:Q$22),"")</f>
        <v>20</v>
      </c>
      <c r="R94">
        <f ca="1">IF(AND(((COLUMN()-10)&lt;=playercnt),((ROW()-41)&lt;=playercnt)),SUMPRODUCT(INDIRECT(ADDRESS(3,ROW()-31,1)):INDIRECT(ADDRESS(22,ROW()-31,1)),R$3:R$22),"")</f>
        <v>20</v>
      </c>
      <c r="S94">
        <f ca="1">IF(AND(((COLUMN()-10)&lt;=playercnt),((ROW()-41)&lt;=playercnt)),SUMPRODUCT(INDIRECT(ADDRESS(3,ROW()-31,1)):INDIRECT(ADDRESS(22,ROW()-31,1)),S$3:S$22),"")</f>
        <v>20</v>
      </c>
      <c r="T94">
        <f ca="1">IF(AND(((COLUMN()-10)&lt;=playercnt),((ROW()-41)&lt;=playercnt)),SUMPRODUCT(INDIRECT(ADDRESS(3,ROW()-31,1)):INDIRECT(ADDRESS(22,ROW()-31,1)),T$3:T$22),"")</f>
        <v>20</v>
      </c>
      <c r="U94">
        <f ca="1">IF(AND(((COLUMN()-10)&lt;=playercnt),((ROW()-41)&lt;=playercnt)),SUMPRODUCT(INDIRECT(ADDRESS(3,ROW()-31,1)):INDIRECT(ADDRESS(22,ROW()-31,1)),U$3:U$22),"")</f>
        <v>20</v>
      </c>
      <c r="V94">
        <f ca="1">IF(AND(((COLUMN()-10)&lt;=playercnt),((ROW()-41)&lt;=playercnt)),SUMPRODUCT(INDIRECT(ADDRESS(3,ROW()-31,1)):INDIRECT(ADDRESS(22,ROW()-31,1)),V$3:V$22),"")</f>
        <v>20</v>
      </c>
      <c r="W94">
        <f ca="1">IF(AND(((COLUMN()-10)&lt;=playercnt),((ROW()-41)&lt;=playercnt)),SUMPRODUCT(INDIRECT(ADDRESS(3,ROW()-31,1)):INDIRECT(ADDRESS(22,ROW()-31,1)),W$3:W$22),"")</f>
        <v>20</v>
      </c>
      <c r="X94">
        <f ca="1">IF(AND(((COLUMN()-10)&lt;=playercnt),((ROW()-41)&lt;=playercnt)),SUMPRODUCT(INDIRECT(ADDRESS(3,ROW()-31,1)):INDIRECT(ADDRESS(22,ROW()-31,1)),X$3:X$22),"")</f>
        <v>20</v>
      </c>
      <c r="Y94">
        <f ca="1">IF(AND(((COLUMN()-10)&lt;=playercnt),((ROW()-41)&lt;=playercnt)),SUMPRODUCT(INDIRECT(ADDRESS(3,ROW()-31,1)):INDIRECT(ADDRESS(22,ROW()-31,1)),Y$3:Y$22),"")</f>
        <v>20</v>
      </c>
      <c r="Z94">
        <f ca="1">IF(AND(((COLUMN()-10)&lt;=playercnt),((ROW()-41)&lt;=playercnt)),SUMPRODUCT(INDIRECT(ADDRESS(3,ROW()-31,1)):INDIRECT(ADDRESS(22,ROW()-31,1)),Z$3:Z$22),"")</f>
        <v>20</v>
      </c>
      <c r="AA94">
        <f ca="1">IF(AND(((COLUMN()-10)&lt;=playercnt),((ROW()-41)&lt;=playercnt)),SUMPRODUCT(INDIRECT(ADDRESS(3,ROW()-31,1)):INDIRECT(ADDRESS(22,ROW()-31,1)),AA$3:AA$22),"")</f>
        <v>20</v>
      </c>
      <c r="AB94">
        <f ca="1">IF(AND(((COLUMN()-10)&lt;=playercnt),((ROW()-41)&lt;=playercnt)),SUMPRODUCT(INDIRECT(ADDRESS(3,ROW()-31,1)):INDIRECT(ADDRESS(22,ROW()-31,1)),AB$3:AB$22),"")</f>
        <v>20</v>
      </c>
      <c r="AC94">
        <f ca="1">IF(AND(((COLUMN()-10)&lt;=playercnt),((ROW()-41)&lt;=playercnt)),SUMPRODUCT(INDIRECT(ADDRESS(3,ROW()-31,1)):INDIRECT(ADDRESS(22,ROW()-31,1)),AC$3:AC$22),"")</f>
        <v>20</v>
      </c>
      <c r="AD94">
        <f ca="1">IF(AND(((COLUMN()-10)&lt;=playercnt),((ROW()-41)&lt;=playercnt)),SUMPRODUCT(INDIRECT(ADDRESS(3,ROW()-31,1)):INDIRECT(ADDRESS(22,ROW()-31,1)),AD$3:AD$22),"")</f>
        <v>20</v>
      </c>
      <c r="AE94">
        <f ca="1">IF(AND(((COLUMN()-10)&lt;=playercnt),((ROW()-41)&lt;=playercnt)),SUMPRODUCT(INDIRECT(ADDRESS(3,ROW()-31,1)):INDIRECT(ADDRESS(22,ROW()-31,1)),AE$3:AE$22),"")</f>
        <v>20</v>
      </c>
      <c r="AF94">
        <f ca="1">IF(AND(((COLUMN()-10)&lt;=playercnt),((ROW()-41)&lt;=playercnt)),SUMPRODUCT(INDIRECT(ADDRESS(3,ROW()-31,1)):INDIRECT(ADDRESS(22,ROW()-31,1)),AF$3:AF$22),"")</f>
        <v>20</v>
      </c>
      <c r="AG94">
        <f ca="1">IF(AND(((COLUMN()-10)&lt;=playercnt),((ROW()-41)&lt;=playercnt)),SUMPRODUCT(INDIRECT(ADDRESS(3,ROW()-31,1)):INDIRECT(ADDRESS(22,ROW()-31,1)),AG$3:AG$22),"")</f>
        <v>20</v>
      </c>
      <c r="AH94">
        <f ca="1">IF(AND(((COLUMN()-10)&lt;=playercnt),((ROW()-41)&lt;=playercnt)),SUMPRODUCT(INDIRECT(ADDRESS(3,ROW()-31,1)):INDIRECT(ADDRESS(22,ROW()-31,1)),AH$3:AH$22),"")</f>
        <v>20</v>
      </c>
      <c r="AI94">
        <f ca="1">IF(AND(((COLUMN()-10)&lt;=playercnt),((ROW()-41)&lt;=playercnt)),SUMPRODUCT(INDIRECT(ADDRESS(3,ROW()-31,1)):INDIRECT(ADDRESS(22,ROW()-31,1)),AI$3:AI$22),"")</f>
        <v>20</v>
      </c>
      <c r="AJ94">
        <f ca="1">IF(AND(((COLUMN()-10)&lt;=playercnt),((ROW()-41)&lt;=playercnt)),SUMPRODUCT(INDIRECT(ADDRESS(3,ROW()-31,1)):INDIRECT(ADDRESS(22,ROW()-31,1)),AJ$3:AJ$22),"")</f>
        <v>20</v>
      </c>
      <c r="AK94">
        <f ca="1">IF(AND(((COLUMN()-10)&lt;=playercnt),((ROW()-41)&lt;=playercnt)),SUMPRODUCT(INDIRECT(ADDRESS(3,ROW()-31,1)):INDIRECT(ADDRESS(22,ROW()-31,1)),AK$3:AK$22),"")</f>
        <v>20</v>
      </c>
      <c r="AL94">
        <f ca="1">IF(AND(((COLUMN()-10)&lt;=playercnt),((ROW()-41)&lt;=playercnt)),SUMPRODUCT(INDIRECT(ADDRESS(3,ROW()-31,1)):INDIRECT(ADDRESS(22,ROW()-31,1)),AL$3:AL$22),"")</f>
        <v>20</v>
      </c>
      <c r="AM94">
        <f ca="1">IF(AND(((COLUMN()-10)&lt;=playercnt),((ROW()-41)&lt;=playercnt)),SUMPRODUCT(INDIRECT(ADDRESS(3,ROW()-31,1)):INDIRECT(ADDRESS(22,ROW()-31,1)),AM$3:AM$22),"")</f>
        <v>20</v>
      </c>
      <c r="AN94">
        <f ca="1">IF(AND(((COLUMN()-10)&lt;=playercnt),((ROW()-41)&lt;=playercnt)),SUMPRODUCT(INDIRECT(ADDRESS(3,ROW()-31,1)):INDIRECT(ADDRESS(22,ROW()-31,1)),AN$3:AN$22),"")</f>
        <v>20</v>
      </c>
      <c r="AO94">
        <f ca="1">IF(AND(((COLUMN()-10)&lt;=playercnt),((ROW()-41)&lt;=playercnt)),SUMPRODUCT(INDIRECT(ADDRESS(3,ROW()-31,1)):INDIRECT(ADDRESS(22,ROW()-31,1)),AO$3:AO$22),"")</f>
        <v>20</v>
      </c>
      <c r="AP94">
        <f ca="1">IF(AND(((COLUMN()-10)&lt;=playercnt),((ROW()-41)&lt;=playercnt)),SUMPRODUCT(INDIRECT(ADDRESS(3,ROW()-31,1)):INDIRECT(ADDRESS(22,ROW()-31,1)),AP$3:AP$22),"")</f>
        <v>20</v>
      </c>
      <c r="AQ94">
        <f ca="1">IF(AND(((COLUMN()-10)&lt;=playercnt),((ROW()-41)&lt;=playercnt)),SUMPRODUCT(INDIRECT(ADDRESS(3,ROW()-31,1)):INDIRECT(ADDRESS(22,ROW()-31,1)),AQ$3:AQ$22),"")</f>
        <v>20</v>
      </c>
      <c r="AR94">
        <f ca="1">IF(AND(((COLUMN()-10)&lt;=playercnt),((ROW()-41)&lt;=playercnt)),SUMPRODUCT(INDIRECT(ADDRESS(3,ROW()-31,1)):INDIRECT(ADDRESS(22,ROW()-31,1)),AR$3:AR$22),"")</f>
        <v>20</v>
      </c>
      <c r="AS94">
        <f ca="1">IF(AND(((COLUMN()-10)&lt;=playercnt),((ROW()-41)&lt;=playercnt)),SUMPRODUCT(INDIRECT(ADDRESS(3,ROW()-31,1)):INDIRECT(ADDRESS(22,ROW()-31,1)),AS$3:AS$22),"")</f>
        <v>20</v>
      </c>
      <c r="AT94">
        <f ca="1">IF(AND(((COLUMN()-10)&lt;=playercnt),((ROW()-41)&lt;=playercnt)),SUMPRODUCT(INDIRECT(ADDRESS(3,ROW()-31,1)):INDIRECT(ADDRESS(22,ROW()-31,1)),AT$3:AT$22),"")</f>
        <v>20</v>
      </c>
      <c r="AU94">
        <f ca="1">IF(AND(((COLUMN()-10)&lt;=playercnt),((ROW()-41)&lt;=playercnt)),SUMPRODUCT(INDIRECT(ADDRESS(3,ROW()-31,1)):INDIRECT(ADDRESS(22,ROW()-31,1)),AU$3:AU$22),"")</f>
        <v>20</v>
      </c>
      <c r="AV94">
        <f ca="1">IF(AND(((COLUMN()-10)&lt;=playercnt),((ROW()-41)&lt;=playercnt)),SUMPRODUCT(INDIRECT(ADDRESS(3,ROW()-31,1)):INDIRECT(ADDRESS(22,ROW()-31,1)),AV$3:AV$22),"")</f>
        <v>20</v>
      </c>
      <c r="AW94">
        <f ca="1">IF(AND(((COLUMN()-10)&lt;=playercnt),((ROW()-41)&lt;=playercnt)),SUMPRODUCT(INDIRECT(ADDRESS(3,ROW()-31,1)):INDIRECT(ADDRESS(22,ROW()-31,1)),AW$3:AW$22),"")</f>
        <v>20</v>
      </c>
      <c r="AX94">
        <f ca="1">IF(AND(((COLUMN()-10)&lt;=playercnt),((ROW()-41)&lt;=playercnt)),SUMPRODUCT(INDIRECT(ADDRESS(3,ROW()-31,1)):INDIRECT(ADDRESS(22,ROW()-31,1)),AX$3:AX$22),"")</f>
        <v>20</v>
      </c>
      <c r="AY94">
        <f ca="1">IF(AND(((COLUMN()-10)&lt;=playercnt),((ROW()-41)&lt;=playercnt)),SUMPRODUCT(INDIRECT(ADDRESS(3,ROW()-31,1)):INDIRECT(ADDRESS(22,ROW()-31,1)),AY$3:AY$22),"")</f>
        <v>20</v>
      </c>
      <c r="AZ94">
        <f ca="1">IF(AND(((COLUMN()-10)&lt;=playercnt),((ROW()-41)&lt;=playercnt)),SUMPRODUCT(INDIRECT(ADDRESS(3,ROW()-31,1)):INDIRECT(ADDRESS(22,ROW()-31,1)),AZ$3:AZ$22),"")</f>
        <v>20</v>
      </c>
      <c r="BA94">
        <f ca="1">IF(AND(((COLUMN()-10)&lt;=playercnt),((ROW()-41)&lt;=playercnt)),SUMPRODUCT(INDIRECT(ADDRESS(3,ROW()-31,1)):INDIRECT(ADDRESS(22,ROW()-31,1)),BA$3:BA$22),"")</f>
        <v>20</v>
      </c>
      <c r="BB94">
        <f ca="1">IF(AND(((COLUMN()-10)&lt;=playercnt),((ROW()-41)&lt;=playercnt)),SUMPRODUCT(INDIRECT(ADDRESS(3,ROW()-31,1)):INDIRECT(ADDRESS(22,ROW()-31,1)),BB$3:BB$22),"")</f>
        <v>20</v>
      </c>
      <c r="BC94">
        <f ca="1">IF(AND(((COLUMN()-10)&lt;=playercnt),((ROW()-41)&lt;=playercnt)),SUMPRODUCT(INDIRECT(ADDRESS(3,ROW()-31,1)):INDIRECT(ADDRESS(22,ROW()-31,1)),BC$3:BC$22),"")</f>
        <v>20</v>
      </c>
      <c r="BD94">
        <f ca="1">IF(AND(((COLUMN()-10)&lt;=playercnt),((ROW()-41)&lt;=playercnt)),SUMPRODUCT(INDIRECT(ADDRESS(3,ROW()-31,1)):INDIRECT(ADDRESS(22,ROW()-31,1)),BD$3:BD$22),"")</f>
        <v>20</v>
      </c>
      <c r="BE94">
        <f ca="1">IF(AND(((COLUMN()-10)&lt;=playercnt),((ROW()-41)&lt;=playercnt)),SUMPRODUCT(INDIRECT(ADDRESS(3,ROW()-31,1)):INDIRECT(ADDRESS(22,ROW()-31,1)),BE$3:BE$22),"")</f>
        <v>20</v>
      </c>
      <c r="BF94">
        <f ca="1">IF(AND(((COLUMN()-10)&lt;=playercnt),((ROW()-41)&lt;=playercnt)),SUMPRODUCT(INDIRECT(ADDRESS(3,ROW()-31,1)):INDIRECT(ADDRESS(22,ROW()-31,1)),BF$3:BF$22),"")</f>
        <v>20</v>
      </c>
      <c r="BG94">
        <f ca="1">IF(AND(((COLUMN()-10)&lt;=playercnt),((ROW()-41)&lt;=playercnt)),SUMPRODUCT(INDIRECT(ADDRESS(3,ROW()-31,1)):INDIRECT(ADDRESS(22,ROW()-31,1)),BG$3:BG$22),"")</f>
        <v>20</v>
      </c>
      <c r="BH94">
        <f ca="1">IF(AND(((COLUMN()-10)&lt;=playercnt),((ROW()-41)&lt;=playercnt)),SUMPRODUCT(INDIRECT(ADDRESS(3,ROW()-31,1)):INDIRECT(ADDRESS(22,ROW()-31,1)),BH$3:BH$22),"")</f>
        <v>20</v>
      </c>
      <c r="BI94">
        <f ca="1">IF(AND(((COLUMN()-10)&lt;=playercnt),((ROW()-41)&lt;=playercnt)),SUMPRODUCT(INDIRECT(ADDRESS(3,ROW()-31,1)):INDIRECT(ADDRESS(22,ROW()-31,1)),BI$3:BI$22),"")</f>
        <v>20</v>
      </c>
      <c r="BJ94">
        <f ca="1">IF(AND(((COLUMN()-10)&lt;=playercnt),((ROW()-41)&lt;=playercnt)),SUMPRODUCT(INDIRECT(ADDRESS(3,ROW()-31,1)):INDIRECT(ADDRESS(22,ROW()-31,1)),BJ$3:BJ$22),"")</f>
        <v>20</v>
      </c>
      <c r="BK94">
        <f ca="1">IF(AND(((COLUMN()-10)&lt;=playercnt),((ROW()-41)&lt;=playercnt)),SUMPRODUCT(INDIRECT(ADDRESS(3,ROW()-31,1)):INDIRECT(ADDRESS(22,ROW()-31,1)),BK$3:BK$22),"")</f>
        <v>20</v>
      </c>
      <c r="BL94">
        <f ca="1">IF(AND(((COLUMN()-10)&lt;=playercnt),((ROW()-41)&lt;=playercnt)),SUMPRODUCT(INDIRECT(ADDRESS(3,ROW()-31,1)):INDIRECT(ADDRESS(22,ROW()-31,1)),BL$3:BL$22),"")</f>
        <v>20</v>
      </c>
      <c r="BM94">
        <f ca="1">IF(AND(((COLUMN()-10)&lt;=playercnt),((ROW()-41)&lt;=playercnt)),SUMPRODUCT(INDIRECT(ADDRESS(3,ROW()-31,1)):INDIRECT(ADDRESS(22,ROW()-31,1)),BM$3:BM$22),"")</f>
        <v>20</v>
      </c>
      <c r="BN94">
        <f ca="1">IF(AND(((COLUMN()-10)&lt;=playercnt),((ROW()-41)&lt;=playercnt)),SUMPRODUCT(INDIRECT(ADDRESS(3,ROW()-31,1)):INDIRECT(ADDRESS(22,ROW()-31,1)),BN$3:BN$22),"")</f>
        <v>20</v>
      </c>
      <c r="BO94" t="str">
        <f ca="1">IF(AND(((COLUMN()-10)&lt;=playercnt),((ROW()-41)&lt;=playercnt)),SUMPRODUCT(INDIRECT(ADDRESS(3,ROW()-31,1)):INDIRECT(ADDRESS(22,ROW()-31,1)),BO$3:BO$22),"")</f>
        <v/>
      </c>
    </row>
    <row r="95" spans="2:67" x14ac:dyDescent="0.25">
      <c r="B95" s="27" t="str">
        <f t="shared" ca="1" si="23"/>
        <v/>
      </c>
      <c r="C95" t="e">
        <f t="shared" ca="1" si="24"/>
        <v>#REF!</v>
      </c>
      <c r="G95">
        <f ca="1">IF(AND(((COLUMN()-10)&lt;=playercnt),((ROW()-41)&lt;=playercnt)),SUMPRODUCT(INDIRECT(ADDRESS(3,ROW()-31,1)):INDIRECT(ADDRESS(22,ROW()-31,1)),G$3:G$22),"")</f>
        <v>20</v>
      </c>
      <c r="H95" t="e">
        <f ca="1">IF(AND(((COLUMN()-10)&lt;=playercnt),((ROW()-41)&lt;=playercnt)),SUMPRODUCT(INDIRECT(ADDRESS(3,ROW()-31,1)):INDIRECT(ADDRESS(22,ROW()-31,1)),H$3:H$22),"")</f>
        <v>#REF!</v>
      </c>
      <c r="I95" t="e">
        <f ca="1">IF(AND(((COLUMN()-10)&lt;=playercnt),((ROW()-41)&lt;=playercnt)),SUMPRODUCT(INDIRECT(ADDRESS(3,ROW()-31,1)):INDIRECT(ADDRESS(22,ROW()-31,1)),I$3:I$22),"")</f>
        <v>#REF!</v>
      </c>
      <c r="J95">
        <f ca="1">IF(AND(((COLUMN()-10)&lt;=playercnt),((ROW()-41)&lt;=playercnt)),SUMPRODUCT(INDIRECT(ADDRESS(3,ROW()-31,1)):INDIRECT(ADDRESS(22,ROW()-31,1)),J$3:J$22),"")</f>
        <v>20</v>
      </c>
      <c r="K95">
        <f ca="1">IF(AND(((COLUMN()-10)&lt;=playercnt),((ROW()-41)&lt;=playercnt)),SUMPRODUCT(INDIRECT(ADDRESS(3,ROW()-31,1)):INDIRECT(ADDRESS(22,ROW()-31,1)),K$3:K$22),"")</f>
        <v>20</v>
      </c>
      <c r="L95">
        <f ca="1">IF(AND(((COLUMN()-10)&lt;=playercnt),((ROW()-41)&lt;=playercnt)),SUMPRODUCT(INDIRECT(ADDRESS(3,ROW()-31,1)):INDIRECT(ADDRESS(22,ROW()-31,1)),L$3:L$22),"")</f>
        <v>20</v>
      </c>
      <c r="M95">
        <f ca="1">IF(AND(((COLUMN()-10)&lt;=playercnt),((ROW()-41)&lt;=playercnt)),SUMPRODUCT(INDIRECT(ADDRESS(3,ROW()-31,1)):INDIRECT(ADDRESS(22,ROW()-31,1)),M$3:M$22),"")</f>
        <v>20</v>
      </c>
      <c r="N95">
        <f ca="1">IF(AND(((COLUMN()-10)&lt;=playercnt),((ROW()-41)&lt;=playercnt)),SUMPRODUCT(INDIRECT(ADDRESS(3,ROW()-31,1)):INDIRECT(ADDRESS(22,ROW()-31,1)),N$3:N$22),"")</f>
        <v>20</v>
      </c>
      <c r="O95">
        <f ca="1">IF(AND(((COLUMN()-10)&lt;=playercnt),((ROW()-41)&lt;=playercnt)),SUMPRODUCT(INDIRECT(ADDRESS(3,ROW()-31,1)):INDIRECT(ADDRESS(22,ROW()-31,1)),O$3:O$22),"")</f>
        <v>20</v>
      </c>
      <c r="P95">
        <f ca="1">IF(AND(((COLUMN()-10)&lt;=playercnt),((ROW()-41)&lt;=playercnt)),SUMPRODUCT(INDIRECT(ADDRESS(3,ROW()-31,1)):INDIRECT(ADDRESS(22,ROW()-31,1)),P$3:P$22),"")</f>
        <v>20</v>
      </c>
      <c r="Q95">
        <f ca="1">IF(AND(((COLUMN()-10)&lt;=playercnt),((ROW()-41)&lt;=playercnt)),SUMPRODUCT(INDIRECT(ADDRESS(3,ROW()-31,1)):INDIRECT(ADDRESS(22,ROW()-31,1)),Q$3:Q$22),"")</f>
        <v>20</v>
      </c>
      <c r="R95">
        <f ca="1">IF(AND(((COLUMN()-10)&lt;=playercnt),((ROW()-41)&lt;=playercnt)),SUMPRODUCT(INDIRECT(ADDRESS(3,ROW()-31,1)):INDIRECT(ADDRESS(22,ROW()-31,1)),R$3:R$22),"")</f>
        <v>20</v>
      </c>
      <c r="S95">
        <f ca="1">IF(AND(((COLUMN()-10)&lt;=playercnt),((ROW()-41)&lt;=playercnt)),SUMPRODUCT(INDIRECT(ADDRESS(3,ROW()-31,1)):INDIRECT(ADDRESS(22,ROW()-31,1)),S$3:S$22),"")</f>
        <v>20</v>
      </c>
      <c r="T95">
        <f ca="1">IF(AND(((COLUMN()-10)&lt;=playercnt),((ROW()-41)&lt;=playercnt)),SUMPRODUCT(INDIRECT(ADDRESS(3,ROW()-31,1)):INDIRECT(ADDRESS(22,ROW()-31,1)),T$3:T$22),"")</f>
        <v>20</v>
      </c>
      <c r="U95">
        <f ca="1">IF(AND(((COLUMN()-10)&lt;=playercnt),((ROW()-41)&lt;=playercnt)),SUMPRODUCT(INDIRECT(ADDRESS(3,ROW()-31,1)):INDIRECT(ADDRESS(22,ROW()-31,1)),U$3:U$22),"")</f>
        <v>20</v>
      </c>
      <c r="V95">
        <f ca="1">IF(AND(((COLUMN()-10)&lt;=playercnt),((ROW()-41)&lt;=playercnt)),SUMPRODUCT(INDIRECT(ADDRESS(3,ROW()-31,1)):INDIRECT(ADDRESS(22,ROW()-31,1)),V$3:V$22),"")</f>
        <v>20</v>
      </c>
      <c r="W95">
        <f ca="1">IF(AND(((COLUMN()-10)&lt;=playercnt),((ROW()-41)&lt;=playercnt)),SUMPRODUCT(INDIRECT(ADDRESS(3,ROW()-31,1)):INDIRECT(ADDRESS(22,ROW()-31,1)),W$3:W$22),"")</f>
        <v>20</v>
      </c>
      <c r="X95">
        <f ca="1">IF(AND(((COLUMN()-10)&lt;=playercnt),((ROW()-41)&lt;=playercnt)),SUMPRODUCT(INDIRECT(ADDRESS(3,ROW()-31,1)):INDIRECT(ADDRESS(22,ROW()-31,1)),X$3:X$22),"")</f>
        <v>20</v>
      </c>
      <c r="Y95">
        <f ca="1">IF(AND(((COLUMN()-10)&lt;=playercnt),((ROW()-41)&lt;=playercnt)),SUMPRODUCT(INDIRECT(ADDRESS(3,ROW()-31,1)):INDIRECT(ADDRESS(22,ROW()-31,1)),Y$3:Y$22),"")</f>
        <v>20</v>
      </c>
      <c r="Z95">
        <f ca="1">IF(AND(((COLUMN()-10)&lt;=playercnt),((ROW()-41)&lt;=playercnt)),SUMPRODUCT(INDIRECT(ADDRESS(3,ROW()-31,1)):INDIRECT(ADDRESS(22,ROW()-31,1)),Z$3:Z$22),"")</f>
        <v>20</v>
      </c>
      <c r="AA95">
        <f ca="1">IF(AND(((COLUMN()-10)&lt;=playercnt),((ROW()-41)&lt;=playercnt)),SUMPRODUCT(INDIRECT(ADDRESS(3,ROW()-31,1)):INDIRECT(ADDRESS(22,ROW()-31,1)),AA$3:AA$22),"")</f>
        <v>20</v>
      </c>
      <c r="AB95">
        <f ca="1">IF(AND(((COLUMN()-10)&lt;=playercnt),((ROW()-41)&lt;=playercnt)),SUMPRODUCT(INDIRECT(ADDRESS(3,ROW()-31,1)):INDIRECT(ADDRESS(22,ROW()-31,1)),AB$3:AB$22),"")</f>
        <v>20</v>
      </c>
      <c r="AC95">
        <f ca="1">IF(AND(((COLUMN()-10)&lt;=playercnt),((ROW()-41)&lt;=playercnt)),SUMPRODUCT(INDIRECT(ADDRESS(3,ROW()-31,1)):INDIRECT(ADDRESS(22,ROW()-31,1)),AC$3:AC$22),"")</f>
        <v>20</v>
      </c>
      <c r="AD95">
        <f ca="1">IF(AND(((COLUMN()-10)&lt;=playercnt),((ROW()-41)&lt;=playercnt)),SUMPRODUCT(INDIRECT(ADDRESS(3,ROW()-31,1)):INDIRECT(ADDRESS(22,ROW()-31,1)),AD$3:AD$22),"")</f>
        <v>20</v>
      </c>
      <c r="AE95">
        <f ca="1">IF(AND(((COLUMN()-10)&lt;=playercnt),((ROW()-41)&lt;=playercnt)),SUMPRODUCT(INDIRECT(ADDRESS(3,ROW()-31,1)):INDIRECT(ADDRESS(22,ROW()-31,1)),AE$3:AE$22),"")</f>
        <v>20</v>
      </c>
      <c r="AF95">
        <f ca="1">IF(AND(((COLUMN()-10)&lt;=playercnt),((ROW()-41)&lt;=playercnt)),SUMPRODUCT(INDIRECT(ADDRESS(3,ROW()-31,1)):INDIRECT(ADDRESS(22,ROW()-31,1)),AF$3:AF$22),"")</f>
        <v>20</v>
      </c>
      <c r="AG95">
        <f ca="1">IF(AND(((COLUMN()-10)&lt;=playercnt),((ROW()-41)&lt;=playercnt)),SUMPRODUCT(INDIRECT(ADDRESS(3,ROW()-31,1)):INDIRECT(ADDRESS(22,ROW()-31,1)),AG$3:AG$22),"")</f>
        <v>20</v>
      </c>
      <c r="AH95">
        <f ca="1">IF(AND(((COLUMN()-10)&lt;=playercnt),((ROW()-41)&lt;=playercnt)),SUMPRODUCT(INDIRECT(ADDRESS(3,ROW()-31,1)):INDIRECT(ADDRESS(22,ROW()-31,1)),AH$3:AH$22),"")</f>
        <v>20</v>
      </c>
      <c r="AI95">
        <f ca="1">IF(AND(((COLUMN()-10)&lt;=playercnt),((ROW()-41)&lt;=playercnt)),SUMPRODUCT(INDIRECT(ADDRESS(3,ROW()-31,1)):INDIRECT(ADDRESS(22,ROW()-31,1)),AI$3:AI$22),"")</f>
        <v>20</v>
      </c>
      <c r="AJ95">
        <f ca="1">IF(AND(((COLUMN()-10)&lt;=playercnt),((ROW()-41)&lt;=playercnt)),SUMPRODUCT(INDIRECT(ADDRESS(3,ROW()-31,1)):INDIRECT(ADDRESS(22,ROW()-31,1)),AJ$3:AJ$22),"")</f>
        <v>20</v>
      </c>
      <c r="AK95">
        <f ca="1">IF(AND(((COLUMN()-10)&lt;=playercnt),((ROW()-41)&lt;=playercnt)),SUMPRODUCT(INDIRECT(ADDRESS(3,ROW()-31,1)):INDIRECT(ADDRESS(22,ROW()-31,1)),AK$3:AK$22),"")</f>
        <v>20</v>
      </c>
      <c r="AL95">
        <f ca="1">IF(AND(((COLUMN()-10)&lt;=playercnt),((ROW()-41)&lt;=playercnt)),SUMPRODUCT(INDIRECT(ADDRESS(3,ROW()-31,1)):INDIRECT(ADDRESS(22,ROW()-31,1)),AL$3:AL$22),"")</f>
        <v>20</v>
      </c>
      <c r="AM95">
        <f ca="1">IF(AND(((COLUMN()-10)&lt;=playercnt),((ROW()-41)&lt;=playercnt)),SUMPRODUCT(INDIRECT(ADDRESS(3,ROW()-31,1)):INDIRECT(ADDRESS(22,ROW()-31,1)),AM$3:AM$22),"")</f>
        <v>20</v>
      </c>
      <c r="AN95">
        <f ca="1">IF(AND(((COLUMN()-10)&lt;=playercnt),((ROW()-41)&lt;=playercnt)),SUMPRODUCT(INDIRECT(ADDRESS(3,ROW()-31,1)):INDIRECT(ADDRESS(22,ROW()-31,1)),AN$3:AN$22),"")</f>
        <v>20</v>
      </c>
      <c r="AO95">
        <f ca="1">IF(AND(((COLUMN()-10)&lt;=playercnt),((ROW()-41)&lt;=playercnt)),SUMPRODUCT(INDIRECT(ADDRESS(3,ROW()-31,1)):INDIRECT(ADDRESS(22,ROW()-31,1)),AO$3:AO$22),"")</f>
        <v>20</v>
      </c>
      <c r="AP95">
        <f ca="1">IF(AND(((COLUMN()-10)&lt;=playercnt),((ROW()-41)&lt;=playercnt)),SUMPRODUCT(INDIRECT(ADDRESS(3,ROW()-31,1)):INDIRECT(ADDRESS(22,ROW()-31,1)),AP$3:AP$22),"")</f>
        <v>20</v>
      </c>
      <c r="AQ95">
        <f ca="1">IF(AND(((COLUMN()-10)&lt;=playercnt),((ROW()-41)&lt;=playercnt)),SUMPRODUCT(INDIRECT(ADDRESS(3,ROW()-31,1)):INDIRECT(ADDRESS(22,ROW()-31,1)),AQ$3:AQ$22),"")</f>
        <v>20</v>
      </c>
      <c r="AR95">
        <f ca="1">IF(AND(((COLUMN()-10)&lt;=playercnt),((ROW()-41)&lt;=playercnt)),SUMPRODUCT(INDIRECT(ADDRESS(3,ROW()-31,1)):INDIRECT(ADDRESS(22,ROW()-31,1)),AR$3:AR$22),"")</f>
        <v>20</v>
      </c>
      <c r="AS95">
        <f ca="1">IF(AND(((COLUMN()-10)&lt;=playercnt),((ROW()-41)&lt;=playercnt)),SUMPRODUCT(INDIRECT(ADDRESS(3,ROW()-31,1)):INDIRECT(ADDRESS(22,ROW()-31,1)),AS$3:AS$22),"")</f>
        <v>20</v>
      </c>
      <c r="AT95">
        <f ca="1">IF(AND(((COLUMN()-10)&lt;=playercnt),((ROW()-41)&lt;=playercnt)),SUMPRODUCT(INDIRECT(ADDRESS(3,ROW()-31,1)):INDIRECT(ADDRESS(22,ROW()-31,1)),AT$3:AT$22),"")</f>
        <v>20</v>
      </c>
      <c r="AU95">
        <f ca="1">IF(AND(((COLUMN()-10)&lt;=playercnt),((ROW()-41)&lt;=playercnt)),SUMPRODUCT(INDIRECT(ADDRESS(3,ROW()-31,1)):INDIRECT(ADDRESS(22,ROW()-31,1)),AU$3:AU$22),"")</f>
        <v>20</v>
      </c>
      <c r="AV95">
        <f ca="1">IF(AND(((COLUMN()-10)&lt;=playercnt),((ROW()-41)&lt;=playercnt)),SUMPRODUCT(INDIRECT(ADDRESS(3,ROW()-31,1)):INDIRECT(ADDRESS(22,ROW()-31,1)),AV$3:AV$22),"")</f>
        <v>20</v>
      </c>
      <c r="AW95">
        <f ca="1">IF(AND(((COLUMN()-10)&lt;=playercnt),((ROW()-41)&lt;=playercnt)),SUMPRODUCT(INDIRECT(ADDRESS(3,ROW()-31,1)):INDIRECT(ADDRESS(22,ROW()-31,1)),AW$3:AW$22),"")</f>
        <v>20</v>
      </c>
      <c r="AX95">
        <f ca="1">IF(AND(((COLUMN()-10)&lt;=playercnt),((ROW()-41)&lt;=playercnt)),SUMPRODUCT(INDIRECT(ADDRESS(3,ROW()-31,1)):INDIRECT(ADDRESS(22,ROW()-31,1)),AX$3:AX$22),"")</f>
        <v>20</v>
      </c>
      <c r="AY95">
        <f ca="1">IF(AND(((COLUMN()-10)&lt;=playercnt),((ROW()-41)&lt;=playercnt)),SUMPRODUCT(INDIRECT(ADDRESS(3,ROW()-31,1)):INDIRECT(ADDRESS(22,ROW()-31,1)),AY$3:AY$22),"")</f>
        <v>20</v>
      </c>
      <c r="AZ95">
        <f ca="1">IF(AND(((COLUMN()-10)&lt;=playercnt),((ROW()-41)&lt;=playercnt)),SUMPRODUCT(INDIRECT(ADDRESS(3,ROW()-31,1)):INDIRECT(ADDRESS(22,ROW()-31,1)),AZ$3:AZ$22),"")</f>
        <v>20</v>
      </c>
      <c r="BA95">
        <f ca="1">IF(AND(((COLUMN()-10)&lt;=playercnt),((ROW()-41)&lt;=playercnt)),SUMPRODUCT(INDIRECT(ADDRESS(3,ROW()-31,1)):INDIRECT(ADDRESS(22,ROW()-31,1)),BA$3:BA$22),"")</f>
        <v>20</v>
      </c>
      <c r="BB95">
        <f ca="1">IF(AND(((COLUMN()-10)&lt;=playercnt),((ROW()-41)&lt;=playercnt)),SUMPRODUCT(INDIRECT(ADDRESS(3,ROW()-31,1)):INDIRECT(ADDRESS(22,ROW()-31,1)),BB$3:BB$22),"")</f>
        <v>20</v>
      </c>
      <c r="BC95">
        <f ca="1">IF(AND(((COLUMN()-10)&lt;=playercnt),((ROW()-41)&lt;=playercnt)),SUMPRODUCT(INDIRECT(ADDRESS(3,ROW()-31,1)):INDIRECT(ADDRESS(22,ROW()-31,1)),BC$3:BC$22),"")</f>
        <v>20</v>
      </c>
      <c r="BD95">
        <f ca="1">IF(AND(((COLUMN()-10)&lt;=playercnt),((ROW()-41)&lt;=playercnt)),SUMPRODUCT(INDIRECT(ADDRESS(3,ROW()-31,1)):INDIRECT(ADDRESS(22,ROW()-31,1)),BD$3:BD$22),"")</f>
        <v>20</v>
      </c>
      <c r="BE95">
        <f ca="1">IF(AND(((COLUMN()-10)&lt;=playercnt),((ROW()-41)&lt;=playercnt)),SUMPRODUCT(INDIRECT(ADDRESS(3,ROW()-31,1)):INDIRECT(ADDRESS(22,ROW()-31,1)),BE$3:BE$22),"")</f>
        <v>20</v>
      </c>
      <c r="BF95">
        <f ca="1">IF(AND(((COLUMN()-10)&lt;=playercnt),((ROW()-41)&lt;=playercnt)),SUMPRODUCT(INDIRECT(ADDRESS(3,ROW()-31,1)):INDIRECT(ADDRESS(22,ROW()-31,1)),BF$3:BF$22),"")</f>
        <v>20</v>
      </c>
      <c r="BG95">
        <f ca="1">IF(AND(((COLUMN()-10)&lt;=playercnt),((ROW()-41)&lt;=playercnt)),SUMPRODUCT(INDIRECT(ADDRESS(3,ROW()-31,1)):INDIRECT(ADDRESS(22,ROW()-31,1)),BG$3:BG$22),"")</f>
        <v>20</v>
      </c>
      <c r="BH95">
        <f ca="1">IF(AND(((COLUMN()-10)&lt;=playercnt),((ROW()-41)&lt;=playercnt)),SUMPRODUCT(INDIRECT(ADDRESS(3,ROW()-31,1)):INDIRECT(ADDRESS(22,ROW()-31,1)),BH$3:BH$22),"")</f>
        <v>20</v>
      </c>
      <c r="BI95">
        <f ca="1">IF(AND(((COLUMN()-10)&lt;=playercnt),((ROW()-41)&lt;=playercnt)),SUMPRODUCT(INDIRECT(ADDRESS(3,ROW()-31,1)):INDIRECT(ADDRESS(22,ROW()-31,1)),BI$3:BI$22),"")</f>
        <v>20</v>
      </c>
      <c r="BJ95">
        <f ca="1">IF(AND(((COLUMN()-10)&lt;=playercnt),((ROW()-41)&lt;=playercnt)),SUMPRODUCT(INDIRECT(ADDRESS(3,ROW()-31,1)):INDIRECT(ADDRESS(22,ROW()-31,1)),BJ$3:BJ$22),"")</f>
        <v>20</v>
      </c>
      <c r="BK95">
        <f ca="1">IF(AND(((COLUMN()-10)&lt;=playercnt),((ROW()-41)&lt;=playercnt)),SUMPRODUCT(INDIRECT(ADDRESS(3,ROW()-31,1)):INDIRECT(ADDRESS(22,ROW()-31,1)),BK$3:BK$22),"")</f>
        <v>20</v>
      </c>
      <c r="BL95">
        <f ca="1">IF(AND(((COLUMN()-10)&lt;=playercnt),((ROW()-41)&lt;=playercnt)),SUMPRODUCT(INDIRECT(ADDRESS(3,ROW()-31,1)):INDIRECT(ADDRESS(22,ROW()-31,1)),BL$3:BL$22),"")</f>
        <v>20</v>
      </c>
      <c r="BM95">
        <f ca="1">IF(AND(((COLUMN()-10)&lt;=playercnt),((ROW()-41)&lt;=playercnt)),SUMPRODUCT(INDIRECT(ADDRESS(3,ROW()-31,1)):INDIRECT(ADDRESS(22,ROW()-31,1)),BM$3:BM$22),"")</f>
        <v>20</v>
      </c>
      <c r="BN95">
        <f ca="1">IF(AND(((COLUMN()-10)&lt;=playercnt),((ROW()-41)&lt;=playercnt)),SUMPRODUCT(INDIRECT(ADDRESS(3,ROW()-31,1)):INDIRECT(ADDRESS(22,ROW()-31,1)),BN$3:BN$22),"")</f>
        <v>20</v>
      </c>
      <c r="BO95" t="str">
        <f ca="1">IF(AND(((COLUMN()-10)&lt;=playercnt),((ROW()-41)&lt;=playercnt)),SUMPRODUCT(INDIRECT(ADDRESS(3,ROW()-31,1)):INDIRECT(ADDRESS(22,ROW()-31,1)),BO$3:BO$22),"")</f>
        <v/>
      </c>
    </row>
    <row r="96" spans="2:67" x14ac:dyDescent="0.25">
      <c r="B96" s="27" t="str">
        <f t="shared" ca="1" si="23"/>
        <v/>
      </c>
      <c r="C96" t="e">
        <f t="shared" ca="1" si="24"/>
        <v>#REF!</v>
      </c>
      <c r="G96">
        <f ca="1">IF(AND(((COLUMN()-10)&lt;=playercnt),((ROW()-41)&lt;=playercnt)),SUMPRODUCT(INDIRECT(ADDRESS(3,ROW()-31,1)):INDIRECT(ADDRESS(22,ROW()-31,1)),G$3:G$22),"")</f>
        <v>20</v>
      </c>
      <c r="H96" t="e">
        <f ca="1">IF(AND(((COLUMN()-10)&lt;=playercnt),((ROW()-41)&lt;=playercnt)),SUMPRODUCT(INDIRECT(ADDRESS(3,ROW()-31,1)):INDIRECT(ADDRESS(22,ROW()-31,1)),H$3:H$22),"")</f>
        <v>#REF!</v>
      </c>
      <c r="I96" t="e">
        <f ca="1">IF(AND(((COLUMN()-10)&lt;=playercnt),((ROW()-41)&lt;=playercnt)),SUMPRODUCT(INDIRECT(ADDRESS(3,ROW()-31,1)):INDIRECT(ADDRESS(22,ROW()-31,1)),I$3:I$22),"")</f>
        <v>#REF!</v>
      </c>
      <c r="J96">
        <f ca="1">IF(AND(((COLUMN()-10)&lt;=playercnt),((ROW()-41)&lt;=playercnt)),SUMPRODUCT(INDIRECT(ADDRESS(3,ROW()-31,1)):INDIRECT(ADDRESS(22,ROW()-31,1)),J$3:J$22),"")</f>
        <v>20</v>
      </c>
      <c r="K96">
        <f ca="1">IF(AND(((COLUMN()-10)&lt;=playercnt),((ROW()-41)&lt;=playercnt)),SUMPRODUCT(INDIRECT(ADDRESS(3,ROW()-31,1)):INDIRECT(ADDRESS(22,ROW()-31,1)),K$3:K$22),"")</f>
        <v>20</v>
      </c>
      <c r="L96">
        <f ca="1">IF(AND(((COLUMN()-10)&lt;=playercnt),((ROW()-41)&lt;=playercnt)),SUMPRODUCT(INDIRECT(ADDRESS(3,ROW()-31,1)):INDIRECT(ADDRESS(22,ROW()-31,1)),L$3:L$22),"")</f>
        <v>20</v>
      </c>
      <c r="M96">
        <f ca="1">IF(AND(((COLUMN()-10)&lt;=playercnt),((ROW()-41)&lt;=playercnt)),SUMPRODUCT(INDIRECT(ADDRESS(3,ROW()-31,1)):INDIRECT(ADDRESS(22,ROW()-31,1)),M$3:M$22),"")</f>
        <v>20</v>
      </c>
      <c r="N96">
        <f ca="1">IF(AND(((COLUMN()-10)&lt;=playercnt),((ROW()-41)&lt;=playercnt)),SUMPRODUCT(INDIRECT(ADDRESS(3,ROW()-31,1)):INDIRECT(ADDRESS(22,ROW()-31,1)),N$3:N$22),"")</f>
        <v>20</v>
      </c>
      <c r="O96">
        <f ca="1">IF(AND(((COLUMN()-10)&lt;=playercnt),((ROW()-41)&lt;=playercnt)),SUMPRODUCT(INDIRECT(ADDRESS(3,ROW()-31,1)):INDIRECT(ADDRESS(22,ROW()-31,1)),O$3:O$22),"")</f>
        <v>20</v>
      </c>
      <c r="P96">
        <f ca="1">IF(AND(((COLUMN()-10)&lt;=playercnt),((ROW()-41)&lt;=playercnt)),SUMPRODUCT(INDIRECT(ADDRESS(3,ROW()-31,1)):INDIRECT(ADDRESS(22,ROW()-31,1)),P$3:P$22),"")</f>
        <v>20</v>
      </c>
      <c r="Q96">
        <f ca="1">IF(AND(((COLUMN()-10)&lt;=playercnt),((ROW()-41)&lt;=playercnt)),SUMPRODUCT(INDIRECT(ADDRESS(3,ROW()-31,1)):INDIRECT(ADDRESS(22,ROW()-31,1)),Q$3:Q$22),"")</f>
        <v>20</v>
      </c>
      <c r="R96">
        <f ca="1">IF(AND(((COLUMN()-10)&lt;=playercnt),((ROW()-41)&lt;=playercnt)),SUMPRODUCT(INDIRECT(ADDRESS(3,ROW()-31,1)):INDIRECT(ADDRESS(22,ROW()-31,1)),R$3:R$22),"")</f>
        <v>20</v>
      </c>
      <c r="S96">
        <f ca="1">IF(AND(((COLUMN()-10)&lt;=playercnt),((ROW()-41)&lt;=playercnt)),SUMPRODUCT(INDIRECT(ADDRESS(3,ROW()-31,1)):INDIRECT(ADDRESS(22,ROW()-31,1)),S$3:S$22),"")</f>
        <v>20</v>
      </c>
      <c r="T96">
        <f ca="1">IF(AND(((COLUMN()-10)&lt;=playercnt),((ROW()-41)&lt;=playercnt)),SUMPRODUCT(INDIRECT(ADDRESS(3,ROW()-31,1)):INDIRECT(ADDRESS(22,ROW()-31,1)),T$3:T$22),"")</f>
        <v>20</v>
      </c>
      <c r="U96">
        <f ca="1">IF(AND(((COLUMN()-10)&lt;=playercnt),((ROW()-41)&lt;=playercnt)),SUMPRODUCT(INDIRECT(ADDRESS(3,ROW()-31,1)):INDIRECT(ADDRESS(22,ROW()-31,1)),U$3:U$22),"")</f>
        <v>20</v>
      </c>
      <c r="V96">
        <f ca="1">IF(AND(((COLUMN()-10)&lt;=playercnt),((ROW()-41)&lt;=playercnt)),SUMPRODUCT(INDIRECT(ADDRESS(3,ROW()-31,1)):INDIRECT(ADDRESS(22,ROW()-31,1)),V$3:V$22),"")</f>
        <v>20</v>
      </c>
      <c r="W96">
        <f ca="1">IF(AND(((COLUMN()-10)&lt;=playercnt),((ROW()-41)&lt;=playercnt)),SUMPRODUCT(INDIRECT(ADDRESS(3,ROW()-31,1)):INDIRECT(ADDRESS(22,ROW()-31,1)),W$3:W$22),"")</f>
        <v>20</v>
      </c>
      <c r="X96">
        <f ca="1">IF(AND(((COLUMN()-10)&lt;=playercnt),((ROW()-41)&lt;=playercnt)),SUMPRODUCT(INDIRECT(ADDRESS(3,ROW()-31,1)):INDIRECT(ADDRESS(22,ROW()-31,1)),X$3:X$22),"")</f>
        <v>20</v>
      </c>
      <c r="Y96">
        <f ca="1">IF(AND(((COLUMN()-10)&lt;=playercnt),((ROW()-41)&lt;=playercnt)),SUMPRODUCT(INDIRECT(ADDRESS(3,ROW()-31,1)):INDIRECT(ADDRESS(22,ROW()-31,1)),Y$3:Y$22),"")</f>
        <v>20</v>
      </c>
      <c r="Z96">
        <f ca="1">IF(AND(((COLUMN()-10)&lt;=playercnt),((ROW()-41)&lt;=playercnt)),SUMPRODUCT(INDIRECT(ADDRESS(3,ROW()-31,1)):INDIRECT(ADDRESS(22,ROW()-31,1)),Z$3:Z$22),"")</f>
        <v>20</v>
      </c>
      <c r="AA96">
        <f ca="1">IF(AND(((COLUMN()-10)&lt;=playercnt),((ROW()-41)&lt;=playercnt)),SUMPRODUCT(INDIRECT(ADDRESS(3,ROW()-31,1)):INDIRECT(ADDRESS(22,ROW()-31,1)),AA$3:AA$22),"")</f>
        <v>20</v>
      </c>
      <c r="AB96">
        <f ca="1">IF(AND(((COLUMN()-10)&lt;=playercnt),((ROW()-41)&lt;=playercnt)),SUMPRODUCT(INDIRECT(ADDRESS(3,ROW()-31,1)):INDIRECT(ADDRESS(22,ROW()-31,1)),AB$3:AB$22),"")</f>
        <v>20</v>
      </c>
      <c r="AC96">
        <f ca="1">IF(AND(((COLUMN()-10)&lt;=playercnt),((ROW()-41)&lt;=playercnt)),SUMPRODUCT(INDIRECT(ADDRESS(3,ROW()-31,1)):INDIRECT(ADDRESS(22,ROW()-31,1)),AC$3:AC$22),"")</f>
        <v>20</v>
      </c>
      <c r="AD96">
        <f ca="1">IF(AND(((COLUMN()-10)&lt;=playercnt),((ROW()-41)&lt;=playercnt)),SUMPRODUCT(INDIRECT(ADDRESS(3,ROW()-31,1)):INDIRECT(ADDRESS(22,ROW()-31,1)),AD$3:AD$22),"")</f>
        <v>20</v>
      </c>
      <c r="AE96">
        <f ca="1">IF(AND(((COLUMN()-10)&lt;=playercnt),((ROW()-41)&lt;=playercnt)),SUMPRODUCT(INDIRECT(ADDRESS(3,ROW()-31,1)):INDIRECT(ADDRESS(22,ROW()-31,1)),AE$3:AE$22),"")</f>
        <v>20</v>
      </c>
      <c r="AF96">
        <f ca="1">IF(AND(((COLUMN()-10)&lt;=playercnt),((ROW()-41)&lt;=playercnt)),SUMPRODUCT(INDIRECT(ADDRESS(3,ROW()-31,1)):INDIRECT(ADDRESS(22,ROW()-31,1)),AF$3:AF$22),"")</f>
        <v>20</v>
      </c>
      <c r="AG96">
        <f ca="1">IF(AND(((COLUMN()-10)&lt;=playercnt),((ROW()-41)&lt;=playercnt)),SUMPRODUCT(INDIRECT(ADDRESS(3,ROW()-31,1)):INDIRECT(ADDRESS(22,ROW()-31,1)),AG$3:AG$22),"")</f>
        <v>20</v>
      </c>
      <c r="AH96">
        <f ca="1">IF(AND(((COLUMN()-10)&lt;=playercnt),((ROW()-41)&lt;=playercnt)),SUMPRODUCT(INDIRECT(ADDRESS(3,ROW()-31,1)):INDIRECT(ADDRESS(22,ROW()-31,1)),AH$3:AH$22),"")</f>
        <v>20</v>
      </c>
      <c r="AI96">
        <f ca="1">IF(AND(((COLUMN()-10)&lt;=playercnt),((ROW()-41)&lt;=playercnt)),SUMPRODUCT(INDIRECT(ADDRESS(3,ROW()-31,1)):INDIRECT(ADDRESS(22,ROW()-31,1)),AI$3:AI$22),"")</f>
        <v>20</v>
      </c>
      <c r="AJ96">
        <f ca="1">IF(AND(((COLUMN()-10)&lt;=playercnt),((ROW()-41)&lt;=playercnt)),SUMPRODUCT(INDIRECT(ADDRESS(3,ROW()-31,1)):INDIRECT(ADDRESS(22,ROW()-31,1)),AJ$3:AJ$22),"")</f>
        <v>20</v>
      </c>
      <c r="AK96">
        <f ca="1">IF(AND(((COLUMN()-10)&lt;=playercnt),((ROW()-41)&lt;=playercnt)),SUMPRODUCT(INDIRECT(ADDRESS(3,ROW()-31,1)):INDIRECT(ADDRESS(22,ROW()-31,1)),AK$3:AK$22),"")</f>
        <v>20</v>
      </c>
      <c r="AL96">
        <f ca="1">IF(AND(((COLUMN()-10)&lt;=playercnt),((ROW()-41)&lt;=playercnt)),SUMPRODUCT(INDIRECT(ADDRESS(3,ROW()-31,1)):INDIRECT(ADDRESS(22,ROW()-31,1)),AL$3:AL$22),"")</f>
        <v>20</v>
      </c>
      <c r="AM96">
        <f ca="1">IF(AND(((COLUMN()-10)&lt;=playercnt),((ROW()-41)&lt;=playercnt)),SUMPRODUCT(INDIRECT(ADDRESS(3,ROW()-31,1)):INDIRECT(ADDRESS(22,ROW()-31,1)),AM$3:AM$22),"")</f>
        <v>20</v>
      </c>
      <c r="AN96">
        <f ca="1">IF(AND(((COLUMN()-10)&lt;=playercnt),((ROW()-41)&lt;=playercnt)),SUMPRODUCT(INDIRECT(ADDRESS(3,ROW()-31,1)):INDIRECT(ADDRESS(22,ROW()-31,1)),AN$3:AN$22),"")</f>
        <v>20</v>
      </c>
      <c r="AO96">
        <f ca="1">IF(AND(((COLUMN()-10)&lt;=playercnt),((ROW()-41)&lt;=playercnt)),SUMPRODUCT(INDIRECT(ADDRESS(3,ROW()-31,1)):INDIRECT(ADDRESS(22,ROW()-31,1)),AO$3:AO$22),"")</f>
        <v>20</v>
      </c>
      <c r="AP96">
        <f ca="1">IF(AND(((COLUMN()-10)&lt;=playercnt),((ROW()-41)&lt;=playercnt)),SUMPRODUCT(INDIRECT(ADDRESS(3,ROW()-31,1)):INDIRECT(ADDRESS(22,ROW()-31,1)),AP$3:AP$22),"")</f>
        <v>20</v>
      </c>
      <c r="AQ96">
        <f ca="1">IF(AND(((COLUMN()-10)&lt;=playercnt),((ROW()-41)&lt;=playercnt)),SUMPRODUCT(INDIRECT(ADDRESS(3,ROW()-31,1)):INDIRECT(ADDRESS(22,ROW()-31,1)),AQ$3:AQ$22),"")</f>
        <v>20</v>
      </c>
      <c r="AR96">
        <f ca="1">IF(AND(((COLUMN()-10)&lt;=playercnt),((ROW()-41)&lt;=playercnt)),SUMPRODUCT(INDIRECT(ADDRESS(3,ROW()-31,1)):INDIRECT(ADDRESS(22,ROW()-31,1)),AR$3:AR$22),"")</f>
        <v>20</v>
      </c>
      <c r="AS96">
        <f ca="1">IF(AND(((COLUMN()-10)&lt;=playercnt),((ROW()-41)&lt;=playercnt)),SUMPRODUCT(INDIRECT(ADDRESS(3,ROW()-31,1)):INDIRECT(ADDRESS(22,ROW()-31,1)),AS$3:AS$22),"")</f>
        <v>20</v>
      </c>
      <c r="AT96">
        <f ca="1">IF(AND(((COLUMN()-10)&lt;=playercnt),((ROW()-41)&lt;=playercnt)),SUMPRODUCT(INDIRECT(ADDRESS(3,ROW()-31,1)):INDIRECT(ADDRESS(22,ROW()-31,1)),AT$3:AT$22),"")</f>
        <v>20</v>
      </c>
      <c r="AU96">
        <f ca="1">IF(AND(((COLUMN()-10)&lt;=playercnt),((ROW()-41)&lt;=playercnt)),SUMPRODUCT(INDIRECT(ADDRESS(3,ROW()-31,1)):INDIRECT(ADDRESS(22,ROW()-31,1)),AU$3:AU$22),"")</f>
        <v>20</v>
      </c>
      <c r="AV96">
        <f ca="1">IF(AND(((COLUMN()-10)&lt;=playercnt),((ROW()-41)&lt;=playercnt)),SUMPRODUCT(INDIRECT(ADDRESS(3,ROW()-31,1)):INDIRECT(ADDRESS(22,ROW()-31,1)),AV$3:AV$22),"")</f>
        <v>20</v>
      </c>
      <c r="AW96">
        <f ca="1">IF(AND(((COLUMN()-10)&lt;=playercnt),((ROW()-41)&lt;=playercnt)),SUMPRODUCT(INDIRECT(ADDRESS(3,ROW()-31,1)):INDIRECT(ADDRESS(22,ROW()-31,1)),AW$3:AW$22),"")</f>
        <v>20</v>
      </c>
      <c r="AX96">
        <f ca="1">IF(AND(((COLUMN()-10)&lt;=playercnt),((ROW()-41)&lt;=playercnt)),SUMPRODUCT(INDIRECT(ADDRESS(3,ROW()-31,1)):INDIRECT(ADDRESS(22,ROW()-31,1)),AX$3:AX$22),"")</f>
        <v>20</v>
      </c>
      <c r="AY96">
        <f ca="1">IF(AND(((COLUMN()-10)&lt;=playercnt),((ROW()-41)&lt;=playercnt)),SUMPRODUCT(INDIRECT(ADDRESS(3,ROW()-31,1)):INDIRECT(ADDRESS(22,ROW()-31,1)),AY$3:AY$22),"")</f>
        <v>20</v>
      </c>
      <c r="AZ96">
        <f ca="1">IF(AND(((COLUMN()-10)&lt;=playercnt),((ROW()-41)&lt;=playercnt)),SUMPRODUCT(INDIRECT(ADDRESS(3,ROW()-31,1)):INDIRECT(ADDRESS(22,ROW()-31,1)),AZ$3:AZ$22),"")</f>
        <v>20</v>
      </c>
      <c r="BA96">
        <f ca="1">IF(AND(((COLUMN()-10)&lt;=playercnt),((ROW()-41)&lt;=playercnt)),SUMPRODUCT(INDIRECT(ADDRESS(3,ROW()-31,1)):INDIRECT(ADDRESS(22,ROW()-31,1)),BA$3:BA$22),"")</f>
        <v>20</v>
      </c>
      <c r="BB96">
        <f ca="1">IF(AND(((COLUMN()-10)&lt;=playercnt),((ROW()-41)&lt;=playercnt)),SUMPRODUCT(INDIRECT(ADDRESS(3,ROW()-31,1)):INDIRECT(ADDRESS(22,ROW()-31,1)),BB$3:BB$22),"")</f>
        <v>20</v>
      </c>
      <c r="BC96">
        <f ca="1">IF(AND(((COLUMN()-10)&lt;=playercnt),((ROW()-41)&lt;=playercnt)),SUMPRODUCT(INDIRECT(ADDRESS(3,ROW()-31,1)):INDIRECT(ADDRESS(22,ROW()-31,1)),BC$3:BC$22),"")</f>
        <v>20</v>
      </c>
      <c r="BD96">
        <f ca="1">IF(AND(((COLUMN()-10)&lt;=playercnt),((ROW()-41)&lt;=playercnt)),SUMPRODUCT(INDIRECT(ADDRESS(3,ROW()-31,1)):INDIRECT(ADDRESS(22,ROW()-31,1)),BD$3:BD$22),"")</f>
        <v>20</v>
      </c>
      <c r="BE96">
        <f ca="1">IF(AND(((COLUMN()-10)&lt;=playercnt),((ROW()-41)&lt;=playercnt)),SUMPRODUCT(INDIRECT(ADDRESS(3,ROW()-31,1)):INDIRECT(ADDRESS(22,ROW()-31,1)),BE$3:BE$22),"")</f>
        <v>20</v>
      </c>
      <c r="BF96">
        <f ca="1">IF(AND(((COLUMN()-10)&lt;=playercnt),((ROW()-41)&lt;=playercnt)),SUMPRODUCT(INDIRECT(ADDRESS(3,ROW()-31,1)):INDIRECT(ADDRESS(22,ROW()-31,1)),BF$3:BF$22),"")</f>
        <v>20</v>
      </c>
      <c r="BG96">
        <f ca="1">IF(AND(((COLUMN()-10)&lt;=playercnt),((ROW()-41)&lt;=playercnt)),SUMPRODUCT(INDIRECT(ADDRESS(3,ROW()-31,1)):INDIRECT(ADDRESS(22,ROW()-31,1)),BG$3:BG$22),"")</f>
        <v>20</v>
      </c>
      <c r="BH96">
        <f ca="1">IF(AND(((COLUMN()-10)&lt;=playercnt),((ROW()-41)&lt;=playercnt)),SUMPRODUCT(INDIRECT(ADDRESS(3,ROW()-31,1)):INDIRECT(ADDRESS(22,ROW()-31,1)),BH$3:BH$22),"")</f>
        <v>20</v>
      </c>
      <c r="BI96">
        <f ca="1">IF(AND(((COLUMN()-10)&lt;=playercnt),((ROW()-41)&lt;=playercnt)),SUMPRODUCT(INDIRECT(ADDRESS(3,ROW()-31,1)):INDIRECT(ADDRESS(22,ROW()-31,1)),BI$3:BI$22),"")</f>
        <v>20</v>
      </c>
      <c r="BJ96">
        <f ca="1">IF(AND(((COLUMN()-10)&lt;=playercnt),((ROW()-41)&lt;=playercnt)),SUMPRODUCT(INDIRECT(ADDRESS(3,ROW()-31,1)):INDIRECT(ADDRESS(22,ROW()-31,1)),BJ$3:BJ$22),"")</f>
        <v>20</v>
      </c>
      <c r="BK96">
        <f ca="1">IF(AND(((COLUMN()-10)&lt;=playercnt),((ROW()-41)&lt;=playercnt)),SUMPRODUCT(INDIRECT(ADDRESS(3,ROW()-31,1)):INDIRECT(ADDRESS(22,ROW()-31,1)),BK$3:BK$22),"")</f>
        <v>20</v>
      </c>
      <c r="BL96">
        <f ca="1">IF(AND(((COLUMN()-10)&lt;=playercnt),((ROW()-41)&lt;=playercnt)),SUMPRODUCT(INDIRECT(ADDRESS(3,ROW()-31,1)):INDIRECT(ADDRESS(22,ROW()-31,1)),BL$3:BL$22),"")</f>
        <v>20</v>
      </c>
      <c r="BM96">
        <f ca="1">IF(AND(((COLUMN()-10)&lt;=playercnt),((ROW()-41)&lt;=playercnt)),SUMPRODUCT(INDIRECT(ADDRESS(3,ROW()-31,1)):INDIRECT(ADDRESS(22,ROW()-31,1)),BM$3:BM$22),"")</f>
        <v>20</v>
      </c>
      <c r="BN96">
        <f ca="1">IF(AND(((COLUMN()-10)&lt;=playercnt),((ROW()-41)&lt;=playercnt)),SUMPRODUCT(INDIRECT(ADDRESS(3,ROW()-31,1)):INDIRECT(ADDRESS(22,ROW()-31,1)),BN$3:BN$22),"")</f>
        <v>20</v>
      </c>
      <c r="BO96" t="str">
        <f ca="1">IF(AND(((COLUMN()-10)&lt;=playercnt),((ROW()-41)&lt;=playercnt)),SUMPRODUCT(INDIRECT(ADDRESS(3,ROW()-31,1)):INDIRECT(ADDRESS(22,ROW()-31,1)),BO$3:BO$22),"")</f>
        <v/>
      </c>
    </row>
    <row r="97" spans="2:67" x14ac:dyDescent="0.25">
      <c r="B97" s="27" t="str">
        <f t="shared" ca="1" si="23"/>
        <v/>
      </c>
      <c r="C97" t="e">
        <f t="shared" ca="1" si="24"/>
        <v>#REF!</v>
      </c>
      <c r="G97">
        <f ca="1">IF(AND(((COLUMN()-10)&lt;=playercnt),((ROW()-41)&lt;=playercnt)),SUMPRODUCT(INDIRECT(ADDRESS(3,ROW()-31,1)):INDIRECT(ADDRESS(22,ROW()-31,1)),G$3:G$22),"")</f>
        <v>20</v>
      </c>
      <c r="H97" t="e">
        <f ca="1">IF(AND(((COLUMN()-10)&lt;=playercnt),((ROW()-41)&lt;=playercnt)),SUMPRODUCT(INDIRECT(ADDRESS(3,ROW()-31,1)):INDIRECT(ADDRESS(22,ROW()-31,1)),H$3:H$22),"")</f>
        <v>#REF!</v>
      </c>
      <c r="I97" t="e">
        <f ca="1">IF(AND(((COLUMN()-10)&lt;=playercnt),((ROW()-41)&lt;=playercnt)),SUMPRODUCT(INDIRECT(ADDRESS(3,ROW()-31,1)):INDIRECT(ADDRESS(22,ROW()-31,1)),I$3:I$22),"")</f>
        <v>#REF!</v>
      </c>
      <c r="J97">
        <f ca="1">IF(AND(((COLUMN()-10)&lt;=playercnt),((ROW()-41)&lt;=playercnt)),SUMPRODUCT(INDIRECT(ADDRESS(3,ROW()-31,1)):INDIRECT(ADDRESS(22,ROW()-31,1)),J$3:J$22),"")</f>
        <v>20</v>
      </c>
      <c r="K97">
        <f ca="1">IF(AND(((COLUMN()-10)&lt;=playercnt),((ROW()-41)&lt;=playercnt)),SUMPRODUCT(INDIRECT(ADDRESS(3,ROW()-31,1)):INDIRECT(ADDRESS(22,ROW()-31,1)),K$3:K$22),"")</f>
        <v>20</v>
      </c>
      <c r="L97">
        <f ca="1">IF(AND(((COLUMN()-10)&lt;=playercnt),((ROW()-41)&lt;=playercnt)),SUMPRODUCT(INDIRECT(ADDRESS(3,ROW()-31,1)):INDIRECT(ADDRESS(22,ROW()-31,1)),L$3:L$22),"")</f>
        <v>20</v>
      </c>
      <c r="M97">
        <f ca="1">IF(AND(((COLUMN()-10)&lt;=playercnt),((ROW()-41)&lt;=playercnt)),SUMPRODUCT(INDIRECT(ADDRESS(3,ROW()-31,1)):INDIRECT(ADDRESS(22,ROW()-31,1)),M$3:M$22),"")</f>
        <v>20</v>
      </c>
      <c r="N97">
        <f ca="1">IF(AND(((COLUMN()-10)&lt;=playercnt),((ROW()-41)&lt;=playercnt)),SUMPRODUCT(INDIRECT(ADDRESS(3,ROW()-31,1)):INDIRECT(ADDRESS(22,ROW()-31,1)),N$3:N$22),"")</f>
        <v>20</v>
      </c>
      <c r="O97">
        <f ca="1">IF(AND(((COLUMN()-10)&lt;=playercnt),((ROW()-41)&lt;=playercnt)),SUMPRODUCT(INDIRECT(ADDRESS(3,ROW()-31,1)):INDIRECT(ADDRESS(22,ROW()-31,1)),O$3:O$22),"")</f>
        <v>20</v>
      </c>
      <c r="P97">
        <f ca="1">IF(AND(((COLUMN()-10)&lt;=playercnt),((ROW()-41)&lt;=playercnt)),SUMPRODUCT(INDIRECT(ADDRESS(3,ROW()-31,1)):INDIRECT(ADDRESS(22,ROW()-31,1)),P$3:P$22),"")</f>
        <v>20</v>
      </c>
      <c r="Q97">
        <f ca="1">IF(AND(((COLUMN()-10)&lt;=playercnt),((ROW()-41)&lt;=playercnt)),SUMPRODUCT(INDIRECT(ADDRESS(3,ROW()-31,1)):INDIRECT(ADDRESS(22,ROW()-31,1)),Q$3:Q$22),"")</f>
        <v>20</v>
      </c>
      <c r="R97">
        <f ca="1">IF(AND(((COLUMN()-10)&lt;=playercnt),((ROW()-41)&lt;=playercnt)),SUMPRODUCT(INDIRECT(ADDRESS(3,ROW()-31,1)):INDIRECT(ADDRESS(22,ROW()-31,1)),R$3:R$22),"")</f>
        <v>20</v>
      </c>
      <c r="S97">
        <f ca="1">IF(AND(((COLUMN()-10)&lt;=playercnt),((ROW()-41)&lt;=playercnt)),SUMPRODUCT(INDIRECT(ADDRESS(3,ROW()-31,1)):INDIRECT(ADDRESS(22,ROW()-31,1)),S$3:S$22),"")</f>
        <v>20</v>
      </c>
      <c r="T97">
        <f ca="1">IF(AND(((COLUMN()-10)&lt;=playercnt),((ROW()-41)&lt;=playercnt)),SUMPRODUCT(INDIRECT(ADDRESS(3,ROW()-31,1)):INDIRECT(ADDRESS(22,ROW()-31,1)),T$3:T$22),"")</f>
        <v>20</v>
      </c>
      <c r="U97">
        <f ca="1">IF(AND(((COLUMN()-10)&lt;=playercnt),((ROW()-41)&lt;=playercnt)),SUMPRODUCT(INDIRECT(ADDRESS(3,ROW()-31,1)):INDIRECT(ADDRESS(22,ROW()-31,1)),U$3:U$22),"")</f>
        <v>20</v>
      </c>
      <c r="V97">
        <f ca="1">IF(AND(((COLUMN()-10)&lt;=playercnt),((ROW()-41)&lt;=playercnt)),SUMPRODUCT(INDIRECT(ADDRESS(3,ROW()-31,1)):INDIRECT(ADDRESS(22,ROW()-31,1)),V$3:V$22),"")</f>
        <v>20</v>
      </c>
      <c r="W97">
        <f ca="1">IF(AND(((COLUMN()-10)&lt;=playercnt),((ROW()-41)&lt;=playercnt)),SUMPRODUCT(INDIRECT(ADDRESS(3,ROW()-31,1)):INDIRECT(ADDRESS(22,ROW()-31,1)),W$3:W$22),"")</f>
        <v>20</v>
      </c>
      <c r="X97">
        <f ca="1">IF(AND(((COLUMN()-10)&lt;=playercnt),((ROW()-41)&lt;=playercnt)),SUMPRODUCT(INDIRECT(ADDRESS(3,ROW()-31,1)):INDIRECT(ADDRESS(22,ROW()-31,1)),X$3:X$22),"")</f>
        <v>20</v>
      </c>
      <c r="Y97">
        <f ca="1">IF(AND(((COLUMN()-10)&lt;=playercnt),((ROW()-41)&lt;=playercnt)),SUMPRODUCT(INDIRECT(ADDRESS(3,ROW()-31,1)):INDIRECT(ADDRESS(22,ROW()-31,1)),Y$3:Y$22),"")</f>
        <v>20</v>
      </c>
      <c r="Z97">
        <f ca="1">IF(AND(((COLUMN()-10)&lt;=playercnt),((ROW()-41)&lt;=playercnt)),SUMPRODUCT(INDIRECT(ADDRESS(3,ROW()-31,1)):INDIRECT(ADDRESS(22,ROW()-31,1)),Z$3:Z$22),"")</f>
        <v>20</v>
      </c>
      <c r="AA97">
        <f ca="1">IF(AND(((COLUMN()-10)&lt;=playercnt),((ROW()-41)&lt;=playercnt)),SUMPRODUCT(INDIRECT(ADDRESS(3,ROW()-31,1)):INDIRECT(ADDRESS(22,ROW()-31,1)),AA$3:AA$22),"")</f>
        <v>20</v>
      </c>
      <c r="AB97">
        <f ca="1">IF(AND(((COLUMN()-10)&lt;=playercnt),((ROW()-41)&lt;=playercnt)),SUMPRODUCT(INDIRECT(ADDRESS(3,ROW()-31,1)):INDIRECT(ADDRESS(22,ROW()-31,1)),AB$3:AB$22),"")</f>
        <v>20</v>
      </c>
      <c r="AC97">
        <f ca="1">IF(AND(((COLUMN()-10)&lt;=playercnt),((ROW()-41)&lt;=playercnt)),SUMPRODUCT(INDIRECT(ADDRESS(3,ROW()-31,1)):INDIRECT(ADDRESS(22,ROW()-31,1)),AC$3:AC$22),"")</f>
        <v>20</v>
      </c>
      <c r="AD97">
        <f ca="1">IF(AND(((COLUMN()-10)&lt;=playercnt),((ROW()-41)&lt;=playercnt)),SUMPRODUCT(INDIRECT(ADDRESS(3,ROW()-31,1)):INDIRECT(ADDRESS(22,ROW()-31,1)),AD$3:AD$22),"")</f>
        <v>20</v>
      </c>
      <c r="AE97">
        <f ca="1">IF(AND(((COLUMN()-10)&lt;=playercnt),((ROW()-41)&lt;=playercnt)),SUMPRODUCT(INDIRECT(ADDRESS(3,ROW()-31,1)):INDIRECT(ADDRESS(22,ROW()-31,1)),AE$3:AE$22),"")</f>
        <v>20</v>
      </c>
      <c r="AF97">
        <f ca="1">IF(AND(((COLUMN()-10)&lt;=playercnt),((ROW()-41)&lt;=playercnt)),SUMPRODUCT(INDIRECT(ADDRESS(3,ROW()-31,1)):INDIRECT(ADDRESS(22,ROW()-31,1)),AF$3:AF$22),"")</f>
        <v>20</v>
      </c>
      <c r="AG97">
        <f ca="1">IF(AND(((COLUMN()-10)&lt;=playercnt),((ROW()-41)&lt;=playercnt)),SUMPRODUCT(INDIRECT(ADDRESS(3,ROW()-31,1)):INDIRECT(ADDRESS(22,ROW()-31,1)),AG$3:AG$22),"")</f>
        <v>20</v>
      </c>
      <c r="AH97">
        <f ca="1">IF(AND(((COLUMN()-10)&lt;=playercnt),((ROW()-41)&lt;=playercnt)),SUMPRODUCT(INDIRECT(ADDRESS(3,ROW()-31,1)):INDIRECT(ADDRESS(22,ROW()-31,1)),AH$3:AH$22),"")</f>
        <v>20</v>
      </c>
      <c r="AI97">
        <f ca="1">IF(AND(((COLUMN()-10)&lt;=playercnt),((ROW()-41)&lt;=playercnt)),SUMPRODUCT(INDIRECT(ADDRESS(3,ROW()-31,1)):INDIRECT(ADDRESS(22,ROW()-31,1)),AI$3:AI$22),"")</f>
        <v>20</v>
      </c>
      <c r="AJ97">
        <f ca="1">IF(AND(((COLUMN()-10)&lt;=playercnt),((ROW()-41)&lt;=playercnt)),SUMPRODUCT(INDIRECT(ADDRESS(3,ROW()-31,1)):INDIRECT(ADDRESS(22,ROW()-31,1)),AJ$3:AJ$22),"")</f>
        <v>20</v>
      </c>
      <c r="AK97">
        <f ca="1">IF(AND(((COLUMN()-10)&lt;=playercnt),((ROW()-41)&lt;=playercnt)),SUMPRODUCT(INDIRECT(ADDRESS(3,ROW()-31,1)):INDIRECT(ADDRESS(22,ROW()-31,1)),AK$3:AK$22),"")</f>
        <v>20</v>
      </c>
      <c r="AL97">
        <f ca="1">IF(AND(((COLUMN()-10)&lt;=playercnt),((ROW()-41)&lt;=playercnt)),SUMPRODUCT(INDIRECT(ADDRESS(3,ROW()-31,1)):INDIRECT(ADDRESS(22,ROW()-31,1)),AL$3:AL$22),"")</f>
        <v>20</v>
      </c>
      <c r="AM97">
        <f ca="1">IF(AND(((COLUMN()-10)&lt;=playercnt),((ROW()-41)&lt;=playercnt)),SUMPRODUCT(INDIRECT(ADDRESS(3,ROW()-31,1)):INDIRECT(ADDRESS(22,ROW()-31,1)),AM$3:AM$22),"")</f>
        <v>20</v>
      </c>
      <c r="AN97">
        <f ca="1">IF(AND(((COLUMN()-10)&lt;=playercnt),((ROW()-41)&lt;=playercnt)),SUMPRODUCT(INDIRECT(ADDRESS(3,ROW()-31,1)):INDIRECT(ADDRESS(22,ROW()-31,1)),AN$3:AN$22),"")</f>
        <v>20</v>
      </c>
      <c r="AO97">
        <f ca="1">IF(AND(((COLUMN()-10)&lt;=playercnt),((ROW()-41)&lt;=playercnt)),SUMPRODUCT(INDIRECT(ADDRESS(3,ROW()-31,1)):INDIRECT(ADDRESS(22,ROW()-31,1)),AO$3:AO$22),"")</f>
        <v>20</v>
      </c>
      <c r="AP97">
        <f ca="1">IF(AND(((COLUMN()-10)&lt;=playercnt),((ROW()-41)&lt;=playercnt)),SUMPRODUCT(INDIRECT(ADDRESS(3,ROW()-31,1)):INDIRECT(ADDRESS(22,ROW()-31,1)),AP$3:AP$22),"")</f>
        <v>20</v>
      </c>
      <c r="AQ97">
        <f ca="1">IF(AND(((COLUMN()-10)&lt;=playercnt),((ROW()-41)&lt;=playercnt)),SUMPRODUCT(INDIRECT(ADDRESS(3,ROW()-31,1)):INDIRECT(ADDRESS(22,ROW()-31,1)),AQ$3:AQ$22),"")</f>
        <v>20</v>
      </c>
      <c r="AR97">
        <f ca="1">IF(AND(((COLUMN()-10)&lt;=playercnt),((ROW()-41)&lt;=playercnt)),SUMPRODUCT(INDIRECT(ADDRESS(3,ROW()-31,1)):INDIRECT(ADDRESS(22,ROW()-31,1)),AR$3:AR$22),"")</f>
        <v>20</v>
      </c>
      <c r="AS97">
        <f ca="1">IF(AND(((COLUMN()-10)&lt;=playercnt),((ROW()-41)&lt;=playercnt)),SUMPRODUCT(INDIRECT(ADDRESS(3,ROW()-31,1)):INDIRECT(ADDRESS(22,ROW()-31,1)),AS$3:AS$22),"")</f>
        <v>20</v>
      </c>
      <c r="AT97">
        <f ca="1">IF(AND(((COLUMN()-10)&lt;=playercnt),((ROW()-41)&lt;=playercnt)),SUMPRODUCT(INDIRECT(ADDRESS(3,ROW()-31,1)):INDIRECT(ADDRESS(22,ROW()-31,1)),AT$3:AT$22),"")</f>
        <v>20</v>
      </c>
      <c r="AU97">
        <f ca="1">IF(AND(((COLUMN()-10)&lt;=playercnt),((ROW()-41)&lt;=playercnt)),SUMPRODUCT(INDIRECT(ADDRESS(3,ROW()-31,1)):INDIRECT(ADDRESS(22,ROW()-31,1)),AU$3:AU$22),"")</f>
        <v>20</v>
      </c>
      <c r="AV97">
        <f ca="1">IF(AND(((COLUMN()-10)&lt;=playercnt),((ROW()-41)&lt;=playercnt)),SUMPRODUCT(INDIRECT(ADDRESS(3,ROW()-31,1)):INDIRECT(ADDRESS(22,ROW()-31,1)),AV$3:AV$22),"")</f>
        <v>20</v>
      </c>
      <c r="AW97">
        <f ca="1">IF(AND(((COLUMN()-10)&lt;=playercnt),((ROW()-41)&lt;=playercnt)),SUMPRODUCT(INDIRECT(ADDRESS(3,ROW()-31,1)):INDIRECT(ADDRESS(22,ROW()-31,1)),AW$3:AW$22),"")</f>
        <v>20</v>
      </c>
      <c r="AX97">
        <f ca="1">IF(AND(((COLUMN()-10)&lt;=playercnt),((ROW()-41)&lt;=playercnt)),SUMPRODUCT(INDIRECT(ADDRESS(3,ROW()-31,1)):INDIRECT(ADDRESS(22,ROW()-31,1)),AX$3:AX$22),"")</f>
        <v>20</v>
      </c>
      <c r="AY97">
        <f ca="1">IF(AND(((COLUMN()-10)&lt;=playercnt),((ROW()-41)&lt;=playercnt)),SUMPRODUCT(INDIRECT(ADDRESS(3,ROW()-31,1)):INDIRECT(ADDRESS(22,ROW()-31,1)),AY$3:AY$22),"")</f>
        <v>20</v>
      </c>
      <c r="AZ97">
        <f ca="1">IF(AND(((COLUMN()-10)&lt;=playercnt),((ROW()-41)&lt;=playercnt)),SUMPRODUCT(INDIRECT(ADDRESS(3,ROW()-31,1)):INDIRECT(ADDRESS(22,ROW()-31,1)),AZ$3:AZ$22),"")</f>
        <v>20</v>
      </c>
      <c r="BA97">
        <f ca="1">IF(AND(((COLUMN()-10)&lt;=playercnt),((ROW()-41)&lt;=playercnt)),SUMPRODUCT(INDIRECT(ADDRESS(3,ROW()-31,1)):INDIRECT(ADDRESS(22,ROW()-31,1)),BA$3:BA$22),"")</f>
        <v>20</v>
      </c>
      <c r="BB97">
        <f ca="1">IF(AND(((COLUMN()-10)&lt;=playercnt),((ROW()-41)&lt;=playercnt)),SUMPRODUCT(INDIRECT(ADDRESS(3,ROW()-31,1)):INDIRECT(ADDRESS(22,ROW()-31,1)),BB$3:BB$22),"")</f>
        <v>20</v>
      </c>
      <c r="BC97">
        <f ca="1">IF(AND(((COLUMN()-10)&lt;=playercnt),((ROW()-41)&lt;=playercnt)),SUMPRODUCT(INDIRECT(ADDRESS(3,ROW()-31,1)):INDIRECT(ADDRESS(22,ROW()-31,1)),BC$3:BC$22),"")</f>
        <v>20</v>
      </c>
      <c r="BD97">
        <f ca="1">IF(AND(((COLUMN()-10)&lt;=playercnt),((ROW()-41)&lt;=playercnt)),SUMPRODUCT(INDIRECT(ADDRESS(3,ROW()-31,1)):INDIRECT(ADDRESS(22,ROW()-31,1)),BD$3:BD$22),"")</f>
        <v>20</v>
      </c>
      <c r="BE97">
        <f ca="1">IF(AND(((COLUMN()-10)&lt;=playercnt),((ROW()-41)&lt;=playercnt)),SUMPRODUCT(INDIRECT(ADDRESS(3,ROW()-31,1)):INDIRECT(ADDRESS(22,ROW()-31,1)),BE$3:BE$22),"")</f>
        <v>20</v>
      </c>
      <c r="BF97">
        <f ca="1">IF(AND(((COLUMN()-10)&lt;=playercnt),((ROW()-41)&lt;=playercnt)),SUMPRODUCT(INDIRECT(ADDRESS(3,ROW()-31,1)):INDIRECT(ADDRESS(22,ROW()-31,1)),BF$3:BF$22),"")</f>
        <v>20</v>
      </c>
      <c r="BG97">
        <f ca="1">IF(AND(((COLUMN()-10)&lt;=playercnt),((ROW()-41)&lt;=playercnt)),SUMPRODUCT(INDIRECT(ADDRESS(3,ROW()-31,1)):INDIRECT(ADDRESS(22,ROW()-31,1)),BG$3:BG$22),"")</f>
        <v>20</v>
      </c>
      <c r="BH97">
        <f ca="1">IF(AND(((COLUMN()-10)&lt;=playercnt),((ROW()-41)&lt;=playercnt)),SUMPRODUCT(INDIRECT(ADDRESS(3,ROW()-31,1)):INDIRECT(ADDRESS(22,ROW()-31,1)),BH$3:BH$22),"")</f>
        <v>20</v>
      </c>
      <c r="BI97">
        <f ca="1">IF(AND(((COLUMN()-10)&lt;=playercnt),((ROW()-41)&lt;=playercnt)),SUMPRODUCT(INDIRECT(ADDRESS(3,ROW()-31,1)):INDIRECT(ADDRESS(22,ROW()-31,1)),BI$3:BI$22),"")</f>
        <v>20</v>
      </c>
      <c r="BJ97">
        <f ca="1">IF(AND(((COLUMN()-10)&lt;=playercnt),((ROW()-41)&lt;=playercnt)),SUMPRODUCT(INDIRECT(ADDRESS(3,ROW()-31,1)):INDIRECT(ADDRESS(22,ROW()-31,1)),BJ$3:BJ$22),"")</f>
        <v>20</v>
      </c>
      <c r="BK97">
        <f ca="1">IF(AND(((COLUMN()-10)&lt;=playercnt),((ROW()-41)&lt;=playercnt)),SUMPRODUCT(INDIRECT(ADDRESS(3,ROW()-31,1)):INDIRECT(ADDRESS(22,ROW()-31,1)),BK$3:BK$22),"")</f>
        <v>20</v>
      </c>
      <c r="BL97">
        <f ca="1">IF(AND(((COLUMN()-10)&lt;=playercnt),((ROW()-41)&lt;=playercnt)),SUMPRODUCT(INDIRECT(ADDRESS(3,ROW()-31,1)):INDIRECT(ADDRESS(22,ROW()-31,1)),BL$3:BL$22),"")</f>
        <v>20</v>
      </c>
      <c r="BM97">
        <f ca="1">IF(AND(((COLUMN()-10)&lt;=playercnt),((ROW()-41)&lt;=playercnt)),SUMPRODUCT(INDIRECT(ADDRESS(3,ROW()-31,1)):INDIRECT(ADDRESS(22,ROW()-31,1)),BM$3:BM$22),"")</f>
        <v>20</v>
      </c>
      <c r="BN97">
        <f ca="1">IF(AND(((COLUMN()-10)&lt;=playercnt),((ROW()-41)&lt;=playercnt)),SUMPRODUCT(INDIRECT(ADDRESS(3,ROW()-31,1)):INDIRECT(ADDRESS(22,ROW()-31,1)),BN$3:BN$22),"")</f>
        <v>20</v>
      </c>
      <c r="BO97" t="str">
        <f ca="1">IF(AND(((COLUMN()-10)&lt;=playercnt),((ROW()-41)&lt;=playercnt)),SUMPRODUCT(INDIRECT(ADDRESS(3,ROW()-31,1)):INDIRECT(ADDRESS(22,ROW()-31,1)),BO$3:BO$22),"")</f>
        <v/>
      </c>
    </row>
    <row r="98" spans="2:67" x14ac:dyDescent="0.25">
      <c r="C98" t="str">
        <f t="shared" ca="1" si="24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</row>
  </sheetData>
  <phoneticPr fontId="6" type="noConversion"/>
  <conditionalFormatting sqref="G38:BO98">
    <cfRule type="expression" dxfId="416" priority="1" stopIfTrue="1">
      <formula>MOD(G38,10) = 0</formula>
    </cfRule>
    <cfRule type="expression" dxfId="415" priority="2" stopIfTrue="1">
      <formula>MOD(G38,8) = 1</formula>
    </cfRule>
    <cfRule type="expression" dxfId="414" priority="3" stopIfTrue="1">
      <formula>MOD(G38,6) = 2</formula>
    </cfRule>
  </conditionalFormatting>
  <conditionalFormatting sqref="B35:B37">
    <cfRule type="cellIs" dxfId="413" priority="4" stopIfTrue="1" operator="greaterThan">
      <formula>$A$35-$A$37</formula>
    </cfRule>
    <cfRule type="cellIs" dxfId="412" priority="5" stopIfTrue="1" operator="lessThan">
      <formula>$A$36+$A$37</formula>
    </cfRule>
  </conditionalFormatting>
  <conditionalFormatting sqref="B38:B97">
    <cfRule type="cellIs" dxfId="411" priority="6" stopIfTrue="1" operator="greaterThan">
      <formula>$A$42-$A$44</formula>
    </cfRule>
    <cfRule type="cellIs" dxfId="41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139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409" priority="1" stopIfTrue="1" operator="equal">
      <formula>10</formula>
    </cfRule>
    <cfRule type="cellIs" dxfId="408" priority="2" stopIfTrue="1" operator="equal">
      <formula>9</formula>
    </cfRule>
    <cfRule type="cellIs" dxfId="40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N58"/>
  <sheetViews>
    <sheetView zoomScale="90" zoomScaleNormal="100" zoomScaleSheetLayoutView="100" workbookViewId="0">
      <selection activeCell="C2" sqref="C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6" x14ac:dyDescent="0.25">
      <c r="B1" s="6"/>
      <c r="I1">
        <f>COUNTA(K1:BL1)</f>
        <v>0</v>
      </c>
      <c r="J1">
        <f>SUM(K1:BL1)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 x14ac:dyDescent="0.25">
      <c r="A3" s="59">
        <v>1</v>
      </c>
      <c r="B3" s="67" t="s">
        <v>162</v>
      </c>
      <c r="C3" s="65"/>
      <c r="D3" s="64">
        <v>29</v>
      </c>
      <c r="E3" s="64">
        <f>IF(ISBLANK($D3),"0",IF(($D4-$D3)&lt;($C4-$C3),1,0))</f>
        <v>0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311</v>
      </c>
      <c r="K3" s="69" t="s">
        <v>312</v>
      </c>
      <c r="L3" s="69" t="s">
        <v>313</v>
      </c>
      <c r="M3" s="69"/>
      <c r="N3" s="69" t="s">
        <v>313</v>
      </c>
      <c r="O3" s="69" t="s">
        <v>313</v>
      </c>
      <c r="P3" s="69"/>
      <c r="Q3" s="69" t="s">
        <v>318</v>
      </c>
      <c r="R3" s="69"/>
      <c r="S3" s="69"/>
      <c r="T3" s="69" t="s">
        <v>327</v>
      </c>
      <c r="U3" s="69" t="s">
        <v>319</v>
      </c>
      <c r="V3" s="69"/>
      <c r="W3" s="69"/>
      <c r="X3" s="69"/>
      <c r="Y3" s="69"/>
      <c r="Z3" s="69"/>
      <c r="AA3" s="69" t="s">
        <v>354</v>
      </c>
      <c r="AB3" s="69"/>
      <c r="AC3" s="69"/>
      <c r="AD3" s="69"/>
      <c r="AE3" s="69"/>
      <c r="AF3" s="69" t="s">
        <v>355</v>
      </c>
      <c r="AG3" s="69"/>
      <c r="AH3" s="69"/>
      <c r="AI3" s="69" t="s">
        <v>351</v>
      </c>
      <c r="AJ3" s="69" t="s">
        <v>362</v>
      </c>
      <c r="AK3" s="69"/>
      <c r="AL3" s="69"/>
      <c r="AM3" s="69"/>
      <c r="AN3" s="69"/>
      <c r="AO3" s="69" t="s">
        <v>317</v>
      </c>
      <c r="AP3" s="69"/>
      <c r="AQ3" s="69"/>
      <c r="AR3" s="99" t="s">
        <v>317</v>
      </c>
      <c r="AS3" s="69"/>
      <c r="AT3" s="69"/>
      <c r="AU3" s="69"/>
      <c r="AV3" s="69" t="s">
        <v>317</v>
      </c>
      <c r="AW3" s="69" t="s">
        <v>331</v>
      </c>
      <c r="AX3" s="69" t="s">
        <v>334</v>
      </c>
      <c r="AY3" s="69"/>
      <c r="AZ3" s="69"/>
      <c r="BA3" s="69"/>
      <c r="BB3" s="69"/>
      <c r="BC3" s="69" t="s">
        <v>326</v>
      </c>
      <c r="BD3" s="69" t="s">
        <v>312</v>
      </c>
      <c r="BE3" s="69" t="s">
        <v>367</v>
      </c>
      <c r="BF3" s="69"/>
      <c r="BG3" s="69" t="s">
        <v>315</v>
      </c>
      <c r="BH3" s="69" t="s">
        <v>317</v>
      </c>
      <c r="BI3" s="69" t="s">
        <v>317</v>
      </c>
      <c r="BJ3" s="69"/>
      <c r="BK3" s="69" t="s">
        <v>317</v>
      </c>
      <c r="BL3" s="69"/>
      <c r="BM3" s="69"/>
      <c r="BN3" s="69"/>
    </row>
    <row r="4" spans="1:66" x14ac:dyDescent="0.25">
      <c r="A4" s="61" t="s">
        <v>3</v>
      </c>
      <c r="B4" s="68" t="s">
        <v>165</v>
      </c>
      <c r="C4" s="66">
        <v>6.5</v>
      </c>
      <c r="D4" s="64">
        <v>36</v>
      </c>
      <c r="E4" s="64">
        <f>IF(ISBLANK($D4),"0",IF(($D4-$D3)&gt;($C4-$C3),1,0))</f>
        <v>1</v>
      </c>
      <c r="F4" s="64">
        <f t="shared" ref="F4:F22" ca="1" si="1">COUNTA(INDIRECT("RC11:RC"&amp;11+playercnt-1,FALSE))</f>
        <v>33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/>
      <c r="M4" s="70" t="s">
        <v>312</v>
      </c>
      <c r="N4" s="70"/>
      <c r="O4" s="70"/>
      <c r="P4" s="70" t="s">
        <v>317</v>
      </c>
      <c r="Q4" s="70"/>
      <c r="R4" s="70" t="s">
        <v>312</v>
      </c>
      <c r="S4" s="70" t="s">
        <v>319</v>
      </c>
      <c r="T4" s="70"/>
      <c r="U4" s="70"/>
      <c r="V4" s="70" t="s">
        <v>328</v>
      </c>
      <c r="W4" s="70" t="s">
        <v>316</v>
      </c>
      <c r="X4" s="70" t="s">
        <v>312</v>
      </c>
      <c r="Y4" s="70" t="s">
        <v>313</v>
      </c>
      <c r="Z4" s="70" t="s">
        <v>351</v>
      </c>
      <c r="AA4" s="70"/>
      <c r="AB4" s="70" t="s">
        <v>317</v>
      </c>
      <c r="AC4" s="70" t="s">
        <v>317</v>
      </c>
      <c r="AD4" s="70" t="s">
        <v>317</v>
      </c>
      <c r="AE4" s="70" t="s">
        <v>355</v>
      </c>
      <c r="AF4" s="70"/>
      <c r="AG4" s="70" t="s">
        <v>344</v>
      </c>
      <c r="AH4" s="70" t="s">
        <v>358</v>
      </c>
      <c r="AI4" s="70"/>
      <c r="AJ4" s="70"/>
      <c r="AK4" s="70" t="s">
        <v>317</v>
      </c>
      <c r="AL4" s="70" t="s">
        <v>347</v>
      </c>
      <c r="AM4" s="70" t="s">
        <v>315</v>
      </c>
      <c r="AN4" s="70" t="s">
        <v>317</v>
      </c>
      <c r="AO4" s="70"/>
      <c r="AP4" s="70" t="s">
        <v>351</v>
      </c>
      <c r="AQ4" s="70" t="s">
        <v>313</v>
      </c>
      <c r="AR4" s="70"/>
      <c r="AS4" s="70" t="s">
        <v>322</v>
      </c>
      <c r="AT4" s="70" t="s">
        <v>334</v>
      </c>
      <c r="AU4" s="70" t="s">
        <v>317</v>
      </c>
      <c r="AV4" s="70"/>
      <c r="AW4" s="70"/>
      <c r="AX4" s="70"/>
      <c r="AY4" s="70" t="s">
        <v>366</v>
      </c>
      <c r="AZ4" s="70" t="s">
        <v>360</v>
      </c>
      <c r="BA4" s="70" t="s">
        <v>314</v>
      </c>
      <c r="BB4" s="70" t="s">
        <v>317</v>
      </c>
      <c r="BC4" s="70"/>
      <c r="BD4" s="70"/>
      <c r="BE4" s="70"/>
      <c r="BF4" s="70" t="s">
        <v>368</v>
      </c>
      <c r="BG4" s="70"/>
      <c r="BH4" s="70"/>
      <c r="BI4" s="70"/>
      <c r="BJ4" s="70" t="s">
        <v>317</v>
      </c>
      <c r="BK4" s="70"/>
      <c r="BL4" s="70" t="s">
        <v>317</v>
      </c>
      <c r="BM4" s="70" t="s">
        <v>343</v>
      </c>
      <c r="BN4" s="70" t="s">
        <v>312</v>
      </c>
    </row>
    <row r="5" spans="1:66" x14ac:dyDescent="0.25">
      <c r="A5" s="59">
        <v>2</v>
      </c>
      <c r="B5" s="67" t="s">
        <v>257</v>
      </c>
      <c r="C5" s="65">
        <v>5.5</v>
      </c>
      <c r="D5" s="64">
        <v>48</v>
      </c>
      <c r="E5" s="64">
        <f>IF(ISBLANK($D5),"0",IF(($D6-$D5)&lt;($C6-$C5),1,0))</f>
        <v>0</v>
      </c>
      <c r="F5" s="64">
        <f t="shared" ca="1" si="1"/>
        <v>46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311</v>
      </c>
      <c r="K5" s="69"/>
      <c r="L5" s="69"/>
      <c r="M5" s="69" t="s">
        <v>312</v>
      </c>
      <c r="N5" s="69"/>
      <c r="O5" s="69" t="s">
        <v>313</v>
      </c>
      <c r="P5" s="69" t="s">
        <v>317</v>
      </c>
      <c r="Q5" s="69" t="s">
        <v>318</v>
      </c>
      <c r="R5" s="69"/>
      <c r="S5" s="69"/>
      <c r="T5" s="69" t="s">
        <v>328</v>
      </c>
      <c r="U5" s="69" t="s">
        <v>324</v>
      </c>
      <c r="V5" s="69" t="s">
        <v>340</v>
      </c>
      <c r="W5" s="69" t="s">
        <v>340</v>
      </c>
      <c r="X5" s="69" t="s">
        <v>312</v>
      </c>
      <c r="Y5" s="69" t="s">
        <v>329</v>
      </c>
      <c r="Z5" s="69"/>
      <c r="AA5" s="69" t="s">
        <v>354</v>
      </c>
      <c r="AB5" s="69" t="s">
        <v>317</v>
      </c>
      <c r="AC5" s="69" t="s">
        <v>317</v>
      </c>
      <c r="AD5" s="69" t="s">
        <v>317</v>
      </c>
      <c r="AE5" s="69"/>
      <c r="AF5" s="69" t="s">
        <v>355</v>
      </c>
      <c r="AG5" s="69" t="s">
        <v>356</v>
      </c>
      <c r="AH5" s="69" t="s">
        <v>359</v>
      </c>
      <c r="AI5" s="69" t="s">
        <v>361</v>
      </c>
      <c r="AJ5" s="69" t="s">
        <v>313</v>
      </c>
      <c r="AK5" s="69" t="s">
        <v>317</v>
      </c>
      <c r="AL5" s="69" t="s">
        <v>347</v>
      </c>
      <c r="AM5" s="69" t="s">
        <v>323</v>
      </c>
      <c r="AN5" s="69" t="s">
        <v>317</v>
      </c>
      <c r="AO5" s="69"/>
      <c r="AP5" s="69" t="s">
        <v>333</v>
      </c>
      <c r="AQ5" s="69" t="s">
        <v>313</v>
      </c>
      <c r="AR5" s="99"/>
      <c r="AS5" s="69" t="s">
        <v>334</v>
      </c>
      <c r="AT5" s="69" t="s">
        <v>334</v>
      </c>
      <c r="AU5" s="69" t="s">
        <v>317</v>
      </c>
      <c r="AV5" s="69" t="s">
        <v>317</v>
      </c>
      <c r="AW5" s="69" t="s">
        <v>335</v>
      </c>
      <c r="AX5" s="69" t="s">
        <v>324</v>
      </c>
      <c r="AY5" s="69" t="s">
        <v>366</v>
      </c>
      <c r="AZ5" s="69" t="s">
        <v>335</v>
      </c>
      <c r="BA5" s="69" t="s">
        <v>364</v>
      </c>
      <c r="BB5" s="69" t="s">
        <v>317</v>
      </c>
      <c r="BC5" s="69" t="s">
        <v>351</v>
      </c>
      <c r="BD5" s="69" t="s">
        <v>312</v>
      </c>
      <c r="BE5" s="69" t="s">
        <v>367</v>
      </c>
      <c r="BF5" s="69" t="s">
        <v>368</v>
      </c>
      <c r="BG5" s="69" t="s">
        <v>315</v>
      </c>
      <c r="BH5" s="69" t="s">
        <v>317</v>
      </c>
      <c r="BI5" s="69" t="s">
        <v>317</v>
      </c>
      <c r="BJ5" s="69" t="s">
        <v>317</v>
      </c>
      <c r="BK5" s="69" t="s">
        <v>317</v>
      </c>
      <c r="BL5" s="69" t="s">
        <v>317</v>
      </c>
      <c r="BM5" s="69" t="s">
        <v>334</v>
      </c>
      <c r="BN5" s="69"/>
    </row>
    <row r="6" spans="1:66" x14ac:dyDescent="0.25">
      <c r="A6" s="61" t="s">
        <v>3</v>
      </c>
      <c r="B6" s="68" t="s">
        <v>208</v>
      </c>
      <c r="C6" s="66"/>
      <c r="D6" s="64">
        <v>50</v>
      </c>
      <c r="E6" s="64">
        <f>IF(ISBLANK($D6),"0",IF(($D6-$D5)&gt;($C6-$C5),1,0))</f>
        <v>1</v>
      </c>
      <c r="F6" s="64">
        <f t="shared" ca="1" si="1"/>
        <v>10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312</v>
      </c>
      <c r="L6" s="70" t="s">
        <v>313</v>
      </c>
      <c r="M6" s="70"/>
      <c r="N6" s="70" t="s">
        <v>313</v>
      </c>
      <c r="O6" s="70"/>
      <c r="P6" s="70"/>
      <c r="Q6" s="70"/>
      <c r="R6" s="70" t="s">
        <v>312</v>
      </c>
      <c r="S6" s="70" t="s">
        <v>320</v>
      </c>
      <c r="T6" s="70"/>
      <c r="U6" s="70"/>
      <c r="V6" s="70"/>
      <c r="W6" s="70"/>
      <c r="X6" s="70"/>
      <c r="Y6" s="70"/>
      <c r="Z6" s="70" t="s">
        <v>333</v>
      </c>
      <c r="AA6" s="70"/>
      <c r="AB6" s="70"/>
      <c r="AC6" s="70"/>
      <c r="AD6" s="70"/>
      <c r="AE6" s="70" t="s">
        <v>355</v>
      </c>
      <c r="AF6" s="70"/>
      <c r="AG6" s="70"/>
      <c r="AH6" s="70"/>
      <c r="AI6" s="70"/>
      <c r="AJ6" s="70"/>
      <c r="AK6" s="70"/>
      <c r="AL6" s="70"/>
      <c r="AM6" s="70"/>
      <c r="AN6" s="70"/>
      <c r="AO6" s="70" t="s">
        <v>317</v>
      </c>
      <c r="AP6" s="70"/>
      <c r="AQ6" s="70"/>
      <c r="AR6" s="70" t="s">
        <v>317</v>
      </c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 t="s">
        <v>312</v>
      </c>
    </row>
    <row r="7" spans="1:66" x14ac:dyDescent="0.25">
      <c r="A7" s="59">
        <v>3</v>
      </c>
      <c r="B7" s="67" t="s">
        <v>306</v>
      </c>
      <c r="C7" s="65">
        <v>2.5</v>
      </c>
      <c r="D7" s="64">
        <v>14</v>
      </c>
      <c r="E7" s="64">
        <f>IF(ISBLANK($D7),"0",IF(($D8-$D7)&lt;($C8-$C7),1,0))</f>
        <v>0</v>
      </c>
      <c r="F7" s="64">
        <f t="shared" ca="1" si="1"/>
        <v>33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/>
      <c r="L7" s="69"/>
      <c r="M7" s="69" t="s">
        <v>312</v>
      </c>
      <c r="N7" s="69"/>
      <c r="O7" s="69"/>
      <c r="P7" s="69" t="s">
        <v>317</v>
      </c>
      <c r="Q7" s="69"/>
      <c r="R7" s="69" t="s">
        <v>312</v>
      </c>
      <c r="S7" s="69" t="s">
        <v>321</v>
      </c>
      <c r="T7" s="69" t="s">
        <v>329</v>
      </c>
      <c r="U7" s="69" t="s">
        <v>334</v>
      </c>
      <c r="V7" s="69" t="s">
        <v>341</v>
      </c>
      <c r="W7" s="69" t="s">
        <v>346</v>
      </c>
      <c r="X7" s="69" t="s">
        <v>312</v>
      </c>
      <c r="Y7" s="69" t="s">
        <v>314</v>
      </c>
      <c r="Z7" s="69"/>
      <c r="AA7" s="69" t="s">
        <v>354</v>
      </c>
      <c r="AB7" s="69"/>
      <c r="AC7" s="69"/>
      <c r="AD7" s="69" t="s">
        <v>317</v>
      </c>
      <c r="AE7" s="69" t="s">
        <v>355</v>
      </c>
      <c r="AF7" s="69"/>
      <c r="AG7" s="69"/>
      <c r="AH7" s="69" t="s">
        <v>360</v>
      </c>
      <c r="AI7" s="69" t="s">
        <v>328</v>
      </c>
      <c r="AJ7" s="69"/>
      <c r="AK7" s="69" t="s">
        <v>317</v>
      </c>
      <c r="AL7" s="69" t="s">
        <v>347</v>
      </c>
      <c r="AM7" s="69" t="s">
        <v>363</v>
      </c>
      <c r="AN7" s="69"/>
      <c r="AO7" s="69"/>
      <c r="AP7" s="69" t="s">
        <v>361</v>
      </c>
      <c r="AQ7" s="69" t="s">
        <v>313</v>
      </c>
      <c r="AR7" s="99" t="s">
        <v>317</v>
      </c>
      <c r="AS7" s="69"/>
      <c r="AT7" s="69" t="s">
        <v>334</v>
      </c>
      <c r="AU7" s="69"/>
      <c r="AV7" s="69" t="s">
        <v>317</v>
      </c>
      <c r="AW7" s="69" t="s">
        <v>325</v>
      </c>
      <c r="AX7" s="69"/>
      <c r="AY7" s="69" t="s">
        <v>366</v>
      </c>
      <c r="AZ7" s="69" t="s">
        <v>325</v>
      </c>
      <c r="BA7" s="69" t="s">
        <v>361</v>
      </c>
      <c r="BB7" s="69" t="s">
        <v>317</v>
      </c>
      <c r="BC7" s="69"/>
      <c r="BD7" s="69"/>
      <c r="BE7" s="69"/>
      <c r="BF7" s="69" t="s">
        <v>368</v>
      </c>
      <c r="BG7" s="69"/>
      <c r="BH7" s="69" t="s">
        <v>317</v>
      </c>
      <c r="BI7" s="69"/>
      <c r="BJ7" s="69" t="s">
        <v>317</v>
      </c>
      <c r="BK7" s="69" t="s">
        <v>317</v>
      </c>
      <c r="BL7" s="69"/>
      <c r="BM7" s="69"/>
      <c r="BN7" s="69" t="s">
        <v>312</v>
      </c>
    </row>
    <row r="8" spans="1:66" x14ac:dyDescent="0.25">
      <c r="A8" s="61" t="s">
        <v>3</v>
      </c>
      <c r="B8" s="68" t="s">
        <v>271</v>
      </c>
      <c r="C8" s="66"/>
      <c r="D8" s="64">
        <v>13</v>
      </c>
      <c r="E8" s="64">
        <f>IF(ISBLANK($D8),"0",IF(($D8-$D7)&gt;($C8-$C7),1,0))</f>
        <v>1</v>
      </c>
      <c r="F8" s="64">
        <f t="shared" ca="1" si="1"/>
        <v>23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311</v>
      </c>
      <c r="K8" s="70" t="s">
        <v>312</v>
      </c>
      <c r="L8" s="70" t="s">
        <v>313</v>
      </c>
      <c r="M8" s="70"/>
      <c r="N8" s="70" t="s">
        <v>313</v>
      </c>
      <c r="O8" s="70" t="s">
        <v>314</v>
      </c>
      <c r="P8" s="70"/>
      <c r="Q8" s="70" t="s">
        <v>318</v>
      </c>
      <c r="R8" s="70"/>
      <c r="S8" s="70"/>
      <c r="T8" s="70"/>
      <c r="U8" s="70"/>
      <c r="V8" s="70"/>
      <c r="W8" s="70"/>
      <c r="X8" s="70"/>
      <c r="Y8" s="70"/>
      <c r="Z8" s="70" t="s">
        <v>351</v>
      </c>
      <c r="AA8" s="70"/>
      <c r="AB8" s="70" t="s">
        <v>317</v>
      </c>
      <c r="AC8" s="70" t="s">
        <v>317</v>
      </c>
      <c r="AD8" s="70"/>
      <c r="AE8" s="70"/>
      <c r="AF8" s="70" t="s">
        <v>355</v>
      </c>
      <c r="AG8" s="70" t="s">
        <v>356</v>
      </c>
      <c r="AH8" s="70"/>
      <c r="AI8" s="70"/>
      <c r="AJ8" s="70" t="s">
        <v>313</v>
      </c>
      <c r="AK8" s="70"/>
      <c r="AL8" s="70"/>
      <c r="AM8" s="70"/>
      <c r="AN8" s="70" t="s">
        <v>317</v>
      </c>
      <c r="AO8" s="70" t="s">
        <v>317</v>
      </c>
      <c r="AP8" s="70"/>
      <c r="AQ8" s="70"/>
      <c r="AR8" s="70"/>
      <c r="AS8" s="70" t="s">
        <v>314</v>
      </c>
      <c r="AT8" s="70"/>
      <c r="AU8" s="70" t="s">
        <v>317</v>
      </c>
      <c r="AV8" s="70"/>
      <c r="AW8" s="70"/>
      <c r="AX8" s="70" t="s">
        <v>327</v>
      </c>
      <c r="AY8" s="70"/>
      <c r="AZ8" s="70"/>
      <c r="BA8" s="70"/>
      <c r="BB8" s="70"/>
      <c r="BC8" s="70" t="s">
        <v>323</v>
      </c>
      <c r="BD8" s="70" t="s">
        <v>312</v>
      </c>
      <c r="BE8" s="70" t="s">
        <v>367</v>
      </c>
      <c r="BF8" s="70"/>
      <c r="BG8" s="70" t="s">
        <v>315</v>
      </c>
      <c r="BH8" s="70"/>
      <c r="BI8" s="70" t="s">
        <v>317</v>
      </c>
      <c r="BJ8" s="70"/>
      <c r="BK8" s="70"/>
      <c r="BL8" s="70" t="s">
        <v>317</v>
      </c>
      <c r="BM8" s="70" t="s">
        <v>322</v>
      </c>
      <c r="BN8" s="70"/>
    </row>
    <row r="9" spans="1:66" x14ac:dyDescent="0.25">
      <c r="A9" s="59">
        <v>4</v>
      </c>
      <c r="B9" s="67" t="s">
        <v>169</v>
      </c>
      <c r="C9" s="65">
        <v>20.5</v>
      </c>
      <c r="D9" s="81">
        <v>56</v>
      </c>
      <c r="E9" s="64">
        <f>IF(ISBLANK($D9),"0",IF(($D10-$D9)&lt;($C10-$C9),1,0))</f>
        <v>0</v>
      </c>
      <c r="F9" s="64">
        <f t="shared" ca="1" si="1"/>
        <v>31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 t="s">
        <v>312</v>
      </c>
      <c r="L9" s="69"/>
      <c r="M9" s="69" t="s">
        <v>312</v>
      </c>
      <c r="N9" s="69"/>
      <c r="O9" s="69" t="s">
        <v>315</v>
      </c>
      <c r="P9" s="69"/>
      <c r="Q9" s="69" t="s">
        <v>318</v>
      </c>
      <c r="R9" s="69" t="s">
        <v>312</v>
      </c>
      <c r="S9" s="69" t="s">
        <v>322</v>
      </c>
      <c r="T9" s="69" t="s">
        <v>328</v>
      </c>
      <c r="U9" s="69"/>
      <c r="V9" s="69" t="s">
        <v>324</v>
      </c>
      <c r="W9" s="69" t="s">
        <v>347</v>
      </c>
      <c r="X9" s="69" t="s">
        <v>312</v>
      </c>
      <c r="Y9" s="69" t="s">
        <v>315</v>
      </c>
      <c r="Z9" s="69" t="s">
        <v>352</v>
      </c>
      <c r="AA9" s="69"/>
      <c r="AB9" s="69"/>
      <c r="AC9" s="69"/>
      <c r="AD9" s="69"/>
      <c r="AE9" s="69"/>
      <c r="AF9" s="69" t="s">
        <v>355</v>
      </c>
      <c r="AG9" s="69"/>
      <c r="AH9" s="69"/>
      <c r="AI9" s="69" t="s">
        <v>314</v>
      </c>
      <c r="AJ9" s="69" t="s">
        <v>313</v>
      </c>
      <c r="AK9" s="69" t="s">
        <v>317</v>
      </c>
      <c r="AL9" s="69"/>
      <c r="AM9" s="69" t="s">
        <v>324</v>
      </c>
      <c r="AN9" s="69"/>
      <c r="AO9" s="69"/>
      <c r="AP9" s="69" t="s">
        <v>333</v>
      </c>
      <c r="AQ9" s="69" t="s">
        <v>313</v>
      </c>
      <c r="AR9" s="99"/>
      <c r="AS9" s="69" t="s">
        <v>322</v>
      </c>
      <c r="AT9" s="69" t="s">
        <v>334</v>
      </c>
      <c r="AU9" s="69" t="s">
        <v>317</v>
      </c>
      <c r="AV9" s="69"/>
      <c r="AW9" s="69" t="s">
        <v>333</v>
      </c>
      <c r="AX9" s="69"/>
      <c r="AY9" s="69" t="s">
        <v>366</v>
      </c>
      <c r="AZ9" s="69" t="s">
        <v>323</v>
      </c>
      <c r="BA9" s="69" t="s">
        <v>361</v>
      </c>
      <c r="BB9" s="69" t="s">
        <v>317</v>
      </c>
      <c r="BC9" s="69"/>
      <c r="BD9" s="69" t="s">
        <v>312</v>
      </c>
      <c r="BE9" s="69"/>
      <c r="BF9" s="69"/>
      <c r="BG9" s="69"/>
      <c r="BH9" s="69" t="s">
        <v>317</v>
      </c>
      <c r="BI9" s="69"/>
      <c r="BJ9" s="69"/>
      <c r="BK9" s="69"/>
      <c r="BL9" s="69" t="s">
        <v>317</v>
      </c>
      <c r="BM9" s="69" t="s">
        <v>333</v>
      </c>
      <c r="BN9" s="69"/>
    </row>
    <row r="10" spans="1:66" x14ac:dyDescent="0.25">
      <c r="A10" s="61" t="s">
        <v>3</v>
      </c>
      <c r="B10" s="68" t="s">
        <v>185</v>
      </c>
      <c r="C10" s="66"/>
      <c r="D10" s="64">
        <v>37</v>
      </c>
      <c r="E10" s="64">
        <f>IF(ISBLANK($D10),"0",IF(($D10-$D9)&gt;($C10-$C9),1,0))</f>
        <v>1</v>
      </c>
      <c r="F10" s="64">
        <f t="shared" ca="1" si="1"/>
        <v>25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311</v>
      </c>
      <c r="K10" s="70"/>
      <c r="L10" s="70" t="s">
        <v>313</v>
      </c>
      <c r="M10" s="70"/>
      <c r="N10" s="70" t="s">
        <v>313</v>
      </c>
      <c r="O10" s="70"/>
      <c r="P10" s="70" t="s">
        <v>317</v>
      </c>
      <c r="Q10" s="70"/>
      <c r="R10" s="70"/>
      <c r="S10" s="70"/>
      <c r="T10" s="70"/>
      <c r="U10" s="70" t="s">
        <v>335</v>
      </c>
      <c r="V10" s="70"/>
      <c r="W10" s="70"/>
      <c r="X10" s="70"/>
      <c r="Y10" s="70"/>
      <c r="Z10" s="70"/>
      <c r="AA10" s="70" t="s">
        <v>354</v>
      </c>
      <c r="AB10" s="70" t="s">
        <v>317</v>
      </c>
      <c r="AC10" s="70" t="s">
        <v>317</v>
      </c>
      <c r="AD10" s="70" t="s">
        <v>317</v>
      </c>
      <c r="AE10" s="70" t="s">
        <v>355</v>
      </c>
      <c r="AF10" s="70"/>
      <c r="AG10" s="70" t="s">
        <v>357</v>
      </c>
      <c r="AH10" s="70" t="s">
        <v>333</v>
      </c>
      <c r="AI10" s="70"/>
      <c r="AJ10" s="70"/>
      <c r="AK10" s="70"/>
      <c r="AL10" s="70" t="s">
        <v>347</v>
      </c>
      <c r="AM10" s="70"/>
      <c r="AN10" s="70" t="s">
        <v>317</v>
      </c>
      <c r="AO10" s="70" t="s">
        <v>317</v>
      </c>
      <c r="AP10" s="70"/>
      <c r="AQ10" s="70"/>
      <c r="AR10" s="70" t="s">
        <v>317</v>
      </c>
      <c r="AS10" s="70"/>
      <c r="AT10" s="70"/>
      <c r="AU10" s="70"/>
      <c r="AV10" s="70" t="s">
        <v>317</v>
      </c>
      <c r="AW10" s="70"/>
      <c r="AX10" s="70" t="s">
        <v>320</v>
      </c>
      <c r="AY10" s="70"/>
      <c r="AZ10" s="70"/>
      <c r="BA10" s="70"/>
      <c r="BB10" s="70"/>
      <c r="BC10" s="70" t="s">
        <v>341</v>
      </c>
      <c r="BD10" s="70"/>
      <c r="BE10" s="70" t="s">
        <v>367</v>
      </c>
      <c r="BF10" s="70" t="s">
        <v>368</v>
      </c>
      <c r="BG10" s="70" t="s">
        <v>315</v>
      </c>
      <c r="BH10" s="70"/>
      <c r="BI10" s="70" t="s">
        <v>317</v>
      </c>
      <c r="BJ10" s="70" t="s">
        <v>317</v>
      </c>
      <c r="BK10" s="70" t="s">
        <v>317</v>
      </c>
      <c r="BL10" s="70"/>
      <c r="BM10" s="70"/>
      <c r="BN10" s="70" t="s">
        <v>312</v>
      </c>
    </row>
    <row r="11" spans="1:66" x14ac:dyDescent="0.25">
      <c r="A11" s="59">
        <v>5</v>
      </c>
      <c r="B11" s="67" t="s">
        <v>188</v>
      </c>
      <c r="C11" s="65">
        <v>3.5</v>
      </c>
      <c r="D11" s="64">
        <v>35</v>
      </c>
      <c r="E11" s="64">
        <f>IF(ISBLANK($D11),"0",IF(($D12-$D11)&lt;($C12-$C11),1,0))</f>
        <v>1</v>
      </c>
      <c r="F11" s="64">
        <f t="shared" ca="1" si="1"/>
        <v>23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 t="s">
        <v>311</v>
      </c>
      <c r="K11" s="69"/>
      <c r="L11" s="69"/>
      <c r="M11" s="69" t="s">
        <v>312</v>
      </c>
      <c r="N11" s="69" t="s">
        <v>313</v>
      </c>
      <c r="O11" s="69"/>
      <c r="P11" s="69"/>
      <c r="Q11" s="69"/>
      <c r="R11" s="69" t="s">
        <v>312</v>
      </c>
      <c r="S11" s="69" t="s">
        <v>320</v>
      </c>
      <c r="T11" s="69" t="s">
        <v>330</v>
      </c>
      <c r="U11" s="69"/>
      <c r="V11" s="69" t="s">
        <v>342</v>
      </c>
      <c r="W11" s="69"/>
      <c r="X11" s="69" t="s">
        <v>312</v>
      </c>
      <c r="Y11" s="69"/>
      <c r="Z11" s="69"/>
      <c r="AA11" s="69"/>
      <c r="AB11" s="69" t="s">
        <v>317</v>
      </c>
      <c r="AC11" s="69"/>
      <c r="AD11" s="69" t="s">
        <v>317</v>
      </c>
      <c r="AE11" s="69" t="s">
        <v>355</v>
      </c>
      <c r="AF11" s="69" t="s">
        <v>355</v>
      </c>
      <c r="AG11" s="69" t="s">
        <v>343</v>
      </c>
      <c r="AH11" s="69"/>
      <c r="AI11" s="69" t="s">
        <v>322</v>
      </c>
      <c r="AJ11" s="69" t="s">
        <v>313</v>
      </c>
      <c r="AK11" s="69" t="s">
        <v>317</v>
      </c>
      <c r="AL11" s="69"/>
      <c r="AM11" s="69"/>
      <c r="AN11" s="69"/>
      <c r="AO11" s="69"/>
      <c r="AP11" s="69" t="s">
        <v>329</v>
      </c>
      <c r="AQ11" s="69" t="s">
        <v>313</v>
      </c>
      <c r="AR11" s="69" t="s">
        <v>317</v>
      </c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 t="s">
        <v>312</v>
      </c>
      <c r="BE11" s="69"/>
      <c r="BF11" s="69" t="s">
        <v>368</v>
      </c>
      <c r="BG11" s="69"/>
      <c r="BH11" s="69" t="s">
        <v>317</v>
      </c>
      <c r="BI11" s="69" t="s">
        <v>317</v>
      </c>
      <c r="BJ11" s="69"/>
      <c r="BK11" s="69"/>
      <c r="BL11" s="69"/>
      <c r="BM11" s="69" t="s">
        <v>364</v>
      </c>
      <c r="BN11" s="69"/>
    </row>
    <row r="12" spans="1:66" x14ac:dyDescent="0.25">
      <c r="A12" s="61" t="s">
        <v>3</v>
      </c>
      <c r="B12" s="68" t="s">
        <v>167</v>
      </c>
      <c r="C12" s="66"/>
      <c r="D12" s="64">
        <v>21</v>
      </c>
      <c r="E12" s="64">
        <f>IF(ISBLANK($D12),"0",IF(($D12-$D11)&gt;($C12-$C11),1,0))</f>
        <v>0</v>
      </c>
      <c r="F12" s="64">
        <f t="shared" ca="1" si="1"/>
        <v>33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312</v>
      </c>
      <c r="L12" s="70" t="s">
        <v>313</v>
      </c>
      <c r="M12" s="70"/>
      <c r="N12" s="70"/>
      <c r="O12" s="70" t="s">
        <v>316</v>
      </c>
      <c r="P12" s="70" t="s">
        <v>317</v>
      </c>
      <c r="Q12" s="70" t="s">
        <v>318</v>
      </c>
      <c r="R12" s="70"/>
      <c r="S12" s="70"/>
      <c r="T12" s="70"/>
      <c r="U12" s="70" t="s">
        <v>336</v>
      </c>
      <c r="V12" s="70"/>
      <c r="W12" s="70" t="s">
        <v>348</v>
      </c>
      <c r="X12" s="70"/>
      <c r="Y12" s="70" t="s">
        <v>314</v>
      </c>
      <c r="Z12" s="70" t="s">
        <v>322</v>
      </c>
      <c r="AA12" s="70" t="s">
        <v>354</v>
      </c>
      <c r="AB12" s="70"/>
      <c r="AC12" s="70" t="s">
        <v>317</v>
      </c>
      <c r="AD12" s="70"/>
      <c r="AE12" s="70"/>
      <c r="AF12" s="70"/>
      <c r="AG12" s="70"/>
      <c r="AH12" s="70" t="s">
        <v>333</v>
      </c>
      <c r="AI12" s="70"/>
      <c r="AJ12" s="70"/>
      <c r="AK12" s="70"/>
      <c r="AL12" s="70" t="s">
        <v>347</v>
      </c>
      <c r="AM12" s="70" t="s">
        <v>315</v>
      </c>
      <c r="AN12" s="70" t="s">
        <v>317</v>
      </c>
      <c r="AO12" s="70" t="s">
        <v>317</v>
      </c>
      <c r="AP12" s="70"/>
      <c r="AQ12" s="70"/>
      <c r="AR12" s="100"/>
      <c r="AS12" s="70" t="s">
        <v>332</v>
      </c>
      <c r="AT12" s="70" t="s">
        <v>334</v>
      </c>
      <c r="AU12" s="70" t="s">
        <v>317</v>
      </c>
      <c r="AV12" s="70" t="s">
        <v>317</v>
      </c>
      <c r="AW12" s="70" t="s">
        <v>325</v>
      </c>
      <c r="AX12" s="70" t="s">
        <v>349</v>
      </c>
      <c r="AY12" s="70" t="s">
        <v>366</v>
      </c>
      <c r="AZ12" s="70" t="s">
        <v>349</v>
      </c>
      <c r="BA12" s="70" t="s">
        <v>328</v>
      </c>
      <c r="BB12" s="70" t="s">
        <v>317</v>
      </c>
      <c r="BC12" s="70" t="s">
        <v>349</v>
      </c>
      <c r="BD12" s="70"/>
      <c r="BE12" s="70" t="s">
        <v>367</v>
      </c>
      <c r="BF12" s="70"/>
      <c r="BG12" s="70" t="s">
        <v>315</v>
      </c>
      <c r="BH12" s="70"/>
      <c r="BI12" s="70"/>
      <c r="BJ12" s="70" t="s">
        <v>317</v>
      </c>
      <c r="BK12" s="70" t="s">
        <v>317</v>
      </c>
      <c r="BL12" s="70" t="s">
        <v>317</v>
      </c>
      <c r="BM12" s="70"/>
      <c r="BN12" s="70" t="s">
        <v>312</v>
      </c>
    </row>
    <row r="13" spans="1:66" x14ac:dyDescent="0.25">
      <c r="A13" s="59">
        <v>6</v>
      </c>
      <c r="B13" s="67" t="s">
        <v>186</v>
      </c>
      <c r="C13" s="65"/>
      <c r="D13" s="64">
        <v>23</v>
      </c>
      <c r="E13" s="64">
        <f>IF(ISBLANK($D13),"0",IF(($D14-$D13)&lt;($C14-$C13),1,0))</f>
        <v>1</v>
      </c>
      <c r="F13" s="64">
        <f t="shared" ca="1" si="1"/>
        <v>26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311</v>
      </c>
      <c r="K13" s="69"/>
      <c r="L13" s="69" t="s">
        <v>313</v>
      </c>
      <c r="M13" s="69"/>
      <c r="N13" s="69" t="s">
        <v>313</v>
      </c>
      <c r="O13" s="69" t="s">
        <v>313</v>
      </c>
      <c r="P13" s="69" t="s">
        <v>317</v>
      </c>
      <c r="Q13" s="69" t="s">
        <v>318</v>
      </c>
      <c r="R13" s="69" t="s">
        <v>312</v>
      </c>
      <c r="S13" s="69"/>
      <c r="T13" s="69"/>
      <c r="U13" s="69" t="s">
        <v>320</v>
      </c>
      <c r="V13" s="69"/>
      <c r="W13" s="69"/>
      <c r="X13" s="69" t="s">
        <v>312</v>
      </c>
      <c r="Y13" s="69"/>
      <c r="Z13" s="69"/>
      <c r="AA13" s="69"/>
      <c r="AB13" s="69"/>
      <c r="AC13" s="69"/>
      <c r="AD13" s="69"/>
      <c r="AE13" s="69"/>
      <c r="AF13" s="69"/>
      <c r="AG13" s="69" t="s">
        <v>319</v>
      </c>
      <c r="AH13" s="69" t="s">
        <v>334</v>
      </c>
      <c r="AI13" s="69"/>
      <c r="AJ13" s="69"/>
      <c r="AK13" s="69" t="s">
        <v>317</v>
      </c>
      <c r="AL13" s="69" t="s">
        <v>347</v>
      </c>
      <c r="AM13" s="69"/>
      <c r="AN13" s="69" t="s">
        <v>317</v>
      </c>
      <c r="AO13" s="69"/>
      <c r="AP13" s="69"/>
      <c r="AQ13" s="69"/>
      <c r="AR13" s="99"/>
      <c r="AS13" s="69"/>
      <c r="AT13" s="69"/>
      <c r="AU13" s="69" t="s">
        <v>317</v>
      </c>
      <c r="AV13" s="69" t="s">
        <v>317</v>
      </c>
      <c r="AW13" s="69" t="s">
        <v>320</v>
      </c>
      <c r="AX13" s="69"/>
      <c r="AY13" s="69" t="s">
        <v>366</v>
      </c>
      <c r="AZ13" s="69" t="s">
        <v>346</v>
      </c>
      <c r="BA13" s="69" t="s">
        <v>319</v>
      </c>
      <c r="BB13" s="69"/>
      <c r="BC13" s="69"/>
      <c r="BD13" s="69" t="s">
        <v>312</v>
      </c>
      <c r="BE13" s="69"/>
      <c r="BF13" s="69"/>
      <c r="BG13" s="69"/>
      <c r="BH13" s="69" t="s">
        <v>317</v>
      </c>
      <c r="BI13" s="69"/>
      <c r="BJ13" s="69" t="s">
        <v>317</v>
      </c>
      <c r="BK13" s="69" t="s">
        <v>317</v>
      </c>
      <c r="BL13" s="69" t="s">
        <v>317</v>
      </c>
      <c r="BM13" s="69" t="s">
        <v>329</v>
      </c>
      <c r="BN13" s="69" t="s">
        <v>312</v>
      </c>
    </row>
    <row r="14" spans="1:66" x14ac:dyDescent="0.25">
      <c r="A14" s="61" t="s">
        <v>3</v>
      </c>
      <c r="B14" s="68" t="s">
        <v>159</v>
      </c>
      <c r="C14" s="66">
        <v>10.5</v>
      </c>
      <c r="D14" s="64">
        <v>20</v>
      </c>
      <c r="E14" s="64">
        <f>IF(ISBLANK($D14),"0",IF(($D14-$D13)&gt;($C14-$C13),1,0))</f>
        <v>0</v>
      </c>
      <c r="F14" s="64">
        <f t="shared" ca="1" si="1"/>
        <v>30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312</v>
      </c>
      <c r="L14" s="70"/>
      <c r="M14" s="70" t="s">
        <v>312</v>
      </c>
      <c r="N14" s="70"/>
      <c r="O14" s="70"/>
      <c r="P14" s="70"/>
      <c r="Q14" s="70"/>
      <c r="R14" s="70"/>
      <c r="S14" s="70" t="s">
        <v>323</v>
      </c>
      <c r="T14" s="70" t="s">
        <v>331</v>
      </c>
      <c r="U14" s="70"/>
      <c r="V14" s="70" t="s">
        <v>320</v>
      </c>
      <c r="W14" s="70" t="s">
        <v>335</v>
      </c>
      <c r="X14" s="70"/>
      <c r="Y14" s="70" t="s">
        <v>329</v>
      </c>
      <c r="Z14" s="70" t="s">
        <v>353</v>
      </c>
      <c r="AA14" s="70" t="s">
        <v>354</v>
      </c>
      <c r="AB14" s="70" t="s">
        <v>317</v>
      </c>
      <c r="AC14" s="70" t="s">
        <v>317</v>
      </c>
      <c r="AD14" s="70" t="s">
        <v>317</v>
      </c>
      <c r="AE14" s="70" t="s">
        <v>355</v>
      </c>
      <c r="AF14" s="70" t="s">
        <v>355</v>
      </c>
      <c r="AG14" s="70"/>
      <c r="AH14" s="70"/>
      <c r="AI14" s="70" t="s">
        <v>324</v>
      </c>
      <c r="AJ14" s="70" t="s">
        <v>313</v>
      </c>
      <c r="AK14" s="70"/>
      <c r="AL14" s="70"/>
      <c r="AM14" s="70" t="s">
        <v>323</v>
      </c>
      <c r="AN14" s="70"/>
      <c r="AO14" s="70" t="s">
        <v>317</v>
      </c>
      <c r="AP14" s="70" t="s">
        <v>351</v>
      </c>
      <c r="AQ14" s="70" t="s">
        <v>313</v>
      </c>
      <c r="AR14" s="70" t="s">
        <v>317</v>
      </c>
      <c r="AS14" s="70" t="s">
        <v>319</v>
      </c>
      <c r="AT14" s="70" t="s">
        <v>334</v>
      </c>
      <c r="AU14" s="70"/>
      <c r="AV14" s="70"/>
      <c r="AW14" s="70"/>
      <c r="AX14" s="70" t="s">
        <v>349</v>
      </c>
      <c r="AY14" s="70"/>
      <c r="AZ14" s="70"/>
      <c r="BA14" s="70"/>
      <c r="BB14" s="70" t="s">
        <v>317</v>
      </c>
      <c r="BC14" s="70" t="s">
        <v>331</v>
      </c>
      <c r="BD14" s="70"/>
      <c r="BE14" s="70" t="s">
        <v>367</v>
      </c>
      <c r="BF14" s="70" t="s">
        <v>368</v>
      </c>
      <c r="BG14" s="70" t="s">
        <v>315</v>
      </c>
      <c r="BH14" s="70"/>
      <c r="BI14" s="70" t="s">
        <v>317</v>
      </c>
      <c r="BJ14" s="70"/>
      <c r="BK14" s="70"/>
      <c r="BL14" s="70"/>
      <c r="BM14" s="70"/>
      <c r="BN14" s="70"/>
    </row>
    <row r="15" spans="1:66" x14ac:dyDescent="0.25">
      <c r="A15" s="59">
        <v>7</v>
      </c>
      <c r="B15" s="67" t="s">
        <v>266</v>
      </c>
      <c r="C15" s="65"/>
      <c r="D15" s="64">
        <v>34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311</v>
      </c>
      <c r="K15" s="69"/>
      <c r="L15" s="69"/>
      <c r="M15" s="69" t="s">
        <v>312</v>
      </c>
      <c r="N15" s="69" t="s">
        <v>313</v>
      </c>
      <c r="O15" s="69"/>
      <c r="P15" s="69" t="s">
        <v>317</v>
      </c>
      <c r="Q15" s="69"/>
      <c r="R15" s="69" t="s">
        <v>312</v>
      </c>
      <c r="S15" s="69"/>
      <c r="T15" s="69" t="s">
        <v>328</v>
      </c>
      <c r="U15" s="69"/>
      <c r="V15" s="69"/>
      <c r="W15" s="69"/>
      <c r="X15" s="69"/>
      <c r="Y15" s="69"/>
      <c r="Z15" s="69"/>
      <c r="AA15" s="69"/>
      <c r="AB15" s="69" t="s">
        <v>317</v>
      </c>
      <c r="AC15" s="69" t="s">
        <v>317</v>
      </c>
      <c r="AD15" s="69" t="s">
        <v>317</v>
      </c>
      <c r="AE15" s="69" t="s">
        <v>355</v>
      </c>
      <c r="AF15" s="69"/>
      <c r="AG15" s="69" t="s">
        <v>344</v>
      </c>
      <c r="AH15" s="69"/>
      <c r="AI15" s="69"/>
      <c r="AJ15" s="69" t="s">
        <v>313</v>
      </c>
      <c r="AK15" s="69"/>
      <c r="AL15" s="69"/>
      <c r="AM15" s="69"/>
      <c r="AN15" s="69" t="s">
        <v>317</v>
      </c>
      <c r="AO15" s="69" t="s">
        <v>317</v>
      </c>
      <c r="AP15" s="69"/>
      <c r="AQ15" s="69"/>
      <c r="AR15" s="69" t="s">
        <v>317</v>
      </c>
      <c r="AS15" s="69" t="s">
        <v>364</v>
      </c>
      <c r="AT15" s="69"/>
      <c r="AU15" s="69" t="s">
        <v>317</v>
      </c>
      <c r="AV15" s="69"/>
      <c r="AW15" s="69" t="s">
        <v>331</v>
      </c>
      <c r="AX15" s="69"/>
      <c r="AY15" s="69" t="s">
        <v>366</v>
      </c>
      <c r="AZ15" s="69"/>
      <c r="BA15" s="69"/>
      <c r="BB15" s="69"/>
      <c r="BC15" s="69" t="s">
        <v>335</v>
      </c>
      <c r="BD15" s="69" t="s">
        <v>312</v>
      </c>
      <c r="BE15" s="69"/>
      <c r="BF15" s="69" t="s">
        <v>368</v>
      </c>
      <c r="BG15" s="69"/>
      <c r="BH15" s="69"/>
      <c r="BI15" s="69" t="s">
        <v>317</v>
      </c>
      <c r="BJ15" s="69"/>
      <c r="BK15" s="69" t="s">
        <v>317</v>
      </c>
      <c r="BL15" s="69"/>
      <c r="BM15" s="69"/>
      <c r="BN15" s="69"/>
    </row>
    <row r="16" spans="1:66" x14ac:dyDescent="0.25">
      <c r="A16" s="61" t="s">
        <v>3</v>
      </c>
      <c r="B16" s="68" t="s">
        <v>232</v>
      </c>
      <c r="C16" s="66">
        <v>3.5</v>
      </c>
      <c r="D16" s="64">
        <v>38</v>
      </c>
      <c r="E16" s="64">
        <f>IF(ISBLANK($D16),"0",IF(($D16-$D15)&gt;($C16-$C15),1,0))</f>
        <v>1</v>
      </c>
      <c r="F16" s="64">
        <f t="shared" ca="1" si="1"/>
        <v>33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312</v>
      </c>
      <c r="L16" s="70" t="s">
        <v>313</v>
      </c>
      <c r="M16" s="70"/>
      <c r="N16" s="70"/>
      <c r="O16" s="70" t="s">
        <v>316</v>
      </c>
      <c r="P16" s="70"/>
      <c r="Q16" s="70" t="s">
        <v>318</v>
      </c>
      <c r="R16" s="70"/>
      <c r="S16" s="70" t="s">
        <v>311</v>
      </c>
      <c r="T16" s="70"/>
      <c r="U16" s="70" t="s">
        <v>337</v>
      </c>
      <c r="V16" s="70" t="s">
        <v>343</v>
      </c>
      <c r="W16" s="70" t="s">
        <v>349</v>
      </c>
      <c r="X16" s="70" t="s">
        <v>312</v>
      </c>
      <c r="Y16" s="70" t="s">
        <v>314</v>
      </c>
      <c r="Z16" s="70" t="s">
        <v>328</v>
      </c>
      <c r="AA16" s="70" t="s">
        <v>354</v>
      </c>
      <c r="AB16" s="70"/>
      <c r="AC16" s="70"/>
      <c r="AD16" s="70"/>
      <c r="AE16" s="70"/>
      <c r="AF16" s="70" t="s">
        <v>355</v>
      </c>
      <c r="AG16" s="70"/>
      <c r="AH16" s="70" t="s">
        <v>316</v>
      </c>
      <c r="AI16" s="70" t="s">
        <v>356</v>
      </c>
      <c r="AJ16" s="70"/>
      <c r="AK16" s="70" t="s">
        <v>317</v>
      </c>
      <c r="AL16" s="70" t="s">
        <v>347</v>
      </c>
      <c r="AM16" s="70" t="s">
        <v>363</v>
      </c>
      <c r="AN16" s="70"/>
      <c r="AO16" s="70"/>
      <c r="AP16" s="70" t="s">
        <v>347</v>
      </c>
      <c r="AQ16" s="70" t="s">
        <v>313</v>
      </c>
      <c r="AR16" s="100"/>
      <c r="AS16" s="70"/>
      <c r="AT16" s="70" t="s">
        <v>334</v>
      </c>
      <c r="AU16" s="70"/>
      <c r="AV16" s="70" t="s">
        <v>317</v>
      </c>
      <c r="AW16" s="70"/>
      <c r="AX16" s="70" t="s">
        <v>365</v>
      </c>
      <c r="AY16" s="70"/>
      <c r="AZ16" s="70" t="s">
        <v>327</v>
      </c>
      <c r="BA16" s="70" t="s">
        <v>329</v>
      </c>
      <c r="BB16" s="70" t="s">
        <v>317</v>
      </c>
      <c r="BC16" s="70"/>
      <c r="BD16" s="70"/>
      <c r="BE16" s="70" t="s">
        <v>367</v>
      </c>
      <c r="BF16" s="70"/>
      <c r="BG16" s="70" t="s">
        <v>315</v>
      </c>
      <c r="BH16" s="70" t="s">
        <v>317</v>
      </c>
      <c r="BI16" s="70"/>
      <c r="BJ16" s="70" t="s">
        <v>317</v>
      </c>
      <c r="BK16" s="70"/>
      <c r="BL16" s="70" t="s">
        <v>317</v>
      </c>
      <c r="BM16" s="70" t="s">
        <v>353</v>
      </c>
      <c r="BN16" s="70" t="s">
        <v>312</v>
      </c>
    </row>
    <row r="17" spans="1:66" x14ac:dyDescent="0.25">
      <c r="A17" s="59">
        <v>8</v>
      </c>
      <c r="B17" s="67" t="s">
        <v>223</v>
      </c>
      <c r="C17" s="65"/>
      <c r="D17" s="64">
        <v>24</v>
      </c>
      <c r="E17" s="64">
        <f>IF(ISBLANK($D17),"0",IF(($D18-$D17)&lt;($C18-$C17),1,0))</f>
        <v>1</v>
      </c>
      <c r="F17" s="64">
        <f t="shared" ca="1" si="1"/>
        <v>16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/>
      <c r="L17" s="69" t="s">
        <v>313</v>
      </c>
      <c r="M17" s="69"/>
      <c r="N17" s="69"/>
      <c r="O17" s="69" t="s">
        <v>313</v>
      </c>
      <c r="P17" s="69"/>
      <c r="Q17" s="69"/>
      <c r="R17" s="69"/>
      <c r="S17" s="69" t="s">
        <v>324</v>
      </c>
      <c r="T17" s="69"/>
      <c r="U17" s="69" t="s">
        <v>338</v>
      </c>
      <c r="V17" s="69" t="s">
        <v>325</v>
      </c>
      <c r="W17" s="69"/>
      <c r="X17" s="69"/>
      <c r="Y17" s="69"/>
      <c r="Z17" s="69"/>
      <c r="AA17" s="69"/>
      <c r="AB17" s="69"/>
      <c r="AC17" s="69" t="s">
        <v>317</v>
      </c>
      <c r="AD17" s="69"/>
      <c r="AE17" s="69"/>
      <c r="AF17" s="69" t="s">
        <v>355</v>
      </c>
      <c r="AG17" s="69"/>
      <c r="AH17" s="69"/>
      <c r="AI17" s="69"/>
      <c r="AJ17" s="69" t="s">
        <v>313</v>
      </c>
      <c r="AK17" s="69"/>
      <c r="AL17" s="69"/>
      <c r="AM17" s="69"/>
      <c r="AN17" s="69"/>
      <c r="AO17" s="69"/>
      <c r="AP17" s="69"/>
      <c r="AQ17" s="69" t="s">
        <v>313</v>
      </c>
      <c r="AR17" s="99" t="s">
        <v>317</v>
      </c>
      <c r="AS17" s="69"/>
      <c r="AT17" s="69"/>
      <c r="AU17" s="69"/>
      <c r="AV17" s="69"/>
      <c r="AW17" s="69"/>
      <c r="AX17" s="69"/>
      <c r="AY17" s="69" t="s">
        <v>366</v>
      </c>
      <c r="AZ17" s="69"/>
      <c r="BA17" s="69"/>
      <c r="BB17" s="69" t="s">
        <v>317</v>
      </c>
      <c r="BC17" s="69"/>
      <c r="BD17" s="69"/>
      <c r="BE17" s="69"/>
      <c r="BF17" s="69"/>
      <c r="BG17" s="69" t="s">
        <v>315</v>
      </c>
      <c r="BH17" s="69" t="s">
        <v>317</v>
      </c>
      <c r="BI17" s="69" t="s">
        <v>317</v>
      </c>
      <c r="BJ17" s="69" t="s">
        <v>317</v>
      </c>
      <c r="BK17" s="69"/>
      <c r="BL17" s="69"/>
      <c r="BM17" s="69"/>
      <c r="BN17" s="69"/>
    </row>
    <row r="18" spans="1:66" x14ac:dyDescent="0.25">
      <c r="A18" s="61" t="s">
        <v>3</v>
      </c>
      <c r="B18" s="68" t="s">
        <v>163</v>
      </c>
      <c r="C18" s="66">
        <v>3.5</v>
      </c>
      <c r="D18" s="64">
        <v>17</v>
      </c>
      <c r="E18" s="64">
        <f>IF(ISBLANK($D18),"0",IF(($D18-$D17)&gt;($C18-$C17),1,0))</f>
        <v>0</v>
      </c>
      <c r="F18" s="64">
        <f t="shared" ca="1" si="1"/>
        <v>40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311</v>
      </c>
      <c r="K18" s="70" t="s">
        <v>312</v>
      </c>
      <c r="L18" s="70"/>
      <c r="M18" s="70" t="s">
        <v>312</v>
      </c>
      <c r="N18" s="70" t="s">
        <v>313</v>
      </c>
      <c r="O18" s="70"/>
      <c r="P18" s="70" t="s">
        <v>317</v>
      </c>
      <c r="Q18" s="70" t="s">
        <v>318</v>
      </c>
      <c r="R18" s="70" t="s">
        <v>312</v>
      </c>
      <c r="S18" s="70"/>
      <c r="T18" s="70" t="s">
        <v>330</v>
      </c>
      <c r="U18" s="70"/>
      <c r="V18" s="70"/>
      <c r="W18" s="70" t="s">
        <v>320</v>
      </c>
      <c r="X18" s="70" t="s">
        <v>312</v>
      </c>
      <c r="Y18" s="70" t="s">
        <v>313</v>
      </c>
      <c r="Z18" s="70" t="s">
        <v>347</v>
      </c>
      <c r="AA18" s="70" t="s">
        <v>354</v>
      </c>
      <c r="AB18" s="70" t="s">
        <v>317</v>
      </c>
      <c r="AC18" s="70"/>
      <c r="AD18" s="70" t="s">
        <v>317</v>
      </c>
      <c r="AE18" s="70" t="s">
        <v>355</v>
      </c>
      <c r="AF18" s="70"/>
      <c r="AG18" s="70" t="s">
        <v>356</v>
      </c>
      <c r="AH18" s="70" t="s">
        <v>347</v>
      </c>
      <c r="AI18" s="70" t="s">
        <v>333</v>
      </c>
      <c r="AJ18" s="70"/>
      <c r="AK18" s="70" t="s">
        <v>317</v>
      </c>
      <c r="AL18" s="70" t="s">
        <v>347</v>
      </c>
      <c r="AM18" s="70" t="s">
        <v>324</v>
      </c>
      <c r="AN18" s="70" t="s">
        <v>317</v>
      </c>
      <c r="AO18" s="70" t="s">
        <v>317</v>
      </c>
      <c r="AP18" s="70" t="s">
        <v>329</v>
      </c>
      <c r="AQ18" s="70"/>
      <c r="AR18" s="70"/>
      <c r="AS18" s="70" t="s">
        <v>316</v>
      </c>
      <c r="AT18" s="70" t="s">
        <v>334</v>
      </c>
      <c r="AU18" s="70" t="s">
        <v>317</v>
      </c>
      <c r="AV18" s="70" t="s">
        <v>317</v>
      </c>
      <c r="AW18" s="70" t="s">
        <v>320</v>
      </c>
      <c r="AX18" s="70" t="s">
        <v>364</v>
      </c>
      <c r="AY18" s="70"/>
      <c r="AZ18" s="70" t="s">
        <v>320</v>
      </c>
      <c r="BA18" s="70" t="s">
        <v>333</v>
      </c>
      <c r="BB18" s="70"/>
      <c r="BC18" s="70" t="s">
        <v>325</v>
      </c>
      <c r="BD18" s="70" t="s">
        <v>312</v>
      </c>
      <c r="BE18" s="70" t="s">
        <v>367</v>
      </c>
      <c r="BF18" s="70" t="s">
        <v>368</v>
      </c>
      <c r="BG18" s="70"/>
      <c r="BH18" s="70"/>
      <c r="BI18" s="70"/>
      <c r="BJ18" s="70"/>
      <c r="BK18" s="70" t="s">
        <v>317</v>
      </c>
      <c r="BL18" s="70" t="s">
        <v>317</v>
      </c>
      <c r="BM18" s="70" t="s">
        <v>328</v>
      </c>
      <c r="BN18" s="70" t="s">
        <v>312</v>
      </c>
    </row>
    <row r="19" spans="1:66" x14ac:dyDescent="0.25">
      <c r="A19" s="59">
        <v>9</v>
      </c>
      <c r="B19" s="67" t="s">
        <v>278</v>
      </c>
      <c r="C19" s="65"/>
      <c r="D19" s="64">
        <v>19</v>
      </c>
      <c r="E19" s="64">
        <f>IF(ISBLANK($D19),"0",IF(($D20-$D19)&lt;($C20-$C19),1,0))</f>
        <v>0</v>
      </c>
      <c r="F19" s="64">
        <f t="shared" ca="1" si="1"/>
        <v>21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311</v>
      </c>
      <c r="K19" s="69"/>
      <c r="L19" s="69" t="s">
        <v>313</v>
      </c>
      <c r="M19" s="69"/>
      <c r="N19" s="69"/>
      <c r="O19" s="69" t="s">
        <v>316</v>
      </c>
      <c r="P19" s="69" t="s">
        <v>317</v>
      </c>
      <c r="Q19" s="69" t="s">
        <v>318</v>
      </c>
      <c r="R19" s="69"/>
      <c r="S19" s="69"/>
      <c r="T19" s="69" t="s">
        <v>332</v>
      </c>
      <c r="U19" s="69" t="s">
        <v>339</v>
      </c>
      <c r="V19" s="69" t="s">
        <v>344</v>
      </c>
      <c r="W19" s="69"/>
      <c r="X19" s="69"/>
      <c r="Y19" s="69"/>
      <c r="Z19" s="69"/>
      <c r="AA19" s="69"/>
      <c r="AB19" s="69"/>
      <c r="AC19" s="69"/>
      <c r="AD19" s="69"/>
      <c r="AE19" s="69"/>
      <c r="AF19" s="69" t="s">
        <v>355</v>
      </c>
      <c r="AG19" s="69" t="s">
        <v>357</v>
      </c>
      <c r="AH19" s="69"/>
      <c r="AI19" s="69" t="s">
        <v>319</v>
      </c>
      <c r="AJ19" s="69"/>
      <c r="AK19" s="69"/>
      <c r="AL19" s="69" t="s">
        <v>347</v>
      </c>
      <c r="AM19" s="69"/>
      <c r="AN19" s="69" t="s">
        <v>317</v>
      </c>
      <c r="AO19" s="69"/>
      <c r="AP19" s="69" t="s">
        <v>315</v>
      </c>
      <c r="AQ19" s="69"/>
      <c r="AR19" s="69"/>
      <c r="AS19" s="69"/>
      <c r="AT19" s="69"/>
      <c r="AU19" s="69"/>
      <c r="AV19" s="69" t="s">
        <v>317</v>
      </c>
      <c r="AW19" s="69"/>
      <c r="AX19" s="69" t="s">
        <v>348</v>
      </c>
      <c r="AY19" s="69"/>
      <c r="AZ19" s="69" t="s">
        <v>341</v>
      </c>
      <c r="BA19" s="69" t="s">
        <v>312</v>
      </c>
      <c r="BB19" s="69" t="s">
        <v>317</v>
      </c>
      <c r="BC19" s="69"/>
      <c r="BD19" s="69"/>
      <c r="BE19" s="69"/>
      <c r="BF19" s="69"/>
      <c r="BG19" s="69" t="s">
        <v>315</v>
      </c>
      <c r="BH19" s="69" t="s">
        <v>317</v>
      </c>
      <c r="BI19" s="69"/>
      <c r="BJ19" s="69" t="s">
        <v>317</v>
      </c>
      <c r="BK19" s="69"/>
      <c r="BL19" s="69"/>
      <c r="BM19" s="69"/>
      <c r="BN19" s="69"/>
    </row>
    <row r="20" spans="1:66" x14ac:dyDescent="0.25">
      <c r="A20" s="61" t="s">
        <v>3</v>
      </c>
      <c r="B20" s="68" t="s">
        <v>175</v>
      </c>
      <c r="C20" s="66">
        <v>16.5</v>
      </c>
      <c r="D20" s="64">
        <v>43</v>
      </c>
      <c r="E20" s="64">
        <f>IF(ISBLANK($D20),"0",IF(($D20-$D19)&gt;($C20-$C19),1,0))</f>
        <v>1</v>
      </c>
      <c r="F20" s="64">
        <f t="shared" ca="1" si="1"/>
        <v>35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 t="s">
        <v>312</v>
      </c>
      <c r="L20" s="70"/>
      <c r="M20" s="70" t="s">
        <v>312</v>
      </c>
      <c r="N20" s="70" t="s">
        <v>313</v>
      </c>
      <c r="O20" s="70"/>
      <c r="P20" s="70"/>
      <c r="Q20" s="70"/>
      <c r="R20" s="70" t="s">
        <v>312</v>
      </c>
      <c r="S20" s="70" t="s">
        <v>325</v>
      </c>
      <c r="T20" s="70"/>
      <c r="U20" s="70"/>
      <c r="V20" s="70"/>
      <c r="W20" s="70" t="s">
        <v>325</v>
      </c>
      <c r="X20" s="70" t="s">
        <v>312</v>
      </c>
      <c r="Y20" s="70" t="s">
        <v>329</v>
      </c>
      <c r="Z20" s="70" t="s">
        <v>329</v>
      </c>
      <c r="AA20" s="70" t="s">
        <v>354</v>
      </c>
      <c r="AB20" s="70" t="s">
        <v>317</v>
      </c>
      <c r="AC20" s="70" t="s">
        <v>317</v>
      </c>
      <c r="AD20" s="70" t="s">
        <v>317</v>
      </c>
      <c r="AE20" s="70" t="s">
        <v>355</v>
      </c>
      <c r="AF20" s="70"/>
      <c r="AG20" s="70"/>
      <c r="AH20" s="70" t="s">
        <v>361</v>
      </c>
      <c r="AI20" s="70"/>
      <c r="AJ20" s="70" t="s">
        <v>313</v>
      </c>
      <c r="AK20" s="70" t="s">
        <v>317</v>
      </c>
      <c r="AL20" s="70"/>
      <c r="AM20" s="70" t="s">
        <v>315</v>
      </c>
      <c r="AN20" s="70"/>
      <c r="AO20" s="70" t="s">
        <v>317</v>
      </c>
      <c r="AP20" s="70"/>
      <c r="AQ20" s="70" t="s">
        <v>313</v>
      </c>
      <c r="AR20" s="100" t="s">
        <v>317</v>
      </c>
      <c r="AS20" s="70" t="s">
        <v>351</v>
      </c>
      <c r="AT20" s="70" t="s">
        <v>334</v>
      </c>
      <c r="AU20" s="70" t="s">
        <v>317</v>
      </c>
      <c r="AV20" s="70"/>
      <c r="AW20" s="70" t="s">
        <v>320</v>
      </c>
      <c r="AX20" s="70"/>
      <c r="AY20" s="70" t="s">
        <v>366</v>
      </c>
      <c r="AZ20" s="70"/>
      <c r="BA20" s="70"/>
      <c r="BB20" s="70"/>
      <c r="BC20" s="70" t="s">
        <v>311</v>
      </c>
      <c r="BD20" s="70" t="s">
        <v>312</v>
      </c>
      <c r="BE20" s="70" t="s">
        <v>367</v>
      </c>
      <c r="BF20" s="70" t="s">
        <v>368</v>
      </c>
      <c r="BG20" s="70"/>
      <c r="BH20" s="70"/>
      <c r="BI20" s="70" t="s">
        <v>317</v>
      </c>
      <c r="BJ20" s="70"/>
      <c r="BK20" s="70" t="s">
        <v>317</v>
      </c>
      <c r="BL20" s="70" t="s">
        <v>317</v>
      </c>
      <c r="BM20" s="70" t="s">
        <v>347</v>
      </c>
      <c r="BN20" s="70" t="s">
        <v>312</v>
      </c>
    </row>
    <row r="21" spans="1:66" x14ac:dyDescent="0.25">
      <c r="A21" s="59">
        <v>10</v>
      </c>
      <c r="B21" s="67" t="s">
        <v>181</v>
      </c>
      <c r="C21" s="65">
        <v>1.5</v>
      </c>
      <c r="D21" s="64">
        <v>27</v>
      </c>
      <c r="E21" s="64">
        <f>IF(ISBLANK($D21),"0",IF(($D22-$D21)&lt;($C22-$C21),1,0))</f>
        <v>0</v>
      </c>
      <c r="F21" s="64">
        <f t="shared" ca="1" si="1"/>
        <v>35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313</v>
      </c>
      <c r="M21" s="69" t="s">
        <v>312</v>
      </c>
      <c r="N21" s="69"/>
      <c r="O21" s="69"/>
      <c r="P21" s="69" t="s">
        <v>317</v>
      </c>
      <c r="Q21" s="69"/>
      <c r="R21" s="69" t="s">
        <v>312</v>
      </c>
      <c r="S21" s="69" t="s">
        <v>326</v>
      </c>
      <c r="T21" s="69" t="s">
        <v>333</v>
      </c>
      <c r="U21" s="69" t="s">
        <v>311</v>
      </c>
      <c r="V21" s="69" t="s">
        <v>345</v>
      </c>
      <c r="W21" s="69" t="s">
        <v>350</v>
      </c>
      <c r="X21" s="69" t="s">
        <v>312</v>
      </c>
      <c r="Y21" s="69" t="s">
        <v>313</v>
      </c>
      <c r="Z21" s="69"/>
      <c r="AA21" s="69" t="s">
        <v>354</v>
      </c>
      <c r="AB21" s="69" t="s">
        <v>317</v>
      </c>
      <c r="AC21" s="69" t="s">
        <v>317</v>
      </c>
      <c r="AD21" s="69"/>
      <c r="AE21" s="69" t="s">
        <v>355</v>
      </c>
      <c r="AF21" s="69" t="s">
        <v>355</v>
      </c>
      <c r="AG21" s="69"/>
      <c r="AH21" s="69" t="s">
        <v>361</v>
      </c>
      <c r="AI21" s="69" t="s">
        <v>326</v>
      </c>
      <c r="AJ21" s="69" t="s">
        <v>362</v>
      </c>
      <c r="AK21" s="69" t="s">
        <v>317</v>
      </c>
      <c r="AL21" s="69" t="s">
        <v>347</v>
      </c>
      <c r="AM21" s="69" t="s">
        <v>324</v>
      </c>
      <c r="AN21" s="69" t="s">
        <v>317</v>
      </c>
      <c r="AO21" s="69" t="s">
        <v>317</v>
      </c>
      <c r="AP21" s="69" t="s">
        <v>322</v>
      </c>
      <c r="AQ21" s="69"/>
      <c r="AR21" s="99" t="s">
        <v>317</v>
      </c>
      <c r="AS21" s="69" t="s">
        <v>333</v>
      </c>
      <c r="AT21" s="69"/>
      <c r="AU21" s="69"/>
      <c r="AV21" s="69"/>
      <c r="AW21" s="69"/>
      <c r="AX21" s="69"/>
      <c r="AY21" s="69" t="s">
        <v>366</v>
      </c>
      <c r="AZ21" s="69" t="s">
        <v>320</v>
      </c>
      <c r="BA21" s="69"/>
      <c r="BB21" s="69" t="s">
        <v>317</v>
      </c>
      <c r="BC21" s="69"/>
      <c r="BD21" s="69"/>
      <c r="BE21" s="69"/>
      <c r="BF21" s="69" t="s">
        <v>368</v>
      </c>
      <c r="BG21" s="69"/>
      <c r="BH21" s="69" t="s">
        <v>317</v>
      </c>
      <c r="BI21" s="69"/>
      <c r="BJ21" s="69"/>
      <c r="BK21" s="69" t="s">
        <v>317</v>
      </c>
      <c r="BL21" s="69" t="s">
        <v>317</v>
      </c>
      <c r="BM21" s="69" t="s">
        <v>369</v>
      </c>
      <c r="BN21" s="69"/>
    </row>
    <row r="22" spans="1:66" x14ac:dyDescent="0.25">
      <c r="A22" s="61" t="s">
        <v>3</v>
      </c>
      <c r="B22" s="68" t="s">
        <v>156</v>
      </c>
      <c r="C22" s="66"/>
      <c r="D22" s="64">
        <v>40</v>
      </c>
      <c r="E22" s="64">
        <f>IF(ISBLANK($D22),"0",IF(($D22-$D21)&gt;($C22-$C21),1,0))</f>
        <v>1</v>
      </c>
      <c r="F22" s="64">
        <f t="shared" ca="1" si="1"/>
        <v>21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311</v>
      </c>
      <c r="K22" s="70" t="s">
        <v>312</v>
      </c>
      <c r="L22" s="70"/>
      <c r="M22" s="70"/>
      <c r="N22" s="70" t="s">
        <v>313</v>
      </c>
      <c r="O22" s="70" t="s">
        <v>313</v>
      </c>
      <c r="P22" s="70"/>
      <c r="Q22" s="70" t="s">
        <v>318</v>
      </c>
      <c r="R22" s="70"/>
      <c r="S22" s="70"/>
      <c r="T22" s="70"/>
      <c r="U22" s="70"/>
      <c r="V22" s="70"/>
      <c r="W22" s="70"/>
      <c r="X22" s="70"/>
      <c r="Y22" s="70"/>
      <c r="Z22" s="70" t="s">
        <v>326</v>
      </c>
      <c r="AA22" s="70"/>
      <c r="AB22" s="70"/>
      <c r="AC22" s="70"/>
      <c r="AD22" s="70" t="s">
        <v>317</v>
      </c>
      <c r="AE22" s="70"/>
      <c r="AF22" s="70"/>
      <c r="AG22" s="70" t="s">
        <v>357</v>
      </c>
      <c r="AH22" s="70"/>
      <c r="AI22" s="70"/>
      <c r="AJ22" s="70"/>
      <c r="AK22" s="70"/>
      <c r="AL22" s="70"/>
      <c r="AM22" s="70"/>
      <c r="AN22" s="70"/>
      <c r="AO22" s="70"/>
      <c r="AP22" s="70"/>
      <c r="AQ22" s="70" t="s">
        <v>313</v>
      </c>
      <c r="AR22" s="70"/>
      <c r="AS22" s="70"/>
      <c r="AT22" s="70" t="s">
        <v>334</v>
      </c>
      <c r="AU22" s="70" t="s">
        <v>317</v>
      </c>
      <c r="AV22" s="70" t="s">
        <v>317</v>
      </c>
      <c r="AW22" s="70" t="s">
        <v>339</v>
      </c>
      <c r="AX22" s="70" t="s">
        <v>323</v>
      </c>
      <c r="AY22" s="70"/>
      <c r="AZ22" s="70"/>
      <c r="BA22" s="70" t="s">
        <v>314</v>
      </c>
      <c r="BB22" s="70"/>
      <c r="BC22" s="70" t="s">
        <v>326</v>
      </c>
      <c r="BD22" s="70" t="s">
        <v>312</v>
      </c>
      <c r="BE22" s="70" t="s">
        <v>367</v>
      </c>
      <c r="BF22" s="70"/>
      <c r="BG22" s="70" t="s">
        <v>315</v>
      </c>
      <c r="BH22" s="70"/>
      <c r="BI22" s="70" t="s">
        <v>317</v>
      </c>
      <c r="BJ22" s="70" t="s">
        <v>317</v>
      </c>
      <c r="BK22" s="70"/>
      <c r="BL22" s="70"/>
      <c r="BM22" s="70"/>
      <c r="BN22" s="70" t="s">
        <v>312</v>
      </c>
    </row>
    <row r="23" spans="1:66" x14ac:dyDescent="0.25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>
        <v>30</v>
      </c>
      <c r="K23" s="78">
        <v>21</v>
      </c>
      <c r="L23" s="78">
        <v>58</v>
      </c>
      <c r="M23" s="78">
        <v>35</v>
      </c>
      <c r="N23" s="80">
        <v>5</v>
      </c>
      <c r="O23" s="78">
        <v>21</v>
      </c>
      <c r="P23" s="78">
        <v>20</v>
      </c>
      <c r="Q23" s="78">
        <v>21</v>
      </c>
      <c r="R23" s="78">
        <v>38</v>
      </c>
      <c r="S23" s="78">
        <v>27</v>
      </c>
      <c r="T23" s="78">
        <v>30</v>
      </c>
      <c r="U23" s="78">
        <v>39</v>
      </c>
      <c r="V23" s="78">
        <v>24</v>
      </c>
      <c r="W23" s="78">
        <v>35</v>
      </c>
      <c r="X23" s="78">
        <v>28</v>
      </c>
      <c r="Y23" s="78">
        <v>28</v>
      </c>
      <c r="Z23" s="78">
        <v>31</v>
      </c>
      <c r="AA23" s="78">
        <v>17</v>
      </c>
      <c r="AB23" s="78">
        <v>28</v>
      </c>
      <c r="AC23" s="78">
        <v>54</v>
      </c>
      <c r="AD23" s="78">
        <v>21</v>
      </c>
      <c r="AE23" s="78">
        <v>33</v>
      </c>
      <c r="AF23" s="78">
        <v>24</v>
      </c>
      <c r="AG23" s="78">
        <v>19</v>
      </c>
      <c r="AH23" s="78">
        <v>27</v>
      </c>
      <c r="AI23" s="78">
        <v>37</v>
      </c>
      <c r="AJ23" s="78">
        <v>51</v>
      </c>
      <c r="AK23" s="78">
        <v>42</v>
      </c>
      <c r="AL23" s="78">
        <v>20</v>
      </c>
      <c r="AM23" s="78">
        <v>26</v>
      </c>
      <c r="AN23" s="78">
        <v>31</v>
      </c>
      <c r="AO23" s="78">
        <v>23</v>
      </c>
      <c r="AP23" s="78">
        <v>24</v>
      </c>
      <c r="AQ23" s="78">
        <v>55</v>
      </c>
      <c r="AR23" s="78">
        <v>28</v>
      </c>
      <c r="AS23" s="78">
        <v>24</v>
      </c>
      <c r="AT23" s="78">
        <v>24</v>
      </c>
      <c r="AU23" s="78">
        <v>21</v>
      </c>
      <c r="AV23" s="78">
        <v>21</v>
      </c>
      <c r="AW23" s="78">
        <v>24</v>
      </c>
      <c r="AX23" s="78">
        <v>35</v>
      </c>
      <c r="AY23" s="78">
        <v>36</v>
      </c>
      <c r="AZ23" s="78">
        <v>36</v>
      </c>
      <c r="BA23" s="78">
        <v>21</v>
      </c>
      <c r="BB23" s="78">
        <v>48</v>
      </c>
      <c r="BC23" s="78">
        <v>21</v>
      </c>
      <c r="BD23" s="78">
        <v>13</v>
      </c>
      <c r="BE23" s="78">
        <v>21</v>
      </c>
      <c r="BF23" s="78">
        <v>40</v>
      </c>
      <c r="BG23" s="78">
        <v>16</v>
      </c>
      <c r="BH23" s="78">
        <v>29</v>
      </c>
      <c r="BI23" s="78">
        <v>24</v>
      </c>
      <c r="BJ23" s="78">
        <v>24</v>
      </c>
      <c r="BK23" s="78">
        <v>27</v>
      </c>
      <c r="BL23" s="78">
        <v>17</v>
      </c>
      <c r="BM23" s="78">
        <v>35</v>
      </c>
      <c r="BN23" s="78">
        <v>24</v>
      </c>
    </row>
    <row r="24" spans="1:66" x14ac:dyDescent="0.25">
      <c r="A24" s="61"/>
      <c r="B24" s="68" t="str">
        <f>B22&amp; " - score"</f>
        <v>LSU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24</v>
      </c>
      <c r="G24" s="61"/>
      <c r="H24" s="62"/>
      <c r="I24" s="63"/>
      <c r="J24" s="79">
        <v>31</v>
      </c>
      <c r="K24" s="79">
        <v>24</v>
      </c>
      <c r="L24" s="79">
        <v>47</v>
      </c>
      <c r="M24" s="79">
        <v>24</v>
      </c>
      <c r="N24" s="79">
        <v>56</v>
      </c>
      <c r="O24" s="79">
        <v>24</v>
      </c>
      <c r="P24" s="79">
        <v>17</v>
      </c>
      <c r="Q24" s="79">
        <v>34</v>
      </c>
      <c r="R24" s="79">
        <v>24</v>
      </c>
      <c r="S24" s="79">
        <v>17</v>
      </c>
      <c r="T24" s="79">
        <v>21</v>
      </c>
      <c r="U24" s="79">
        <v>8</v>
      </c>
      <c r="V24" s="79">
        <v>17</v>
      </c>
      <c r="W24" s="79">
        <v>21</v>
      </c>
      <c r="X24" s="79">
        <v>17</v>
      </c>
      <c r="Y24" s="79">
        <v>21</v>
      </c>
      <c r="Z24" s="79">
        <v>33</v>
      </c>
      <c r="AA24" s="79">
        <v>10</v>
      </c>
      <c r="AB24" s="79">
        <v>14</v>
      </c>
      <c r="AC24" s="79">
        <v>28</v>
      </c>
      <c r="AD24" s="79">
        <v>34</v>
      </c>
      <c r="AE24" s="79">
        <v>18</v>
      </c>
      <c r="AF24" s="79">
        <v>21</v>
      </c>
      <c r="AG24" s="79">
        <v>27</v>
      </c>
      <c r="AH24" s="79">
        <v>24</v>
      </c>
      <c r="AI24" s="79">
        <v>21</v>
      </c>
      <c r="AJ24" s="79">
        <v>21</v>
      </c>
      <c r="AK24" s="79">
        <v>38</v>
      </c>
      <c r="AL24" s="79">
        <v>16</v>
      </c>
      <c r="AM24" s="79">
        <v>21</v>
      </c>
      <c r="AN24" s="79">
        <v>23</v>
      </c>
      <c r="AO24" s="79">
        <v>17</v>
      </c>
      <c r="AP24" s="79">
        <v>13</v>
      </c>
      <c r="AQ24" s="79">
        <v>58</v>
      </c>
      <c r="AR24" s="79">
        <v>17</v>
      </c>
      <c r="AS24" s="79">
        <v>20</v>
      </c>
      <c r="AT24" s="79">
        <v>31</v>
      </c>
      <c r="AU24" s="79">
        <v>24</v>
      </c>
      <c r="AV24" s="79">
        <v>24</v>
      </c>
      <c r="AW24" s="79">
        <v>27</v>
      </c>
      <c r="AX24" s="79">
        <v>37</v>
      </c>
      <c r="AY24" s="79">
        <v>24</v>
      </c>
      <c r="AZ24" s="79">
        <v>28</v>
      </c>
      <c r="BA24" s="79">
        <v>35</v>
      </c>
      <c r="BB24" s="79">
        <v>16</v>
      </c>
      <c r="BC24" s="79">
        <v>24</v>
      </c>
      <c r="BD24" s="79">
        <v>24</v>
      </c>
      <c r="BE24" s="79">
        <v>24</v>
      </c>
      <c r="BF24" s="79">
        <v>24</v>
      </c>
      <c r="BG24" s="79">
        <v>18</v>
      </c>
      <c r="BH24" s="79">
        <v>25</v>
      </c>
      <c r="BI24" s="79">
        <v>29</v>
      </c>
      <c r="BJ24" s="79">
        <v>27</v>
      </c>
      <c r="BK24" s="79">
        <v>20</v>
      </c>
      <c r="BL24" s="79">
        <v>14</v>
      </c>
      <c r="BM24" s="79">
        <v>20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3</v>
      </c>
      <c r="Q25" s="36">
        <f t="shared" si="3"/>
        <v>4</v>
      </c>
      <c r="R25" s="36">
        <f t="shared" si="3"/>
        <v>5</v>
      </c>
      <c r="S25" s="36">
        <f t="shared" si="3"/>
        <v>6</v>
      </c>
      <c r="T25" s="36">
        <f t="shared" si="3"/>
        <v>1</v>
      </c>
      <c r="U25" s="36">
        <f t="shared" si="3"/>
        <v>4</v>
      </c>
      <c r="V25" s="36">
        <f t="shared" si="3"/>
        <v>4</v>
      </c>
      <c r="W25" s="36">
        <f t="shared" si="3"/>
        <v>3</v>
      </c>
      <c r="X25" s="36">
        <f t="shared" si="3"/>
        <v>5</v>
      </c>
      <c r="Y25" s="36">
        <f t="shared" si="3"/>
        <v>3</v>
      </c>
      <c r="Z25" s="36">
        <f t="shared" si="3"/>
        <v>6</v>
      </c>
      <c r="AA25" s="36">
        <f t="shared" si="3"/>
        <v>3</v>
      </c>
      <c r="AB25" s="36">
        <f t="shared" si="3"/>
        <v>5</v>
      </c>
      <c r="AC25" s="36">
        <f t="shared" si="3"/>
        <v>5</v>
      </c>
      <c r="AD25" s="36">
        <f t="shared" si="3"/>
        <v>5</v>
      </c>
      <c r="AE25" s="36">
        <f t="shared" si="3"/>
        <v>5</v>
      </c>
      <c r="AF25" s="36">
        <f t="shared" si="3"/>
        <v>4</v>
      </c>
      <c r="AG25" s="36">
        <f t="shared" si="3"/>
        <v>6</v>
      </c>
      <c r="AH25" s="36">
        <f t="shared" si="3"/>
        <v>5</v>
      </c>
      <c r="AI25" s="36">
        <f t="shared" si="3"/>
        <v>2</v>
      </c>
      <c r="AJ25" s="36">
        <f t="shared" si="3"/>
        <v>4</v>
      </c>
      <c r="AK25" s="36">
        <f t="shared" si="3"/>
        <v>5</v>
      </c>
      <c r="AL25" s="36">
        <f t="shared" si="3"/>
        <v>4</v>
      </c>
      <c r="AM25" s="36">
        <f t="shared" si="3"/>
        <v>3</v>
      </c>
      <c r="AN25" s="36">
        <f t="shared" si="3"/>
        <v>4</v>
      </c>
      <c r="AO25" s="36">
        <f t="shared" si="3"/>
        <v>4</v>
      </c>
      <c r="AP25" s="36">
        <f t="shared" si="3"/>
        <v>3</v>
      </c>
      <c r="AQ25" s="36">
        <f t="shared" si="3"/>
        <v>6</v>
      </c>
      <c r="AR25" s="36">
        <f t="shared" si="3"/>
        <v>5</v>
      </c>
      <c r="AS25" s="36">
        <f t="shared" si="3"/>
        <v>3</v>
      </c>
      <c r="AT25" s="36">
        <f t="shared" si="3"/>
        <v>4</v>
      </c>
      <c r="AU25" s="36">
        <f t="shared" si="3"/>
        <v>5</v>
      </c>
      <c r="AV25" s="36">
        <f t="shared" si="3"/>
        <v>4</v>
      </c>
      <c r="AW25" s="36">
        <f t="shared" si="3"/>
        <v>3</v>
      </c>
      <c r="AX25" s="36">
        <f t="shared" si="3"/>
        <v>4</v>
      </c>
      <c r="AY25" s="36">
        <f t="shared" si="3"/>
        <v>4</v>
      </c>
      <c r="AZ25" s="36">
        <f t="shared" si="3"/>
        <v>3</v>
      </c>
      <c r="BA25" s="36">
        <f t="shared" si="3"/>
        <v>4</v>
      </c>
      <c r="BB25" s="36">
        <f t="shared" si="3"/>
        <v>3</v>
      </c>
      <c r="BC25" s="36">
        <f t="shared" si="3"/>
        <v>4</v>
      </c>
      <c r="BD25" s="36">
        <f t="shared" si="3"/>
        <v>5</v>
      </c>
      <c r="BE25" s="36">
        <f t="shared" si="3"/>
        <v>5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4</v>
      </c>
      <c r="BG25" s="36">
        <f t="shared" si="4"/>
        <v>5</v>
      </c>
      <c r="BH25" s="36">
        <f t="shared" si="4"/>
        <v>4</v>
      </c>
      <c r="BI25" s="36">
        <f t="shared" si="4"/>
        <v>6</v>
      </c>
      <c r="BJ25" s="36">
        <f t="shared" si="4"/>
        <v>6</v>
      </c>
      <c r="BK25" s="36">
        <f t="shared" si="4"/>
        <v>3</v>
      </c>
      <c r="BL25" s="36">
        <f t="shared" si="4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7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AO26" si="5">ABS((L23-L24)-($D21-$D22))</f>
        <v>24</v>
      </c>
      <c r="M26" s="71">
        <f t="shared" si="5"/>
        <v>24</v>
      </c>
      <c r="N26" s="71">
        <f t="shared" si="5"/>
        <v>38</v>
      </c>
      <c r="O26" s="71">
        <f t="shared" si="5"/>
        <v>10</v>
      </c>
      <c r="P26" s="71">
        <f t="shared" si="5"/>
        <v>16</v>
      </c>
      <c r="Q26" s="71">
        <f t="shared" si="5"/>
        <v>0</v>
      </c>
      <c r="R26" s="71">
        <f t="shared" si="5"/>
        <v>27</v>
      </c>
      <c r="S26" s="71">
        <f t="shared" si="5"/>
        <v>23</v>
      </c>
      <c r="T26" s="71">
        <f t="shared" si="5"/>
        <v>22</v>
      </c>
      <c r="U26" s="71">
        <f t="shared" si="5"/>
        <v>44</v>
      </c>
      <c r="V26" s="71">
        <f t="shared" si="5"/>
        <v>20</v>
      </c>
      <c r="W26" s="71">
        <f t="shared" si="5"/>
        <v>27</v>
      </c>
      <c r="X26" s="71">
        <f t="shared" si="5"/>
        <v>24</v>
      </c>
      <c r="Y26" s="71">
        <f t="shared" si="5"/>
        <v>20</v>
      </c>
      <c r="Z26" s="71">
        <f t="shared" si="5"/>
        <v>11</v>
      </c>
      <c r="AA26" s="71">
        <f t="shared" si="5"/>
        <v>20</v>
      </c>
      <c r="AB26" s="71">
        <f t="shared" si="5"/>
        <v>27</v>
      </c>
      <c r="AC26" s="71">
        <f t="shared" si="5"/>
        <v>39</v>
      </c>
      <c r="AD26" s="71">
        <f t="shared" si="5"/>
        <v>0</v>
      </c>
      <c r="AE26" s="71">
        <f t="shared" si="5"/>
        <v>28</v>
      </c>
      <c r="AF26" s="71">
        <f t="shared" si="5"/>
        <v>16</v>
      </c>
      <c r="AG26" s="71">
        <f t="shared" si="5"/>
        <v>5</v>
      </c>
      <c r="AH26" s="71">
        <f t="shared" si="5"/>
        <v>16</v>
      </c>
      <c r="AI26" s="71">
        <f t="shared" si="5"/>
        <v>29</v>
      </c>
      <c r="AJ26" s="71">
        <f t="shared" si="5"/>
        <v>43</v>
      </c>
      <c r="AK26" s="71">
        <f t="shared" si="5"/>
        <v>17</v>
      </c>
      <c r="AL26" s="71">
        <f t="shared" si="5"/>
        <v>17</v>
      </c>
      <c r="AM26" s="71">
        <f t="shared" si="5"/>
        <v>18</v>
      </c>
      <c r="AN26" s="71">
        <f t="shared" si="5"/>
        <v>21</v>
      </c>
      <c r="AO26" s="71">
        <f t="shared" si="5"/>
        <v>19</v>
      </c>
      <c r="AP26" s="71">
        <f t="shared" ref="AP26:AU26" si="6">ABS((AP23-AP24)-($D21-$D22))</f>
        <v>24</v>
      </c>
      <c r="AQ26" s="71">
        <f t="shared" si="6"/>
        <v>10</v>
      </c>
      <c r="AR26" s="71">
        <f t="shared" si="6"/>
        <v>24</v>
      </c>
      <c r="AS26" s="71">
        <f t="shared" si="6"/>
        <v>17</v>
      </c>
      <c r="AT26" s="71">
        <f t="shared" si="6"/>
        <v>6</v>
      </c>
      <c r="AU26" s="71">
        <f t="shared" si="6"/>
        <v>10</v>
      </c>
      <c r="AV26" s="71">
        <f t="shared" ref="AV26:BA26" si="7">ABS((AV23-AV24)-($D21-$D22))</f>
        <v>10</v>
      </c>
      <c r="AW26" s="71">
        <f t="shared" si="7"/>
        <v>10</v>
      </c>
      <c r="AX26" s="71">
        <f t="shared" si="7"/>
        <v>11</v>
      </c>
      <c r="AY26" s="71">
        <f t="shared" si="7"/>
        <v>25</v>
      </c>
      <c r="AZ26" s="71">
        <f t="shared" si="7"/>
        <v>21</v>
      </c>
      <c r="BA26" s="71">
        <f t="shared" si="7"/>
        <v>1</v>
      </c>
      <c r="BB26" s="71">
        <f t="shared" ref="BB26:BG26" si="8">ABS((BB23-BB24)-($D21-$D22))</f>
        <v>45</v>
      </c>
      <c r="BC26" s="71">
        <f t="shared" si="8"/>
        <v>10</v>
      </c>
      <c r="BD26" s="71">
        <f t="shared" si="8"/>
        <v>2</v>
      </c>
      <c r="BE26" s="71">
        <f t="shared" si="8"/>
        <v>10</v>
      </c>
      <c r="BF26" s="71">
        <f t="shared" si="8"/>
        <v>29</v>
      </c>
      <c r="BG26" s="71">
        <f t="shared" si="8"/>
        <v>11</v>
      </c>
      <c r="BH26" s="71">
        <f t="shared" ref="BH26:BM26" si="9">ABS((BH23-BH24)-($D21-$D22))</f>
        <v>17</v>
      </c>
      <c r="BI26" s="71">
        <f t="shared" si="9"/>
        <v>8</v>
      </c>
      <c r="BJ26" s="71">
        <f t="shared" si="9"/>
        <v>10</v>
      </c>
      <c r="BK26" s="71">
        <f t="shared" si="9"/>
        <v>20</v>
      </c>
      <c r="BL26" s="71">
        <f t="shared" si="9"/>
        <v>16</v>
      </c>
      <c r="BM26" s="71">
        <f t="shared" si="9"/>
        <v>28</v>
      </c>
      <c r="BN26" s="71">
        <f t="shared" ref="BN26" si="10">ABS((BN23-BN24)-($D21-$D22))</f>
        <v>9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22</v>
      </c>
      <c r="L27" s="71">
        <f t="shared" ref="L27:AO27" si="11">ABS(($D21+$D22)-(L23+L24))</f>
        <v>38</v>
      </c>
      <c r="M27" s="71">
        <f t="shared" si="11"/>
        <v>8</v>
      </c>
      <c r="N27" s="71">
        <f t="shared" si="11"/>
        <v>6</v>
      </c>
      <c r="O27" s="71">
        <f t="shared" si="11"/>
        <v>22</v>
      </c>
      <c r="P27" s="71">
        <f t="shared" si="11"/>
        <v>30</v>
      </c>
      <c r="Q27" s="71">
        <f t="shared" si="11"/>
        <v>12</v>
      </c>
      <c r="R27" s="71">
        <f t="shared" si="11"/>
        <v>5</v>
      </c>
      <c r="S27" s="71">
        <f t="shared" si="11"/>
        <v>23</v>
      </c>
      <c r="T27" s="71">
        <f t="shared" si="11"/>
        <v>16</v>
      </c>
      <c r="U27" s="71">
        <f t="shared" si="11"/>
        <v>20</v>
      </c>
      <c r="V27" s="71">
        <f t="shared" si="11"/>
        <v>26</v>
      </c>
      <c r="W27" s="71">
        <f t="shared" si="11"/>
        <v>11</v>
      </c>
      <c r="X27" s="71">
        <f t="shared" si="11"/>
        <v>22</v>
      </c>
      <c r="Y27" s="71">
        <f t="shared" si="11"/>
        <v>18</v>
      </c>
      <c r="Z27" s="71">
        <f t="shared" si="11"/>
        <v>3</v>
      </c>
      <c r="AA27" s="71">
        <f t="shared" si="11"/>
        <v>40</v>
      </c>
      <c r="AB27" s="71">
        <f t="shared" si="11"/>
        <v>25</v>
      </c>
      <c r="AC27" s="71">
        <f t="shared" si="11"/>
        <v>15</v>
      </c>
      <c r="AD27" s="71">
        <f t="shared" si="11"/>
        <v>12</v>
      </c>
      <c r="AE27" s="71">
        <f t="shared" si="11"/>
        <v>16</v>
      </c>
      <c r="AF27" s="71">
        <f t="shared" si="11"/>
        <v>22</v>
      </c>
      <c r="AG27" s="71">
        <f t="shared" si="11"/>
        <v>21</v>
      </c>
      <c r="AH27" s="71">
        <f t="shared" si="11"/>
        <v>16</v>
      </c>
      <c r="AI27" s="71">
        <f t="shared" si="11"/>
        <v>9</v>
      </c>
      <c r="AJ27" s="71">
        <f t="shared" si="11"/>
        <v>5</v>
      </c>
      <c r="AK27" s="71">
        <f t="shared" si="11"/>
        <v>13</v>
      </c>
      <c r="AL27" s="71">
        <f t="shared" si="11"/>
        <v>31</v>
      </c>
      <c r="AM27" s="71">
        <f t="shared" si="11"/>
        <v>20</v>
      </c>
      <c r="AN27" s="71">
        <f t="shared" si="11"/>
        <v>13</v>
      </c>
      <c r="AO27" s="71">
        <f t="shared" si="11"/>
        <v>27</v>
      </c>
      <c r="AP27" s="71">
        <f t="shared" ref="AP27:AU27" si="12">ABS(($D21+$D22)-(AP23+AP24))</f>
        <v>30</v>
      </c>
      <c r="AQ27" s="71">
        <f t="shared" si="12"/>
        <v>46</v>
      </c>
      <c r="AR27" s="71">
        <f t="shared" si="12"/>
        <v>22</v>
      </c>
      <c r="AS27" s="71">
        <f t="shared" si="12"/>
        <v>23</v>
      </c>
      <c r="AT27" s="71">
        <f t="shared" si="12"/>
        <v>12</v>
      </c>
      <c r="AU27" s="71">
        <f t="shared" si="12"/>
        <v>22</v>
      </c>
      <c r="AV27" s="71">
        <f t="shared" ref="AV27:BA27" si="13">ABS(($D21+$D22)-(AV23+AV24))</f>
        <v>22</v>
      </c>
      <c r="AW27" s="71">
        <f t="shared" si="13"/>
        <v>16</v>
      </c>
      <c r="AX27" s="71">
        <f t="shared" si="13"/>
        <v>5</v>
      </c>
      <c r="AY27" s="71">
        <f t="shared" si="13"/>
        <v>7</v>
      </c>
      <c r="AZ27" s="71">
        <f t="shared" si="13"/>
        <v>3</v>
      </c>
      <c r="BA27" s="71">
        <f t="shared" si="13"/>
        <v>11</v>
      </c>
      <c r="BB27" s="71">
        <f t="shared" ref="BB27:BG27" si="14">ABS(($D21+$D22)-(BB23+BB24))</f>
        <v>3</v>
      </c>
      <c r="BC27" s="71">
        <f t="shared" si="14"/>
        <v>22</v>
      </c>
      <c r="BD27" s="71">
        <f t="shared" si="14"/>
        <v>30</v>
      </c>
      <c r="BE27" s="71">
        <f t="shared" si="14"/>
        <v>22</v>
      </c>
      <c r="BF27" s="71">
        <f t="shared" si="14"/>
        <v>3</v>
      </c>
      <c r="BG27" s="71">
        <f t="shared" si="14"/>
        <v>33</v>
      </c>
      <c r="BH27" s="71">
        <f t="shared" ref="BH27:BM27" si="15">ABS(($D21+$D22)-(BH23+BH24))</f>
        <v>13</v>
      </c>
      <c r="BI27" s="71">
        <f t="shared" si="15"/>
        <v>14</v>
      </c>
      <c r="BJ27" s="71">
        <f t="shared" si="15"/>
        <v>16</v>
      </c>
      <c r="BK27" s="71">
        <f t="shared" si="15"/>
        <v>20</v>
      </c>
      <c r="BL27" s="71">
        <f t="shared" si="15"/>
        <v>36</v>
      </c>
      <c r="BM27" s="71">
        <f t="shared" si="15"/>
        <v>12</v>
      </c>
      <c r="BN27" s="71">
        <f t="shared" ref="BN27" si="16">ABS(($D21+$D22)-(BN23+BN24))</f>
        <v>15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17">IF(COUNTA($D$3:$D$22)&lt;2,"",IF(L36=MAX(INDIRECT("R36C11:R36C"&amp;11+playercnt-1,FALSE)),1,""))</f>
        <v/>
      </c>
      <c r="M28" s="72" t="str">
        <f t="shared" ca="1" si="17"/>
        <v/>
      </c>
      <c r="N28" s="72" t="str">
        <f t="shared" ca="1" si="17"/>
        <v/>
      </c>
      <c r="O28" s="72" t="str">
        <f t="shared" ca="1" si="17"/>
        <v/>
      </c>
      <c r="P28" s="72" t="str">
        <f t="shared" ca="1" si="17"/>
        <v/>
      </c>
      <c r="Q28" s="72" t="str">
        <f t="shared" ca="1" si="17"/>
        <v/>
      </c>
      <c r="R28" s="72" t="str">
        <f t="shared" ca="1" si="17"/>
        <v/>
      </c>
      <c r="S28" s="72" t="str">
        <f t="shared" ca="1" si="17"/>
        <v/>
      </c>
      <c r="T28" s="72" t="str">
        <f t="shared" ca="1" si="17"/>
        <v/>
      </c>
      <c r="U28" s="72" t="str">
        <f t="shared" ca="1" si="17"/>
        <v/>
      </c>
      <c r="V28" s="72" t="str">
        <f t="shared" ca="1" si="17"/>
        <v/>
      </c>
      <c r="W28" s="72" t="str">
        <f t="shared" ca="1" si="17"/>
        <v/>
      </c>
      <c r="X28" s="72" t="str">
        <f t="shared" ca="1" si="17"/>
        <v/>
      </c>
      <c r="Y28" s="72" t="str">
        <f t="shared" ca="1" si="17"/>
        <v/>
      </c>
      <c r="Z28" s="72" t="str">
        <f t="shared" ca="1" si="17"/>
        <v/>
      </c>
      <c r="AA28" s="72" t="str">
        <f t="shared" ca="1" si="17"/>
        <v/>
      </c>
      <c r="AB28" s="72" t="str">
        <f t="shared" ca="1" si="17"/>
        <v/>
      </c>
      <c r="AC28" s="72" t="str">
        <f t="shared" ca="1" si="17"/>
        <v/>
      </c>
      <c r="AD28" s="72" t="str">
        <f t="shared" ca="1" si="17"/>
        <v/>
      </c>
      <c r="AE28" s="72" t="str">
        <f t="shared" ca="1" si="17"/>
        <v/>
      </c>
      <c r="AF28" s="72" t="str">
        <f t="shared" ca="1" si="17"/>
        <v/>
      </c>
      <c r="AG28" s="72" t="str">
        <f t="shared" ca="1" si="17"/>
        <v/>
      </c>
      <c r="AH28" s="72" t="str">
        <f t="shared" ca="1" si="17"/>
        <v/>
      </c>
      <c r="AI28" s="72" t="str">
        <f t="shared" ca="1" si="17"/>
        <v/>
      </c>
      <c r="AJ28" s="72" t="str">
        <f t="shared" ca="1" si="17"/>
        <v/>
      </c>
      <c r="AK28" s="72" t="str">
        <f t="shared" ca="1" si="17"/>
        <v/>
      </c>
      <c r="AL28" s="72" t="str">
        <f t="shared" ca="1" si="17"/>
        <v/>
      </c>
      <c r="AM28" s="72" t="str">
        <f t="shared" ca="1" si="17"/>
        <v/>
      </c>
      <c r="AN28" s="72" t="str">
        <f t="shared" ca="1" si="17"/>
        <v/>
      </c>
      <c r="AO28" s="72" t="str">
        <f t="shared" ca="1" si="17"/>
        <v/>
      </c>
      <c r="AP28" s="72" t="str">
        <f t="shared" ca="1" si="17"/>
        <v/>
      </c>
      <c r="AQ28" s="72" t="str">
        <f t="shared" ca="1" si="17"/>
        <v/>
      </c>
      <c r="AR28" s="72" t="str">
        <f t="shared" ca="1" si="17"/>
        <v/>
      </c>
      <c r="AS28" s="72" t="str">
        <f t="shared" ca="1" si="17"/>
        <v/>
      </c>
      <c r="AT28" s="72" t="str">
        <f t="shared" ca="1" si="17"/>
        <v/>
      </c>
      <c r="AU28" s="72" t="str">
        <f t="shared" ca="1" si="17"/>
        <v/>
      </c>
      <c r="AV28" s="72" t="str">
        <f t="shared" ref="AV28:BA28" ca="1" si="18">IF(COUNTA($D$3:$D$22)&lt;2,"",IF(AV36=MAX(INDIRECT("R36C11:R36C"&amp;11+playercnt-1,FALSE)),1,""))</f>
        <v/>
      </c>
      <c r="AW28" s="72" t="str">
        <f t="shared" ca="1" si="18"/>
        <v/>
      </c>
      <c r="AX28" s="72" t="str">
        <f t="shared" ca="1" si="18"/>
        <v/>
      </c>
      <c r="AY28" s="72" t="str">
        <f t="shared" ca="1" si="18"/>
        <v/>
      </c>
      <c r="AZ28" s="72" t="str">
        <f t="shared" ca="1" si="18"/>
        <v/>
      </c>
      <c r="BA28" s="72" t="str">
        <f t="shared" ca="1" si="18"/>
        <v/>
      </c>
      <c r="BB28" s="72" t="str">
        <f t="shared" ref="BB28:BG28" ca="1" si="19">IF(COUNTA($D$3:$D$22)&lt;2,"",IF(BB36=MAX(INDIRECT("R36C11:R36C"&amp;11+playercnt-1,FALSE)),1,""))</f>
        <v/>
      </c>
      <c r="BC28" s="72" t="str">
        <f t="shared" ca="1" si="19"/>
        <v/>
      </c>
      <c r="BD28" s="72" t="str">
        <f t="shared" ca="1" si="19"/>
        <v/>
      </c>
      <c r="BE28" s="72" t="str">
        <f t="shared" ca="1" si="19"/>
        <v/>
      </c>
      <c r="BF28" s="72" t="str">
        <f t="shared" ca="1" si="19"/>
        <v/>
      </c>
      <c r="BG28" s="72" t="str">
        <f t="shared" ca="1" si="19"/>
        <v/>
      </c>
      <c r="BH28" s="72" t="str">
        <f t="shared" ref="BH28:BM28" ca="1" si="20">IF(COUNTA($D$3:$D$22)&lt;2,"",IF(BH36=MAX(INDIRECT("R36C11:R36C"&amp;11+playercnt-1,FALSE)),1,""))</f>
        <v/>
      </c>
      <c r="BI28" s="72" t="str">
        <f t="shared" ca="1" si="20"/>
        <v/>
      </c>
      <c r="BJ28" s="72" t="str">
        <f t="shared" ca="1" si="20"/>
        <v/>
      </c>
      <c r="BK28" s="72" t="str">
        <f t="shared" ca="1" si="20"/>
        <v/>
      </c>
      <c r="BL28" s="72" t="str">
        <f t="shared" ca="1" si="20"/>
        <v/>
      </c>
      <c r="BM28" s="72" t="str">
        <f t="shared" ca="1" si="20"/>
        <v/>
      </c>
      <c r="BN28" s="72">
        <f t="shared" ref="BN28" ca="1" si="21">IF(COUNTA($D$3:$D$22)&lt;2,"",IF(BN36=MAX(INDIRECT("R36C11:R36C"&amp;11+playercnt-1,FALSE)),1,""))</f>
        <v>1</v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0.4375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N29" si="22">COUNTA(L$3,L$5,L$7,L$9,L$11,L$13,L$15,L$17,L$19,L$21)</f>
        <v>5</v>
      </c>
      <c r="M29" s="71">
        <f t="shared" si="22"/>
        <v>6</v>
      </c>
      <c r="N29" s="71">
        <f t="shared" si="22"/>
        <v>4</v>
      </c>
      <c r="O29" s="71">
        <f t="shared" si="22"/>
        <v>6</v>
      </c>
      <c r="P29" s="71">
        <f t="shared" si="22"/>
        <v>6</v>
      </c>
      <c r="Q29" s="71">
        <f t="shared" si="22"/>
        <v>5</v>
      </c>
      <c r="R29" s="71">
        <f t="shared" si="22"/>
        <v>6</v>
      </c>
      <c r="S29" s="71">
        <f t="shared" si="22"/>
        <v>5</v>
      </c>
      <c r="T29" s="71">
        <f t="shared" si="22"/>
        <v>8</v>
      </c>
      <c r="U29" s="71">
        <f t="shared" si="22"/>
        <v>7</v>
      </c>
      <c r="V29" s="71">
        <f t="shared" si="22"/>
        <v>7</v>
      </c>
      <c r="W29" s="71">
        <f t="shared" si="22"/>
        <v>4</v>
      </c>
      <c r="X29" s="71">
        <f t="shared" si="22"/>
        <v>6</v>
      </c>
      <c r="Y29" s="71">
        <f t="shared" si="22"/>
        <v>4</v>
      </c>
      <c r="Z29" s="71">
        <f t="shared" si="22"/>
        <v>1</v>
      </c>
      <c r="AA29" s="71">
        <f t="shared" si="22"/>
        <v>4</v>
      </c>
      <c r="AB29" s="71">
        <f t="shared" si="22"/>
        <v>4</v>
      </c>
      <c r="AC29" s="71">
        <f t="shared" si="22"/>
        <v>4</v>
      </c>
      <c r="AD29" s="71">
        <f t="shared" si="22"/>
        <v>4</v>
      </c>
      <c r="AE29" s="71">
        <f t="shared" si="22"/>
        <v>4</v>
      </c>
      <c r="AF29" s="71">
        <f t="shared" si="22"/>
        <v>7</v>
      </c>
      <c r="AG29" s="71">
        <f t="shared" si="22"/>
        <v>5</v>
      </c>
      <c r="AH29" s="71">
        <f t="shared" si="22"/>
        <v>4</v>
      </c>
      <c r="AI29" s="71">
        <f t="shared" si="22"/>
        <v>7</v>
      </c>
      <c r="AJ29" s="71">
        <f t="shared" si="22"/>
        <v>7</v>
      </c>
      <c r="AK29" s="71">
        <f t="shared" si="22"/>
        <v>6</v>
      </c>
      <c r="AL29" s="71">
        <f t="shared" si="22"/>
        <v>5</v>
      </c>
      <c r="AM29" s="71">
        <f t="shared" si="22"/>
        <v>4</v>
      </c>
      <c r="AN29" s="71">
        <f t="shared" si="22"/>
        <v>5</v>
      </c>
      <c r="AO29" s="71">
        <f t="shared" si="22"/>
        <v>3</v>
      </c>
      <c r="AP29" s="71">
        <f t="shared" si="22"/>
        <v>6</v>
      </c>
      <c r="AQ29" s="71">
        <f t="shared" si="22"/>
        <v>5</v>
      </c>
      <c r="AR29" s="71">
        <f t="shared" si="22"/>
        <v>6</v>
      </c>
      <c r="AS29" s="71">
        <f t="shared" si="22"/>
        <v>4</v>
      </c>
      <c r="AT29" s="71">
        <f t="shared" si="22"/>
        <v>3</v>
      </c>
      <c r="AU29" s="71">
        <f t="shared" si="22"/>
        <v>4</v>
      </c>
      <c r="AV29" s="71">
        <f t="shared" si="22"/>
        <v>5</v>
      </c>
      <c r="AW29" s="71">
        <f t="shared" si="22"/>
        <v>6</v>
      </c>
      <c r="AX29" s="71">
        <f t="shared" si="22"/>
        <v>3</v>
      </c>
      <c r="AY29" s="71">
        <f t="shared" si="22"/>
        <v>7</v>
      </c>
      <c r="AZ29" s="71">
        <f t="shared" si="22"/>
        <v>6</v>
      </c>
      <c r="BA29" s="71">
        <f t="shared" si="22"/>
        <v>5</v>
      </c>
      <c r="BB29" s="71">
        <f t="shared" si="22"/>
        <v>6</v>
      </c>
      <c r="BC29" s="71">
        <f t="shared" si="22"/>
        <v>3</v>
      </c>
      <c r="BD29" s="71">
        <f t="shared" si="22"/>
        <v>6</v>
      </c>
      <c r="BE29" s="71">
        <f t="shared" si="22"/>
        <v>2</v>
      </c>
      <c r="BF29" s="71">
        <f t="shared" si="22"/>
        <v>5</v>
      </c>
      <c r="BG29" s="71">
        <f t="shared" si="22"/>
        <v>4</v>
      </c>
      <c r="BH29" s="71">
        <f t="shared" si="22"/>
        <v>9</v>
      </c>
      <c r="BI29" s="71">
        <f t="shared" si="22"/>
        <v>5</v>
      </c>
      <c r="BJ29" s="71">
        <f t="shared" si="22"/>
        <v>5</v>
      </c>
      <c r="BK29" s="71">
        <f t="shared" si="22"/>
        <v>6</v>
      </c>
      <c r="BL29" s="71">
        <f t="shared" si="22"/>
        <v>4</v>
      </c>
      <c r="BM29" s="71">
        <f t="shared" si="22"/>
        <v>5</v>
      </c>
      <c r="BN29" s="71">
        <f t="shared" si="22"/>
        <v>2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-35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23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23"/>
        <v>1</v>
      </c>
      <c r="N30" s="73">
        <f t="shared" si="23"/>
        <v>7</v>
      </c>
      <c r="O30" s="73">
        <f t="shared" si="23"/>
        <v>7</v>
      </c>
      <c r="P30" s="73">
        <f t="shared" si="23"/>
        <v>5</v>
      </c>
      <c r="Q30" s="73">
        <f t="shared" si="23"/>
        <v>6</v>
      </c>
      <c r="R30" s="73">
        <f t="shared" si="23"/>
        <v>3</v>
      </c>
      <c r="S30" s="73">
        <f t="shared" si="23"/>
        <v>2</v>
      </c>
      <c r="T30" s="73">
        <f t="shared" si="23"/>
        <v>3</v>
      </c>
      <c r="U30" s="73">
        <f t="shared" si="23"/>
        <v>6</v>
      </c>
      <c r="V30" s="73">
        <f t="shared" si="23"/>
        <v>2</v>
      </c>
      <c r="W30" s="73">
        <f t="shared" si="23"/>
        <v>1</v>
      </c>
      <c r="X30" s="73">
        <f t="shared" si="23"/>
        <v>1</v>
      </c>
      <c r="Y30" s="73">
        <f t="shared" si="23"/>
        <v>1</v>
      </c>
      <c r="Z30" s="73">
        <f t="shared" si="23"/>
        <v>4</v>
      </c>
      <c r="AA30" s="73">
        <f t="shared" si="23"/>
        <v>3</v>
      </c>
      <c r="AB30" s="73">
        <f t="shared" si="23"/>
        <v>3</v>
      </c>
      <c r="AC30" s="73">
        <f t="shared" si="23"/>
        <v>5</v>
      </c>
      <c r="AD30" s="73">
        <f t="shared" si="23"/>
        <v>3</v>
      </c>
      <c r="AE30" s="73">
        <f t="shared" si="23"/>
        <v>3</v>
      </c>
      <c r="AF30" s="73">
        <f t="shared" si="23"/>
        <v>4</v>
      </c>
      <c r="AG30" s="73">
        <f t="shared" si="23"/>
        <v>6</v>
      </c>
      <c r="AH30" s="73">
        <f t="shared" si="23"/>
        <v>3</v>
      </c>
      <c r="AI30" s="73">
        <f t="shared" si="23"/>
        <v>2</v>
      </c>
      <c r="AJ30" s="73">
        <f t="shared" si="23"/>
        <v>4</v>
      </c>
      <c r="AK30" s="73">
        <f t="shared" si="23"/>
        <v>1</v>
      </c>
      <c r="AL30" s="73">
        <f t="shared" si="23"/>
        <v>4</v>
      </c>
      <c r="AM30" s="73">
        <f t="shared" si="23"/>
        <v>1</v>
      </c>
      <c r="AN30" s="73">
        <f t="shared" si="23"/>
        <v>6</v>
      </c>
      <c r="AO30" s="73">
        <f t="shared" si="23"/>
        <v>6</v>
      </c>
      <c r="AP30" s="73">
        <f t="shared" si="23"/>
        <v>1</v>
      </c>
      <c r="AQ30" s="73">
        <f t="shared" si="23"/>
        <v>2</v>
      </c>
      <c r="AR30" s="73">
        <f t="shared" si="23"/>
        <v>5</v>
      </c>
      <c r="AS30" s="73">
        <f t="shared" si="23"/>
        <v>3</v>
      </c>
      <c r="AT30" s="73">
        <f t="shared" si="23"/>
        <v>2</v>
      </c>
      <c r="AU30" s="73">
        <f t="shared" si="23"/>
        <v>5</v>
      </c>
      <c r="AV30" s="73">
        <f t="shared" si="23"/>
        <v>6</v>
      </c>
      <c r="AW30" s="73">
        <f t="shared" si="23"/>
        <v>5</v>
      </c>
      <c r="AX30" s="73">
        <f t="shared" si="23"/>
        <v>6</v>
      </c>
      <c r="AY30" s="73">
        <f t="shared" si="23"/>
        <v>4</v>
      </c>
      <c r="AZ30" s="73">
        <f t="shared" si="23"/>
        <v>3</v>
      </c>
      <c r="BA30" s="73">
        <f t="shared" si="23"/>
        <v>4</v>
      </c>
      <c r="BB30" s="73">
        <f t="shared" si="23"/>
        <v>3</v>
      </c>
      <c r="BC30" s="73">
        <f t="shared" si="23"/>
        <v>6</v>
      </c>
      <c r="BD30" s="73">
        <f t="shared" si="23"/>
        <v>5</v>
      </c>
      <c r="BE30" s="73">
        <f t="shared" si="23"/>
        <v>5</v>
      </c>
      <c r="BF30" s="73">
        <f t="shared" si="23"/>
        <v>2</v>
      </c>
      <c r="BG30" s="73">
        <f t="shared" si="23"/>
        <v>7</v>
      </c>
      <c r="BH30" s="73">
        <f t="shared" si="23"/>
        <v>4</v>
      </c>
      <c r="BI30" s="73">
        <f t="shared" si="23"/>
        <v>6</v>
      </c>
      <c r="BJ30" s="73">
        <f t="shared" si="23"/>
        <v>6</v>
      </c>
      <c r="BK30" s="73">
        <f t="shared" si="23"/>
        <v>5</v>
      </c>
      <c r="BL30" s="73">
        <f t="shared" si="23"/>
        <v>3</v>
      </c>
      <c r="BM30" s="73">
        <f t="shared" si="23"/>
        <v>2</v>
      </c>
      <c r="BN30" s="73">
        <f t="shared" si="23"/>
        <v>5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24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7</v>
      </c>
      <c r="M31" s="71">
        <f t="shared" ca="1" si="24"/>
        <v>2</v>
      </c>
      <c r="N31" s="71">
        <f t="shared" ca="1" si="24"/>
        <v>8</v>
      </c>
      <c r="O31" s="71">
        <f t="shared" ca="1" si="24"/>
        <v>6</v>
      </c>
      <c r="P31" s="71">
        <f t="shared" ca="1" si="24"/>
        <v>4</v>
      </c>
      <c r="Q31" s="71">
        <f t="shared" ca="1" si="24"/>
        <v>5</v>
      </c>
      <c r="R31" s="71">
        <f t="shared" ca="1" si="24"/>
        <v>4</v>
      </c>
      <c r="S31" s="71">
        <f t="shared" ca="1" si="24"/>
        <v>3</v>
      </c>
      <c r="T31" s="71">
        <f t="shared" ca="1" si="24"/>
        <v>4</v>
      </c>
      <c r="U31" s="71">
        <f t="shared" ca="1" si="24"/>
        <v>5</v>
      </c>
      <c r="V31" s="71">
        <f t="shared" ca="1" si="24"/>
        <v>3</v>
      </c>
      <c r="W31" s="71">
        <f t="shared" ca="1" si="24"/>
        <v>0</v>
      </c>
      <c r="X31" s="71">
        <f t="shared" ca="1" si="24"/>
        <v>2</v>
      </c>
      <c r="Y31" s="71">
        <f t="shared" ca="1" si="24"/>
        <v>0</v>
      </c>
      <c r="Z31" s="71">
        <f t="shared" ca="1" si="24"/>
        <v>3</v>
      </c>
      <c r="AA31" s="71">
        <f t="shared" ca="1" si="24"/>
        <v>2</v>
      </c>
      <c r="AB31" s="71">
        <f t="shared" ca="1" si="24"/>
        <v>4</v>
      </c>
      <c r="AC31" s="71">
        <f t="shared" ca="1" si="24"/>
        <v>4</v>
      </c>
      <c r="AD31" s="71">
        <f t="shared" ca="1" si="24"/>
        <v>4</v>
      </c>
      <c r="AE31" s="71">
        <f t="shared" ca="1" si="24"/>
        <v>4</v>
      </c>
      <c r="AF31" s="71">
        <f t="shared" ca="1" si="24"/>
        <v>5</v>
      </c>
      <c r="AG31" s="71">
        <f t="shared" ca="1" si="24"/>
        <v>7</v>
      </c>
      <c r="AH31" s="71">
        <f t="shared" ca="1" si="24"/>
        <v>2</v>
      </c>
      <c r="AI31" s="71">
        <f t="shared" ca="1" si="24"/>
        <v>3</v>
      </c>
      <c r="AJ31" s="71">
        <f t="shared" ca="1" si="24"/>
        <v>5</v>
      </c>
      <c r="AK31" s="71">
        <f t="shared" ca="1" si="24"/>
        <v>2</v>
      </c>
      <c r="AL31" s="71">
        <f t="shared" ca="1" si="24"/>
        <v>3</v>
      </c>
      <c r="AM31" s="71">
        <f t="shared" ca="1" si="24"/>
        <v>0</v>
      </c>
      <c r="AN31" s="71">
        <f t="shared" ca="1" si="24"/>
        <v>5</v>
      </c>
      <c r="AO31" s="71">
        <f t="shared" ca="1" si="24"/>
        <v>5</v>
      </c>
      <c r="AP31" s="71">
        <f t="shared" ca="1" si="24"/>
        <v>2</v>
      </c>
      <c r="AQ31" s="71">
        <f t="shared" ca="1" si="24"/>
        <v>3</v>
      </c>
      <c r="AR31" s="71">
        <f t="shared" ca="1" si="24"/>
        <v>6</v>
      </c>
      <c r="AS31" s="71">
        <f t="shared" ca="1" si="24"/>
        <v>2</v>
      </c>
      <c r="AT31" s="71">
        <f t="shared" ca="1" si="24"/>
        <v>1</v>
      </c>
      <c r="AU31" s="71">
        <f t="shared" ca="1" si="24"/>
        <v>4</v>
      </c>
      <c r="AV31" s="71">
        <f t="shared" ca="1" si="24"/>
        <v>5</v>
      </c>
      <c r="AW31" s="71">
        <f t="shared" ca="1" si="24"/>
        <v>4</v>
      </c>
      <c r="AX31" s="71">
        <f t="shared" ca="1" si="24"/>
        <v>5</v>
      </c>
      <c r="AY31" s="71">
        <f t="shared" ca="1" si="24"/>
        <v>3</v>
      </c>
      <c r="AZ31" s="71">
        <f t="shared" ca="1" si="24"/>
        <v>2</v>
      </c>
      <c r="BA31" s="71">
        <f t="shared" ca="1" si="24"/>
        <v>3</v>
      </c>
      <c r="BB31" s="71">
        <f t="shared" ca="1" si="24"/>
        <v>2</v>
      </c>
      <c r="BC31" s="71">
        <f t="shared" ca="1" si="24"/>
        <v>5</v>
      </c>
      <c r="BD31" s="71">
        <f t="shared" ca="1" si="24"/>
        <v>6</v>
      </c>
      <c r="BE31" s="71">
        <f t="shared" ca="1" si="24"/>
        <v>4</v>
      </c>
      <c r="BF31" s="71">
        <f t="shared" ca="1" si="24"/>
        <v>3</v>
      </c>
      <c r="BG31" s="71">
        <f t="shared" ca="1" si="24"/>
        <v>6</v>
      </c>
      <c r="BH31" s="71">
        <f t="shared" ca="1" si="24"/>
        <v>5</v>
      </c>
      <c r="BI31" s="71">
        <f t="shared" ca="1" si="24"/>
        <v>7</v>
      </c>
      <c r="BJ31" s="71">
        <f t="shared" ca="1" si="24"/>
        <v>5</v>
      </c>
      <c r="BK31" s="71">
        <f t="shared" ca="1" si="24"/>
        <v>4</v>
      </c>
      <c r="BL31" s="71">
        <f t="shared" ca="1" si="24"/>
        <v>2</v>
      </c>
      <c r="BM31" s="71">
        <f t="shared" ca="1" si="24"/>
        <v>3</v>
      </c>
      <c r="BN31" s="71">
        <f t="shared" ca="1" si="24"/>
        <v>4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25">COUNTA(K3:K22)</f>
        <v>10</v>
      </c>
      <c r="L35" s="35">
        <f t="shared" si="25"/>
        <v>10</v>
      </c>
      <c r="M35" s="35">
        <f t="shared" si="25"/>
        <v>10</v>
      </c>
      <c r="N35" s="35">
        <f t="shared" si="25"/>
        <v>10</v>
      </c>
      <c r="O35" s="35">
        <f t="shared" si="25"/>
        <v>10</v>
      </c>
      <c r="P35" s="35">
        <f t="shared" si="25"/>
        <v>10</v>
      </c>
      <c r="Q35" s="35">
        <f t="shared" si="25"/>
        <v>10</v>
      </c>
      <c r="R35" s="35">
        <f t="shared" ref="R35:AB35" si="26">COUNTA(R3:R22)</f>
        <v>10</v>
      </c>
      <c r="S35" s="35">
        <f t="shared" si="26"/>
        <v>10</v>
      </c>
      <c r="T35" s="35">
        <f t="shared" si="26"/>
        <v>10</v>
      </c>
      <c r="U35" s="35">
        <f t="shared" si="26"/>
        <v>10</v>
      </c>
      <c r="V35" s="35">
        <f t="shared" si="26"/>
        <v>10</v>
      </c>
      <c r="W35" s="35">
        <f t="shared" si="26"/>
        <v>10</v>
      </c>
      <c r="X35" s="35">
        <f t="shared" si="26"/>
        <v>10</v>
      </c>
      <c r="Y35" s="35">
        <f t="shared" si="26"/>
        <v>10</v>
      </c>
      <c r="Z35" s="35">
        <f t="shared" si="26"/>
        <v>10</v>
      </c>
      <c r="AA35" s="35">
        <f t="shared" si="26"/>
        <v>10</v>
      </c>
      <c r="AB35" s="35">
        <f t="shared" si="26"/>
        <v>10</v>
      </c>
      <c r="AC35" s="35">
        <f t="shared" si="25"/>
        <v>10</v>
      </c>
      <c r="AD35" s="35">
        <f t="shared" si="25"/>
        <v>10</v>
      </c>
      <c r="AE35" s="35">
        <f t="shared" si="25"/>
        <v>10</v>
      </c>
      <c r="AF35" s="35">
        <f t="shared" si="25"/>
        <v>10</v>
      </c>
      <c r="AG35" s="35">
        <f t="shared" si="25"/>
        <v>10</v>
      </c>
      <c r="AH35" s="35">
        <f t="shared" si="25"/>
        <v>10</v>
      </c>
      <c r="AI35" s="35">
        <f t="shared" si="25"/>
        <v>10</v>
      </c>
      <c r="AJ35" s="35">
        <f t="shared" si="25"/>
        <v>10</v>
      </c>
      <c r="AK35" s="35">
        <f t="shared" si="25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27">COUNTA(AP3:AP22)</f>
        <v>10</v>
      </c>
      <c r="AQ35" s="35">
        <f t="shared" si="27"/>
        <v>10</v>
      </c>
      <c r="AR35" s="35">
        <f t="shared" si="27"/>
        <v>10</v>
      </c>
      <c r="AS35" s="35">
        <f t="shared" si="27"/>
        <v>10</v>
      </c>
      <c r="AT35" s="35">
        <f t="shared" si="27"/>
        <v>10</v>
      </c>
      <c r="AU35" s="35">
        <f t="shared" si="27"/>
        <v>10</v>
      </c>
      <c r="AV35" s="35">
        <f t="shared" ref="AV35:BA35" si="28">COUNTA(AV3:AV22)</f>
        <v>10</v>
      </c>
      <c r="AW35" s="35">
        <f t="shared" si="28"/>
        <v>10</v>
      </c>
      <c r="AX35" s="35">
        <f t="shared" si="28"/>
        <v>10</v>
      </c>
      <c r="AY35" s="35">
        <f t="shared" si="28"/>
        <v>10</v>
      </c>
      <c r="AZ35" s="35">
        <f t="shared" si="28"/>
        <v>10</v>
      </c>
      <c r="BA35" s="35">
        <f t="shared" si="28"/>
        <v>10</v>
      </c>
      <c r="BB35" s="35">
        <f t="shared" ref="BB35:BG35" si="29">COUNTA(BB3:BB22)</f>
        <v>10</v>
      </c>
      <c r="BC35" s="35">
        <f t="shared" si="29"/>
        <v>10</v>
      </c>
      <c r="BD35" s="35">
        <f t="shared" si="29"/>
        <v>10</v>
      </c>
      <c r="BE35" s="35">
        <f t="shared" si="29"/>
        <v>10</v>
      </c>
      <c r="BF35" s="35">
        <f t="shared" si="29"/>
        <v>10</v>
      </c>
      <c r="BG35" s="35">
        <f t="shared" si="29"/>
        <v>10</v>
      </c>
      <c r="BH35" s="35">
        <f t="shared" ref="BH35:BM35" si="30">COUNTA(BH3:BH22)</f>
        <v>10</v>
      </c>
      <c r="BI35" s="35">
        <f t="shared" si="30"/>
        <v>10</v>
      </c>
      <c r="BJ35" s="35">
        <f t="shared" si="30"/>
        <v>10</v>
      </c>
      <c r="BK35" s="35">
        <f t="shared" si="30"/>
        <v>10</v>
      </c>
      <c r="BL35" s="35">
        <f t="shared" si="30"/>
        <v>10</v>
      </c>
      <c r="BM35" s="35">
        <f t="shared" si="30"/>
        <v>10</v>
      </c>
      <c r="BN35" s="35">
        <f t="shared" ref="BN35" si="31">COUNTA(BN3:BN22)</f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101959912</v>
      </c>
      <c r="L36" s="32">
        <f t="shared" ref="L36:AO36" si="32">COUNTA(L23:L24)*((10000000*L25)+(1000000*(COUNTA(L21)*$E21+COUNTA(L22)*$E22))-(COUNTA($D$21:$D$22)*1000*L26)-(COUNTA($D$21:$D$22)*L27))</f>
        <v>119903848</v>
      </c>
      <c r="M36" s="32">
        <f t="shared" si="32"/>
        <v>59903968</v>
      </c>
      <c r="N36" s="32">
        <f t="shared" si="32"/>
        <v>141847976</v>
      </c>
      <c r="O36" s="32">
        <f t="shared" si="32"/>
        <v>101959912</v>
      </c>
      <c r="P36" s="32">
        <f t="shared" si="32"/>
        <v>59935880</v>
      </c>
      <c r="Q36" s="32">
        <f t="shared" si="32"/>
        <v>81999952</v>
      </c>
      <c r="R36" s="32">
        <f t="shared" si="32"/>
        <v>99891980</v>
      </c>
      <c r="S36" s="32">
        <f t="shared" si="32"/>
        <v>119907908</v>
      </c>
      <c r="T36" s="32">
        <f t="shared" si="32"/>
        <v>19911936</v>
      </c>
      <c r="U36" s="32">
        <f t="shared" si="32"/>
        <v>79823920</v>
      </c>
      <c r="V36" s="32">
        <f t="shared" si="32"/>
        <v>79919896</v>
      </c>
      <c r="W36" s="32">
        <f t="shared" si="32"/>
        <v>59891956</v>
      </c>
      <c r="X36" s="32">
        <f t="shared" si="32"/>
        <v>99903912</v>
      </c>
      <c r="Y36" s="32">
        <f t="shared" si="32"/>
        <v>59919928</v>
      </c>
      <c r="Z36" s="32">
        <f t="shared" si="32"/>
        <v>121955988</v>
      </c>
      <c r="AA36" s="32">
        <f t="shared" si="32"/>
        <v>59919840</v>
      </c>
      <c r="AB36" s="32">
        <f t="shared" si="32"/>
        <v>99891900</v>
      </c>
      <c r="AC36" s="32">
        <f t="shared" si="32"/>
        <v>99843940</v>
      </c>
      <c r="AD36" s="32">
        <f t="shared" si="32"/>
        <v>101999952</v>
      </c>
      <c r="AE36" s="32">
        <f t="shared" si="32"/>
        <v>99887936</v>
      </c>
      <c r="AF36" s="32">
        <f t="shared" si="32"/>
        <v>79935912</v>
      </c>
      <c r="AG36" s="32">
        <f t="shared" si="32"/>
        <v>121979916</v>
      </c>
      <c r="AH36" s="32">
        <f t="shared" si="32"/>
        <v>99935936</v>
      </c>
      <c r="AI36" s="32">
        <f t="shared" si="32"/>
        <v>39883964</v>
      </c>
      <c r="AJ36" s="32">
        <f t="shared" si="32"/>
        <v>79827980</v>
      </c>
      <c r="AK36" s="32">
        <f t="shared" si="32"/>
        <v>99931948</v>
      </c>
      <c r="AL36" s="32">
        <f t="shared" si="32"/>
        <v>79931876</v>
      </c>
      <c r="AM36" s="32">
        <f t="shared" si="32"/>
        <v>59927920</v>
      </c>
      <c r="AN36" s="32">
        <f t="shared" si="32"/>
        <v>79915948</v>
      </c>
      <c r="AO36" s="32">
        <f t="shared" si="32"/>
        <v>79923892</v>
      </c>
      <c r="AP36" s="32">
        <f t="shared" ref="AP36:AU36" si="33">COUNTA(AP23:AP24)*((10000000*AP25)+(1000000*(COUNTA(AP21)*$E21+COUNTA(AP22)*$E22))-(COUNTA($D$21:$D$22)*1000*AP26)-(COUNTA($D$21:$D$22)*AP27))</f>
        <v>59903880</v>
      </c>
      <c r="AQ36" s="32">
        <f t="shared" si="33"/>
        <v>121959816</v>
      </c>
      <c r="AR36" s="32">
        <f t="shared" si="33"/>
        <v>99903912</v>
      </c>
      <c r="AS36" s="32">
        <f t="shared" si="33"/>
        <v>59931908</v>
      </c>
      <c r="AT36" s="32">
        <f t="shared" si="33"/>
        <v>81975952</v>
      </c>
      <c r="AU36" s="32">
        <f t="shared" si="33"/>
        <v>101959912</v>
      </c>
      <c r="AV36" s="32">
        <f t="shared" ref="AV36:BA36" si="34">COUNTA(AV23:AV24)*((10000000*AV25)+(1000000*(COUNTA(AV21)*$E21+COUNTA(AV22)*$E22))-(COUNTA($D$21:$D$22)*1000*AV26)-(COUNTA($D$21:$D$22)*AV27))</f>
        <v>81959912</v>
      </c>
      <c r="AW36" s="32">
        <f t="shared" si="34"/>
        <v>61959936</v>
      </c>
      <c r="AX36" s="32">
        <f t="shared" si="34"/>
        <v>81955980</v>
      </c>
      <c r="AY36" s="32">
        <f t="shared" si="34"/>
        <v>79899972</v>
      </c>
      <c r="AZ36" s="32">
        <f t="shared" si="34"/>
        <v>59915988</v>
      </c>
      <c r="BA36" s="32">
        <f t="shared" si="34"/>
        <v>81995956</v>
      </c>
      <c r="BB36" s="32">
        <f t="shared" ref="BB36:BG36" si="35">COUNTA(BB23:BB24)*((10000000*BB25)+(1000000*(COUNTA(BB21)*$E21+COUNTA(BB22)*$E22))-(COUNTA($D$21:$D$22)*1000*BB26)-(COUNTA($D$21:$D$22)*BB27))</f>
        <v>59819988</v>
      </c>
      <c r="BC36" s="32">
        <f t="shared" si="35"/>
        <v>81959912</v>
      </c>
      <c r="BD36" s="32">
        <f t="shared" si="35"/>
        <v>101991880</v>
      </c>
      <c r="BE36" s="32">
        <f t="shared" si="35"/>
        <v>101959912</v>
      </c>
      <c r="BF36" s="32">
        <f t="shared" si="35"/>
        <v>79883988</v>
      </c>
      <c r="BG36" s="32">
        <f t="shared" si="35"/>
        <v>101955868</v>
      </c>
      <c r="BH36" s="32">
        <f t="shared" ref="BH36:BM36" si="36">COUNTA(BH23:BH24)*((10000000*BH25)+(1000000*(COUNTA(BH21)*$E21+COUNTA(BH22)*$E22))-(COUNTA($D$21:$D$22)*1000*BH26)-(COUNTA($D$21:$D$22)*BH27))</f>
        <v>79931948</v>
      </c>
      <c r="BI36" s="32">
        <f t="shared" si="36"/>
        <v>121967944</v>
      </c>
      <c r="BJ36" s="32">
        <f t="shared" si="36"/>
        <v>121959936</v>
      </c>
      <c r="BK36" s="32">
        <f t="shared" si="36"/>
        <v>59919920</v>
      </c>
      <c r="BL36" s="32">
        <f t="shared" si="36"/>
        <v>99935856</v>
      </c>
      <c r="BM36" s="32">
        <f t="shared" si="36"/>
        <v>119887952</v>
      </c>
      <c r="BN36" s="32">
        <f t="shared" ref="BN36" si="37">COUNTA(BN23:BN24)*((10000000*BN25)+(1000000*(COUNTA(BN21)*$E21+COUNTA(BN22)*$E22))-(COUNTA($D$21:$D$22)*1000*BN26)-(COUNTA($D$21:$D$22)*BN27))</f>
        <v>141963940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38">IF(L35&lt;&gt;10, L$2,"")</f>
        <v/>
      </c>
      <c r="M39" s="3" t="str">
        <f t="shared" si="38"/>
        <v/>
      </c>
      <c r="N39" s="3" t="str">
        <f t="shared" si="38"/>
        <v/>
      </c>
      <c r="O39" s="3" t="str">
        <f t="shared" si="38"/>
        <v/>
      </c>
      <c r="P39" s="3" t="str">
        <f t="shared" si="38"/>
        <v/>
      </c>
      <c r="Q39" s="3" t="str">
        <f t="shared" si="38"/>
        <v/>
      </c>
      <c r="R39" s="3" t="str">
        <f t="shared" si="38"/>
        <v/>
      </c>
      <c r="S39" s="3" t="str">
        <f t="shared" si="38"/>
        <v/>
      </c>
      <c r="T39" s="3" t="str">
        <f t="shared" si="38"/>
        <v/>
      </c>
      <c r="U39" s="3" t="str">
        <f t="shared" si="38"/>
        <v/>
      </c>
      <c r="V39" s="3" t="str">
        <f t="shared" si="38"/>
        <v/>
      </c>
      <c r="W39" s="3" t="str">
        <f t="shared" si="38"/>
        <v/>
      </c>
      <c r="X39" s="3" t="str">
        <f t="shared" si="38"/>
        <v/>
      </c>
      <c r="Y39" s="3" t="str">
        <f t="shared" si="38"/>
        <v/>
      </c>
      <c r="Z39" s="3" t="str">
        <f t="shared" si="38"/>
        <v/>
      </c>
      <c r="AA39" s="3" t="str">
        <f t="shared" si="38"/>
        <v/>
      </c>
      <c r="AB39" s="3" t="str">
        <f t="shared" si="38"/>
        <v/>
      </c>
      <c r="AC39" s="3" t="str">
        <f t="shared" si="38"/>
        <v/>
      </c>
      <c r="AD39" s="3" t="str">
        <f t="shared" si="38"/>
        <v/>
      </c>
      <c r="AE39" s="3" t="str">
        <f t="shared" si="38"/>
        <v/>
      </c>
      <c r="AF39" s="3" t="str">
        <f t="shared" si="38"/>
        <v/>
      </c>
      <c r="AG39" s="3" t="str">
        <f t="shared" si="38"/>
        <v/>
      </c>
      <c r="AH39" s="3" t="str">
        <f t="shared" si="38"/>
        <v/>
      </c>
      <c r="AI39" s="3" t="str">
        <f t="shared" si="38"/>
        <v/>
      </c>
      <c r="AJ39" s="3" t="str">
        <f t="shared" si="38"/>
        <v/>
      </c>
      <c r="AK39" s="3" t="str">
        <f t="shared" si="38"/>
        <v/>
      </c>
      <c r="AL39" s="3" t="str">
        <f t="shared" si="38"/>
        <v/>
      </c>
      <c r="AM39" s="3" t="str">
        <f t="shared" si="38"/>
        <v/>
      </c>
      <c r="AN39" s="3" t="str">
        <f t="shared" si="38"/>
        <v/>
      </c>
      <c r="AO39" s="3" t="str">
        <f t="shared" si="38"/>
        <v/>
      </c>
      <c r="AP39" s="3" t="str">
        <f t="shared" si="38"/>
        <v/>
      </c>
      <c r="AQ39" s="3" t="str">
        <f t="shared" si="38"/>
        <v/>
      </c>
      <c r="AR39" s="3" t="str">
        <f t="shared" si="38"/>
        <v/>
      </c>
      <c r="AS39" s="3" t="str">
        <f t="shared" si="38"/>
        <v/>
      </c>
      <c r="AT39" s="3" t="str">
        <f t="shared" si="38"/>
        <v/>
      </c>
      <c r="AU39" s="3" t="str">
        <f t="shared" si="38"/>
        <v/>
      </c>
      <c r="AV39" s="3" t="str">
        <f t="shared" ref="AV39:BA39" si="39">IF(AV35&lt;&gt;10, AV$2,"")</f>
        <v/>
      </c>
      <c r="AW39" s="3" t="str">
        <f t="shared" si="39"/>
        <v/>
      </c>
      <c r="AX39" s="3" t="str">
        <f t="shared" si="39"/>
        <v/>
      </c>
      <c r="AY39" s="3" t="str">
        <f t="shared" si="39"/>
        <v/>
      </c>
      <c r="AZ39" s="3" t="str">
        <f t="shared" si="39"/>
        <v/>
      </c>
      <c r="BA39" s="3" t="str">
        <f t="shared" si="39"/>
        <v/>
      </c>
      <c r="BB39" s="3" t="str">
        <f t="shared" ref="BB39:BG39" si="40">IF(BB35&lt;&gt;10, BB$2,"")</f>
        <v/>
      </c>
      <c r="BC39" s="3" t="str">
        <f t="shared" si="40"/>
        <v/>
      </c>
      <c r="BD39" s="3" t="str">
        <f t="shared" si="40"/>
        <v/>
      </c>
      <c r="BE39" s="3" t="str">
        <f t="shared" si="40"/>
        <v/>
      </c>
      <c r="BF39" s="3" t="str">
        <f t="shared" si="40"/>
        <v/>
      </c>
      <c r="BG39" s="3" t="str">
        <f t="shared" si="40"/>
        <v/>
      </c>
      <c r="BH39" s="3" t="str">
        <f t="shared" ref="BH39:BM39" si="41">IF(BH35&lt;&gt;10, BH$2,"")</f>
        <v/>
      </c>
      <c r="BI39" s="3" t="str">
        <f t="shared" si="41"/>
        <v/>
      </c>
      <c r="BJ39" s="3" t="str">
        <f t="shared" si="41"/>
        <v/>
      </c>
      <c r="BK39" s="3" t="str">
        <f t="shared" si="41"/>
        <v/>
      </c>
      <c r="BL39" s="3" t="str">
        <f t="shared" si="41"/>
        <v/>
      </c>
      <c r="BM39" s="3" t="str">
        <f t="shared" si="41"/>
        <v/>
      </c>
      <c r="BN39" s="3" t="str">
        <f t="shared" ref="BN39" si="42">IF(BN35&lt;&gt;10, BN$2,"")</f>
        <v/>
      </c>
    </row>
    <row r="40" spans="1:66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43">IF(COUNTA(L$1) = 0, L$2,"")</f>
        <v>Adams, Daniel O</v>
      </c>
      <c r="M40" s="3" t="str">
        <f t="shared" ca="1" si="43"/>
        <v>Bowers, Martin L</v>
      </c>
      <c r="N40" s="3" t="str">
        <f t="shared" ca="1" si="43"/>
        <v>Boykin, Jerome W</v>
      </c>
      <c r="O40" s="3" t="str">
        <f t="shared" ca="1" si="43"/>
        <v>Brokaw, Brantley A</v>
      </c>
      <c r="P40" s="3" t="str">
        <f t="shared" ca="1" si="43"/>
        <v>Carter, Chris</v>
      </c>
      <c r="Q40" s="3" t="str">
        <f t="shared" ca="1" si="43"/>
        <v>Chan, Simon</v>
      </c>
      <c r="R40" s="3" t="str">
        <f t="shared" ca="1" si="43"/>
        <v>Desetto, Daniel</v>
      </c>
      <c r="S40" s="3" t="str">
        <f t="shared" ca="1" si="43"/>
        <v>Edwards, Christopher S</v>
      </c>
      <c r="T40" s="3" t="str">
        <f t="shared" ca="1" si="43"/>
        <v>Emptage, Nick</v>
      </c>
      <c r="U40" s="3" t="str">
        <f t="shared" ca="1" si="43"/>
        <v>Farren, Kevin M</v>
      </c>
      <c r="V40" s="3" t="str">
        <f t="shared" ca="1" si="43"/>
        <v>Farren, Leslie Remote</v>
      </c>
      <c r="W40" s="3" t="str">
        <f t="shared" ca="1" si="43"/>
        <v>Ferguson, Scott Remote</v>
      </c>
      <c r="X40" s="3" t="str">
        <f t="shared" ca="1" si="43"/>
        <v>Fonville, Chris</v>
      </c>
      <c r="Y40" s="3" t="str">
        <f t="shared" ca="1" si="43"/>
        <v>Gilmer, Justin T</v>
      </c>
      <c r="Z40" s="3" t="str">
        <f t="shared" ca="1" si="43"/>
        <v>Gindlesperger, Jeffrey C</v>
      </c>
      <c r="AA40" s="3" t="str">
        <f t="shared" ca="1" si="43"/>
        <v>Gore, Brandon</v>
      </c>
      <c r="AB40" s="3" t="str">
        <f t="shared" ca="1" si="43"/>
        <v>Gregory, Adam J</v>
      </c>
      <c r="AC40" s="3" t="str">
        <f t="shared" ca="1" si="43"/>
        <v>Hendrick, Matt R</v>
      </c>
      <c r="AD40" s="3" t="str">
        <f t="shared" ca="1" si="43"/>
        <v>Holden, Brent</v>
      </c>
      <c r="AE40" s="3" t="str">
        <f t="shared" ca="1" si="43"/>
        <v>Holley, Jeremy Remote</v>
      </c>
      <c r="AF40" s="3" t="str">
        <f t="shared" ca="1" si="43"/>
        <v>Hucks, Jason</v>
      </c>
      <c r="AG40" s="3" t="str">
        <f t="shared" ca="1" si="43"/>
        <v>Inabinet, Greg</v>
      </c>
      <c r="AH40" s="3" t="str">
        <f t="shared" ca="1" si="43"/>
        <v>James, Larry C</v>
      </c>
      <c r="AI40" s="3" t="str">
        <f t="shared" ca="1" si="43"/>
        <v>Johnson, Robert J</v>
      </c>
      <c r="AJ40" s="3" t="str">
        <f t="shared" ca="1" si="43"/>
        <v>Kandela, Marwan</v>
      </c>
      <c r="AK40" s="3" t="str">
        <f t="shared" ca="1" si="43"/>
        <v>Locklear, Dave Remote</v>
      </c>
      <c r="AL40" s="3" t="str">
        <f t="shared" ca="1" si="43"/>
        <v>Marsh, Alexander Remote</v>
      </c>
      <c r="AM40" s="3" t="str">
        <f t="shared" ca="1" si="43"/>
        <v>Martin, Douglas C</v>
      </c>
      <c r="AN40" s="3" t="str">
        <f t="shared" ca="1" si="43"/>
        <v>McGee, Steve</v>
      </c>
      <c r="AO40" s="3" t="str">
        <f t="shared" ca="1" si="43"/>
        <v>Moore, Kevin B</v>
      </c>
      <c r="AP40" s="3" t="str">
        <f t="shared" ca="1" si="43"/>
        <v>Murphy, William A</v>
      </c>
      <c r="AQ40" s="3" t="str">
        <f t="shared" ca="1" si="43"/>
        <v>Nagorniak, Kristen M</v>
      </c>
      <c r="AR40" s="3" t="str">
        <f t="shared" ca="1" si="43"/>
        <v>Nance, Rob</v>
      </c>
      <c r="AS40" s="3" t="str">
        <f t="shared" ca="1" si="43"/>
        <v>Nguyen, Thai</v>
      </c>
      <c r="AT40" s="3" t="str">
        <f t="shared" ca="1" si="43"/>
        <v>Penrose, Tim Remote</v>
      </c>
      <c r="AU40" s="3" t="str">
        <f t="shared" ca="1" si="43"/>
        <v>Powell, LaMar</v>
      </c>
      <c r="AV40" s="3" t="str">
        <f t="shared" ca="1" si="43"/>
        <v>Puga, Moises</v>
      </c>
      <c r="AW40" s="3" t="str">
        <f t="shared" ca="1" si="43"/>
        <v>Reams, Byron L</v>
      </c>
      <c r="AX40" s="3" t="str">
        <f t="shared" ca="1" si="43"/>
        <v>Redys, David Remote</v>
      </c>
      <c r="AY40" s="3" t="str">
        <f t="shared" ca="1" si="43"/>
        <v>Robbins, Dale</v>
      </c>
      <c r="AZ40" s="3" t="str">
        <f t="shared" ca="1" si="43"/>
        <v>Robbins, Thomas D</v>
      </c>
      <c r="BA40" s="3" t="str">
        <f t="shared" ca="1" si="43"/>
        <v>Ruffin, Chris</v>
      </c>
      <c r="BB40" s="3" t="str">
        <f t="shared" ca="1" si="43"/>
        <v>Sams, David</v>
      </c>
      <c r="BC40" s="3" t="str">
        <f t="shared" ca="1" si="43"/>
        <v>Sapp, Carl G</v>
      </c>
      <c r="BD40" s="3" t="str">
        <f t="shared" ca="1" si="43"/>
        <v>Shuey, Jeffrey M</v>
      </c>
      <c r="BE40" s="3" t="str">
        <f t="shared" ca="1" si="43"/>
        <v>Staub, Kevin</v>
      </c>
      <c r="BF40" s="3" t="str">
        <f t="shared" ca="1" si="43"/>
        <v>Steel, Van Remote</v>
      </c>
      <c r="BG40" s="3" t="str">
        <f t="shared" ca="1" si="43"/>
        <v>Steele, David L</v>
      </c>
      <c r="BH40" s="3" t="str">
        <f t="shared" ca="1" si="43"/>
        <v>Straw, Adam D</v>
      </c>
      <c r="BI40" s="3" t="str">
        <f t="shared" ca="1" si="43"/>
        <v>Strom, Brooker</v>
      </c>
      <c r="BJ40" s="3" t="str">
        <f t="shared" ca="1" si="43"/>
        <v>Teasdell, Brian K</v>
      </c>
      <c r="BK40" s="3" t="str">
        <f t="shared" ca="1" si="43"/>
        <v>Warren, Todd Remote</v>
      </c>
      <c r="BL40" s="3" t="str">
        <f t="shared" ca="1" si="43"/>
        <v>Wells, Jennifer</v>
      </c>
      <c r="BM40" s="3" t="str">
        <f t="shared" ca="1" si="43"/>
        <v>Wells, Seth Remote</v>
      </c>
      <c r="BN40" s="3" t="str">
        <f t="shared" ca="1" si="43"/>
        <v>White, Jarred</v>
      </c>
    </row>
    <row r="41" spans="1:66" x14ac:dyDescent="0.25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Brent;Holley, Jeremy Remote;Hucks, Jason;Inabinet, Greg;James, Larry C;Johnson, Robert J;Kandela, Marwan;Locklear,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40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405" priority="30" stopIfTrue="1" operator="equal">
      <formula>0</formula>
    </cfRule>
  </conditionalFormatting>
  <conditionalFormatting sqref="D26:J28 K28:BE28">
    <cfRule type="cellIs" dxfId="404" priority="31" stopIfTrue="1" operator="equal">
      <formula>1</formula>
    </cfRule>
  </conditionalFormatting>
  <conditionalFormatting sqref="H3:I3 F23 H5:I5 H7:I7 H9:I9 H11:I11 H13:I13 H15:I15 H17:I17 H19:I19 H21:I21">
    <cfRule type="cellIs" dxfId="403" priority="32" stopIfTrue="1" operator="equal">
      <formula>0</formula>
    </cfRule>
  </conditionalFormatting>
  <conditionalFormatting sqref="H4:I4 F24 H6:I6 H8:I8 H10:I10 H12:I12 H14:I14 H16:I16 H18:I18 H20:I20 H22:I22">
    <cfRule type="cellIs" dxfId="402" priority="33" stopIfTrue="1" operator="equal">
      <formula>0</formula>
    </cfRule>
  </conditionalFormatting>
  <conditionalFormatting sqref="F3 F5 F7 F9 F11 F13 F15 F17 F19 F21">
    <cfRule type="cellIs" dxfId="40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0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99" priority="36" stopIfTrue="1">
      <formula>AND(COUNTA(J4)=1,$E4=1,SUM($E3:$E4)=1)</formula>
    </cfRule>
    <cfRule type="expression" dxfId="39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397" priority="38" stopIfTrue="1">
      <formula>AND(COUNTA(J3)=1,$E3=1,SUM($E3:$E4)=1)</formula>
    </cfRule>
    <cfRule type="expression" dxfId="396" priority="39" stopIfTrue="1">
      <formula>AND(COUNTA(J3)=1,$E3=0,SUM($E3:$E4)=1)</formula>
    </cfRule>
  </conditionalFormatting>
  <conditionalFormatting sqref="BF23:BN23">
    <cfRule type="cellIs" dxfId="395" priority="7" stopIfTrue="1" operator="equal">
      <formula>0</formula>
    </cfRule>
  </conditionalFormatting>
  <conditionalFormatting sqref="BF24:BN24">
    <cfRule type="cellIs" dxfId="394" priority="6" stopIfTrue="1" operator="equal">
      <formula>0</formula>
    </cfRule>
  </conditionalFormatting>
  <conditionalFormatting sqref="BF28:BN28">
    <cfRule type="cellIs" dxfId="39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392" priority="3" stopIfTrue="1">
      <formula>AND(COUNTA(BF4)=1,$E4=1,SUM($E3:$E4)=1)</formula>
    </cfRule>
    <cfRule type="expression" dxfId="39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390" priority="1" stopIfTrue="1">
      <formula>AND(COUNTA(BF3)=1,$E3=1,SUM($E3:$E4)=1)</formula>
    </cfRule>
    <cfRule type="expression" dxfId="38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22860</xdr:colOff>
                    <xdr:row>1</xdr:row>
                    <xdr:rowOff>106680</xdr:rowOff>
                  </from>
                  <to>
                    <xdr:col>1</xdr:col>
                    <xdr:colOff>624840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22860</xdr:colOff>
                    <xdr:row>1</xdr:row>
                    <xdr:rowOff>381000</xdr:rowOff>
                  </from>
                  <to>
                    <xdr:col>1</xdr:col>
                    <xdr:colOff>624840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22860</xdr:colOff>
                    <xdr:row>1</xdr:row>
                    <xdr:rowOff>678180</xdr:rowOff>
                  </from>
                  <to>
                    <xdr:col>1</xdr:col>
                    <xdr:colOff>739140</xdr:colOff>
                    <xdr:row>1</xdr:row>
                    <xdr:rowOff>883920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N58"/>
  <sheetViews>
    <sheetView zoomScale="90" zoomScaleNormal="100" zoomScaleSheetLayoutView="100" workbookViewId="0">
      <selection activeCell="C2" sqref="C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6" x14ac:dyDescent="0.25">
      <c r="B1" s="6"/>
      <c r="I1">
        <f>COUNTA(K1:BL1)</f>
        <v>0</v>
      </c>
      <c r="J1">
        <f>SUM(K1:BL1)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 x14ac:dyDescent="0.25">
      <c r="A3" s="59">
        <v>1</v>
      </c>
      <c r="B3" s="67" t="s">
        <v>206</v>
      </c>
      <c r="C3" s="65"/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25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311</v>
      </c>
      <c r="K3" s="69"/>
      <c r="L3" s="69" t="s">
        <v>313</v>
      </c>
      <c r="M3" s="69" t="s">
        <v>312</v>
      </c>
      <c r="N3" s="69"/>
      <c r="O3" s="69"/>
      <c r="P3" s="69" t="s">
        <v>317</v>
      </c>
      <c r="Q3" s="69" t="s">
        <v>318</v>
      </c>
      <c r="R3" s="69" t="s">
        <v>322</v>
      </c>
      <c r="S3" s="69"/>
      <c r="T3" s="69" t="s">
        <v>338</v>
      </c>
      <c r="U3" s="69" t="s">
        <v>319</v>
      </c>
      <c r="V3" s="69"/>
      <c r="W3" s="69"/>
      <c r="X3" s="69" t="s">
        <v>312</v>
      </c>
      <c r="Y3" s="69"/>
      <c r="Z3" s="69" t="s">
        <v>338</v>
      </c>
      <c r="AA3" s="69" t="s">
        <v>354</v>
      </c>
      <c r="AB3" s="69"/>
      <c r="AC3" s="69" t="s">
        <v>317</v>
      </c>
      <c r="AD3" s="69"/>
      <c r="AE3" s="69"/>
      <c r="AF3" s="69" t="s">
        <v>355</v>
      </c>
      <c r="AG3" s="69" t="s">
        <v>332</v>
      </c>
      <c r="AH3" s="69"/>
      <c r="AI3" s="69"/>
      <c r="AJ3" s="69"/>
      <c r="AK3" s="69"/>
      <c r="AL3" s="69" t="s">
        <v>347</v>
      </c>
      <c r="AM3" s="69"/>
      <c r="AN3" s="69" t="s">
        <v>317</v>
      </c>
      <c r="AO3" s="69"/>
      <c r="AP3" s="69" t="s">
        <v>329</v>
      </c>
      <c r="AQ3" s="69"/>
      <c r="AR3" s="99"/>
      <c r="AS3" s="69"/>
      <c r="AT3" s="69" t="s">
        <v>334</v>
      </c>
      <c r="AU3" s="69"/>
      <c r="AV3" s="69"/>
      <c r="AW3" s="69" t="s">
        <v>314</v>
      </c>
      <c r="AX3" s="69"/>
      <c r="AY3" s="69"/>
      <c r="AZ3" s="69" t="s">
        <v>316</v>
      </c>
      <c r="BA3" s="69"/>
      <c r="BB3" s="69"/>
      <c r="BC3" s="69" t="s">
        <v>357</v>
      </c>
      <c r="BD3" s="69"/>
      <c r="BE3" s="69" t="s">
        <v>367</v>
      </c>
      <c r="BF3" s="69" t="s">
        <v>387</v>
      </c>
      <c r="BG3" s="69"/>
      <c r="BH3" s="69"/>
      <c r="BI3" s="69"/>
      <c r="BJ3" s="69" t="s">
        <v>317</v>
      </c>
      <c r="BK3" s="69"/>
      <c r="BL3" s="69" t="s">
        <v>313</v>
      </c>
      <c r="BM3" s="69" t="s">
        <v>388</v>
      </c>
      <c r="BN3" s="69"/>
    </row>
    <row r="4" spans="1:66" x14ac:dyDescent="0.25">
      <c r="A4" s="61" t="s">
        <v>3</v>
      </c>
      <c r="B4" s="68" t="s">
        <v>261</v>
      </c>
      <c r="C4" s="66">
        <v>7.5</v>
      </c>
      <c r="D4" s="64">
        <v>37</v>
      </c>
      <c r="E4" s="64">
        <f>IF(ISBLANK($D4),"0",IF(($D4-$D3)&gt;($C4-$C3),1,0))</f>
        <v>0</v>
      </c>
      <c r="F4" s="64">
        <f t="shared" ref="F4:F22" ca="1" si="1">COUNTA(INDIRECT("RC11:RC"&amp;11+playercnt-1,FALSE))</f>
        <v>31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312</v>
      </c>
      <c r="L4" s="70"/>
      <c r="M4" s="70"/>
      <c r="N4" s="70" t="s">
        <v>313</v>
      </c>
      <c r="O4" s="70" t="s">
        <v>371</v>
      </c>
      <c r="P4" s="70"/>
      <c r="Q4" s="70"/>
      <c r="R4" s="70"/>
      <c r="S4" s="70" t="s">
        <v>332</v>
      </c>
      <c r="T4" s="70"/>
      <c r="U4" s="70"/>
      <c r="V4" s="70" t="s">
        <v>332</v>
      </c>
      <c r="W4" s="70" t="s">
        <v>317</v>
      </c>
      <c r="X4" s="70"/>
      <c r="Y4" s="70" t="s">
        <v>317</v>
      </c>
      <c r="Z4" s="70"/>
      <c r="AA4" s="70"/>
      <c r="AB4" s="70" t="s">
        <v>317</v>
      </c>
      <c r="AC4" s="70"/>
      <c r="AD4" s="70" t="s">
        <v>317</v>
      </c>
      <c r="AE4" s="70" t="s">
        <v>355</v>
      </c>
      <c r="AF4" s="70"/>
      <c r="AG4" s="70"/>
      <c r="AH4" s="70" t="s">
        <v>334</v>
      </c>
      <c r="AI4" s="70" t="s">
        <v>357</v>
      </c>
      <c r="AJ4" s="70" t="s">
        <v>332</v>
      </c>
      <c r="AK4" s="70" t="s">
        <v>317</v>
      </c>
      <c r="AL4" s="70"/>
      <c r="AM4" s="70" t="s">
        <v>315</v>
      </c>
      <c r="AN4" s="70"/>
      <c r="AO4" s="70" t="s">
        <v>317</v>
      </c>
      <c r="AP4" s="70"/>
      <c r="AQ4" s="70" t="s">
        <v>313</v>
      </c>
      <c r="AR4" s="70" t="s">
        <v>317</v>
      </c>
      <c r="AS4" s="70" t="s">
        <v>347</v>
      </c>
      <c r="AT4" s="70"/>
      <c r="AU4" s="70" t="s">
        <v>317</v>
      </c>
      <c r="AV4" s="70" t="s">
        <v>317</v>
      </c>
      <c r="AW4" s="70"/>
      <c r="AX4" s="70" t="s">
        <v>317</v>
      </c>
      <c r="AY4" s="70" t="s">
        <v>366</v>
      </c>
      <c r="AZ4" s="70"/>
      <c r="BA4" s="70" t="s">
        <v>317</v>
      </c>
      <c r="BB4" s="70" t="s">
        <v>360</v>
      </c>
      <c r="BC4" s="70"/>
      <c r="BD4" s="70" t="s">
        <v>313</v>
      </c>
      <c r="BE4" s="70"/>
      <c r="BF4" s="70"/>
      <c r="BG4" s="70" t="s">
        <v>322</v>
      </c>
      <c r="BH4" s="70" t="s">
        <v>317</v>
      </c>
      <c r="BI4" s="70" t="s">
        <v>317</v>
      </c>
      <c r="BJ4" s="70"/>
      <c r="BK4" s="70" t="s">
        <v>346</v>
      </c>
      <c r="BL4" s="70"/>
      <c r="BM4" s="70"/>
      <c r="BN4" s="70" t="s">
        <v>312</v>
      </c>
    </row>
    <row r="5" spans="1:66" x14ac:dyDescent="0.25">
      <c r="A5" s="59">
        <v>2</v>
      </c>
      <c r="B5" s="67" t="s">
        <v>220</v>
      </c>
      <c r="C5" s="65">
        <v>7.5</v>
      </c>
      <c r="D5" s="64">
        <v>41</v>
      </c>
      <c r="E5" s="64">
        <f>IF(ISBLANK($D5),"0",IF(($D6-$D5)&lt;($C6-$C5),1,0))</f>
        <v>0</v>
      </c>
      <c r="F5" s="64">
        <f t="shared" ca="1" si="1"/>
        <v>40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311</v>
      </c>
      <c r="K5" s="69" t="s">
        <v>312</v>
      </c>
      <c r="L5" s="69"/>
      <c r="M5" s="69" t="s">
        <v>312</v>
      </c>
      <c r="N5" s="69"/>
      <c r="O5" s="69"/>
      <c r="P5" s="69" t="s">
        <v>317</v>
      </c>
      <c r="Q5" s="69" t="s">
        <v>318</v>
      </c>
      <c r="R5" s="69" t="s">
        <v>327</v>
      </c>
      <c r="S5" s="69" t="s">
        <v>324</v>
      </c>
      <c r="T5" s="69" t="s">
        <v>322</v>
      </c>
      <c r="U5" s="69" t="s">
        <v>324</v>
      </c>
      <c r="V5" s="69"/>
      <c r="W5" s="69" t="s">
        <v>317</v>
      </c>
      <c r="X5" s="69" t="s">
        <v>312</v>
      </c>
      <c r="Y5" s="69" t="s">
        <v>312</v>
      </c>
      <c r="Z5" s="69" t="s">
        <v>328</v>
      </c>
      <c r="AA5" s="69" t="s">
        <v>354</v>
      </c>
      <c r="AB5" s="69" t="s">
        <v>317</v>
      </c>
      <c r="AC5" s="69" t="s">
        <v>317</v>
      </c>
      <c r="AD5" s="69" t="s">
        <v>317</v>
      </c>
      <c r="AE5" s="69"/>
      <c r="AF5" s="69" t="s">
        <v>355</v>
      </c>
      <c r="AG5" s="69" t="s">
        <v>323</v>
      </c>
      <c r="AH5" s="69"/>
      <c r="AI5" s="69" t="s">
        <v>344</v>
      </c>
      <c r="AJ5" s="69" t="s">
        <v>333</v>
      </c>
      <c r="AK5" s="69"/>
      <c r="AL5" s="69"/>
      <c r="AM5" s="69" t="s">
        <v>323</v>
      </c>
      <c r="AN5" s="69" t="s">
        <v>317</v>
      </c>
      <c r="AO5" s="69" t="s">
        <v>317</v>
      </c>
      <c r="AP5" s="69" t="s">
        <v>364</v>
      </c>
      <c r="AQ5" s="69"/>
      <c r="AR5" s="99" t="s">
        <v>317</v>
      </c>
      <c r="AS5" s="69" t="s">
        <v>343</v>
      </c>
      <c r="AT5" s="69"/>
      <c r="AU5" s="69" t="s">
        <v>317</v>
      </c>
      <c r="AV5" s="69"/>
      <c r="AW5" s="69" t="s">
        <v>340</v>
      </c>
      <c r="AX5" s="69" t="s">
        <v>312</v>
      </c>
      <c r="AY5" s="69" t="s">
        <v>366</v>
      </c>
      <c r="AZ5" s="69"/>
      <c r="BA5" s="69"/>
      <c r="BB5" s="69" t="s">
        <v>340</v>
      </c>
      <c r="BC5" s="69" t="s">
        <v>357</v>
      </c>
      <c r="BD5" s="69" t="s">
        <v>313</v>
      </c>
      <c r="BE5" s="69" t="s">
        <v>367</v>
      </c>
      <c r="BF5" s="69" t="s">
        <v>387</v>
      </c>
      <c r="BG5" s="69"/>
      <c r="BH5" s="69"/>
      <c r="BI5" s="69" t="s">
        <v>317</v>
      </c>
      <c r="BJ5" s="69" t="s">
        <v>317</v>
      </c>
      <c r="BK5" s="69" t="s">
        <v>346</v>
      </c>
      <c r="BL5" s="69"/>
      <c r="BM5" s="69" t="s">
        <v>388</v>
      </c>
      <c r="BN5" s="69" t="s">
        <v>312</v>
      </c>
    </row>
    <row r="6" spans="1:66" x14ac:dyDescent="0.25">
      <c r="A6" s="61" t="s">
        <v>3</v>
      </c>
      <c r="B6" s="68" t="s">
        <v>204</v>
      </c>
      <c r="C6" s="66"/>
      <c r="D6" s="64">
        <v>44</v>
      </c>
      <c r="E6" s="64">
        <f>IF(ISBLANK($D6),"0",IF(($D6-$D5)&gt;($C6-$C5),1,0))</f>
        <v>1</v>
      </c>
      <c r="F6" s="64">
        <f t="shared" ca="1" si="1"/>
        <v>16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313</v>
      </c>
      <c r="M6" s="70"/>
      <c r="N6" s="70" t="s">
        <v>313</v>
      </c>
      <c r="O6" s="70" t="s">
        <v>326</v>
      </c>
      <c r="P6" s="70"/>
      <c r="Q6" s="70"/>
      <c r="R6" s="70"/>
      <c r="S6" s="70"/>
      <c r="T6" s="70"/>
      <c r="U6" s="70"/>
      <c r="V6" s="70" t="s">
        <v>324</v>
      </c>
      <c r="W6" s="70"/>
      <c r="X6" s="70"/>
      <c r="Y6" s="70"/>
      <c r="Z6" s="70"/>
      <c r="AA6" s="70"/>
      <c r="AB6" s="70"/>
      <c r="AC6" s="70"/>
      <c r="AD6" s="70"/>
      <c r="AE6" s="70" t="s">
        <v>355</v>
      </c>
      <c r="AF6" s="70"/>
      <c r="AG6" s="70"/>
      <c r="AH6" s="70" t="s">
        <v>377</v>
      </c>
      <c r="AI6" s="70"/>
      <c r="AJ6" s="70"/>
      <c r="AK6" s="70" t="s">
        <v>317</v>
      </c>
      <c r="AL6" s="70" t="s">
        <v>347</v>
      </c>
      <c r="AM6" s="70"/>
      <c r="AN6" s="70"/>
      <c r="AO6" s="70"/>
      <c r="AP6" s="70"/>
      <c r="AQ6" s="70" t="s">
        <v>313</v>
      </c>
      <c r="AR6" s="70"/>
      <c r="AS6" s="70"/>
      <c r="AT6" s="70" t="s">
        <v>334</v>
      </c>
      <c r="AU6" s="70"/>
      <c r="AV6" s="70" t="s">
        <v>317</v>
      </c>
      <c r="AW6" s="70"/>
      <c r="AX6" s="70"/>
      <c r="AY6" s="70"/>
      <c r="AZ6" s="70" t="s">
        <v>335</v>
      </c>
      <c r="BA6" s="70" t="s">
        <v>317</v>
      </c>
      <c r="BB6" s="70"/>
      <c r="BC6" s="70"/>
      <c r="BD6" s="70"/>
      <c r="BE6" s="70"/>
      <c r="BF6" s="70"/>
      <c r="BG6" s="70" t="s">
        <v>350</v>
      </c>
      <c r="BH6" s="70" t="s">
        <v>317</v>
      </c>
      <c r="BI6" s="70"/>
      <c r="BJ6" s="70"/>
      <c r="BK6" s="70"/>
      <c r="BL6" s="70" t="s">
        <v>313</v>
      </c>
      <c r="BM6" s="70"/>
      <c r="BN6" s="70"/>
    </row>
    <row r="7" spans="1:66" x14ac:dyDescent="0.25">
      <c r="A7" s="59">
        <v>3</v>
      </c>
      <c r="B7" s="67" t="s">
        <v>157</v>
      </c>
      <c r="C7" s="65">
        <v>7.5</v>
      </c>
      <c r="D7" s="64">
        <v>34</v>
      </c>
      <c r="E7" s="64">
        <f>IF(ISBLANK($D7),"0",IF(($D8-$D7)&lt;($C8-$C7),1,0))</f>
        <v>0</v>
      </c>
      <c r="F7" s="64">
        <f t="shared" ca="1" si="1"/>
        <v>25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/>
      <c r="L7" s="69"/>
      <c r="M7" s="69"/>
      <c r="N7" s="69" t="s">
        <v>355</v>
      </c>
      <c r="O7" s="69" t="s">
        <v>332</v>
      </c>
      <c r="P7" s="69" t="s">
        <v>317</v>
      </c>
      <c r="Q7" s="69"/>
      <c r="R7" s="69" t="s">
        <v>347</v>
      </c>
      <c r="S7" s="69"/>
      <c r="T7" s="69" t="s">
        <v>364</v>
      </c>
      <c r="U7" s="69" t="s">
        <v>351</v>
      </c>
      <c r="V7" s="69" t="s">
        <v>334</v>
      </c>
      <c r="W7" s="69"/>
      <c r="X7" s="69"/>
      <c r="Y7" s="69" t="s">
        <v>312</v>
      </c>
      <c r="Z7" s="69"/>
      <c r="AA7" s="69"/>
      <c r="AB7" s="69" t="s">
        <v>317</v>
      </c>
      <c r="AC7" s="69" t="s">
        <v>317</v>
      </c>
      <c r="AD7" s="69"/>
      <c r="AE7" s="69"/>
      <c r="AF7" s="69"/>
      <c r="AG7" s="69" t="s">
        <v>341</v>
      </c>
      <c r="AH7" s="69"/>
      <c r="AI7" s="69" t="s">
        <v>379</v>
      </c>
      <c r="AJ7" s="69"/>
      <c r="AK7" s="69"/>
      <c r="AL7" s="69"/>
      <c r="AM7" s="69"/>
      <c r="AN7" s="69" t="s">
        <v>317</v>
      </c>
      <c r="AO7" s="69" t="s">
        <v>317</v>
      </c>
      <c r="AP7" s="69"/>
      <c r="AQ7" s="69" t="s">
        <v>313</v>
      </c>
      <c r="AR7" s="99" t="s">
        <v>317</v>
      </c>
      <c r="AS7" s="69" t="s">
        <v>314</v>
      </c>
      <c r="AT7" s="69" t="s">
        <v>334</v>
      </c>
      <c r="AU7" s="69"/>
      <c r="AV7" s="69" t="s">
        <v>317</v>
      </c>
      <c r="AW7" s="69"/>
      <c r="AX7" s="69" t="s">
        <v>312</v>
      </c>
      <c r="AY7" s="69" t="s">
        <v>366</v>
      </c>
      <c r="AZ7" s="69" t="s">
        <v>348</v>
      </c>
      <c r="BA7" s="69" t="s">
        <v>317</v>
      </c>
      <c r="BB7" s="69"/>
      <c r="BC7" s="69"/>
      <c r="BD7" s="69"/>
      <c r="BE7" s="69"/>
      <c r="BF7" s="69"/>
      <c r="BG7" s="69" t="s">
        <v>320</v>
      </c>
      <c r="BH7" s="69"/>
      <c r="BI7" s="69"/>
      <c r="BJ7" s="69"/>
      <c r="BK7" s="69"/>
      <c r="BL7" s="69" t="s">
        <v>313</v>
      </c>
      <c r="BM7" s="69"/>
      <c r="BN7" s="69"/>
    </row>
    <row r="8" spans="1:66" x14ac:dyDescent="0.25">
      <c r="A8" s="61" t="s">
        <v>3</v>
      </c>
      <c r="B8" s="68" t="s">
        <v>171</v>
      </c>
      <c r="C8" s="66"/>
      <c r="D8" s="64">
        <v>41</v>
      </c>
      <c r="E8" s="64">
        <f>IF(ISBLANK($D8),"0",IF(($D8-$D7)&gt;($C8-$C7),1,0))</f>
        <v>1</v>
      </c>
      <c r="F8" s="64">
        <f t="shared" ca="1" si="1"/>
        <v>31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311</v>
      </c>
      <c r="K8" s="70" t="s">
        <v>312</v>
      </c>
      <c r="L8" s="70" t="s">
        <v>313</v>
      </c>
      <c r="M8" s="70" t="s">
        <v>312</v>
      </c>
      <c r="N8" s="70"/>
      <c r="O8" s="70"/>
      <c r="P8" s="70"/>
      <c r="Q8" s="70" t="s">
        <v>318</v>
      </c>
      <c r="R8" s="70"/>
      <c r="S8" s="70" t="s">
        <v>334</v>
      </c>
      <c r="T8" s="70"/>
      <c r="U8" s="70"/>
      <c r="V8" s="70"/>
      <c r="W8" s="70" t="s">
        <v>317</v>
      </c>
      <c r="X8" s="70" t="s">
        <v>312</v>
      </c>
      <c r="Y8" s="70"/>
      <c r="Z8" s="70" t="s">
        <v>319</v>
      </c>
      <c r="AA8" s="70" t="s">
        <v>354</v>
      </c>
      <c r="AB8" s="70"/>
      <c r="AC8" s="70"/>
      <c r="AD8" s="70" t="s">
        <v>317</v>
      </c>
      <c r="AE8" s="70" t="s">
        <v>355</v>
      </c>
      <c r="AF8" s="70" t="s">
        <v>355</v>
      </c>
      <c r="AG8" s="70"/>
      <c r="AH8" s="70" t="s">
        <v>320</v>
      </c>
      <c r="AI8" s="70"/>
      <c r="AJ8" s="70" t="s">
        <v>351</v>
      </c>
      <c r="AK8" s="70" t="s">
        <v>317</v>
      </c>
      <c r="AL8" s="70" t="s">
        <v>347</v>
      </c>
      <c r="AM8" s="70" t="s">
        <v>363</v>
      </c>
      <c r="AN8" s="70"/>
      <c r="AO8" s="70"/>
      <c r="AP8" s="70" t="s">
        <v>334</v>
      </c>
      <c r="AQ8" s="70"/>
      <c r="AR8" s="70"/>
      <c r="AS8" s="70"/>
      <c r="AT8" s="70"/>
      <c r="AU8" s="70" t="s">
        <v>317</v>
      </c>
      <c r="AV8" s="70"/>
      <c r="AW8" s="70" t="s">
        <v>350</v>
      </c>
      <c r="AX8" s="70"/>
      <c r="AY8" s="70"/>
      <c r="AZ8" s="70"/>
      <c r="BA8" s="70"/>
      <c r="BB8" s="70" t="s">
        <v>349</v>
      </c>
      <c r="BC8" s="70" t="s">
        <v>357</v>
      </c>
      <c r="BD8" s="70" t="s">
        <v>313</v>
      </c>
      <c r="BE8" s="70" t="s">
        <v>367</v>
      </c>
      <c r="BF8" s="70" t="s">
        <v>387</v>
      </c>
      <c r="BG8" s="70"/>
      <c r="BH8" s="70" t="s">
        <v>317</v>
      </c>
      <c r="BI8" s="70" t="s">
        <v>317</v>
      </c>
      <c r="BJ8" s="70" t="s">
        <v>317</v>
      </c>
      <c r="BK8" s="70" t="s">
        <v>346</v>
      </c>
      <c r="BL8" s="70"/>
      <c r="BM8" s="70" t="s">
        <v>388</v>
      </c>
      <c r="BN8" s="70" t="s">
        <v>312</v>
      </c>
    </row>
    <row r="9" spans="1:66" x14ac:dyDescent="0.25">
      <c r="A9" s="59">
        <v>4</v>
      </c>
      <c r="B9" s="67" t="s">
        <v>173</v>
      </c>
      <c r="C9" s="65">
        <v>6.5</v>
      </c>
      <c r="D9" s="81">
        <v>36</v>
      </c>
      <c r="E9" s="64">
        <f>IF(ISBLANK($D9),"0",IF(($D10-$D9)&lt;($C10-$C9),1,0))</f>
        <v>0</v>
      </c>
      <c r="F9" s="64">
        <f t="shared" ca="1" si="1"/>
        <v>37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 t="s">
        <v>311</v>
      </c>
      <c r="K9" s="69" t="s">
        <v>312</v>
      </c>
      <c r="L9" s="69" t="s">
        <v>313</v>
      </c>
      <c r="M9" s="69" t="s">
        <v>312</v>
      </c>
      <c r="N9" s="69" t="s">
        <v>313</v>
      </c>
      <c r="O9" s="69" t="s">
        <v>333</v>
      </c>
      <c r="P9" s="69"/>
      <c r="Q9" s="69"/>
      <c r="R9" s="69" t="s">
        <v>352</v>
      </c>
      <c r="S9" s="69" t="s">
        <v>335</v>
      </c>
      <c r="T9" s="69" t="s">
        <v>372</v>
      </c>
      <c r="U9" s="69"/>
      <c r="V9" s="69" t="s">
        <v>320</v>
      </c>
      <c r="W9" s="69" t="s">
        <v>317</v>
      </c>
      <c r="X9" s="69" t="s">
        <v>312</v>
      </c>
      <c r="Y9" s="69" t="s">
        <v>317</v>
      </c>
      <c r="Z9" s="69" t="s">
        <v>319</v>
      </c>
      <c r="AA9" s="69" t="s">
        <v>354</v>
      </c>
      <c r="AB9" s="69" t="s">
        <v>317</v>
      </c>
      <c r="AC9" s="69"/>
      <c r="AD9" s="69" t="s">
        <v>317</v>
      </c>
      <c r="AE9" s="69"/>
      <c r="AF9" s="69"/>
      <c r="AG9" s="69" t="s">
        <v>375</v>
      </c>
      <c r="AH9" s="69" t="s">
        <v>341</v>
      </c>
      <c r="AI9" s="69" t="s">
        <v>337</v>
      </c>
      <c r="AJ9" s="69" t="s">
        <v>333</v>
      </c>
      <c r="AK9" s="69"/>
      <c r="AL9" s="69" t="s">
        <v>347</v>
      </c>
      <c r="AM9" s="69"/>
      <c r="AN9" s="69" t="s">
        <v>317</v>
      </c>
      <c r="AO9" s="69"/>
      <c r="AP9" s="69" t="s">
        <v>322</v>
      </c>
      <c r="AQ9" s="69"/>
      <c r="AR9" s="99" t="s">
        <v>317</v>
      </c>
      <c r="AS9" s="69" t="s">
        <v>351</v>
      </c>
      <c r="AT9" s="69" t="s">
        <v>334</v>
      </c>
      <c r="AU9" s="69"/>
      <c r="AV9" s="69" t="s">
        <v>317</v>
      </c>
      <c r="AW9" s="69" t="s">
        <v>350</v>
      </c>
      <c r="AX9" s="69" t="s">
        <v>317</v>
      </c>
      <c r="AY9" s="69"/>
      <c r="AZ9" s="69"/>
      <c r="BA9" s="69"/>
      <c r="BB9" s="69" t="s">
        <v>349</v>
      </c>
      <c r="BC9" s="69" t="s">
        <v>357</v>
      </c>
      <c r="BD9" s="69" t="s">
        <v>313</v>
      </c>
      <c r="BE9" s="69" t="s">
        <v>367</v>
      </c>
      <c r="BF9" s="69"/>
      <c r="BG9" s="69"/>
      <c r="BH9" s="69"/>
      <c r="BI9" s="69"/>
      <c r="BJ9" s="69" t="s">
        <v>317</v>
      </c>
      <c r="BK9" s="69" t="s">
        <v>346</v>
      </c>
      <c r="BL9" s="69"/>
      <c r="BM9" s="69" t="s">
        <v>388</v>
      </c>
      <c r="BN9" s="69" t="s">
        <v>312</v>
      </c>
    </row>
    <row r="10" spans="1:66" x14ac:dyDescent="0.25">
      <c r="A10" s="61" t="s">
        <v>3</v>
      </c>
      <c r="B10" s="68" t="s">
        <v>161</v>
      </c>
      <c r="C10" s="66"/>
      <c r="D10" s="64">
        <v>33</v>
      </c>
      <c r="E10" s="64">
        <f>IF(ISBLANK($D10),"0",IF(($D10-$D9)&gt;($C10-$C9),1,0))</f>
        <v>1</v>
      </c>
      <c r="F10" s="64">
        <f t="shared" ca="1" si="1"/>
        <v>19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 t="s">
        <v>317</v>
      </c>
      <c r="Q10" s="70" t="s">
        <v>318</v>
      </c>
      <c r="R10" s="70"/>
      <c r="S10" s="70"/>
      <c r="T10" s="70"/>
      <c r="U10" s="70" t="s">
        <v>323</v>
      </c>
      <c r="V10" s="70"/>
      <c r="W10" s="70"/>
      <c r="X10" s="70"/>
      <c r="Y10" s="70"/>
      <c r="Z10" s="70"/>
      <c r="AA10" s="70"/>
      <c r="AB10" s="70"/>
      <c r="AC10" s="70" t="s">
        <v>317</v>
      </c>
      <c r="AD10" s="70"/>
      <c r="AE10" s="70" t="s">
        <v>355</v>
      </c>
      <c r="AF10" s="70" t="s">
        <v>355</v>
      </c>
      <c r="AG10" s="70"/>
      <c r="AH10" s="70"/>
      <c r="AI10" s="70"/>
      <c r="AJ10" s="70"/>
      <c r="AK10" s="70" t="s">
        <v>317</v>
      </c>
      <c r="AL10" s="70"/>
      <c r="AM10" s="70" t="s">
        <v>324</v>
      </c>
      <c r="AN10" s="70"/>
      <c r="AO10" s="70" t="s">
        <v>317</v>
      </c>
      <c r="AP10" s="70"/>
      <c r="AQ10" s="70" t="s">
        <v>313</v>
      </c>
      <c r="AR10" s="70"/>
      <c r="AS10" s="70"/>
      <c r="AT10" s="70"/>
      <c r="AU10" s="70" t="s">
        <v>317</v>
      </c>
      <c r="AV10" s="70"/>
      <c r="AW10" s="70"/>
      <c r="AX10" s="70"/>
      <c r="AY10" s="70" t="s">
        <v>366</v>
      </c>
      <c r="AZ10" s="70" t="s">
        <v>364</v>
      </c>
      <c r="BA10" s="70" t="s">
        <v>317</v>
      </c>
      <c r="BB10" s="70"/>
      <c r="BC10" s="70"/>
      <c r="BD10" s="70"/>
      <c r="BE10" s="70"/>
      <c r="BF10" s="70" t="s">
        <v>387</v>
      </c>
      <c r="BG10" s="70" t="s">
        <v>320</v>
      </c>
      <c r="BH10" s="70" t="s">
        <v>317</v>
      </c>
      <c r="BI10" s="70" t="s">
        <v>317</v>
      </c>
      <c r="BJ10" s="70"/>
      <c r="BK10" s="70"/>
      <c r="BL10" s="70" t="s">
        <v>313</v>
      </c>
      <c r="BM10" s="70"/>
      <c r="BN10" s="70"/>
    </row>
    <row r="11" spans="1:66" x14ac:dyDescent="0.25">
      <c r="A11" s="59">
        <v>5</v>
      </c>
      <c r="B11" s="67" t="s">
        <v>169</v>
      </c>
      <c r="C11" s="65">
        <v>2.5</v>
      </c>
      <c r="D11" s="64">
        <v>45</v>
      </c>
      <c r="E11" s="64">
        <f>IF(ISBLANK($D11),"0",IF(($D12-$D11)&lt;($C12-$C11),1,0))</f>
        <v>1</v>
      </c>
      <c r="F11" s="64">
        <f t="shared" ca="1" si="1"/>
        <v>42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/>
      <c r="L11" s="69" t="s">
        <v>313</v>
      </c>
      <c r="M11" s="69" t="s">
        <v>312</v>
      </c>
      <c r="N11" s="69" t="s">
        <v>313</v>
      </c>
      <c r="O11" s="69"/>
      <c r="P11" s="69" t="s">
        <v>317</v>
      </c>
      <c r="Q11" s="69" t="s">
        <v>318</v>
      </c>
      <c r="R11" s="69" t="s">
        <v>353</v>
      </c>
      <c r="S11" s="69" t="s">
        <v>348</v>
      </c>
      <c r="T11" s="69" t="s">
        <v>319</v>
      </c>
      <c r="U11" s="69"/>
      <c r="V11" s="69" t="s">
        <v>341</v>
      </c>
      <c r="W11" s="69" t="s">
        <v>317</v>
      </c>
      <c r="X11" s="69"/>
      <c r="Y11" s="69"/>
      <c r="Z11" s="69"/>
      <c r="AA11" s="69" t="s">
        <v>354</v>
      </c>
      <c r="AB11" s="69" t="s">
        <v>317</v>
      </c>
      <c r="AC11" s="69" t="s">
        <v>317</v>
      </c>
      <c r="AD11" s="69" t="s">
        <v>317</v>
      </c>
      <c r="AE11" s="69" t="s">
        <v>355</v>
      </c>
      <c r="AF11" s="69" t="s">
        <v>355</v>
      </c>
      <c r="AG11" s="69" t="s">
        <v>335</v>
      </c>
      <c r="AH11" s="69" t="s">
        <v>320</v>
      </c>
      <c r="AI11" s="69" t="s">
        <v>380</v>
      </c>
      <c r="AJ11" s="69" t="s">
        <v>351</v>
      </c>
      <c r="AK11" s="69" t="s">
        <v>317</v>
      </c>
      <c r="AL11" s="69"/>
      <c r="AM11" s="69" t="s">
        <v>315</v>
      </c>
      <c r="AN11" s="69" t="s">
        <v>317</v>
      </c>
      <c r="AO11" s="69"/>
      <c r="AP11" s="69" t="s">
        <v>333</v>
      </c>
      <c r="AQ11" s="69" t="s">
        <v>313</v>
      </c>
      <c r="AR11" s="69" t="s">
        <v>317</v>
      </c>
      <c r="AS11" s="69" t="s">
        <v>322</v>
      </c>
      <c r="AT11" s="69"/>
      <c r="AU11" s="69"/>
      <c r="AV11" s="69"/>
      <c r="AW11" s="69" t="s">
        <v>352</v>
      </c>
      <c r="AX11" s="69"/>
      <c r="AY11" s="69" t="s">
        <v>366</v>
      </c>
      <c r="AZ11" s="69"/>
      <c r="BA11" s="69" t="s">
        <v>317</v>
      </c>
      <c r="BB11" s="69" t="s">
        <v>333</v>
      </c>
      <c r="BC11" s="69" t="s">
        <v>357</v>
      </c>
      <c r="BD11" s="69"/>
      <c r="BE11" s="69" t="s">
        <v>367</v>
      </c>
      <c r="BF11" s="69" t="s">
        <v>387</v>
      </c>
      <c r="BG11" s="69" t="s">
        <v>349</v>
      </c>
      <c r="BH11" s="69" t="s">
        <v>317</v>
      </c>
      <c r="BI11" s="69" t="s">
        <v>317</v>
      </c>
      <c r="BJ11" s="69" t="s">
        <v>317</v>
      </c>
      <c r="BK11" s="69" t="s">
        <v>346</v>
      </c>
      <c r="BL11" s="69" t="s">
        <v>313</v>
      </c>
      <c r="BM11" s="69" t="s">
        <v>388</v>
      </c>
      <c r="BN11" s="69" t="s">
        <v>312</v>
      </c>
    </row>
    <row r="12" spans="1:66" x14ac:dyDescent="0.25">
      <c r="A12" s="61" t="s">
        <v>3</v>
      </c>
      <c r="B12" s="68" t="s">
        <v>167</v>
      </c>
      <c r="C12" s="66"/>
      <c r="D12" s="64">
        <v>42</v>
      </c>
      <c r="E12" s="64">
        <f>IF(ISBLANK($D12),"0",IF(($D12-$D11)&gt;($C12-$C11),1,0))</f>
        <v>0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311</v>
      </c>
      <c r="K12" s="70" t="s">
        <v>312</v>
      </c>
      <c r="L12" s="70"/>
      <c r="M12" s="70"/>
      <c r="N12" s="70"/>
      <c r="O12" s="70" t="s">
        <v>315</v>
      </c>
      <c r="P12" s="70"/>
      <c r="Q12" s="70"/>
      <c r="R12" s="70"/>
      <c r="S12" s="70"/>
      <c r="T12" s="70"/>
      <c r="U12" s="70" t="s">
        <v>336</v>
      </c>
      <c r="V12" s="70"/>
      <c r="W12" s="70"/>
      <c r="X12" s="70" t="s">
        <v>312</v>
      </c>
      <c r="Y12" s="70" t="s">
        <v>317</v>
      </c>
      <c r="Z12" s="70" t="s">
        <v>322</v>
      </c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 t="s">
        <v>347</v>
      </c>
      <c r="AM12" s="70"/>
      <c r="AN12" s="70"/>
      <c r="AO12" s="70" t="s">
        <v>317</v>
      </c>
      <c r="AP12" s="70"/>
      <c r="AQ12" s="70"/>
      <c r="AR12" s="100"/>
      <c r="AS12" s="70"/>
      <c r="AT12" s="70" t="s">
        <v>334</v>
      </c>
      <c r="AU12" s="70" t="s">
        <v>317</v>
      </c>
      <c r="AV12" s="70" t="s">
        <v>317</v>
      </c>
      <c r="AW12" s="70"/>
      <c r="AX12" s="70" t="s">
        <v>317</v>
      </c>
      <c r="AY12" s="70"/>
      <c r="AZ12" s="70" t="s">
        <v>342</v>
      </c>
      <c r="BA12" s="70"/>
      <c r="BB12" s="70"/>
      <c r="BC12" s="70"/>
      <c r="BD12" s="70" t="s">
        <v>313</v>
      </c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5">
      <c r="A13" s="59">
        <v>6</v>
      </c>
      <c r="B13" s="67" t="s">
        <v>257</v>
      </c>
      <c r="C13" s="65">
        <v>2.5</v>
      </c>
      <c r="D13" s="64">
        <v>35</v>
      </c>
      <c r="E13" s="64">
        <f>IF(ISBLANK($D13),"0",IF(($D14-$D13)&lt;($C14-$C13),1,0))</f>
        <v>1</v>
      </c>
      <c r="F13" s="64">
        <f t="shared" ca="1" si="1"/>
        <v>45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311</v>
      </c>
      <c r="K13" s="69"/>
      <c r="L13" s="69" t="s">
        <v>313</v>
      </c>
      <c r="M13" s="69"/>
      <c r="N13" s="69" t="s">
        <v>313</v>
      </c>
      <c r="O13" s="69" t="s">
        <v>347</v>
      </c>
      <c r="P13" s="69" t="s">
        <v>317</v>
      </c>
      <c r="Q13" s="69" t="s">
        <v>318</v>
      </c>
      <c r="R13" s="69" t="s">
        <v>322</v>
      </c>
      <c r="S13" s="69" t="s">
        <v>320</v>
      </c>
      <c r="T13" s="69" t="s">
        <v>333</v>
      </c>
      <c r="U13" s="69" t="s">
        <v>319</v>
      </c>
      <c r="V13" s="69" t="s">
        <v>341</v>
      </c>
      <c r="W13" s="69" t="s">
        <v>317</v>
      </c>
      <c r="X13" s="69" t="s">
        <v>312</v>
      </c>
      <c r="Y13" s="69" t="s">
        <v>317</v>
      </c>
      <c r="Z13" s="69" t="s">
        <v>334</v>
      </c>
      <c r="AA13" s="69" t="s">
        <v>354</v>
      </c>
      <c r="AB13" s="69" t="s">
        <v>317</v>
      </c>
      <c r="AC13" s="69" t="s">
        <v>317</v>
      </c>
      <c r="AD13" s="69"/>
      <c r="AE13" s="69" t="s">
        <v>355</v>
      </c>
      <c r="AF13" s="69" t="s">
        <v>355</v>
      </c>
      <c r="AG13" s="69" t="s">
        <v>323</v>
      </c>
      <c r="AH13" s="69"/>
      <c r="AI13" s="69" t="s">
        <v>381</v>
      </c>
      <c r="AJ13" s="69" t="s">
        <v>352</v>
      </c>
      <c r="AK13" s="69"/>
      <c r="AL13" s="69" t="s">
        <v>347</v>
      </c>
      <c r="AM13" s="69" t="s">
        <v>323</v>
      </c>
      <c r="AN13" s="69" t="s">
        <v>317</v>
      </c>
      <c r="AO13" s="69" t="s">
        <v>317</v>
      </c>
      <c r="AP13" s="69" t="s">
        <v>319</v>
      </c>
      <c r="AQ13" s="69" t="s">
        <v>313</v>
      </c>
      <c r="AR13" s="99" t="s">
        <v>317</v>
      </c>
      <c r="AS13" s="69"/>
      <c r="AT13" s="69" t="s">
        <v>334</v>
      </c>
      <c r="AU13" s="69" t="s">
        <v>317</v>
      </c>
      <c r="AV13" s="69" t="s">
        <v>317</v>
      </c>
      <c r="AW13" s="69" t="s">
        <v>335</v>
      </c>
      <c r="AX13" s="69" t="s">
        <v>317</v>
      </c>
      <c r="AY13" s="69" t="s">
        <v>366</v>
      </c>
      <c r="AZ13" s="69"/>
      <c r="BA13" s="69"/>
      <c r="BB13" s="69" t="s">
        <v>386</v>
      </c>
      <c r="BC13" s="69" t="s">
        <v>357</v>
      </c>
      <c r="BD13" s="69"/>
      <c r="BE13" s="69" t="s">
        <v>367</v>
      </c>
      <c r="BF13" s="69" t="s">
        <v>387</v>
      </c>
      <c r="BG13" s="69" t="s">
        <v>320</v>
      </c>
      <c r="BH13" s="69"/>
      <c r="BI13" s="69" t="s">
        <v>317</v>
      </c>
      <c r="BJ13" s="69" t="s">
        <v>317</v>
      </c>
      <c r="BK13" s="69" t="s">
        <v>346</v>
      </c>
      <c r="BL13" s="69"/>
      <c r="BM13" s="69" t="s">
        <v>388</v>
      </c>
      <c r="BN13" s="69" t="s">
        <v>312</v>
      </c>
    </row>
    <row r="14" spans="1:66" x14ac:dyDescent="0.25">
      <c r="A14" s="61" t="s">
        <v>3</v>
      </c>
      <c r="B14" s="68" t="s">
        <v>254</v>
      </c>
      <c r="C14" s="66"/>
      <c r="D14" s="64">
        <v>19</v>
      </c>
      <c r="E14" s="64">
        <f>IF(ISBLANK($D14),"0",IF(($D14-$D13)&gt;($C14-$C13),1,0))</f>
        <v>0</v>
      </c>
      <c r="F14" s="64">
        <f t="shared" ca="1" si="1"/>
        <v>11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312</v>
      </c>
      <c r="L14" s="70"/>
      <c r="M14" s="70" t="s">
        <v>312</v>
      </c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 t="s">
        <v>317</v>
      </c>
      <c r="AE14" s="70"/>
      <c r="AF14" s="70"/>
      <c r="AG14" s="70"/>
      <c r="AH14" s="70" t="s">
        <v>378</v>
      </c>
      <c r="AI14" s="70"/>
      <c r="AJ14" s="70"/>
      <c r="AK14" s="70" t="s">
        <v>317</v>
      </c>
      <c r="AL14" s="70"/>
      <c r="AM14" s="70"/>
      <c r="AN14" s="70"/>
      <c r="AO14" s="70"/>
      <c r="AP14" s="70"/>
      <c r="AQ14" s="70"/>
      <c r="AR14" s="70"/>
      <c r="AS14" s="70" t="s">
        <v>347</v>
      </c>
      <c r="AT14" s="70"/>
      <c r="AU14" s="70"/>
      <c r="AV14" s="70"/>
      <c r="AW14" s="70"/>
      <c r="AX14" s="70"/>
      <c r="AY14" s="70"/>
      <c r="AZ14" s="70" t="s">
        <v>311</v>
      </c>
      <c r="BA14" s="70" t="s">
        <v>317</v>
      </c>
      <c r="BB14" s="70"/>
      <c r="BC14" s="70"/>
      <c r="BD14" s="70" t="s">
        <v>313</v>
      </c>
      <c r="BE14" s="70"/>
      <c r="BF14" s="70"/>
      <c r="BG14" s="70"/>
      <c r="BH14" s="70" t="s">
        <v>312</v>
      </c>
      <c r="BI14" s="70"/>
      <c r="BJ14" s="70"/>
      <c r="BK14" s="70"/>
      <c r="BL14" s="70" t="s">
        <v>313</v>
      </c>
      <c r="BM14" s="70"/>
      <c r="BN14" s="70"/>
    </row>
    <row r="15" spans="1:66" x14ac:dyDescent="0.25">
      <c r="A15" s="59">
        <v>7</v>
      </c>
      <c r="B15" s="67" t="s">
        <v>306</v>
      </c>
      <c r="C15" s="65"/>
      <c r="D15" s="64">
        <v>16</v>
      </c>
      <c r="E15" s="64">
        <f>IF(ISBLANK($D15),"0",IF(($D16-$D15)&lt;($C16-$C15),1,0))</f>
        <v>1</v>
      </c>
      <c r="F15" s="64">
        <f t="shared" ca="1" si="1"/>
        <v>18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311</v>
      </c>
      <c r="K15" s="69"/>
      <c r="L15" s="69"/>
      <c r="M15" s="69"/>
      <c r="N15" s="69"/>
      <c r="O15" s="69" t="s">
        <v>331</v>
      </c>
      <c r="P15" s="69" t="s">
        <v>317</v>
      </c>
      <c r="Q15" s="69" t="s">
        <v>318</v>
      </c>
      <c r="R15" s="69" t="s">
        <v>334</v>
      </c>
      <c r="S15" s="69"/>
      <c r="T15" s="69"/>
      <c r="U15" s="69" t="s">
        <v>324</v>
      </c>
      <c r="V15" s="69"/>
      <c r="W15" s="69" t="s">
        <v>317</v>
      </c>
      <c r="X15" s="69"/>
      <c r="Y15" s="69"/>
      <c r="Z15" s="69"/>
      <c r="AA15" s="69"/>
      <c r="AB15" s="69"/>
      <c r="AC15" s="69"/>
      <c r="AD15" s="69"/>
      <c r="AE15" s="69"/>
      <c r="AF15" s="69"/>
      <c r="AG15" s="69" t="s">
        <v>347</v>
      </c>
      <c r="AH15" s="69"/>
      <c r="AI15" s="69"/>
      <c r="AJ15" s="69"/>
      <c r="AK15" s="69"/>
      <c r="AL15" s="69"/>
      <c r="AM15" s="69" t="s">
        <v>363</v>
      </c>
      <c r="AN15" s="69"/>
      <c r="AO15" s="69" t="s">
        <v>317</v>
      </c>
      <c r="AP15" s="69" t="s">
        <v>331</v>
      </c>
      <c r="AQ15" s="69"/>
      <c r="AR15" s="69"/>
      <c r="AS15" s="69" t="s">
        <v>316</v>
      </c>
      <c r="AT15" s="69"/>
      <c r="AU15" s="69"/>
      <c r="AV15" s="69"/>
      <c r="AW15" s="69" t="s">
        <v>375</v>
      </c>
      <c r="AX15" s="69"/>
      <c r="AY15" s="69"/>
      <c r="AZ15" s="69" t="s">
        <v>320</v>
      </c>
      <c r="BA15" s="69"/>
      <c r="BB15" s="69"/>
      <c r="BC15" s="69"/>
      <c r="BD15" s="69" t="s">
        <v>313</v>
      </c>
      <c r="BE15" s="69"/>
      <c r="BF15" s="69"/>
      <c r="BG15" s="69"/>
      <c r="BH15" s="69"/>
      <c r="BI15" s="69"/>
      <c r="BJ15" s="69" t="s">
        <v>317</v>
      </c>
      <c r="BK15" s="69" t="s">
        <v>346</v>
      </c>
      <c r="BL15" s="69" t="s">
        <v>313</v>
      </c>
      <c r="BM15" s="69"/>
      <c r="BN15" s="69" t="s">
        <v>312</v>
      </c>
    </row>
    <row r="16" spans="1:66" x14ac:dyDescent="0.25">
      <c r="A16" s="61" t="s">
        <v>3</v>
      </c>
      <c r="B16" s="68" t="s">
        <v>209</v>
      </c>
      <c r="C16" s="66">
        <v>7.5</v>
      </c>
      <c r="D16" s="64">
        <v>17</v>
      </c>
      <c r="E16" s="64">
        <f>IF(ISBLANK($D16),"0",IF(($D16-$D15)&gt;($C16-$C15),1,0))</f>
        <v>0</v>
      </c>
      <c r="F16" s="64">
        <f t="shared" ca="1" si="1"/>
        <v>38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312</v>
      </c>
      <c r="L16" s="70" t="s">
        <v>313</v>
      </c>
      <c r="M16" s="70" t="s">
        <v>312</v>
      </c>
      <c r="N16" s="70" t="s">
        <v>313</v>
      </c>
      <c r="O16" s="70"/>
      <c r="P16" s="70"/>
      <c r="Q16" s="70"/>
      <c r="R16" s="70"/>
      <c r="S16" s="70" t="s">
        <v>341</v>
      </c>
      <c r="T16" s="70" t="s">
        <v>334</v>
      </c>
      <c r="U16" s="70"/>
      <c r="V16" s="70" t="s">
        <v>343</v>
      </c>
      <c r="W16" s="70"/>
      <c r="X16" s="70" t="s">
        <v>312</v>
      </c>
      <c r="Y16" s="70" t="s">
        <v>317</v>
      </c>
      <c r="Z16" s="70" t="s">
        <v>347</v>
      </c>
      <c r="AA16" s="70" t="s">
        <v>354</v>
      </c>
      <c r="AB16" s="70" t="s">
        <v>317</v>
      </c>
      <c r="AC16" s="70" t="s">
        <v>317</v>
      </c>
      <c r="AD16" s="70" t="s">
        <v>317</v>
      </c>
      <c r="AE16" s="70" t="s">
        <v>355</v>
      </c>
      <c r="AF16" s="70" t="s">
        <v>355</v>
      </c>
      <c r="AG16" s="70"/>
      <c r="AH16" s="70" t="s">
        <v>327</v>
      </c>
      <c r="AI16" s="70" t="s">
        <v>382</v>
      </c>
      <c r="AJ16" s="70" t="s">
        <v>322</v>
      </c>
      <c r="AK16" s="70" t="s">
        <v>317</v>
      </c>
      <c r="AL16" s="70" t="s">
        <v>347</v>
      </c>
      <c r="AM16" s="70"/>
      <c r="AN16" s="70" t="s">
        <v>317</v>
      </c>
      <c r="AO16" s="70"/>
      <c r="AP16" s="70"/>
      <c r="AQ16" s="70" t="s">
        <v>313</v>
      </c>
      <c r="AR16" s="100" t="s">
        <v>317</v>
      </c>
      <c r="AS16" s="70"/>
      <c r="AT16" s="70" t="s">
        <v>334</v>
      </c>
      <c r="AU16" s="70" t="s">
        <v>317</v>
      </c>
      <c r="AV16" s="70" t="s">
        <v>317</v>
      </c>
      <c r="AW16" s="70"/>
      <c r="AX16" s="70" t="s">
        <v>317</v>
      </c>
      <c r="AY16" s="70" t="s">
        <v>366</v>
      </c>
      <c r="AZ16" s="70"/>
      <c r="BA16" s="70" t="s">
        <v>317</v>
      </c>
      <c r="BB16" s="70" t="s">
        <v>327</v>
      </c>
      <c r="BC16" s="70" t="s">
        <v>357</v>
      </c>
      <c r="BD16" s="70"/>
      <c r="BE16" s="70" t="s">
        <v>367</v>
      </c>
      <c r="BF16" s="70" t="s">
        <v>387</v>
      </c>
      <c r="BG16" s="70" t="s">
        <v>331</v>
      </c>
      <c r="BH16" s="70" t="s">
        <v>317</v>
      </c>
      <c r="BI16" s="70" t="s">
        <v>317</v>
      </c>
      <c r="BJ16" s="70"/>
      <c r="BK16" s="70"/>
      <c r="BL16" s="70"/>
      <c r="BM16" s="70" t="s">
        <v>388</v>
      </c>
      <c r="BN16" s="70"/>
    </row>
    <row r="17" spans="1:66" x14ac:dyDescent="0.25">
      <c r="A17" s="59">
        <v>8</v>
      </c>
      <c r="B17" s="67" t="s">
        <v>259</v>
      </c>
      <c r="C17" s="65"/>
      <c r="D17" s="64">
        <v>14</v>
      </c>
      <c r="E17" s="64">
        <f>IF(ISBLANK($D17),"0",IF(($D18-$D17)&lt;($C18-$C17),1,0))</f>
        <v>1</v>
      </c>
      <c r="F17" s="64">
        <f t="shared" ca="1" si="1"/>
        <v>22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 t="s">
        <v>311</v>
      </c>
      <c r="K17" s="69"/>
      <c r="L17" s="69"/>
      <c r="M17" s="69" t="s">
        <v>312</v>
      </c>
      <c r="N17" s="69"/>
      <c r="O17" s="69"/>
      <c r="P17" s="69" t="s">
        <v>317</v>
      </c>
      <c r="Q17" s="69" t="s">
        <v>318</v>
      </c>
      <c r="R17" s="69"/>
      <c r="S17" s="69"/>
      <c r="T17" s="69"/>
      <c r="U17" s="69" t="s">
        <v>331</v>
      </c>
      <c r="V17" s="69"/>
      <c r="W17" s="69"/>
      <c r="X17" s="69" t="s">
        <v>312</v>
      </c>
      <c r="Y17" s="69"/>
      <c r="Z17" s="69" t="s">
        <v>334</v>
      </c>
      <c r="AA17" s="69" t="s">
        <v>354</v>
      </c>
      <c r="AB17" s="69"/>
      <c r="AC17" s="69" t="s">
        <v>317</v>
      </c>
      <c r="AD17" s="69"/>
      <c r="AE17" s="69"/>
      <c r="AF17" s="69" t="s">
        <v>355</v>
      </c>
      <c r="AG17" s="69"/>
      <c r="AH17" s="69" t="s">
        <v>324</v>
      </c>
      <c r="AI17" s="69"/>
      <c r="AJ17" s="69"/>
      <c r="AK17" s="69" t="s">
        <v>317</v>
      </c>
      <c r="AL17" s="69"/>
      <c r="AM17" s="69"/>
      <c r="AN17" s="69"/>
      <c r="AO17" s="69" t="s">
        <v>317</v>
      </c>
      <c r="AP17" s="69" t="s">
        <v>333</v>
      </c>
      <c r="AQ17" s="69" t="s">
        <v>313</v>
      </c>
      <c r="AR17" s="99"/>
      <c r="AS17" s="69" t="s">
        <v>364</v>
      </c>
      <c r="AT17" s="69"/>
      <c r="AU17" s="69"/>
      <c r="AV17" s="69"/>
      <c r="AW17" s="69" t="s">
        <v>339</v>
      </c>
      <c r="AX17" s="69"/>
      <c r="AY17" s="69"/>
      <c r="AZ17" s="69" t="s">
        <v>350</v>
      </c>
      <c r="BA17" s="69"/>
      <c r="BB17" s="69"/>
      <c r="BC17" s="69"/>
      <c r="BD17" s="69"/>
      <c r="BE17" s="69" t="s">
        <v>367</v>
      </c>
      <c r="BF17" s="69"/>
      <c r="BG17" s="69"/>
      <c r="BH17" s="69" t="s">
        <v>317</v>
      </c>
      <c r="BI17" s="69" t="s">
        <v>317</v>
      </c>
      <c r="BJ17" s="69" t="s">
        <v>317</v>
      </c>
      <c r="BK17" s="69"/>
      <c r="BL17" s="69"/>
      <c r="BM17" s="69"/>
      <c r="BN17" s="69" t="s">
        <v>312</v>
      </c>
    </row>
    <row r="18" spans="1:66" x14ac:dyDescent="0.25">
      <c r="A18" s="61" t="s">
        <v>3</v>
      </c>
      <c r="B18" s="68" t="s">
        <v>264</v>
      </c>
      <c r="C18" s="66">
        <v>9.5</v>
      </c>
      <c r="D18" s="64">
        <v>23</v>
      </c>
      <c r="E18" s="64">
        <f>IF(ISBLANK($D18),"0",IF(($D18-$D17)&gt;($C18-$C17),1,0))</f>
        <v>0</v>
      </c>
      <c r="F18" s="64">
        <f t="shared" ca="1" si="1"/>
        <v>34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312</v>
      </c>
      <c r="L18" s="70" t="s">
        <v>313</v>
      </c>
      <c r="M18" s="70"/>
      <c r="N18" s="70" t="s">
        <v>313</v>
      </c>
      <c r="O18" s="70" t="s">
        <v>332</v>
      </c>
      <c r="P18" s="70"/>
      <c r="Q18" s="70"/>
      <c r="R18" s="70" t="s">
        <v>347</v>
      </c>
      <c r="S18" s="70" t="s">
        <v>311</v>
      </c>
      <c r="T18" s="70" t="s">
        <v>328</v>
      </c>
      <c r="U18" s="70"/>
      <c r="V18" s="70" t="s">
        <v>320</v>
      </c>
      <c r="W18" s="70" t="s">
        <v>317</v>
      </c>
      <c r="X18" s="70"/>
      <c r="Y18" s="70" t="s">
        <v>317</v>
      </c>
      <c r="Z18" s="70"/>
      <c r="AA18" s="70"/>
      <c r="AB18" s="70" t="s">
        <v>317</v>
      </c>
      <c r="AC18" s="70"/>
      <c r="AD18" s="70" t="s">
        <v>317</v>
      </c>
      <c r="AE18" s="70" t="s">
        <v>355</v>
      </c>
      <c r="AF18" s="70"/>
      <c r="AG18" s="70" t="s">
        <v>350</v>
      </c>
      <c r="AH18" s="70"/>
      <c r="AI18" s="70" t="s">
        <v>383</v>
      </c>
      <c r="AJ18" s="70" t="s">
        <v>326</v>
      </c>
      <c r="AK18" s="70"/>
      <c r="AL18" s="70" t="s">
        <v>347</v>
      </c>
      <c r="AM18" s="70" t="s">
        <v>324</v>
      </c>
      <c r="AN18" s="70" t="s">
        <v>317</v>
      </c>
      <c r="AO18" s="70"/>
      <c r="AP18" s="70"/>
      <c r="AQ18" s="70"/>
      <c r="AR18" s="70" t="s">
        <v>317</v>
      </c>
      <c r="AS18" s="70"/>
      <c r="AT18" s="70" t="s">
        <v>334</v>
      </c>
      <c r="AU18" s="70" t="s">
        <v>317</v>
      </c>
      <c r="AV18" s="70" t="s">
        <v>317</v>
      </c>
      <c r="AW18" s="70"/>
      <c r="AX18" s="70" t="s">
        <v>317</v>
      </c>
      <c r="AY18" s="70" t="s">
        <v>366</v>
      </c>
      <c r="AZ18" s="70"/>
      <c r="BA18" s="70" t="s">
        <v>317</v>
      </c>
      <c r="BB18" s="70" t="s">
        <v>324</v>
      </c>
      <c r="BC18" s="70" t="s">
        <v>357</v>
      </c>
      <c r="BD18" s="70" t="s">
        <v>313</v>
      </c>
      <c r="BE18" s="70"/>
      <c r="BF18" s="70" t="s">
        <v>387</v>
      </c>
      <c r="BG18" s="70" t="s">
        <v>335</v>
      </c>
      <c r="BH18" s="70"/>
      <c r="BI18" s="70"/>
      <c r="BJ18" s="70"/>
      <c r="BK18" s="70" t="s">
        <v>346</v>
      </c>
      <c r="BL18" s="70" t="s">
        <v>313</v>
      </c>
      <c r="BM18" s="70" t="s">
        <v>388</v>
      </c>
      <c r="BN18" s="70"/>
    </row>
    <row r="19" spans="1:66" x14ac:dyDescent="0.25">
      <c r="A19" s="59">
        <v>9</v>
      </c>
      <c r="B19" s="67" t="s">
        <v>159</v>
      </c>
      <c r="C19" s="65">
        <v>3.5</v>
      </c>
      <c r="D19" s="64">
        <v>31</v>
      </c>
      <c r="E19" s="64">
        <f>IF(ISBLANK($D19),"0",IF(($D20-$D19)&lt;($C20-$C19),1,0))</f>
        <v>0</v>
      </c>
      <c r="F19" s="64">
        <f t="shared" ca="1" si="1"/>
        <v>16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313</v>
      </c>
      <c r="M19" s="69"/>
      <c r="N19" s="69" t="s">
        <v>313</v>
      </c>
      <c r="O19" s="69"/>
      <c r="P19" s="69"/>
      <c r="Q19" s="69"/>
      <c r="R19" s="69" t="s">
        <v>329</v>
      </c>
      <c r="S19" s="69" t="s">
        <v>326</v>
      </c>
      <c r="T19" s="69"/>
      <c r="U19" s="69"/>
      <c r="V19" s="69"/>
      <c r="W19" s="69"/>
      <c r="X19" s="69"/>
      <c r="Y19" s="69" t="s">
        <v>317</v>
      </c>
      <c r="Z19" s="69"/>
      <c r="AA19" s="69" t="s">
        <v>354</v>
      </c>
      <c r="AB19" s="69"/>
      <c r="AC19" s="69"/>
      <c r="AD19" s="69"/>
      <c r="AE19" s="69"/>
      <c r="AF19" s="69" t="s">
        <v>355</v>
      </c>
      <c r="AG19" s="69"/>
      <c r="AH19" s="69"/>
      <c r="AI19" s="69"/>
      <c r="AJ19" s="69" t="s">
        <v>326</v>
      </c>
      <c r="AK19" s="69"/>
      <c r="AL19" s="69"/>
      <c r="AM19" s="69"/>
      <c r="AN19" s="69"/>
      <c r="AO19" s="69" t="s">
        <v>317</v>
      </c>
      <c r="AP19" s="69"/>
      <c r="AQ19" s="69"/>
      <c r="AR19" s="69"/>
      <c r="AS19" s="69"/>
      <c r="AT19" s="69"/>
      <c r="AU19" s="69" t="s">
        <v>317</v>
      </c>
      <c r="AV19" s="69" t="s">
        <v>317</v>
      </c>
      <c r="AW19" s="69"/>
      <c r="AX19" s="69" t="s">
        <v>317</v>
      </c>
      <c r="AY19" s="69"/>
      <c r="AZ19" s="69" t="s">
        <v>326</v>
      </c>
      <c r="BA19" s="69"/>
      <c r="BB19" s="69"/>
      <c r="BC19" s="69"/>
      <c r="BD19" s="69" t="s">
        <v>313</v>
      </c>
      <c r="BE19" s="69"/>
      <c r="BF19" s="69"/>
      <c r="BG19" s="69" t="s">
        <v>325</v>
      </c>
      <c r="BH19" s="69"/>
      <c r="BI19" s="69" t="s">
        <v>317</v>
      </c>
      <c r="BJ19" s="69"/>
      <c r="BK19" s="69"/>
      <c r="BL19" s="69"/>
      <c r="BM19" s="69"/>
      <c r="BN19" s="69"/>
    </row>
    <row r="20" spans="1:66" x14ac:dyDescent="0.25">
      <c r="A20" s="61" t="s">
        <v>3</v>
      </c>
      <c r="B20" s="68" t="s">
        <v>182</v>
      </c>
      <c r="C20" s="66"/>
      <c r="D20" s="64">
        <v>35</v>
      </c>
      <c r="E20" s="64">
        <f>IF(ISBLANK($D20),"0",IF(($D20-$D19)&gt;($C20-$C19),1,0))</f>
        <v>1</v>
      </c>
      <c r="F20" s="64">
        <f t="shared" ca="1" si="1"/>
        <v>40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311</v>
      </c>
      <c r="K20" s="70" t="s">
        <v>312</v>
      </c>
      <c r="L20" s="70"/>
      <c r="M20" s="70" t="s">
        <v>312</v>
      </c>
      <c r="N20" s="70"/>
      <c r="O20" s="70" t="s">
        <v>322</v>
      </c>
      <c r="P20" s="70" t="s">
        <v>317</v>
      </c>
      <c r="Q20" s="70" t="s">
        <v>318</v>
      </c>
      <c r="R20" s="70"/>
      <c r="S20" s="70"/>
      <c r="T20" s="70" t="s">
        <v>319</v>
      </c>
      <c r="U20" s="70" t="s">
        <v>335</v>
      </c>
      <c r="V20" s="70" t="s">
        <v>341</v>
      </c>
      <c r="W20" s="70" t="s">
        <v>317</v>
      </c>
      <c r="X20" s="70" t="s">
        <v>312</v>
      </c>
      <c r="Y20" s="70"/>
      <c r="Z20" s="70" t="s">
        <v>328</v>
      </c>
      <c r="AA20" s="70"/>
      <c r="AB20" s="70" t="s">
        <v>317</v>
      </c>
      <c r="AC20" s="70" t="s">
        <v>317</v>
      </c>
      <c r="AD20" s="70" t="s">
        <v>317</v>
      </c>
      <c r="AE20" s="70" t="s">
        <v>355</v>
      </c>
      <c r="AF20" s="70"/>
      <c r="AG20" s="70" t="s">
        <v>376</v>
      </c>
      <c r="AH20" s="70" t="s">
        <v>342</v>
      </c>
      <c r="AI20" s="70" t="s">
        <v>345</v>
      </c>
      <c r="AJ20" s="70"/>
      <c r="AK20" s="70" t="s">
        <v>317</v>
      </c>
      <c r="AL20" s="70" t="s">
        <v>347</v>
      </c>
      <c r="AM20" s="70" t="s">
        <v>315</v>
      </c>
      <c r="AN20" s="70" t="s">
        <v>317</v>
      </c>
      <c r="AO20" s="70"/>
      <c r="AP20" s="70" t="s">
        <v>360</v>
      </c>
      <c r="AQ20" s="70" t="s">
        <v>313</v>
      </c>
      <c r="AR20" s="100" t="s">
        <v>317</v>
      </c>
      <c r="AS20" s="70" t="s">
        <v>314</v>
      </c>
      <c r="AT20" s="70" t="s">
        <v>334</v>
      </c>
      <c r="AU20" s="70"/>
      <c r="AV20" s="70"/>
      <c r="AW20" s="70" t="s">
        <v>335</v>
      </c>
      <c r="AX20" s="70"/>
      <c r="AY20" s="70" t="s">
        <v>366</v>
      </c>
      <c r="AZ20" s="70"/>
      <c r="BA20" s="70" t="s">
        <v>317</v>
      </c>
      <c r="BB20" s="70" t="s">
        <v>342</v>
      </c>
      <c r="BC20" s="70" t="s">
        <v>357</v>
      </c>
      <c r="BD20" s="70"/>
      <c r="BE20" s="70" t="s">
        <v>367</v>
      </c>
      <c r="BF20" s="70" t="s">
        <v>387</v>
      </c>
      <c r="BG20" s="70"/>
      <c r="BH20" s="70" t="s">
        <v>317</v>
      </c>
      <c r="BI20" s="70"/>
      <c r="BJ20" s="70" t="s">
        <v>317</v>
      </c>
      <c r="BK20" s="70" t="s">
        <v>346</v>
      </c>
      <c r="BL20" s="70" t="s">
        <v>313</v>
      </c>
      <c r="BM20" s="70" t="s">
        <v>388</v>
      </c>
      <c r="BN20" s="70" t="s">
        <v>312</v>
      </c>
    </row>
    <row r="21" spans="1:66" x14ac:dyDescent="0.25">
      <c r="A21" s="59">
        <v>10</v>
      </c>
      <c r="B21" s="67" t="s">
        <v>179</v>
      </c>
      <c r="C21" s="65">
        <v>9.5</v>
      </c>
      <c r="D21" s="64">
        <v>27</v>
      </c>
      <c r="E21" s="64">
        <f>IF(ISBLANK($D21),"0",IF(($D22-$D21)&lt;($C22-$C21),1,0))</f>
        <v>1</v>
      </c>
      <c r="F21" s="64">
        <f t="shared" ca="1" si="1"/>
        <v>42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312</v>
      </c>
      <c r="L21" s="69" t="s">
        <v>313</v>
      </c>
      <c r="M21" s="69" t="s">
        <v>312</v>
      </c>
      <c r="N21" s="69" t="s">
        <v>313</v>
      </c>
      <c r="O21" s="69" t="s">
        <v>326</v>
      </c>
      <c r="P21" s="69" t="s">
        <v>317</v>
      </c>
      <c r="Q21" s="69" t="s">
        <v>318</v>
      </c>
      <c r="R21" s="69"/>
      <c r="S21" s="69" t="s">
        <v>326</v>
      </c>
      <c r="T21" s="69" t="s">
        <v>373</v>
      </c>
      <c r="U21" s="69"/>
      <c r="V21" s="69" t="s">
        <v>311</v>
      </c>
      <c r="W21" s="69"/>
      <c r="X21" s="69" t="s">
        <v>312</v>
      </c>
      <c r="Y21" s="69" t="s">
        <v>317</v>
      </c>
      <c r="Z21" s="69"/>
      <c r="AA21" s="69" t="s">
        <v>354</v>
      </c>
      <c r="AB21" s="69" t="s">
        <v>317</v>
      </c>
      <c r="AC21" s="69"/>
      <c r="AD21" s="69" t="s">
        <v>317</v>
      </c>
      <c r="AE21" s="69"/>
      <c r="AF21" s="69" t="s">
        <v>355</v>
      </c>
      <c r="AG21" s="69" t="s">
        <v>316</v>
      </c>
      <c r="AH21" s="69"/>
      <c r="AI21" s="69" t="s">
        <v>384</v>
      </c>
      <c r="AJ21" s="69" t="s">
        <v>326</v>
      </c>
      <c r="AK21" s="69" t="s">
        <v>317</v>
      </c>
      <c r="AL21" s="69"/>
      <c r="AM21" s="69" t="s">
        <v>324</v>
      </c>
      <c r="AN21" s="69"/>
      <c r="AO21" s="69" t="s">
        <v>317</v>
      </c>
      <c r="AP21" s="69" t="s">
        <v>360</v>
      </c>
      <c r="AQ21" s="69" t="s">
        <v>313</v>
      </c>
      <c r="AR21" s="99"/>
      <c r="AS21" s="69" t="s">
        <v>347</v>
      </c>
      <c r="AT21" s="69" t="s">
        <v>334</v>
      </c>
      <c r="AU21" s="69" t="s">
        <v>317</v>
      </c>
      <c r="AV21" s="69" t="s">
        <v>317</v>
      </c>
      <c r="AW21" s="69" t="s">
        <v>385</v>
      </c>
      <c r="AX21" s="69" t="s">
        <v>317</v>
      </c>
      <c r="AY21" s="69" t="s">
        <v>366</v>
      </c>
      <c r="AZ21" s="69"/>
      <c r="BA21" s="69" t="s">
        <v>317</v>
      </c>
      <c r="BB21" s="69" t="s">
        <v>320</v>
      </c>
      <c r="BC21" s="69" t="s">
        <v>357</v>
      </c>
      <c r="BD21" s="69"/>
      <c r="BE21" s="69" t="s">
        <v>367</v>
      </c>
      <c r="BF21" s="69"/>
      <c r="BG21" s="69" t="s">
        <v>311</v>
      </c>
      <c r="BH21" s="69" t="s">
        <v>317</v>
      </c>
      <c r="BI21" s="69" t="s">
        <v>317</v>
      </c>
      <c r="BJ21" s="69" t="s">
        <v>317</v>
      </c>
      <c r="BK21" s="69" t="s">
        <v>346</v>
      </c>
      <c r="BL21" s="69"/>
      <c r="BM21" s="69" t="s">
        <v>388</v>
      </c>
      <c r="BN21" s="69" t="s">
        <v>312</v>
      </c>
    </row>
    <row r="22" spans="1:66" x14ac:dyDescent="0.25">
      <c r="A22" s="61" t="s">
        <v>3</v>
      </c>
      <c r="B22" s="68" t="s">
        <v>225</v>
      </c>
      <c r="C22" s="66"/>
      <c r="D22" s="64">
        <v>11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311</v>
      </c>
      <c r="K22" s="70"/>
      <c r="L22" s="70"/>
      <c r="M22" s="70"/>
      <c r="N22" s="70"/>
      <c r="O22" s="70"/>
      <c r="P22" s="70"/>
      <c r="Q22" s="70"/>
      <c r="R22" s="70" t="s">
        <v>334</v>
      </c>
      <c r="S22" s="70"/>
      <c r="T22" s="70"/>
      <c r="U22" s="70" t="s">
        <v>325</v>
      </c>
      <c r="V22" s="70"/>
      <c r="W22" s="70" t="s">
        <v>317</v>
      </c>
      <c r="X22" s="70"/>
      <c r="Y22" s="70"/>
      <c r="Z22" s="70" t="s">
        <v>374</v>
      </c>
      <c r="AA22" s="70"/>
      <c r="AB22" s="70"/>
      <c r="AC22" s="70" t="s">
        <v>317</v>
      </c>
      <c r="AD22" s="70"/>
      <c r="AE22" s="70" t="s">
        <v>355</v>
      </c>
      <c r="AF22" s="70"/>
      <c r="AG22" s="70"/>
      <c r="AH22" s="70" t="s">
        <v>320</v>
      </c>
      <c r="AI22" s="70"/>
      <c r="AJ22" s="70"/>
      <c r="AK22" s="70"/>
      <c r="AL22" s="70" t="s">
        <v>347</v>
      </c>
      <c r="AM22" s="70"/>
      <c r="AN22" s="70" t="s">
        <v>317</v>
      </c>
      <c r="AO22" s="70"/>
      <c r="AP22" s="70"/>
      <c r="AQ22" s="70"/>
      <c r="AR22" s="70" t="s">
        <v>317</v>
      </c>
      <c r="AS22" s="70"/>
      <c r="AT22" s="70"/>
      <c r="AU22" s="70"/>
      <c r="AV22" s="70"/>
      <c r="AW22" s="70"/>
      <c r="AX22" s="70"/>
      <c r="AY22" s="70"/>
      <c r="AZ22" s="70" t="s">
        <v>317</v>
      </c>
      <c r="BA22" s="70"/>
      <c r="BB22" s="70"/>
      <c r="BC22" s="70"/>
      <c r="BD22" s="70" t="s">
        <v>313</v>
      </c>
      <c r="BE22" s="70"/>
      <c r="BF22" s="70" t="s">
        <v>387</v>
      </c>
      <c r="BG22" s="70"/>
      <c r="BH22" s="70"/>
      <c r="BI22" s="70"/>
      <c r="BJ22" s="70"/>
      <c r="BK22" s="70"/>
      <c r="BL22" s="70" t="s">
        <v>313</v>
      </c>
      <c r="BM22" s="70"/>
      <c r="BN22" s="70"/>
    </row>
    <row r="23" spans="1:66" x14ac:dyDescent="0.25">
      <c r="A23" s="59"/>
      <c r="B23" s="67" t="str">
        <f>B21&amp; " - score"</f>
        <v>Alabama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30</v>
      </c>
      <c r="K23" s="78">
        <v>35</v>
      </c>
      <c r="L23" s="78">
        <v>39</v>
      </c>
      <c r="M23" s="78">
        <v>37</v>
      </c>
      <c r="N23" s="80">
        <v>34</v>
      </c>
      <c r="O23" s="78">
        <v>31</v>
      </c>
      <c r="P23" s="78">
        <v>34</v>
      </c>
      <c r="Q23" s="78">
        <v>58</v>
      </c>
      <c r="R23" s="78">
        <v>31</v>
      </c>
      <c r="S23" s="78">
        <v>31</v>
      </c>
      <c r="T23" s="78">
        <v>50</v>
      </c>
      <c r="U23" s="78">
        <v>31</v>
      </c>
      <c r="V23" s="78">
        <v>34</v>
      </c>
      <c r="W23" s="78">
        <v>42</v>
      </c>
      <c r="X23" s="78">
        <v>31</v>
      </c>
      <c r="Y23" s="78">
        <v>30</v>
      </c>
      <c r="Z23" s="78">
        <v>24</v>
      </c>
      <c r="AA23" s="78">
        <v>17</v>
      </c>
      <c r="AB23" s="78">
        <v>24</v>
      </c>
      <c r="AC23" s="78">
        <v>20</v>
      </c>
      <c r="AD23" s="78">
        <v>31</v>
      </c>
      <c r="AE23" s="78">
        <v>13</v>
      </c>
      <c r="AF23" s="78">
        <v>21</v>
      </c>
      <c r="AG23" s="78">
        <v>48</v>
      </c>
      <c r="AH23" s="78">
        <v>35</v>
      </c>
      <c r="AI23" s="78">
        <v>31</v>
      </c>
      <c r="AJ23" s="78">
        <v>44</v>
      </c>
      <c r="AK23" s="78">
        <v>31</v>
      </c>
      <c r="AL23" s="78">
        <v>27</v>
      </c>
      <c r="AM23" s="78">
        <v>34</v>
      </c>
      <c r="AN23" s="78">
        <v>36</v>
      </c>
      <c r="AO23" s="78">
        <v>33</v>
      </c>
      <c r="AP23" s="78">
        <v>30</v>
      </c>
      <c r="AQ23" s="78">
        <v>35</v>
      </c>
      <c r="AR23" s="78">
        <v>24</v>
      </c>
      <c r="AS23" s="78">
        <v>30</v>
      </c>
      <c r="AT23" s="78">
        <v>33</v>
      </c>
      <c r="AU23" s="78">
        <v>33</v>
      </c>
      <c r="AV23" s="78">
        <v>30</v>
      </c>
      <c r="AW23" s="78">
        <v>31</v>
      </c>
      <c r="AX23" s="78">
        <v>0</v>
      </c>
      <c r="AY23" s="78">
        <v>31</v>
      </c>
      <c r="AZ23" s="78">
        <v>24</v>
      </c>
      <c r="BA23" s="78">
        <v>35</v>
      </c>
      <c r="BB23" s="78">
        <v>24</v>
      </c>
      <c r="BC23" s="78">
        <v>24</v>
      </c>
      <c r="BD23" s="78">
        <v>11</v>
      </c>
      <c r="BE23" s="78">
        <v>31</v>
      </c>
      <c r="BF23" s="78">
        <v>17</v>
      </c>
      <c r="BG23" s="78">
        <v>33</v>
      </c>
      <c r="BH23" s="78">
        <v>29</v>
      </c>
      <c r="BI23" s="78">
        <v>29</v>
      </c>
      <c r="BJ23" s="78">
        <v>31</v>
      </c>
      <c r="BK23" s="78">
        <v>24</v>
      </c>
      <c r="BL23" s="78">
        <v>21</v>
      </c>
      <c r="BM23" s="78">
        <v>30</v>
      </c>
      <c r="BN23" s="78">
        <v>34</v>
      </c>
    </row>
    <row r="24" spans="1:66" x14ac:dyDescent="0.25">
      <c r="A24" s="61"/>
      <c r="B24" s="68" t="str">
        <f>B22&amp; " - score"</f>
        <v>Penn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>
        <v>21</v>
      </c>
      <c r="K24" s="79">
        <v>24</v>
      </c>
      <c r="L24" s="79">
        <v>19</v>
      </c>
      <c r="M24" s="79">
        <v>17</v>
      </c>
      <c r="N24" s="79">
        <v>21</v>
      </c>
      <c r="O24" s="79">
        <v>14</v>
      </c>
      <c r="P24" s="79">
        <v>17</v>
      </c>
      <c r="Q24" s="79">
        <v>42</v>
      </c>
      <c r="R24" s="79">
        <v>24</v>
      </c>
      <c r="S24" s="79">
        <v>13</v>
      </c>
      <c r="T24" s="79">
        <v>-3</v>
      </c>
      <c r="U24" s="79">
        <v>24</v>
      </c>
      <c r="V24" s="79">
        <v>18</v>
      </c>
      <c r="W24" s="79">
        <v>35</v>
      </c>
      <c r="X24" s="79">
        <v>17</v>
      </c>
      <c r="Y24" s="79">
        <v>10</v>
      </c>
      <c r="Z24" s="79">
        <v>28</v>
      </c>
      <c r="AA24" s="79">
        <v>7</v>
      </c>
      <c r="AB24" s="79">
        <v>10</v>
      </c>
      <c r="AC24" s="79">
        <v>21</v>
      </c>
      <c r="AD24" s="79">
        <v>21</v>
      </c>
      <c r="AE24" s="79">
        <v>10</v>
      </c>
      <c r="AF24" s="79">
        <v>3</v>
      </c>
      <c r="AG24" s="79">
        <v>14</v>
      </c>
      <c r="AH24" s="79">
        <v>28</v>
      </c>
      <c r="AI24" s="79">
        <v>21</v>
      </c>
      <c r="AJ24" s="79">
        <v>23</v>
      </c>
      <c r="AK24" s="79">
        <v>17</v>
      </c>
      <c r="AL24" s="79">
        <v>24</v>
      </c>
      <c r="AM24" s="79">
        <v>24</v>
      </c>
      <c r="AN24" s="79">
        <v>27</v>
      </c>
      <c r="AO24" s="79">
        <v>20</v>
      </c>
      <c r="AP24" s="79">
        <v>13</v>
      </c>
      <c r="AQ24" s="79">
        <v>10</v>
      </c>
      <c r="AR24" s="79">
        <v>17</v>
      </c>
      <c r="AS24" s="79">
        <v>17</v>
      </c>
      <c r="AT24" s="79">
        <v>14</v>
      </c>
      <c r="AU24" s="79">
        <v>21</v>
      </c>
      <c r="AV24" s="79">
        <v>20</v>
      </c>
      <c r="AW24" s="79">
        <v>21</v>
      </c>
      <c r="AX24" s="79">
        <v>0</v>
      </c>
      <c r="AY24" s="79">
        <v>17</v>
      </c>
      <c r="AZ24" s="79">
        <v>27</v>
      </c>
      <c r="BA24" s="79">
        <v>21</v>
      </c>
      <c r="BB24" s="79">
        <v>17</v>
      </c>
      <c r="BC24" s="79">
        <v>10</v>
      </c>
      <c r="BD24" s="79">
        <v>26</v>
      </c>
      <c r="BE24" s="79">
        <v>17</v>
      </c>
      <c r="BF24" s="79">
        <v>31</v>
      </c>
      <c r="BG24" s="79">
        <v>16</v>
      </c>
      <c r="BH24" s="79">
        <v>13</v>
      </c>
      <c r="BI24" s="79">
        <v>17</v>
      </c>
      <c r="BJ24" s="79">
        <v>17</v>
      </c>
      <c r="BK24" s="79">
        <v>13</v>
      </c>
      <c r="BL24" s="79">
        <v>41</v>
      </c>
      <c r="BM24" s="79">
        <v>17</v>
      </c>
      <c r="BN24" s="79">
        <v>24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3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8</v>
      </c>
      <c r="Q25" s="36">
        <f t="shared" si="3"/>
        <v>9</v>
      </c>
      <c r="R25" s="36">
        <f t="shared" si="3"/>
        <v>4</v>
      </c>
      <c r="S25" s="36">
        <f t="shared" si="3"/>
        <v>4</v>
      </c>
      <c r="T25" s="36">
        <f t="shared" si="3"/>
        <v>5</v>
      </c>
      <c r="U25" s="36">
        <f t="shared" si="3"/>
        <v>6</v>
      </c>
      <c r="V25" s="36">
        <f t="shared" si="3"/>
        <v>5</v>
      </c>
      <c r="W25" s="36">
        <f t="shared" si="3"/>
        <v>5</v>
      </c>
      <c r="X25" s="36">
        <f t="shared" si="3"/>
        <v>6</v>
      </c>
      <c r="Y25" s="36">
        <f t="shared" si="3"/>
        <v>2</v>
      </c>
      <c r="Z25" s="36">
        <f t="shared" si="3"/>
        <v>5</v>
      </c>
      <c r="AA25" s="36">
        <f t="shared" si="3"/>
        <v>6</v>
      </c>
      <c r="AB25" s="36">
        <f t="shared" si="3"/>
        <v>4</v>
      </c>
      <c r="AC25" s="36">
        <f t="shared" si="3"/>
        <v>6</v>
      </c>
      <c r="AD25" s="36">
        <f t="shared" si="3"/>
        <v>4</v>
      </c>
      <c r="AE25" s="36">
        <f t="shared" si="3"/>
        <v>6</v>
      </c>
      <c r="AF25" s="36">
        <f t="shared" si="3"/>
        <v>7</v>
      </c>
      <c r="AG25" s="36">
        <f t="shared" si="3"/>
        <v>6</v>
      </c>
      <c r="AH25" s="36">
        <f t="shared" si="3"/>
        <v>5</v>
      </c>
      <c r="AI25" s="36">
        <f t="shared" si="3"/>
        <v>4</v>
      </c>
      <c r="AJ25" s="36">
        <f t="shared" si="3"/>
        <v>4</v>
      </c>
      <c r="AK25" s="36">
        <f t="shared" si="3"/>
        <v>7</v>
      </c>
      <c r="AL25" s="36">
        <f t="shared" si="3"/>
        <v>5</v>
      </c>
      <c r="AM25" s="36">
        <f t="shared" si="3"/>
        <v>7</v>
      </c>
      <c r="AN25" s="36">
        <f t="shared" si="3"/>
        <v>4</v>
      </c>
      <c r="AO25" s="36">
        <f t="shared" si="3"/>
        <v>5</v>
      </c>
      <c r="AP25" s="36">
        <f t="shared" si="3"/>
        <v>8</v>
      </c>
      <c r="AQ25" s="36">
        <f t="shared" si="3"/>
        <v>7</v>
      </c>
      <c r="AR25" s="36">
        <f t="shared" si="3"/>
        <v>3</v>
      </c>
      <c r="AS25" s="36">
        <f t="shared" si="3"/>
        <v>5</v>
      </c>
      <c r="AT25" s="36">
        <f t="shared" si="3"/>
        <v>5</v>
      </c>
      <c r="AU25" s="36">
        <f t="shared" si="3"/>
        <v>4</v>
      </c>
      <c r="AV25" s="36">
        <f t="shared" si="3"/>
        <v>3</v>
      </c>
      <c r="AW25" s="36">
        <f t="shared" si="3"/>
        <v>8</v>
      </c>
      <c r="AX25" s="36">
        <f t="shared" si="3"/>
        <v>2</v>
      </c>
      <c r="AY25" s="36">
        <f t="shared" si="3"/>
        <v>5</v>
      </c>
      <c r="AZ25" s="36">
        <f t="shared" si="3"/>
        <v>5</v>
      </c>
      <c r="BA25" s="36">
        <f t="shared" si="3"/>
        <v>5</v>
      </c>
      <c r="BB25" s="36">
        <f t="shared" si="3"/>
        <v>5</v>
      </c>
      <c r="BC25" s="36">
        <f t="shared" si="3"/>
        <v>6</v>
      </c>
      <c r="BD25" s="36">
        <f t="shared" si="3"/>
        <v>2</v>
      </c>
      <c r="BE25" s="36">
        <f t="shared" si="3"/>
        <v>7</v>
      </c>
      <c r="BF25" s="36">
        <f t="shared" si="3"/>
        <v>6</v>
      </c>
      <c r="BG25" s="36">
        <f t="shared" si="3"/>
        <v>5</v>
      </c>
      <c r="BH25" s="36">
        <f t="shared" si="3"/>
        <v>7</v>
      </c>
      <c r="BI25" s="36">
        <f t="shared" si="3"/>
        <v>6</v>
      </c>
      <c r="BJ25" s="36">
        <f t="shared" si="3"/>
        <v>8</v>
      </c>
      <c r="BK25" s="36">
        <f t="shared" si="3"/>
        <v>6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7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BN26" si="4">ABS((L23-L24)-($D21-$D22))</f>
        <v>4</v>
      </c>
      <c r="M26" s="71">
        <f t="shared" si="4"/>
        <v>4</v>
      </c>
      <c r="N26" s="71">
        <f t="shared" si="4"/>
        <v>3</v>
      </c>
      <c r="O26" s="71">
        <f t="shared" si="4"/>
        <v>1</v>
      </c>
      <c r="P26" s="71">
        <f t="shared" si="4"/>
        <v>1</v>
      </c>
      <c r="Q26" s="71">
        <f t="shared" si="4"/>
        <v>0</v>
      </c>
      <c r="R26" s="71">
        <f t="shared" si="4"/>
        <v>9</v>
      </c>
      <c r="S26" s="71">
        <f t="shared" si="4"/>
        <v>2</v>
      </c>
      <c r="T26" s="71">
        <f t="shared" si="4"/>
        <v>37</v>
      </c>
      <c r="U26" s="71">
        <f t="shared" si="4"/>
        <v>9</v>
      </c>
      <c r="V26" s="71">
        <f t="shared" si="4"/>
        <v>0</v>
      </c>
      <c r="W26" s="71">
        <f t="shared" si="4"/>
        <v>9</v>
      </c>
      <c r="X26" s="71">
        <f t="shared" si="4"/>
        <v>2</v>
      </c>
      <c r="Y26" s="71">
        <f t="shared" si="4"/>
        <v>4</v>
      </c>
      <c r="Z26" s="71">
        <f t="shared" si="4"/>
        <v>20</v>
      </c>
      <c r="AA26" s="71">
        <f t="shared" si="4"/>
        <v>6</v>
      </c>
      <c r="AB26" s="71">
        <f t="shared" si="4"/>
        <v>2</v>
      </c>
      <c r="AC26" s="71">
        <f t="shared" si="4"/>
        <v>17</v>
      </c>
      <c r="AD26" s="71">
        <f t="shared" si="4"/>
        <v>6</v>
      </c>
      <c r="AE26" s="71">
        <f t="shared" si="4"/>
        <v>13</v>
      </c>
      <c r="AF26" s="71">
        <f t="shared" si="4"/>
        <v>2</v>
      </c>
      <c r="AG26" s="71">
        <f t="shared" si="4"/>
        <v>18</v>
      </c>
      <c r="AH26" s="71">
        <f t="shared" si="4"/>
        <v>9</v>
      </c>
      <c r="AI26" s="71">
        <f t="shared" si="4"/>
        <v>6</v>
      </c>
      <c r="AJ26" s="71">
        <f t="shared" si="4"/>
        <v>5</v>
      </c>
      <c r="AK26" s="71">
        <f t="shared" si="4"/>
        <v>2</v>
      </c>
      <c r="AL26" s="71">
        <f t="shared" si="4"/>
        <v>13</v>
      </c>
      <c r="AM26" s="71">
        <f t="shared" si="4"/>
        <v>6</v>
      </c>
      <c r="AN26" s="71">
        <f t="shared" si="4"/>
        <v>7</v>
      </c>
      <c r="AO26" s="71">
        <f t="shared" si="4"/>
        <v>3</v>
      </c>
      <c r="AP26" s="71">
        <f t="shared" si="4"/>
        <v>1</v>
      </c>
      <c r="AQ26" s="71">
        <f t="shared" si="4"/>
        <v>9</v>
      </c>
      <c r="AR26" s="71">
        <f t="shared" si="4"/>
        <v>9</v>
      </c>
      <c r="AS26" s="71">
        <f t="shared" si="4"/>
        <v>3</v>
      </c>
      <c r="AT26" s="71">
        <f t="shared" si="4"/>
        <v>3</v>
      </c>
      <c r="AU26" s="71">
        <f t="shared" si="4"/>
        <v>4</v>
      </c>
      <c r="AV26" s="71">
        <f t="shared" si="4"/>
        <v>6</v>
      </c>
      <c r="AW26" s="71">
        <f t="shared" si="4"/>
        <v>6</v>
      </c>
      <c r="AX26" s="71">
        <f t="shared" si="4"/>
        <v>16</v>
      </c>
      <c r="AY26" s="71">
        <f t="shared" si="4"/>
        <v>2</v>
      </c>
      <c r="AZ26" s="71">
        <f t="shared" si="4"/>
        <v>19</v>
      </c>
      <c r="BA26" s="71">
        <f t="shared" si="4"/>
        <v>2</v>
      </c>
      <c r="BB26" s="71">
        <f t="shared" si="4"/>
        <v>9</v>
      </c>
      <c r="BC26" s="71">
        <f t="shared" si="4"/>
        <v>2</v>
      </c>
      <c r="BD26" s="71">
        <f t="shared" si="4"/>
        <v>31</v>
      </c>
      <c r="BE26" s="71">
        <f t="shared" si="4"/>
        <v>2</v>
      </c>
      <c r="BF26" s="71">
        <f t="shared" si="4"/>
        <v>30</v>
      </c>
      <c r="BG26" s="71">
        <f t="shared" si="4"/>
        <v>1</v>
      </c>
      <c r="BH26" s="71">
        <f t="shared" si="4"/>
        <v>0</v>
      </c>
      <c r="BI26" s="71">
        <f t="shared" si="4"/>
        <v>4</v>
      </c>
      <c r="BJ26" s="71">
        <f t="shared" si="4"/>
        <v>2</v>
      </c>
      <c r="BK26" s="71">
        <f t="shared" si="4"/>
        <v>5</v>
      </c>
      <c r="BL26" s="71">
        <f t="shared" si="4"/>
        <v>36</v>
      </c>
      <c r="BM26" s="71">
        <f t="shared" si="4"/>
        <v>3</v>
      </c>
      <c r="BN26" s="71">
        <f t="shared" si="4"/>
        <v>6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BN27" si="5">ABS(($D21+$D22)-(L23+L24))</f>
        <v>20</v>
      </c>
      <c r="M27" s="71">
        <f t="shared" si="5"/>
        <v>16</v>
      </c>
      <c r="N27" s="71">
        <f t="shared" si="5"/>
        <v>17</v>
      </c>
      <c r="O27" s="71">
        <f t="shared" si="5"/>
        <v>7</v>
      </c>
      <c r="P27" s="71">
        <f t="shared" si="5"/>
        <v>13</v>
      </c>
      <c r="Q27" s="71">
        <f t="shared" si="5"/>
        <v>62</v>
      </c>
      <c r="R27" s="71">
        <f t="shared" si="5"/>
        <v>17</v>
      </c>
      <c r="S27" s="71">
        <f t="shared" si="5"/>
        <v>6</v>
      </c>
      <c r="T27" s="71">
        <f t="shared" si="5"/>
        <v>9</v>
      </c>
      <c r="U27" s="71">
        <f t="shared" si="5"/>
        <v>17</v>
      </c>
      <c r="V27" s="71">
        <f t="shared" si="5"/>
        <v>14</v>
      </c>
      <c r="W27" s="71">
        <f t="shared" si="5"/>
        <v>39</v>
      </c>
      <c r="X27" s="71">
        <f t="shared" si="5"/>
        <v>10</v>
      </c>
      <c r="Y27" s="71">
        <f t="shared" si="5"/>
        <v>2</v>
      </c>
      <c r="Z27" s="71">
        <f t="shared" si="5"/>
        <v>14</v>
      </c>
      <c r="AA27" s="71">
        <f t="shared" si="5"/>
        <v>14</v>
      </c>
      <c r="AB27" s="71">
        <f t="shared" si="5"/>
        <v>4</v>
      </c>
      <c r="AC27" s="71">
        <f t="shared" si="5"/>
        <v>3</v>
      </c>
      <c r="AD27" s="71">
        <f t="shared" si="5"/>
        <v>14</v>
      </c>
      <c r="AE27" s="71">
        <f t="shared" si="5"/>
        <v>15</v>
      </c>
      <c r="AF27" s="71">
        <f t="shared" si="5"/>
        <v>14</v>
      </c>
      <c r="AG27" s="71">
        <f t="shared" si="5"/>
        <v>24</v>
      </c>
      <c r="AH27" s="71">
        <f t="shared" si="5"/>
        <v>25</v>
      </c>
      <c r="AI27" s="71">
        <f t="shared" si="5"/>
        <v>14</v>
      </c>
      <c r="AJ27" s="71">
        <f t="shared" si="5"/>
        <v>29</v>
      </c>
      <c r="AK27" s="71">
        <f t="shared" si="5"/>
        <v>10</v>
      </c>
      <c r="AL27" s="71">
        <f t="shared" si="5"/>
        <v>13</v>
      </c>
      <c r="AM27" s="71">
        <f t="shared" si="5"/>
        <v>20</v>
      </c>
      <c r="AN27" s="71">
        <f t="shared" si="5"/>
        <v>25</v>
      </c>
      <c r="AO27" s="71">
        <f t="shared" si="5"/>
        <v>15</v>
      </c>
      <c r="AP27" s="71">
        <f t="shared" si="5"/>
        <v>5</v>
      </c>
      <c r="AQ27" s="71">
        <f t="shared" si="5"/>
        <v>7</v>
      </c>
      <c r="AR27" s="71">
        <f t="shared" si="5"/>
        <v>3</v>
      </c>
      <c r="AS27" s="71">
        <f t="shared" si="5"/>
        <v>9</v>
      </c>
      <c r="AT27" s="71">
        <f t="shared" si="5"/>
        <v>9</v>
      </c>
      <c r="AU27" s="71">
        <f t="shared" si="5"/>
        <v>16</v>
      </c>
      <c r="AV27" s="71">
        <f t="shared" si="5"/>
        <v>12</v>
      </c>
      <c r="AW27" s="71">
        <f t="shared" si="5"/>
        <v>14</v>
      </c>
      <c r="AX27" s="71">
        <f t="shared" si="5"/>
        <v>38</v>
      </c>
      <c r="AY27" s="71">
        <f t="shared" si="5"/>
        <v>10</v>
      </c>
      <c r="AZ27" s="71">
        <f t="shared" si="5"/>
        <v>13</v>
      </c>
      <c r="BA27" s="71">
        <f t="shared" si="5"/>
        <v>18</v>
      </c>
      <c r="BB27" s="71">
        <f t="shared" si="5"/>
        <v>3</v>
      </c>
      <c r="BC27" s="71">
        <f t="shared" si="5"/>
        <v>4</v>
      </c>
      <c r="BD27" s="71">
        <f t="shared" si="5"/>
        <v>1</v>
      </c>
      <c r="BE27" s="71">
        <f t="shared" si="5"/>
        <v>10</v>
      </c>
      <c r="BF27" s="71">
        <f t="shared" si="5"/>
        <v>10</v>
      </c>
      <c r="BG27" s="71">
        <f t="shared" si="5"/>
        <v>11</v>
      </c>
      <c r="BH27" s="71">
        <f t="shared" si="5"/>
        <v>4</v>
      </c>
      <c r="BI27" s="71">
        <f t="shared" si="5"/>
        <v>8</v>
      </c>
      <c r="BJ27" s="71">
        <f t="shared" si="5"/>
        <v>10</v>
      </c>
      <c r="BK27" s="71">
        <f t="shared" si="5"/>
        <v>1</v>
      </c>
      <c r="BL27" s="71">
        <f t="shared" si="5"/>
        <v>24</v>
      </c>
      <c r="BM27" s="71">
        <f t="shared" si="5"/>
        <v>9</v>
      </c>
      <c r="BN27" s="71">
        <f t="shared" si="5"/>
        <v>20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>
        <f t="shared" ca="1" si="6"/>
        <v>1</v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0.5357142857142857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6</v>
      </c>
      <c r="M29" s="71">
        <f t="shared" si="7"/>
        <v>6</v>
      </c>
      <c r="N29" s="71">
        <f t="shared" si="7"/>
        <v>6</v>
      </c>
      <c r="O29" s="71">
        <f t="shared" si="7"/>
        <v>5</v>
      </c>
      <c r="P29" s="71">
        <f t="shared" si="7"/>
        <v>8</v>
      </c>
      <c r="Q29" s="71">
        <f t="shared" si="7"/>
        <v>7</v>
      </c>
      <c r="R29" s="71">
        <f t="shared" si="7"/>
        <v>8</v>
      </c>
      <c r="S29" s="71">
        <f t="shared" si="7"/>
        <v>6</v>
      </c>
      <c r="T29" s="71">
        <f t="shared" si="7"/>
        <v>7</v>
      </c>
      <c r="U29" s="71">
        <f t="shared" si="7"/>
        <v>6</v>
      </c>
      <c r="V29" s="71">
        <f t="shared" si="7"/>
        <v>5</v>
      </c>
      <c r="W29" s="71">
        <f t="shared" si="7"/>
        <v>5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8</v>
      </c>
      <c r="AB29" s="71">
        <f t="shared" si="7"/>
        <v>6</v>
      </c>
      <c r="AC29" s="71">
        <f t="shared" si="7"/>
        <v>6</v>
      </c>
      <c r="AD29" s="71">
        <f t="shared" si="7"/>
        <v>4</v>
      </c>
      <c r="AE29" s="71">
        <f t="shared" si="7"/>
        <v>2</v>
      </c>
      <c r="AF29" s="71">
        <f t="shared" si="7"/>
        <v>7</v>
      </c>
      <c r="AG29" s="71">
        <f t="shared" si="7"/>
        <v>8</v>
      </c>
      <c r="AH29" s="71">
        <f t="shared" si="7"/>
        <v>3</v>
      </c>
      <c r="AI29" s="71">
        <f t="shared" si="7"/>
        <v>6</v>
      </c>
      <c r="AJ29" s="71">
        <f t="shared" si="7"/>
        <v>6</v>
      </c>
      <c r="AK29" s="71">
        <f t="shared" si="7"/>
        <v>3</v>
      </c>
      <c r="AL29" s="71">
        <f t="shared" si="7"/>
        <v>3</v>
      </c>
      <c r="AM29" s="71">
        <f t="shared" si="7"/>
        <v>5</v>
      </c>
      <c r="AN29" s="71">
        <f t="shared" si="7"/>
        <v>6</v>
      </c>
      <c r="AO29" s="71">
        <f t="shared" si="7"/>
        <v>7</v>
      </c>
      <c r="AP29" s="71">
        <f t="shared" si="7"/>
        <v>8</v>
      </c>
      <c r="AQ29" s="71">
        <f t="shared" si="7"/>
        <v>5</v>
      </c>
      <c r="AR29" s="71">
        <f t="shared" si="7"/>
        <v>5</v>
      </c>
      <c r="AS29" s="71">
        <f t="shared" si="7"/>
        <v>7</v>
      </c>
      <c r="AT29" s="71">
        <f t="shared" si="7"/>
        <v>5</v>
      </c>
      <c r="AU29" s="71">
        <f t="shared" si="7"/>
        <v>4</v>
      </c>
      <c r="AV29" s="71">
        <f t="shared" si="7"/>
        <v>5</v>
      </c>
      <c r="AW29" s="71">
        <f t="shared" si="7"/>
        <v>8</v>
      </c>
      <c r="AX29" s="71">
        <f t="shared" si="7"/>
        <v>6</v>
      </c>
      <c r="AY29" s="71">
        <f t="shared" si="7"/>
        <v>5</v>
      </c>
      <c r="AZ29" s="71">
        <f t="shared" si="7"/>
        <v>5</v>
      </c>
      <c r="BA29" s="71">
        <f t="shared" si="7"/>
        <v>3</v>
      </c>
      <c r="BB29" s="71">
        <f t="shared" si="7"/>
        <v>5</v>
      </c>
      <c r="BC29" s="71">
        <f t="shared" si="7"/>
        <v>6</v>
      </c>
      <c r="BD29" s="71">
        <f t="shared" si="7"/>
        <v>4</v>
      </c>
      <c r="BE29" s="71">
        <f t="shared" si="7"/>
        <v>7</v>
      </c>
      <c r="BF29" s="71">
        <f t="shared" si="7"/>
        <v>4</v>
      </c>
      <c r="BG29" s="71">
        <f t="shared" si="7"/>
        <v>5</v>
      </c>
      <c r="BH29" s="71">
        <f t="shared" si="7"/>
        <v>3</v>
      </c>
      <c r="BI29" s="71">
        <f t="shared" si="7"/>
        <v>6</v>
      </c>
      <c r="BJ29" s="71">
        <f t="shared" si="7"/>
        <v>8</v>
      </c>
      <c r="BK29" s="71">
        <f t="shared" si="7"/>
        <v>6</v>
      </c>
      <c r="BL29" s="71">
        <f t="shared" si="7"/>
        <v>4</v>
      </c>
      <c r="BM29" s="71">
        <f t="shared" si="7"/>
        <v>6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1</v>
      </c>
      <c r="O30" s="73">
        <f t="shared" si="8"/>
        <v>4</v>
      </c>
      <c r="P30" s="73">
        <f t="shared" si="8"/>
        <v>5</v>
      </c>
      <c r="Q30" s="73">
        <f t="shared" si="8"/>
        <v>6</v>
      </c>
      <c r="R30" s="73">
        <f t="shared" si="8"/>
        <v>3</v>
      </c>
      <c r="S30" s="73">
        <f t="shared" si="8"/>
        <v>1</v>
      </c>
      <c r="T30" s="73">
        <f t="shared" si="8"/>
        <v>2</v>
      </c>
      <c r="U30" s="73">
        <f t="shared" si="8"/>
        <v>7</v>
      </c>
      <c r="V30" s="73">
        <f t="shared" si="8"/>
        <v>2</v>
      </c>
      <c r="W30" s="73">
        <f t="shared" si="8"/>
        <v>4</v>
      </c>
      <c r="X30" s="73">
        <f t="shared" si="8"/>
        <v>5</v>
      </c>
      <c r="Y30" s="73">
        <f t="shared" si="8"/>
        <v>1</v>
      </c>
      <c r="Z30" s="73">
        <f t="shared" si="8"/>
        <v>6</v>
      </c>
      <c r="AA30" s="73">
        <f t="shared" si="8"/>
        <v>3</v>
      </c>
      <c r="AB30" s="73">
        <f t="shared" si="8"/>
        <v>1</v>
      </c>
      <c r="AC30" s="73">
        <f t="shared" si="8"/>
        <v>5</v>
      </c>
      <c r="AD30" s="73">
        <f t="shared" si="8"/>
        <v>3</v>
      </c>
      <c r="AE30" s="73">
        <f t="shared" si="8"/>
        <v>5</v>
      </c>
      <c r="AF30" s="73">
        <f t="shared" si="8"/>
        <v>4</v>
      </c>
      <c r="AG30" s="73">
        <f t="shared" si="8"/>
        <v>3</v>
      </c>
      <c r="AH30" s="73">
        <f t="shared" si="8"/>
        <v>6</v>
      </c>
      <c r="AI30" s="73">
        <f t="shared" si="8"/>
        <v>1</v>
      </c>
      <c r="AJ30" s="73">
        <f t="shared" si="8"/>
        <v>1</v>
      </c>
      <c r="AK30" s="73">
        <f t="shared" si="8"/>
        <v>6</v>
      </c>
      <c r="AL30" s="73">
        <f t="shared" si="8"/>
        <v>6</v>
      </c>
      <c r="AM30" s="73">
        <f t="shared" si="8"/>
        <v>4</v>
      </c>
      <c r="AN30" s="73">
        <f t="shared" si="8"/>
        <v>3</v>
      </c>
      <c r="AO30" s="73">
        <f t="shared" si="8"/>
        <v>4</v>
      </c>
      <c r="AP30" s="73">
        <f t="shared" si="8"/>
        <v>5</v>
      </c>
      <c r="AQ30" s="73">
        <f t="shared" si="8"/>
        <v>4</v>
      </c>
      <c r="AR30" s="73">
        <f t="shared" si="8"/>
        <v>2</v>
      </c>
      <c r="AS30" s="73">
        <f t="shared" si="8"/>
        <v>4</v>
      </c>
      <c r="AT30" s="73">
        <f t="shared" si="8"/>
        <v>4</v>
      </c>
      <c r="AU30" s="73">
        <f t="shared" si="8"/>
        <v>3</v>
      </c>
      <c r="AV30" s="73">
        <f t="shared" si="8"/>
        <v>2</v>
      </c>
      <c r="AW30" s="73">
        <f t="shared" si="8"/>
        <v>5</v>
      </c>
      <c r="AX30" s="73">
        <f t="shared" si="8"/>
        <v>1</v>
      </c>
      <c r="AY30" s="73">
        <f t="shared" si="8"/>
        <v>2</v>
      </c>
      <c r="AZ30" s="73">
        <f t="shared" si="8"/>
        <v>8</v>
      </c>
      <c r="BA30" s="73">
        <f t="shared" si="8"/>
        <v>4</v>
      </c>
      <c r="BB30" s="73">
        <f t="shared" si="8"/>
        <v>2</v>
      </c>
      <c r="BC30" s="73">
        <f t="shared" si="8"/>
        <v>3</v>
      </c>
      <c r="BD30" s="73">
        <f t="shared" si="8"/>
        <v>5</v>
      </c>
      <c r="BE30" s="73">
        <f t="shared" si="8"/>
        <v>4</v>
      </c>
      <c r="BF30" s="73">
        <f t="shared" si="8"/>
        <v>5</v>
      </c>
      <c r="BG30" s="73">
        <f t="shared" si="8"/>
        <v>2</v>
      </c>
      <c r="BH30" s="73">
        <f t="shared" si="8"/>
        <v>6</v>
      </c>
      <c r="BI30" s="73">
        <f t="shared" si="8"/>
        <v>3</v>
      </c>
      <c r="BJ30" s="73">
        <f t="shared" si="8"/>
        <v>5</v>
      </c>
      <c r="BK30" s="73">
        <f t="shared" si="8"/>
        <v>3</v>
      </c>
      <c r="BL30" s="73">
        <f t="shared" si="8"/>
        <v>7</v>
      </c>
      <c r="BM30" s="73">
        <f t="shared" si="8"/>
        <v>3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3</v>
      </c>
      <c r="N31" s="71">
        <f t="shared" ca="1" si="9"/>
        <v>3</v>
      </c>
      <c r="O31" s="71">
        <f t="shared" ca="1" si="9"/>
        <v>4</v>
      </c>
      <c r="P31" s="71">
        <f t="shared" ca="1" si="9"/>
        <v>5</v>
      </c>
      <c r="Q31" s="71">
        <f t="shared" ca="1" si="9"/>
        <v>4</v>
      </c>
      <c r="R31" s="71">
        <f t="shared" ca="1" si="9"/>
        <v>5</v>
      </c>
      <c r="S31" s="71">
        <f t="shared" ca="1" si="9"/>
        <v>1</v>
      </c>
      <c r="T31" s="71">
        <f t="shared" ca="1" si="9"/>
        <v>2</v>
      </c>
      <c r="U31" s="71">
        <f t="shared" ca="1" si="9"/>
        <v>7</v>
      </c>
      <c r="V31" s="71">
        <f t="shared" ca="1" si="9"/>
        <v>2</v>
      </c>
      <c r="W31" s="71">
        <f t="shared" ca="1" si="9"/>
        <v>2</v>
      </c>
      <c r="X31" s="71">
        <f t="shared" ca="1" si="9"/>
        <v>3</v>
      </c>
      <c r="Y31" s="71">
        <f t="shared" ca="1" si="9"/>
        <v>3</v>
      </c>
      <c r="Z31" s="71">
        <f t="shared" ca="1" si="9"/>
        <v>4</v>
      </c>
      <c r="AA31" s="71">
        <f t="shared" ca="1" si="9"/>
        <v>3</v>
      </c>
      <c r="AB31" s="71">
        <f t="shared" ca="1" si="9"/>
        <v>1</v>
      </c>
      <c r="AC31" s="71">
        <f t="shared" ca="1" si="9"/>
        <v>5</v>
      </c>
      <c r="AD31" s="71">
        <f t="shared" ca="1" si="9"/>
        <v>1</v>
      </c>
      <c r="AE31" s="71">
        <f t="shared" ca="1" si="9"/>
        <v>3</v>
      </c>
      <c r="AF31" s="71">
        <f t="shared" ca="1" si="9"/>
        <v>4</v>
      </c>
      <c r="AG31" s="71">
        <f t="shared" ca="1" si="9"/>
        <v>3</v>
      </c>
      <c r="AH31" s="71">
        <f t="shared" ca="1" si="9"/>
        <v>4</v>
      </c>
      <c r="AI31" s="71">
        <f t="shared" ca="1" si="9"/>
        <v>1</v>
      </c>
      <c r="AJ31" s="71">
        <f t="shared" ca="1" si="9"/>
        <v>1</v>
      </c>
      <c r="AK31" s="71">
        <f t="shared" ca="1" si="9"/>
        <v>4</v>
      </c>
      <c r="AL31" s="71">
        <f t="shared" ca="1" si="9"/>
        <v>4</v>
      </c>
      <c r="AM31" s="71">
        <f t="shared" ca="1" si="9"/>
        <v>2</v>
      </c>
      <c r="AN31" s="71">
        <f t="shared" ca="1" si="9"/>
        <v>3</v>
      </c>
      <c r="AO31" s="71">
        <f t="shared" ca="1" si="9"/>
        <v>6</v>
      </c>
      <c r="AP31" s="71">
        <f t="shared" ca="1" si="9"/>
        <v>3</v>
      </c>
      <c r="AQ31" s="71">
        <f t="shared" ca="1" si="9"/>
        <v>4</v>
      </c>
      <c r="AR31" s="71">
        <f t="shared" ca="1" si="9"/>
        <v>2</v>
      </c>
      <c r="AS31" s="71">
        <f t="shared" ca="1" si="9"/>
        <v>4</v>
      </c>
      <c r="AT31" s="71">
        <f t="shared" ca="1" si="9"/>
        <v>4</v>
      </c>
      <c r="AU31" s="71">
        <f t="shared" ca="1" si="9"/>
        <v>3</v>
      </c>
      <c r="AV31" s="71">
        <f t="shared" ca="1" si="9"/>
        <v>4</v>
      </c>
      <c r="AW31" s="71">
        <f t="shared" ca="1" si="9"/>
        <v>3</v>
      </c>
      <c r="AX31" s="71">
        <f t="shared" ca="1" si="9"/>
        <v>3</v>
      </c>
      <c r="AY31" s="71">
        <f t="shared" ca="1" si="9"/>
        <v>2</v>
      </c>
      <c r="AZ31" s="71">
        <f t="shared" ca="1" si="9"/>
        <v>10</v>
      </c>
      <c r="BA31" s="71">
        <f t="shared" ca="1" si="9"/>
        <v>4</v>
      </c>
      <c r="BB31" s="71">
        <f t="shared" ca="1" si="9"/>
        <v>0</v>
      </c>
      <c r="BC31" s="71">
        <f t="shared" ca="1" si="9"/>
        <v>1</v>
      </c>
      <c r="BD31" s="71">
        <f t="shared" ca="1" si="9"/>
        <v>5</v>
      </c>
      <c r="BE31" s="71">
        <f t="shared" ca="1" si="9"/>
        <v>2</v>
      </c>
      <c r="BF31" s="71">
        <f t="shared" ca="1" si="9"/>
        <v>3</v>
      </c>
      <c r="BG31" s="71">
        <f t="shared" ca="1" si="9"/>
        <v>4</v>
      </c>
      <c r="BH31" s="71">
        <f t="shared" ca="1" si="9"/>
        <v>4</v>
      </c>
      <c r="BI31" s="71">
        <f t="shared" ca="1" si="9"/>
        <v>3</v>
      </c>
      <c r="BJ31" s="71">
        <f t="shared" ca="1" si="9"/>
        <v>3</v>
      </c>
      <c r="BK31" s="71">
        <f t="shared" ca="1" si="9"/>
        <v>1</v>
      </c>
      <c r="BL31" s="71">
        <f t="shared" ca="1" si="9"/>
        <v>7</v>
      </c>
      <c r="BM31" s="71">
        <f t="shared" ca="1" si="9"/>
        <v>1</v>
      </c>
      <c r="BN31" s="71">
        <f t="shared" ca="1" si="9"/>
        <v>2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61979916</v>
      </c>
      <c r="L36" s="32">
        <f t="shared" ref="L36:BN36" si="12">COUNTA(L23:L24)*((10000000*L25)+(1000000*(COUNTA(L21)*$E21+COUNTA(L22)*$E22))-(COUNTA($D$21:$D$22)*1000*L26)-(COUNTA($D$21:$D$22)*L27))</f>
        <v>121983920</v>
      </c>
      <c r="M36" s="32">
        <f t="shared" si="12"/>
        <v>121983936</v>
      </c>
      <c r="N36" s="32">
        <f t="shared" si="12"/>
        <v>81987932</v>
      </c>
      <c r="O36" s="32">
        <f t="shared" si="12"/>
        <v>101995972</v>
      </c>
      <c r="P36" s="32">
        <f t="shared" si="12"/>
        <v>161995948</v>
      </c>
      <c r="Q36" s="32">
        <f t="shared" si="12"/>
        <v>181999752</v>
      </c>
      <c r="R36" s="32">
        <f t="shared" si="12"/>
        <v>79963932</v>
      </c>
      <c r="S36" s="32">
        <f t="shared" si="12"/>
        <v>81991976</v>
      </c>
      <c r="T36" s="32">
        <f t="shared" si="12"/>
        <v>101851964</v>
      </c>
      <c r="U36" s="32">
        <f t="shared" si="12"/>
        <v>119963932</v>
      </c>
      <c r="V36" s="32">
        <f t="shared" si="12"/>
        <v>101999944</v>
      </c>
      <c r="W36" s="32">
        <f t="shared" si="12"/>
        <v>99963844</v>
      </c>
      <c r="X36" s="32">
        <f t="shared" si="12"/>
        <v>121991960</v>
      </c>
      <c r="Y36" s="32">
        <f t="shared" si="12"/>
        <v>41983992</v>
      </c>
      <c r="Z36" s="32">
        <f t="shared" si="12"/>
        <v>99919944</v>
      </c>
      <c r="AA36" s="32">
        <f t="shared" si="12"/>
        <v>121975944</v>
      </c>
      <c r="AB36" s="32">
        <f t="shared" si="12"/>
        <v>81991984</v>
      </c>
      <c r="AC36" s="32">
        <f t="shared" si="12"/>
        <v>119931988</v>
      </c>
      <c r="AD36" s="32">
        <f t="shared" si="12"/>
        <v>81975944</v>
      </c>
      <c r="AE36" s="32">
        <f t="shared" si="12"/>
        <v>119947940</v>
      </c>
      <c r="AF36" s="32">
        <f t="shared" si="12"/>
        <v>141991944</v>
      </c>
      <c r="AG36" s="32">
        <f t="shared" si="12"/>
        <v>121927904</v>
      </c>
      <c r="AH36" s="32">
        <f t="shared" si="12"/>
        <v>99963900</v>
      </c>
      <c r="AI36" s="32">
        <f t="shared" si="12"/>
        <v>81975944</v>
      </c>
      <c r="AJ36" s="32">
        <f t="shared" si="12"/>
        <v>81979884</v>
      </c>
      <c r="AK36" s="32">
        <f t="shared" si="12"/>
        <v>141991960</v>
      </c>
      <c r="AL36" s="32">
        <f t="shared" si="12"/>
        <v>99947948</v>
      </c>
      <c r="AM36" s="32">
        <f t="shared" si="12"/>
        <v>141975920</v>
      </c>
      <c r="AN36" s="32">
        <f t="shared" si="12"/>
        <v>79971900</v>
      </c>
      <c r="AO36" s="32">
        <f t="shared" si="12"/>
        <v>101987940</v>
      </c>
      <c r="AP36" s="32">
        <f t="shared" si="12"/>
        <v>161995980</v>
      </c>
      <c r="AQ36" s="32">
        <f t="shared" si="12"/>
        <v>141963972</v>
      </c>
      <c r="AR36" s="32">
        <f t="shared" si="12"/>
        <v>59963988</v>
      </c>
      <c r="AS36" s="32">
        <f t="shared" si="12"/>
        <v>101987964</v>
      </c>
      <c r="AT36" s="32">
        <f t="shared" si="12"/>
        <v>101987964</v>
      </c>
      <c r="AU36" s="32">
        <f t="shared" si="12"/>
        <v>81983936</v>
      </c>
      <c r="AV36" s="32">
        <f t="shared" si="12"/>
        <v>61975952</v>
      </c>
      <c r="AW36" s="32">
        <f t="shared" si="12"/>
        <v>161975944</v>
      </c>
      <c r="AX36" s="32">
        <f t="shared" si="12"/>
        <v>41935848</v>
      </c>
      <c r="AY36" s="32">
        <f t="shared" si="12"/>
        <v>101991960</v>
      </c>
      <c r="AZ36" s="32">
        <f t="shared" si="12"/>
        <v>99923948</v>
      </c>
      <c r="BA36" s="32">
        <f t="shared" si="12"/>
        <v>101991928</v>
      </c>
      <c r="BB36" s="32">
        <f t="shared" si="12"/>
        <v>101963988</v>
      </c>
      <c r="BC36" s="32">
        <f t="shared" si="12"/>
        <v>121991984</v>
      </c>
      <c r="BD36" s="32">
        <f t="shared" si="12"/>
        <v>39875996</v>
      </c>
      <c r="BE36" s="32">
        <f t="shared" si="12"/>
        <v>141991960</v>
      </c>
      <c r="BF36" s="32">
        <f t="shared" si="12"/>
        <v>119879960</v>
      </c>
      <c r="BG36" s="32">
        <f t="shared" si="12"/>
        <v>101995956</v>
      </c>
      <c r="BH36" s="32">
        <f t="shared" si="12"/>
        <v>141999984</v>
      </c>
      <c r="BI36" s="32">
        <f t="shared" si="12"/>
        <v>121983968</v>
      </c>
      <c r="BJ36" s="32">
        <f t="shared" si="12"/>
        <v>161991960</v>
      </c>
      <c r="BK36" s="32">
        <f t="shared" si="12"/>
        <v>121979996</v>
      </c>
      <c r="BL36" s="32">
        <f t="shared" si="12"/>
        <v>119855904</v>
      </c>
      <c r="BM36" s="32">
        <f t="shared" si="12"/>
        <v>121987964</v>
      </c>
      <c r="BN36" s="32">
        <f t="shared" si="12"/>
        <v>141975920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 x14ac:dyDescent="0.25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Brent;Holley, Jeremy Remote;Hucks, Jason;Inabinet, Greg;James, Larry C;Johnson, Robert J;Kandela, Marwan;Locklear,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8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387" priority="17" stopIfTrue="1" operator="equal">
      <formula>0</formula>
    </cfRule>
  </conditionalFormatting>
  <conditionalFormatting sqref="D26:J28 K28:BE28">
    <cfRule type="cellIs" dxfId="386" priority="16" stopIfTrue="1" operator="equal">
      <formula>1</formula>
    </cfRule>
  </conditionalFormatting>
  <conditionalFormatting sqref="H3:I3 F23 H5:I5 H7:I7 H9:I9 H11:I11 H13:I13 H15:I15 H17:I17 H19:I19 H21:I21">
    <cfRule type="cellIs" dxfId="385" priority="15" stopIfTrue="1" operator="equal">
      <formula>0</formula>
    </cfRule>
  </conditionalFormatting>
  <conditionalFormatting sqref="H4:I4 F24 H6:I6 H8:I8 H10:I10 H12:I12 H14:I14 H16:I16 H18:I18 H20:I20 H22:I22">
    <cfRule type="cellIs" dxfId="384" priority="14" stopIfTrue="1" operator="equal">
      <formula>0</formula>
    </cfRule>
  </conditionalFormatting>
  <conditionalFormatting sqref="F3 F5 F7 F9 F11 F13 F15 F17 F19 F21">
    <cfRule type="cellIs" dxfId="38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82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81" priority="10" stopIfTrue="1">
      <formula>AND(COUNTA(J4)=1,$E4=1,SUM($E3:$E4)=1)</formula>
    </cfRule>
    <cfRule type="expression" dxfId="380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379" priority="8" stopIfTrue="1">
      <formula>AND(COUNTA(J3)=1,$E3=1,SUM($E3:$E4)=1)</formula>
    </cfRule>
    <cfRule type="expression" dxfId="378" priority="9" stopIfTrue="1">
      <formula>AND(COUNTA(J3)=1,$E3=0,SUM($E3:$E4)=1)</formula>
    </cfRule>
  </conditionalFormatting>
  <conditionalFormatting sqref="BF23:BN23">
    <cfRule type="cellIs" dxfId="377" priority="7" stopIfTrue="1" operator="equal">
      <formula>0</formula>
    </cfRule>
  </conditionalFormatting>
  <conditionalFormatting sqref="BF24:BN24">
    <cfRule type="cellIs" dxfId="376" priority="6" stopIfTrue="1" operator="equal">
      <formula>0</formula>
    </cfRule>
  </conditionalFormatting>
  <conditionalFormatting sqref="BF28:BN28">
    <cfRule type="cellIs" dxfId="37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374" priority="3" stopIfTrue="1">
      <formula>AND(COUNTA(BF4)=1,$E4=1,SUM($E3:$E4)=1)</formula>
    </cfRule>
    <cfRule type="expression" dxfId="37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372" priority="1" stopIfTrue="1">
      <formula>AND(COUNTA(BF3)=1,$E3=1,SUM($E3:$E4)=1)</formula>
    </cfRule>
    <cfRule type="expression" dxfId="37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47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22860</xdr:colOff>
                    <xdr:row>1</xdr:row>
                    <xdr:rowOff>106680</xdr:rowOff>
                  </from>
                  <to>
                    <xdr:col>1</xdr:col>
                    <xdr:colOff>624840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22860</xdr:colOff>
                    <xdr:row>1</xdr:row>
                    <xdr:rowOff>381000</xdr:rowOff>
                  </from>
                  <to>
                    <xdr:col>1</xdr:col>
                    <xdr:colOff>624840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24" r:id="rId6" name="Button 4">
              <controlPr defaultSize="0" print="0" autoFill="0" autoPict="0" macro="[0]!grabSayings">
                <anchor moveWithCells="1" sizeWithCells="1">
                  <from>
                    <xdr:col>1</xdr:col>
                    <xdr:colOff>22860</xdr:colOff>
                    <xdr:row>1</xdr:row>
                    <xdr:rowOff>678180</xdr:rowOff>
                  </from>
                  <to>
                    <xdr:col>1</xdr:col>
                    <xdr:colOff>739140</xdr:colOff>
                    <xdr:row>1</xdr:row>
                    <xdr:rowOff>883920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N58"/>
  <sheetViews>
    <sheetView zoomScale="90" zoomScaleNormal="90" zoomScaleSheetLayoutView="100" workbookViewId="0">
      <selection activeCell="C2" sqref="C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6" x14ac:dyDescent="0.25">
      <c r="B1" s="6"/>
      <c r="I1">
        <f>COUNTA(K1:BL1)</f>
        <v>0</v>
      </c>
      <c r="J1">
        <f>SUM(K1:BL1)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 x14ac:dyDescent="0.25">
      <c r="A3" s="59">
        <v>1</v>
      </c>
      <c r="B3" s="67" t="s">
        <v>156</v>
      </c>
      <c r="C3" s="65">
        <v>3.5</v>
      </c>
      <c r="D3" s="64">
        <v>19</v>
      </c>
      <c r="E3" s="64">
        <f>IF(ISBLANK($D3),"0",IF(($D4-$D3)&lt;($C4-$C3),1,0))</f>
        <v>1</v>
      </c>
      <c r="F3" s="64">
        <f ca="1">COUNTA(INDIRECT("RC11:RC"&amp;11+playercnt-1,FALSE))</f>
        <v>45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311</v>
      </c>
      <c r="K3" s="69"/>
      <c r="L3" s="69" t="s">
        <v>313</v>
      </c>
      <c r="M3" s="69" t="s">
        <v>312</v>
      </c>
      <c r="N3" s="69" t="s">
        <v>313</v>
      </c>
      <c r="O3" s="69"/>
      <c r="P3" s="69" t="s">
        <v>317</v>
      </c>
      <c r="Q3" s="69" t="s">
        <v>334</v>
      </c>
      <c r="R3" s="69" t="s">
        <v>347</v>
      </c>
      <c r="S3" s="69" t="s">
        <v>316</v>
      </c>
      <c r="T3" s="69" t="s">
        <v>319</v>
      </c>
      <c r="U3" s="69"/>
      <c r="V3" s="69" t="s">
        <v>317</v>
      </c>
      <c r="W3" s="69" t="s">
        <v>317</v>
      </c>
      <c r="X3" s="69" t="s">
        <v>312</v>
      </c>
      <c r="Y3" s="69"/>
      <c r="Z3" s="69" t="s">
        <v>319</v>
      </c>
      <c r="AA3" s="69" t="s">
        <v>354</v>
      </c>
      <c r="AB3" s="69" t="s">
        <v>317</v>
      </c>
      <c r="AC3" s="69"/>
      <c r="AD3" s="69" t="s">
        <v>317</v>
      </c>
      <c r="AE3" s="69"/>
      <c r="AF3" s="69" t="s">
        <v>355</v>
      </c>
      <c r="AG3" s="69" t="s">
        <v>319</v>
      </c>
      <c r="AH3" s="69" t="s">
        <v>331</v>
      </c>
      <c r="AI3" s="69" t="s">
        <v>347</v>
      </c>
      <c r="AJ3" s="69" t="s">
        <v>392</v>
      </c>
      <c r="AK3" s="69"/>
      <c r="AL3" s="69" t="s">
        <v>347</v>
      </c>
      <c r="AM3" s="69" t="s">
        <v>360</v>
      </c>
      <c r="AN3" s="69" t="s">
        <v>317</v>
      </c>
      <c r="AO3" s="69" t="s">
        <v>317</v>
      </c>
      <c r="AP3" s="69" t="s">
        <v>334</v>
      </c>
      <c r="AQ3" s="69" t="s">
        <v>354</v>
      </c>
      <c r="AR3" s="99" t="s">
        <v>398</v>
      </c>
      <c r="AS3" s="69" t="s">
        <v>343</v>
      </c>
      <c r="AT3" s="69"/>
      <c r="AU3" s="69" t="s">
        <v>312</v>
      </c>
      <c r="AV3" s="69" t="s">
        <v>317</v>
      </c>
      <c r="AW3" s="69" t="s">
        <v>316</v>
      </c>
      <c r="AX3" s="69"/>
      <c r="AY3" s="69" t="s">
        <v>366</v>
      </c>
      <c r="AZ3" s="69" t="s">
        <v>338</v>
      </c>
      <c r="BA3" s="69" t="s">
        <v>317</v>
      </c>
      <c r="BB3" s="69" t="s">
        <v>317</v>
      </c>
      <c r="BC3" s="69" t="s">
        <v>326</v>
      </c>
      <c r="BD3" s="69" t="s">
        <v>319</v>
      </c>
      <c r="BE3" s="69" t="s">
        <v>367</v>
      </c>
      <c r="BF3" s="69"/>
      <c r="BG3" s="69"/>
      <c r="BH3" s="69" t="s">
        <v>317</v>
      </c>
      <c r="BI3" s="69" t="s">
        <v>317</v>
      </c>
      <c r="BJ3" s="69" t="s">
        <v>321</v>
      </c>
      <c r="BK3" s="69" t="s">
        <v>317</v>
      </c>
      <c r="BL3" s="69" t="s">
        <v>317</v>
      </c>
      <c r="BM3" s="69" t="s">
        <v>388</v>
      </c>
      <c r="BN3" s="69" t="s">
        <v>312</v>
      </c>
    </row>
    <row r="4" spans="1:66" x14ac:dyDescent="0.25">
      <c r="A4" s="61" t="s">
        <v>3</v>
      </c>
      <c r="B4" s="68" t="s">
        <v>157</v>
      </c>
      <c r="C4" s="66"/>
      <c r="D4" s="64">
        <v>6</v>
      </c>
      <c r="E4" s="64">
        <f>IF(ISBLANK($D4),"0",IF(($D4-$D3)&gt;($C4-$C3),1,0))</f>
        <v>0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312</v>
      </c>
      <c r="L4" s="70"/>
      <c r="M4" s="70"/>
      <c r="N4" s="70"/>
      <c r="O4" s="70" t="s">
        <v>371</v>
      </c>
      <c r="P4" s="70"/>
      <c r="Q4" s="70"/>
      <c r="R4" s="70"/>
      <c r="S4" s="70"/>
      <c r="T4" s="70"/>
      <c r="U4" s="70" t="s">
        <v>332</v>
      </c>
      <c r="V4" s="70"/>
      <c r="W4" s="70"/>
      <c r="X4" s="70"/>
      <c r="Y4" s="70" t="s">
        <v>316</v>
      </c>
      <c r="Z4" s="70"/>
      <c r="AA4" s="70"/>
      <c r="AB4" s="70"/>
      <c r="AC4" s="70" t="s">
        <v>317</v>
      </c>
      <c r="AD4" s="70"/>
      <c r="AE4" s="70" t="s">
        <v>355</v>
      </c>
      <c r="AF4" s="70"/>
      <c r="AG4" s="70"/>
      <c r="AH4" s="70"/>
      <c r="AI4" s="70"/>
      <c r="AJ4" s="70"/>
      <c r="AK4" s="70" t="s">
        <v>317</v>
      </c>
      <c r="AL4" s="70"/>
      <c r="AM4" s="70"/>
      <c r="AN4" s="70"/>
      <c r="AO4" s="70"/>
      <c r="AP4" s="70"/>
      <c r="AQ4" s="70"/>
      <c r="AR4" s="70"/>
      <c r="AS4" s="70"/>
      <c r="AT4" s="70" t="s">
        <v>334</v>
      </c>
      <c r="AU4" s="70"/>
      <c r="AV4" s="70"/>
      <c r="AW4" s="70"/>
      <c r="AX4" s="70" t="s">
        <v>395</v>
      </c>
      <c r="AY4" s="70"/>
      <c r="AZ4" s="70"/>
      <c r="BA4" s="70"/>
      <c r="BB4" s="70"/>
      <c r="BC4" s="70"/>
      <c r="BD4" s="70"/>
      <c r="BE4" s="70"/>
      <c r="BF4" s="70" t="s">
        <v>387</v>
      </c>
      <c r="BG4" s="70" t="s">
        <v>343</v>
      </c>
      <c r="BH4" s="70"/>
      <c r="BI4" s="70"/>
      <c r="BJ4" s="70"/>
      <c r="BK4" s="70"/>
      <c r="BL4" s="70"/>
      <c r="BM4" s="70"/>
      <c r="BN4" s="70"/>
    </row>
    <row r="5" spans="1:66" x14ac:dyDescent="0.25">
      <c r="A5" s="59">
        <v>2</v>
      </c>
      <c r="B5" s="67" t="s">
        <v>221</v>
      </c>
      <c r="C5" s="65"/>
      <c r="D5" s="64">
        <v>13</v>
      </c>
      <c r="E5" s="64">
        <f>IF(ISBLANK($D5),"0",IF(($D6-$D5)&lt;($C6-$C5),1,0))</f>
        <v>0</v>
      </c>
      <c r="F5" s="64">
        <f t="shared" ca="1" si="1"/>
        <v>32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311</v>
      </c>
      <c r="K5" s="69" t="s">
        <v>312</v>
      </c>
      <c r="L5" s="69" t="s">
        <v>313</v>
      </c>
      <c r="M5" s="69" t="s">
        <v>312</v>
      </c>
      <c r="N5" s="69"/>
      <c r="O5" s="69"/>
      <c r="P5" s="69" t="s">
        <v>317</v>
      </c>
      <c r="Q5" s="69" t="s">
        <v>343</v>
      </c>
      <c r="R5" s="69" t="s">
        <v>364</v>
      </c>
      <c r="S5" s="69" t="s">
        <v>320</v>
      </c>
      <c r="T5" s="69" t="s">
        <v>333</v>
      </c>
      <c r="U5" s="69" t="s">
        <v>320</v>
      </c>
      <c r="V5" s="69"/>
      <c r="W5" s="69" t="s">
        <v>317</v>
      </c>
      <c r="X5" s="69"/>
      <c r="Y5" s="69" t="s">
        <v>328</v>
      </c>
      <c r="Z5" s="69"/>
      <c r="AA5" s="69" t="s">
        <v>354</v>
      </c>
      <c r="AB5" s="69"/>
      <c r="AC5" s="69" t="s">
        <v>317</v>
      </c>
      <c r="AD5" s="69" t="s">
        <v>317</v>
      </c>
      <c r="AE5" s="69"/>
      <c r="AF5" s="69" t="s">
        <v>355</v>
      </c>
      <c r="AG5" s="69" t="s">
        <v>324</v>
      </c>
      <c r="AH5" s="69" t="s">
        <v>377</v>
      </c>
      <c r="AI5" s="69"/>
      <c r="AJ5" s="69"/>
      <c r="AK5" s="69" t="s">
        <v>317</v>
      </c>
      <c r="AL5" s="69" t="s">
        <v>347</v>
      </c>
      <c r="AM5" s="69"/>
      <c r="AN5" s="69" t="s">
        <v>317</v>
      </c>
      <c r="AO5" s="69"/>
      <c r="AP5" s="69"/>
      <c r="AQ5" s="69" t="s">
        <v>354</v>
      </c>
      <c r="AR5" s="99" t="s">
        <v>398</v>
      </c>
      <c r="AS5" s="69" t="s">
        <v>334</v>
      </c>
      <c r="AT5" s="69" t="s">
        <v>334</v>
      </c>
      <c r="AU5" s="69"/>
      <c r="AV5" s="69"/>
      <c r="AW5" s="69" t="s">
        <v>335</v>
      </c>
      <c r="AX5" s="69"/>
      <c r="AY5" s="69"/>
      <c r="AZ5" s="69" t="s">
        <v>335</v>
      </c>
      <c r="BA5" s="69" t="s">
        <v>317</v>
      </c>
      <c r="BB5" s="69"/>
      <c r="BC5" s="69"/>
      <c r="BD5" s="69"/>
      <c r="BE5" s="69"/>
      <c r="BF5" s="69"/>
      <c r="BG5" s="69" t="s">
        <v>331</v>
      </c>
      <c r="BH5" s="69" t="s">
        <v>317</v>
      </c>
      <c r="BI5" s="69"/>
      <c r="BJ5" s="69" t="s">
        <v>321</v>
      </c>
      <c r="BK5" s="69" t="s">
        <v>317</v>
      </c>
      <c r="BL5" s="69"/>
      <c r="BM5" s="69" t="s">
        <v>388</v>
      </c>
      <c r="BN5" s="69"/>
    </row>
    <row r="6" spans="1:66" x14ac:dyDescent="0.25">
      <c r="A6" s="61" t="s">
        <v>3</v>
      </c>
      <c r="B6" s="68" t="s">
        <v>159</v>
      </c>
      <c r="C6" s="66">
        <v>5.5</v>
      </c>
      <c r="D6" s="64">
        <v>31</v>
      </c>
      <c r="E6" s="64">
        <f>IF(ISBLANK($D6),"0",IF(($D6-$D5)&gt;($C6-$C5),1,0))</f>
        <v>1</v>
      </c>
      <c r="F6" s="64">
        <f t="shared" ca="1" si="1"/>
        <v>24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 t="s">
        <v>313</v>
      </c>
      <c r="O6" s="70" t="s">
        <v>371</v>
      </c>
      <c r="P6" s="70"/>
      <c r="Q6" s="70"/>
      <c r="R6" s="70"/>
      <c r="S6" s="70"/>
      <c r="T6" s="70"/>
      <c r="U6" s="70"/>
      <c r="V6" s="70" t="s">
        <v>317</v>
      </c>
      <c r="W6" s="70"/>
      <c r="X6" s="70" t="s">
        <v>312</v>
      </c>
      <c r="Y6" s="70"/>
      <c r="Z6" s="70" t="s">
        <v>333</v>
      </c>
      <c r="AA6" s="70"/>
      <c r="AB6" s="70" t="s">
        <v>317</v>
      </c>
      <c r="AC6" s="70"/>
      <c r="AD6" s="70"/>
      <c r="AE6" s="70" t="s">
        <v>355</v>
      </c>
      <c r="AF6" s="70"/>
      <c r="AG6" s="70"/>
      <c r="AH6" s="70"/>
      <c r="AI6" s="70" t="s">
        <v>364</v>
      </c>
      <c r="AJ6" s="70" t="s">
        <v>332</v>
      </c>
      <c r="AK6" s="70"/>
      <c r="AL6" s="70"/>
      <c r="AM6" s="70" t="s">
        <v>335</v>
      </c>
      <c r="AN6" s="70"/>
      <c r="AO6" s="70" t="s">
        <v>317</v>
      </c>
      <c r="AP6" s="70" t="s">
        <v>343</v>
      </c>
      <c r="AQ6" s="70"/>
      <c r="AR6" s="70"/>
      <c r="AS6" s="70"/>
      <c r="AT6" s="70"/>
      <c r="AU6" s="70" t="s">
        <v>312</v>
      </c>
      <c r="AV6" s="70" t="s">
        <v>317</v>
      </c>
      <c r="AW6" s="70"/>
      <c r="AX6" s="70" t="s">
        <v>327</v>
      </c>
      <c r="AY6" s="70" t="s">
        <v>366</v>
      </c>
      <c r="AZ6" s="70"/>
      <c r="BA6" s="70"/>
      <c r="BB6" s="70" t="s">
        <v>317</v>
      </c>
      <c r="BC6" s="70" t="s">
        <v>332</v>
      </c>
      <c r="BD6" s="70" t="s">
        <v>324</v>
      </c>
      <c r="BE6" s="70" t="s">
        <v>367</v>
      </c>
      <c r="BF6" s="70" t="s">
        <v>387</v>
      </c>
      <c r="BG6" s="70"/>
      <c r="BH6" s="70"/>
      <c r="BI6" s="70" t="s">
        <v>317</v>
      </c>
      <c r="BJ6" s="70"/>
      <c r="BK6" s="70"/>
      <c r="BL6" s="70" t="s">
        <v>317</v>
      </c>
      <c r="BM6" s="70"/>
      <c r="BN6" s="70" t="s">
        <v>312</v>
      </c>
    </row>
    <row r="7" spans="1:66" x14ac:dyDescent="0.25">
      <c r="A7" s="59">
        <v>3</v>
      </c>
      <c r="B7" s="67" t="s">
        <v>209</v>
      </c>
      <c r="C7" s="65">
        <v>3.5</v>
      </c>
      <c r="D7" s="64">
        <v>49</v>
      </c>
      <c r="E7" s="64">
        <f>IF(ISBLANK($D7),"0",IF(($D8-$D7)&lt;($C8-$C7),1,0))</f>
        <v>1</v>
      </c>
      <c r="F7" s="64">
        <f t="shared" ca="1" si="1"/>
        <v>41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311</v>
      </c>
      <c r="K7" s="69" t="s">
        <v>312</v>
      </c>
      <c r="L7" s="69" t="s">
        <v>313</v>
      </c>
      <c r="M7" s="69" t="s">
        <v>312</v>
      </c>
      <c r="N7" s="69"/>
      <c r="O7" s="69" t="s">
        <v>371</v>
      </c>
      <c r="P7" s="69" t="s">
        <v>317</v>
      </c>
      <c r="Q7" s="69" t="s">
        <v>332</v>
      </c>
      <c r="R7" s="69" t="s">
        <v>389</v>
      </c>
      <c r="S7" s="69" t="s">
        <v>323</v>
      </c>
      <c r="T7" s="69" t="s">
        <v>314</v>
      </c>
      <c r="U7" s="69" t="s">
        <v>323</v>
      </c>
      <c r="V7" s="69" t="s">
        <v>317</v>
      </c>
      <c r="W7" s="69" t="s">
        <v>317</v>
      </c>
      <c r="X7" s="69" t="s">
        <v>312</v>
      </c>
      <c r="Y7" s="69" t="s">
        <v>347</v>
      </c>
      <c r="Z7" s="69" t="s">
        <v>390</v>
      </c>
      <c r="AA7" s="69"/>
      <c r="AB7" s="69" t="s">
        <v>317</v>
      </c>
      <c r="AC7" s="69" t="s">
        <v>317</v>
      </c>
      <c r="AD7" s="69" t="s">
        <v>317</v>
      </c>
      <c r="AE7" s="69" t="s">
        <v>355</v>
      </c>
      <c r="AF7" s="69"/>
      <c r="AG7" s="69" t="s">
        <v>357</v>
      </c>
      <c r="AH7" s="69" t="s">
        <v>335</v>
      </c>
      <c r="AI7" s="69" t="s">
        <v>391</v>
      </c>
      <c r="AJ7" s="69"/>
      <c r="AK7" s="69"/>
      <c r="AL7" s="69" t="s">
        <v>347</v>
      </c>
      <c r="AM7" s="69" t="s">
        <v>341</v>
      </c>
      <c r="AN7" s="69" t="s">
        <v>317</v>
      </c>
      <c r="AO7" s="69" t="s">
        <v>317</v>
      </c>
      <c r="AP7" s="69"/>
      <c r="AQ7" s="69" t="s">
        <v>354</v>
      </c>
      <c r="AR7" s="69"/>
      <c r="AS7" s="69" t="s">
        <v>322</v>
      </c>
      <c r="AT7" s="69" t="s">
        <v>334</v>
      </c>
      <c r="AU7" s="69"/>
      <c r="AV7" s="69" t="s">
        <v>317</v>
      </c>
      <c r="AW7" s="69" t="s">
        <v>348</v>
      </c>
      <c r="AX7" s="69"/>
      <c r="AY7" s="69" t="s">
        <v>366</v>
      </c>
      <c r="AZ7" s="69" t="s">
        <v>375</v>
      </c>
      <c r="BA7" s="69"/>
      <c r="BB7" s="69" t="s">
        <v>317</v>
      </c>
      <c r="BC7" s="69" t="s">
        <v>333</v>
      </c>
      <c r="BD7" s="69"/>
      <c r="BE7" s="69"/>
      <c r="BF7" s="69" t="s">
        <v>387</v>
      </c>
      <c r="BG7" s="69" t="s">
        <v>343</v>
      </c>
      <c r="BH7" s="69" t="s">
        <v>317</v>
      </c>
      <c r="BI7" s="69"/>
      <c r="BJ7" s="69"/>
      <c r="BK7" s="69"/>
      <c r="BL7" s="69" t="s">
        <v>317</v>
      </c>
      <c r="BM7" s="69" t="s">
        <v>388</v>
      </c>
      <c r="BN7" s="69" t="s">
        <v>312</v>
      </c>
    </row>
    <row r="8" spans="1:66" x14ac:dyDescent="0.25">
      <c r="A8" s="61" t="s">
        <v>3</v>
      </c>
      <c r="B8" s="68" t="s">
        <v>266</v>
      </c>
      <c r="C8" s="66"/>
      <c r="D8" s="64">
        <v>20</v>
      </c>
      <c r="E8" s="64">
        <f>IF(ISBLANK($D8),"0",IF(($D8-$D7)&gt;($C8-$C7),1,0))</f>
        <v>0</v>
      </c>
      <c r="F8" s="64">
        <f t="shared" ca="1" si="1"/>
        <v>15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313</v>
      </c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 t="s">
        <v>354</v>
      </c>
      <c r="AB8" s="70"/>
      <c r="AC8" s="70"/>
      <c r="AD8" s="70"/>
      <c r="AE8" s="70"/>
      <c r="AF8" s="70" t="s">
        <v>355</v>
      </c>
      <c r="AG8" s="70"/>
      <c r="AH8" s="70"/>
      <c r="AI8" s="70"/>
      <c r="AJ8" s="70" t="s">
        <v>333</v>
      </c>
      <c r="AK8" s="70" t="s">
        <v>317</v>
      </c>
      <c r="AL8" s="70"/>
      <c r="AM8" s="70"/>
      <c r="AN8" s="70"/>
      <c r="AO8" s="70"/>
      <c r="AP8" s="70" t="s">
        <v>332</v>
      </c>
      <c r="AQ8" s="70"/>
      <c r="AR8" s="99" t="s">
        <v>398</v>
      </c>
      <c r="AS8" s="70"/>
      <c r="AT8" s="70"/>
      <c r="AU8" s="70" t="s">
        <v>312</v>
      </c>
      <c r="AV8" s="70"/>
      <c r="AW8" s="70"/>
      <c r="AX8" s="70" t="s">
        <v>320</v>
      </c>
      <c r="AY8" s="70"/>
      <c r="AZ8" s="70"/>
      <c r="BA8" s="70" t="s">
        <v>317</v>
      </c>
      <c r="BB8" s="70"/>
      <c r="BC8" s="70"/>
      <c r="BD8" s="70" t="s">
        <v>314</v>
      </c>
      <c r="BE8" s="70" t="s">
        <v>367</v>
      </c>
      <c r="BF8" s="70"/>
      <c r="BG8" s="70"/>
      <c r="BH8" s="70"/>
      <c r="BI8" s="70" t="s">
        <v>317</v>
      </c>
      <c r="BJ8" s="70" t="s">
        <v>321</v>
      </c>
      <c r="BK8" s="70" t="s">
        <v>317</v>
      </c>
      <c r="BL8" s="70"/>
      <c r="BM8" s="70"/>
      <c r="BN8" s="70"/>
    </row>
    <row r="9" spans="1:66" x14ac:dyDescent="0.25">
      <c r="A9" s="59">
        <v>4</v>
      </c>
      <c r="B9" s="67" t="s">
        <v>217</v>
      </c>
      <c r="C9" s="65"/>
      <c r="D9" s="64">
        <v>37</v>
      </c>
      <c r="E9" s="64">
        <f>IF(ISBLANK($D9),"0",IF(($D10-$D9)&lt;($C10-$C9),1,0))</f>
        <v>1</v>
      </c>
      <c r="F9" s="64">
        <f t="shared" ca="1" si="1"/>
        <v>25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311</v>
      </c>
      <c r="K9" s="69" t="s">
        <v>312</v>
      </c>
      <c r="L9" s="69"/>
      <c r="M9" s="69"/>
      <c r="N9" s="69" t="s">
        <v>313</v>
      </c>
      <c r="O9" s="69"/>
      <c r="P9" s="69"/>
      <c r="Q9" s="69"/>
      <c r="R9" s="69" t="s">
        <v>331</v>
      </c>
      <c r="S9" s="69"/>
      <c r="T9" s="69" t="s">
        <v>333</v>
      </c>
      <c r="U9" s="69"/>
      <c r="V9" s="69" t="s">
        <v>317</v>
      </c>
      <c r="W9" s="69"/>
      <c r="X9" s="69"/>
      <c r="Y9" s="69" t="s">
        <v>334</v>
      </c>
      <c r="Z9" s="69"/>
      <c r="AA9" s="69"/>
      <c r="AB9" s="69" t="s">
        <v>317</v>
      </c>
      <c r="AC9" s="69"/>
      <c r="AD9" s="69"/>
      <c r="AE9" s="69"/>
      <c r="AF9" s="69"/>
      <c r="AG9" s="69" t="s">
        <v>345</v>
      </c>
      <c r="AH9" s="69"/>
      <c r="AI9" s="69"/>
      <c r="AJ9" s="69"/>
      <c r="AK9" s="69" t="s">
        <v>317</v>
      </c>
      <c r="AL9" s="69" t="s">
        <v>347</v>
      </c>
      <c r="AM9" s="69"/>
      <c r="AN9" s="69"/>
      <c r="AO9" s="69"/>
      <c r="AP9" s="69" t="s">
        <v>328</v>
      </c>
      <c r="AQ9" s="69" t="s">
        <v>354</v>
      </c>
      <c r="AR9" s="69"/>
      <c r="AS9" s="69" t="s">
        <v>332</v>
      </c>
      <c r="AT9" s="69" t="s">
        <v>334</v>
      </c>
      <c r="AU9" s="69" t="s">
        <v>312</v>
      </c>
      <c r="AV9" s="69" t="s">
        <v>317</v>
      </c>
      <c r="AW9" s="69" t="s">
        <v>393</v>
      </c>
      <c r="AX9" s="69"/>
      <c r="AY9" s="69"/>
      <c r="AZ9" s="69" t="s">
        <v>339</v>
      </c>
      <c r="BA9" s="69"/>
      <c r="BB9" s="69"/>
      <c r="BC9" s="69"/>
      <c r="BD9" s="69"/>
      <c r="BE9" s="69" t="s">
        <v>367</v>
      </c>
      <c r="BF9" s="69" t="s">
        <v>387</v>
      </c>
      <c r="BG9" s="69" t="s">
        <v>319</v>
      </c>
      <c r="BH9" s="69" t="s">
        <v>317</v>
      </c>
      <c r="BI9" s="69"/>
      <c r="BJ9" s="69" t="s">
        <v>321</v>
      </c>
      <c r="BK9" s="69"/>
      <c r="BL9" s="69"/>
      <c r="BM9" s="69" t="s">
        <v>388</v>
      </c>
      <c r="BN9" s="69" t="s">
        <v>312</v>
      </c>
    </row>
    <row r="10" spans="1:66" x14ac:dyDescent="0.25">
      <c r="A10" s="61" t="s">
        <v>3</v>
      </c>
      <c r="B10" s="68" t="s">
        <v>201</v>
      </c>
      <c r="C10" s="66">
        <v>1.5</v>
      </c>
      <c r="D10" s="64">
        <v>31</v>
      </c>
      <c r="E10" s="64">
        <f>IF(ISBLANK($D10),"0",IF(($D10-$D9)&gt;($C10-$C9),1,0))</f>
        <v>0</v>
      </c>
      <c r="F10" s="64">
        <f t="shared" ca="1" si="1"/>
        <v>31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/>
      <c r="L10" s="70" t="s">
        <v>313</v>
      </c>
      <c r="M10" s="70" t="s">
        <v>312</v>
      </c>
      <c r="N10" s="70"/>
      <c r="O10" s="70" t="s">
        <v>371</v>
      </c>
      <c r="P10" s="70" t="s">
        <v>317</v>
      </c>
      <c r="Q10" s="70" t="s">
        <v>328</v>
      </c>
      <c r="R10" s="70"/>
      <c r="S10" s="70" t="s">
        <v>350</v>
      </c>
      <c r="T10" s="70"/>
      <c r="U10" s="70" t="s">
        <v>340</v>
      </c>
      <c r="V10" s="70"/>
      <c r="W10" s="70" t="s">
        <v>317</v>
      </c>
      <c r="X10" s="70" t="s">
        <v>312</v>
      </c>
      <c r="Y10" s="70"/>
      <c r="Z10" s="70" t="s">
        <v>351</v>
      </c>
      <c r="AA10" s="70" t="s">
        <v>354</v>
      </c>
      <c r="AB10" s="70"/>
      <c r="AC10" s="70" t="s">
        <v>317</v>
      </c>
      <c r="AD10" s="70" t="s">
        <v>317</v>
      </c>
      <c r="AE10" s="70" t="s">
        <v>355</v>
      </c>
      <c r="AF10" s="70" t="s">
        <v>355</v>
      </c>
      <c r="AG10" s="70"/>
      <c r="AH10" s="70" t="s">
        <v>375</v>
      </c>
      <c r="AI10" s="70" t="s">
        <v>351</v>
      </c>
      <c r="AJ10" s="70" t="s">
        <v>334</v>
      </c>
      <c r="AK10" s="70"/>
      <c r="AL10" s="70"/>
      <c r="AM10" s="70" t="s">
        <v>311</v>
      </c>
      <c r="AN10" s="70" t="s">
        <v>317</v>
      </c>
      <c r="AO10" s="70" t="s">
        <v>317</v>
      </c>
      <c r="AP10" s="70"/>
      <c r="AQ10" s="70"/>
      <c r="AR10" s="99" t="s">
        <v>398</v>
      </c>
      <c r="AS10" s="70"/>
      <c r="AT10" s="70"/>
      <c r="AU10" s="70"/>
      <c r="AV10" s="70"/>
      <c r="AW10" s="70"/>
      <c r="AX10" s="70" t="s">
        <v>394</v>
      </c>
      <c r="AY10" s="70" t="s">
        <v>366</v>
      </c>
      <c r="AZ10" s="70"/>
      <c r="BA10" s="70" t="s">
        <v>317</v>
      </c>
      <c r="BB10" s="70" t="s">
        <v>317</v>
      </c>
      <c r="BC10" s="70" t="s">
        <v>327</v>
      </c>
      <c r="BD10" s="70" t="s">
        <v>324</v>
      </c>
      <c r="BE10" s="70"/>
      <c r="BF10" s="70"/>
      <c r="BG10" s="70"/>
      <c r="BH10" s="70"/>
      <c r="BI10" s="70" t="s">
        <v>317</v>
      </c>
      <c r="BJ10" s="70"/>
      <c r="BK10" s="70" t="s">
        <v>317</v>
      </c>
      <c r="BL10" s="70" t="s">
        <v>317</v>
      </c>
      <c r="BM10" s="70"/>
      <c r="BN10" s="70"/>
    </row>
    <row r="11" spans="1:66" x14ac:dyDescent="0.25">
      <c r="A11" s="59">
        <v>5</v>
      </c>
      <c r="B11" s="67" t="s">
        <v>171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47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311</v>
      </c>
      <c r="K11" s="69"/>
      <c r="L11" s="69" t="s">
        <v>313</v>
      </c>
      <c r="M11" s="69" t="s">
        <v>312</v>
      </c>
      <c r="N11" s="69" t="s">
        <v>355</v>
      </c>
      <c r="O11" s="69" t="s">
        <v>371</v>
      </c>
      <c r="P11" s="69" t="s">
        <v>317</v>
      </c>
      <c r="Q11" s="69" t="s">
        <v>329</v>
      </c>
      <c r="R11" s="69"/>
      <c r="S11" s="69" t="s">
        <v>351</v>
      </c>
      <c r="T11" s="69" t="s">
        <v>329</v>
      </c>
      <c r="U11" s="69" t="s">
        <v>317</v>
      </c>
      <c r="V11" s="69" t="s">
        <v>317</v>
      </c>
      <c r="W11" s="69" t="s">
        <v>317</v>
      </c>
      <c r="X11" s="69" t="s">
        <v>312</v>
      </c>
      <c r="Y11" s="69" t="s">
        <v>330</v>
      </c>
      <c r="Z11" s="69" t="s">
        <v>333</v>
      </c>
      <c r="AA11" s="69" t="s">
        <v>354</v>
      </c>
      <c r="AB11" s="69" t="s">
        <v>317</v>
      </c>
      <c r="AC11" s="69" t="s">
        <v>317</v>
      </c>
      <c r="AD11" s="69" t="s">
        <v>317</v>
      </c>
      <c r="AE11" s="69" t="s">
        <v>355</v>
      </c>
      <c r="AF11" s="69" t="s">
        <v>355</v>
      </c>
      <c r="AG11" s="69" t="s">
        <v>383</v>
      </c>
      <c r="AH11" s="69" t="s">
        <v>377</v>
      </c>
      <c r="AI11" s="69" t="s">
        <v>364</v>
      </c>
      <c r="AJ11" s="69" t="s">
        <v>343</v>
      </c>
      <c r="AK11" s="69" t="s">
        <v>317</v>
      </c>
      <c r="AL11" s="69"/>
      <c r="AM11" s="69"/>
      <c r="AN11" s="69" t="s">
        <v>317</v>
      </c>
      <c r="AO11" s="69" t="s">
        <v>317</v>
      </c>
      <c r="AP11" s="69"/>
      <c r="AQ11" s="69" t="s">
        <v>354</v>
      </c>
      <c r="AR11" s="99" t="s">
        <v>398</v>
      </c>
      <c r="AS11" s="69" t="s">
        <v>333</v>
      </c>
      <c r="AT11" s="69" t="s">
        <v>334</v>
      </c>
      <c r="AU11" s="69"/>
      <c r="AV11" s="69"/>
      <c r="AW11" s="69" t="s">
        <v>391</v>
      </c>
      <c r="AX11" s="69" t="s">
        <v>396</v>
      </c>
      <c r="AY11" s="69" t="s">
        <v>366</v>
      </c>
      <c r="AZ11" s="69" t="s">
        <v>333</v>
      </c>
      <c r="BA11" s="69"/>
      <c r="BB11" s="69" t="s">
        <v>317</v>
      </c>
      <c r="BC11" s="69" t="s">
        <v>333</v>
      </c>
      <c r="BD11" s="69" t="s">
        <v>313</v>
      </c>
      <c r="BE11" s="69" t="s">
        <v>367</v>
      </c>
      <c r="BF11" s="69" t="s">
        <v>387</v>
      </c>
      <c r="BG11" s="69" t="s">
        <v>347</v>
      </c>
      <c r="BH11" s="69" t="s">
        <v>312</v>
      </c>
      <c r="BI11" s="69" t="s">
        <v>317</v>
      </c>
      <c r="BJ11" s="69" t="s">
        <v>321</v>
      </c>
      <c r="BK11" s="69"/>
      <c r="BL11" s="69" t="s">
        <v>317</v>
      </c>
      <c r="BM11" s="69" t="s">
        <v>388</v>
      </c>
      <c r="BN11" s="69" t="s">
        <v>312</v>
      </c>
    </row>
    <row r="12" spans="1:66" x14ac:dyDescent="0.25">
      <c r="A12" s="61" t="s">
        <v>3</v>
      </c>
      <c r="B12" s="68" t="s">
        <v>175</v>
      </c>
      <c r="C12" s="66">
        <v>4.5</v>
      </c>
      <c r="D12" s="64">
        <v>38</v>
      </c>
      <c r="E12" s="64">
        <f>IF(ISBLANK($D12),"0",IF(($D12-$D11)&gt;($C12-$C11),1,0))</f>
        <v>1</v>
      </c>
      <c r="F12" s="64">
        <f t="shared" ca="1" si="1"/>
        <v>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312</v>
      </c>
      <c r="L12" s="70"/>
      <c r="M12" s="70"/>
      <c r="N12" s="70"/>
      <c r="O12" s="70"/>
      <c r="P12" s="70"/>
      <c r="Q12" s="70"/>
      <c r="R12" s="70" t="s">
        <v>333</v>
      </c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 t="s">
        <v>347</v>
      </c>
      <c r="AM12" s="70" t="s">
        <v>350</v>
      </c>
      <c r="AN12" s="70"/>
      <c r="AO12" s="70"/>
      <c r="AP12" s="70" t="s">
        <v>329</v>
      </c>
      <c r="AQ12" s="70"/>
      <c r="AR12" s="70"/>
      <c r="AS12" s="70"/>
      <c r="AT12" s="70"/>
      <c r="AU12" s="70" t="s">
        <v>312</v>
      </c>
      <c r="AV12" s="70" t="s">
        <v>317</v>
      </c>
      <c r="AW12" s="70"/>
      <c r="AX12" s="70"/>
      <c r="AY12" s="70"/>
      <c r="AZ12" s="70"/>
      <c r="BA12" s="70" t="s">
        <v>317</v>
      </c>
      <c r="BB12" s="70"/>
      <c r="BC12" s="70"/>
      <c r="BD12" s="70"/>
      <c r="BE12" s="70"/>
      <c r="BF12" s="70"/>
      <c r="BG12" s="70"/>
      <c r="BH12" s="70"/>
      <c r="BI12" s="70"/>
      <c r="BJ12" s="70"/>
      <c r="BK12" s="70" t="s">
        <v>317</v>
      </c>
      <c r="BL12" s="70"/>
      <c r="BM12" s="70"/>
      <c r="BN12" s="70"/>
    </row>
    <row r="13" spans="1:66" x14ac:dyDescent="0.25">
      <c r="A13" s="59">
        <v>6</v>
      </c>
      <c r="B13" s="67" t="s">
        <v>172</v>
      </c>
      <c r="C13" s="65"/>
      <c r="D13" s="64">
        <v>23</v>
      </c>
      <c r="E13" s="64">
        <f>IF(ISBLANK($D13),"0",IF(($D14-$D13)&lt;($C14-$C13),1,0))</f>
        <v>0</v>
      </c>
      <c r="F13" s="64">
        <f t="shared" ca="1" si="1"/>
        <v>22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 t="s">
        <v>312</v>
      </c>
      <c r="L13" s="69" t="s">
        <v>313</v>
      </c>
      <c r="M13" s="69"/>
      <c r="N13" s="69" t="s">
        <v>355</v>
      </c>
      <c r="O13" s="69"/>
      <c r="P13" s="69" t="s">
        <v>317</v>
      </c>
      <c r="Q13" s="69" t="s">
        <v>322</v>
      </c>
      <c r="R13" s="69" t="s">
        <v>360</v>
      </c>
      <c r="S13" s="69" t="s">
        <v>377</v>
      </c>
      <c r="T13" s="69"/>
      <c r="U13" s="69"/>
      <c r="V13" s="69"/>
      <c r="W13" s="69"/>
      <c r="X13" s="69" t="s">
        <v>312</v>
      </c>
      <c r="Y13" s="69"/>
      <c r="Z13" s="69"/>
      <c r="AA13" s="69"/>
      <c r="AB13" s="69"/>
      <c r="AC13" s="69"/>
      <c r="AD13" s="69"/>
      <c r="AE13" s="69"/>
      <c r="AF13" s="69"/>
      <c r="AG13" s="69" t="s">
        <v>337</v>
      </c>
      <c r="AH13" s="69"/>
      <c r="AI13" s="69"/>
      <c r="AJ13" s="69"/>
      <c r="AK13" s="69" t="s">
        <v>317</v>
      </c>
      <c r="AL13" s="69"/>
      <c r="AM13" s="69"/>
      <c r="AN13" s="69"/>
      <c r="AO13" s="69" t="s">
        <v>317</v>
      </c>
      <c r="AP13" s="69"/>
      <c r="AQ13" s="69" t="s">
        <v>354</v>
      </c>
      <c r="AR13" s="69"/>
      <c r="AS13" s="69" t="s">
        <v>334</v>
      </c>
      <c r="AT13" s="69"/>
      <c r="AU13" s="69"/>
      <c r="AV13" s="69"/>
      <c r="AW13" s="69"/>
      <c r="AX13" s="69"/>
      <c r="AY13" s="69" t="s">
        <v>366</v>
      </c>
      <c r="AZ13" s="69" t="s">
        <v>325</v>
      </c>
      <c r="BA13" s="69" t="s">
        <v>317</v>
      </c>
      <c r="BB13" s="69"/>
      <c r="BC13" s="69"/>
      <c r="BD13" s="69" t="s">
        <v>323</v>
      </c>
      <c r="BE13" s="69"/>
      <c r="BF13" s="69"/>
      <c r="BG13" s="69" t="s">
        <v>332</v>
      </c>
      <c r="BH13" s="69"/>
      <c r="BI13" s="69" t="s">
        <v>317</v>
      </c>
      <c r="BJ13" s="69" t="s">
        <v>321</v>
      </c>
      <c r="BK13" s="69"/>
      <c r="BL13" s="69"/>
      <c r="BM13" s="69" t="s">
        <v>388</v>
      </c>
      <c r="BN13" s="69" t="s">
        <v>312</v>
      </c>
    </row>
    <row r="14" spans="1:66" x14ac:dyDescent="0.25">
      <c r="A14" s="61" t="s">
        <v>3</v>
      </c>
      <c r="B14" s="68" t="s">
        <v>268</v>
      </c>
      <c r="C14" s="66">
        <v>8.5</v>
      </c>
      <c r="D14" s="64">
        <v>33</v>
      </c>
      <c r="E14" s="64">
        <f>IF(ISBLANK($D14),"0",IF(($D14-$D13)&gt;($C14-$C13),1,0))</f>
        <v>1</v>
      </c>
      <c r="F14" s="64">
        <f t="shared" ca="1" si="1"/>
        <v>34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311</v>
      </c>
      <c r="K14" s="70"/>
      <c r="L14" s="70"/>
      <c r="M14" s="70" t="s">
        <v>312</v>
      </c>
      <c r="N14" s="70"/>
      <c r="O14" s="70" t="s">
        <v>371</v>
      </c>
      <c r="P14" s="70"/>
      <c r="Q14" s="70"/>
      <c r="R14" s="70"/>
      <c r="S14" s="70"/>
      <c r="T14" s="70" t="s">
        <v>328</v>
      </c>
      <c r="U14" s="70" t="s">
        <v>315</v>
      </c>
      <c r="V14" s="70" t="s">
        <v>317</v>
      </c>
      <c r="W14" s="70" t="s">
        <v>317</v>
      </c>
      <c r="X14" s="70"/>
      <c r="Y14" s="70" t="s">
        <v>361</v>
      </c>
      <c r="Z14" s="70" t="s">
        <v>314</v>
      </c>
      <c r="AA14" s="70" t="s">
        <v>354</v>
      </c>
      <c r="AB14" s="70" t="s">
        <v>317</v>
      </c>
      <c r="AC14" s="70" t="s">
        <v>317</v>
      </c>
      <c r="AD14" s="70" t="s">
        <v>317</v>
      </c>
      <c r="AE14" s="70" t="s">
        <v>355</v>
      </c>
      <c r="AF14" s="70" t="s">
        <v>355</v>
      </c>
      <c r="AG14" s="70"/>
      <c r="AH14" s="70" t="s">
        <v>334</v>
      </c>
      <c r="AI14" s="70" t="s">
        <v>390</v>
      </c>
      <c r="AJ14" s="70" t="s">
        <v>351</v>
      </c>
      <c r="AK14" s="70"/>
      <c r="AL14" s="70" t="s">
        <v>347</v>
      </c>
      <c r="AM14" s="70" t="s">
        <v>332</v>
      </c>
      <c r="AN14" s="70" t="s">
        <v>317</v>
      </c>
      <c r="AO14" s="70"/>
      <c r="AP14" s="70" t="s">
        <v>322</v>
      </c>
      <c r="AQ14" s="70"/>
      <c r="AR14" s="99" t="s">
        <v>398</v>
      </c>
      <c r="AS14" s="70"/>
      <c r="AT14" s="70" t="s">
        <v>334</v>
      </c>
      <c r="AU14" s="70" t="s">
        <v>312</v>
      </c>
      <c r="AV14" s="70" t="s">
        <v>317</v>
      </c>
      <c r="AW14" s="70" t="s">
        <v>322</v>
      </c>
      <c r="AX14" s="70" t="s">
        <v>319</v>
      </c>
      <c r="AY14" s="70"/>
      <c r="AZ14" s="70"/>
      <c r="BA14" s="70"/>
      <c r="BB14" s="70" t="s">
        <v>317</v>
      </c>
      <c r="BC14" s="70" t="s">
        <v>352</v>
      </c>
      <c r="BD14" s="70"/>
      <c r="BE14" s="70" t="s">
        <v>367</v>
      </c>
      <c r="BF14" s="70" t="s">
        <v>387</v>
      </c>
      <c r="BG14" s="70"/>
      <c r="BH14" s="70" t="s">
        <v>312</v>
      </c>
      <c r="BI14" s="70"/>
      <c r="BJ14" s="70"/>
      <c r="BK14" s="70" t="s">
        <v>317</v>
      </c>
      <c r="BL14" s="70" t="s">
        <v>317</v>
      </c>
      <c r="BM14" s="70"/>
      <c r="BN14" s="70"/>
    </row>
    <row r="15" spans="1:66" x14ac:dyDescent="0.25">
      <c r="A15" s="59">
        <v>7</v>
      </c>
      <c r="B15" s="67" t="s">
        <v>215</v>
      </c>
      <c r="C15" s="65"/>
      <c r="D15" s="64">
        <v>27</v>
      </c>
      <c r="E15" s="64">
        <f>IF(ISBLANK($D15),"0",IF(($D16-$D15)&lt;($C16-$C15),1,0))</f>
        <v>0</v>
      </c>
      <c r="F15" s="64">
        <f t="shared" ca="1" si="1"/>
        <v>21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311</v>
      </c>
      <c r="K15" s="69"/>
      <c r="L15" s="69"/>
      <c r="M15" s="69" t="s">
        <v>312</v>
      </c>
      <c r="N15" s="69"/>
      <c r="O15" s="69"/>
      <c r="P15" s="69" t="s">
        <v>317</v>
      </c>
      <c r="Q15" s="69" t="s">
        <v>364</v>
      </c>
      <c r="R15" s="69"/>
      <c r="S15" s="69"/>
      <c r="T15" s="69"/>
      <c r="U15" s="69" t="s">
        <v>323</v>
      </c>
      <c r="V15" s="69"/>
      <c r="W15" s="69"/>
      <c r="X15" s="69"/>
      <c r="Y15" s="69"/>
      <c r="Z15" s="69"/>
      <c r="AA15" s="69" t="s">
        <v>354</v>
      </c>
      <c r="AB15" s="69"/>
      <c r="AC15" s="69" t="s">
        <v>317</v>
      </c>
      <c r="AD15" s="69"/>
      <c r="AE15" s="69"/>
      <c r="AF15" s="69" t="s">
        <v>355</v>
      </c>
      <c r="AG15" s="69"/>
      <c r="AH15" s="69" t="s">
        <v>335</v>
      </c>
      <c r="AI15" s="69" t="s">
        <v>361</v>
      </c>
      <c r="AJ15" s="69"/>
      <c r="AK15" s="69" t="s">
        <v>317</v>
      </c>
      <c r="AL15" s="69" t="s">
        <v>347</v>
      </c>
      <c r="AM15" s="69"/>
      <c r="AN15" s="69"/>
      <c r="AO15" s="69"/>
      <c r="AP15" s="69" t="s">
        <v>329</v>
      </c>
      <c r="AQ15" s="69" t="s">
        <v>354</v>
      </c>
      <c r="AR15" s="99" t="s">
        <v>398</v>
      </c>
      <c r="AS15" s="69"/>
      <c r="AT15" s="69" t="s">
        <v>334</v>
      </c>
      <c r="AU15" s="69" t="s">
        <v>312</v>
      </c>
      <c r="AV15" s="69"/>
      <c r="AW15" s="69"/>
      <c r="AX15" s="69"/>
      <c r="AY15" s="69"/>
      <c r="AZ15" s="69" t="s">
        <v>320</v>
      </c>
      <c r="BA15" s="69" t="s">
        <v>317</v>
      </c>
      <c r="BB15" s="69"/>
      <c r="BC15" s="69"/>
      <c r="BD15" s="69"/>
      <c r="BE15" s="69" t="s">
        <v>367</v>
      </c>
      <c r="BF15" s="69"/>
      <c r="BG15" s="69" t="s">
        <v>347</v>
      </c>
      <c r="BH15" s="69"/>
      <c r="BI15" s="69"/>
      <c r="BJ15" s="69" t="s">
        <v>321</v>
      </c>
      <c r="BK15" s="69"/>
      <c r="BL15" s="69"/>
      <c r="BM15" s="69"/>
      <c r="BN15" s="69"/>
    </row>
    <row r="16" spans="1:66" x14ac:dyDescent="0.25">
      <c r="A16" s="61" t="s">
        <v>3</v>
      </c>
      <c r="B16" s="68" t="s">
        <v>220</v>
      </c>
      <c r="C16" s="66">
        <v>3.5</v>
      </c>
      <c r="D16" s="64">
        <v>31</v>
      </c>
      <c r="E16" s="64">
        <f>IF(ISBLANK($D16),"0",IF(($D16-$D15)&gt;($C16-$C15),1,0))</f>
        <v>1</v>
      </c>
      <c r="F16" s="64">
        <f t="shared" ca="1" si="1"/>
        <v>35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312</v>
      </c>
      <c r="L16" s="70" t="s">
        <v>313</v>
      </c>
      <c r="M16" s="70"/>
      <c r="N16" s="70" t="s">
        <v>313</v>
      </c>
      <c r="O16" s="70" t="s">
        <v>371</v>
      </c>
      <c r="P16" s="70"/>
      <c r="Q16" s="70"/>
      <c r="R16" s="70" t="s">
        <v>360</v>
      </c>
      <c r="S16" s="70" t="s">
        <v>323</v>
      </c>
      <c r="T16" s="70" t="s">
        <v>333</v>
      </c>
      <c r="U16" s="70"/>
      <c r="V16" s="70" t="s">
        <v>317</v>
      </c>
      <c r="W16" s="70" t="s">
        <v>317</v>
      </c>
      <c r="X16" s="70" t="s">
        <v>312</v>
      </c>
      <c r="Y16" s="70" t="s">
        <v>322</v>
      </c>
      <c r="Z16" s="70" t="s">
        <v>314</v>
      </c>
      <c r="AA16" s="70"/>
      <c r="AB16" s="70" t="s">
        <v>317</v>
      </c>
      <c r="AC16" s="70"/>
      <c r="AD16" s="70" t="s">
        <v>317</v>
      </c>
      <c r="AE16" s="70" t="s">
        <v>355</v>
      </c>
      <c r="AF16" s="70"/>
      <c r="AG16" s="70" t="s">
        <v>319</v>
      </c>
      <c r="AH16" s="70"/>
      <c r="AI16" s="70"/>
      <c r="AJ16" s="70" t="s">
        <v>352</v>
      </c>
      <c r="AK16" s="70"/>
      <c r="AL16" s="70"/>
      <c r="AM16" s="70" t="s">
        <v>323</v>
      </c>
      <c r="AN16" s="70" t="s">
        <v>317</v>
      </c>
      <c r="AO16" s="70" t="s">
        <v>317</v>
      </c>
      <c r="AP16" s="70"/>
      <c r="AQ16" s="70"/>
      <c r="AR16" s="70"/>
      <c r="AS16" s="70" t="s">
        <v>343</v>
      </c>
      <c r="AT16" s="70"/>
      <c r="AU16" s="70"/>
      <c r="AV16" s="70" t="s">
        <v>317</v>
      </c>
      <c r="AW16" s="70" t="s">
        <v>336</v>
      </c>
      <c r="AX16" s="70" t="s">
        <v>351</v>
      </c>
      <c r="AY16" s="70" t="s">
        <v>366</v>
      </c>
      <c r="AZ16" s="70"/>
      <c r="BA16" s="70"/>
      <c r="BB16" s="70" t="s">
        <v>317</v>
      </c>
      <c r="BC16" s="70" t="s">
        <v>343</v>
      </c>
      <c r="BD16" s="70" t="s">
        <v>325</v>
      </c>
      <c r="BE16" s="70"/>
      <c r="BF16" s="70" t="s">
        <v>387</v>
      </c>
      <c r="BG16" s="70"/>
      <c r="BH16" s="70" t="s">
        <v>317</v>
      </c>
      <c r="BI16" s="70" t="s">
        <v>317</v>
      </c>
      <c r="BJ16" s="70"/>
      <c r="BK16" s="70" t="s">
        <v>317</v>
      </c>
      <c r="BL16" s="70" t="s">
        <v>317</v>
      </c>
      <c r="BM16" s="70" t="s">
        <v>388</v>
      </c>
      <c r="BN16" s="70" t="s">
        <v>312</v>
      </c>
    </row>
    <row r="17" spans="1:66" x14ac:dyDescent="0.25">
      <c r="A17" s="59">
        <v>8</v>
      </c>
      <c r="B17" s="67" t="s">
        <v>261</v>
      </c>
      <c r="C17" s="65">
        <v>1.5</v>
      </c>
      <c r="D17" s="64">
        <v>14</v>
      </c>
      <c r="E17" s="64">
        <f>IF(ISBLANK($D17),"0",IF(($D18-$D17)&lt;($C18-$C17),1,0))</f>
        <v>0</v>
      </c>
      <c r="F17" s="64">
        <f t="shared" ca="1" si="1"/>
        <v>42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312</v>
      </c>
      <c r="L17" s="69"/>
      <c r="M17" s="69"/>
      <c r="N17" s="69" t="s">
        <v>313</v>
      </c>
      <c r="O17" s="69" t="s">
        <v>371</v>
      </c>
      <c r="P17" s="69"/>
      <c r="Q17" s="69" t="s">
        <v>351</v>
      </c>
      <c r="R17" s="69" t="s">
        <v>333</v>
      </c>
      <c r="S17" s="69" t="s">
        <v>336</v>
      </c>
      <c r="T17" s="69" t="s">
        <v>319</v>
      </c>
      <c r="U17" s="69" t="s">
        <v>321</v>
      </c>
      <c r="V17" s="69"/>
      <c r="W17" s="69"/>
      <c r="X17" s="69" t="s">
        <v>312</v>
      </c>
      <c r="Y17" s="69" t="s">
        <v>364</v>
      </c>
      <c r="Z17" s="69" t="s">
        <v>328</v>
      </c>
      <c r="AA17" s="69" t="s">
        <v>354</v>
      </c>
      <c r="AB17" s="69" t="s">
        <v>317</v>
      </c>
      <c r="AC17" s="69" t="s">
        <v>317</v>
      </c>
      <c r="AD17" s="69" t="s">
        <v>317</v>
      </c>
      <c r="AE17" s="69"/>
      <c r="AF17" s="69" t="s">
        <v>355</v>
      </c>
      <c r="AG17" s="69" t="s">
        <v>323</v>
      </c>
      <c r="AH17" s="69"/>
      <c r="AI17" s="69" t="s">
        <v>323</v>
      </c>
      <c r="AJ17" s="69" t="s">
        <v>328</v>
      </c>
      <c r="AK17" s="69"/>
      <c r="AL17" s="69" t="s">
        <v>347</v>
      </c>
      <c r="AM17" s="69" t="s">
        <v>336</v>
      </c>
      <c r="AN17" s="69"/>
      <c r="AO17" s="69" t="s">
        <v>317</v>
      </c>
      <c r="AP17" s="69" t="s">
        <v>333</v>
      </c>
      <c r="AQ17" s="69" t="s">
        <v>354</v>
      </c>
      <c r="AR17" s="99" t="s">
        <v>398</v>
      </c>
      <c r="AS17" s="69" t="s">
        <v>314</v>
      </c>
      <c r="AT17" s="69" t="s">
        <v>334</v>
      </c>
      <c r="AU17" s="69" t="s">
        <v>312</v>
      </c>
      <c r="AV17" s="69"/>
      <c r="AW17" s="69"/>
      <c r="AX17" s="69" t="s">
        <v>347</v>
      </c>
      <c r="AY17" s="69" t="s">
        <v>366</v>
      </c>
      <c r="AZ17" s="69" t="s">
        <v>376</v>
      </c>
      <c r="BA17" s="69"/>
      <c r="BB17" s="69" t="s">
        <v>317</v>
      </c>
      <c r="BC17" s="69" t="s">
        <v>328</v>
      </c>
      <c r="BD17" s="69" t="s">
        <v>397</v>
      </c>
      <c r="BE17" s="69" t="s">
        <v>367</v>
      </c>
      <c r="BF17" s="69" t="s">
        <v>387</v>
      </c>
      <c r="BG17" s="69" t="s">
        <v>343</v>
      </c>
      <c r="BH17" s="69"/>
      <c r="BI17" s="69" t="s">
        <v>317</v>
      </c>
      <c r="BJ17" s="69" t="s">
        <v>321</v>
      </c>
      <c r="BK17" s="69" t="s">
        <v>317</v>
      </c>
      <c r="BL17" s="69"/>
      <c r="BM17" s="69" t="s">
        <v>388</v>
      </c>
      <c r="BN17" s="69" t="s">
        <v>312</v>
      </c>
    </row>
    <row r="18" spans="1:66" x14ac:dyDescent="0.25">
      <c r="A18" s="61" t="s">
        <v>3</v>
      </c>
      <c r="B18" s="68" t="s">
        <v>218</v>
      </c>
      <c r="C18" s="66"/>
      <c r="D18" s="64">
        <v>17</v>
      </c>
      <c r="E18" s="64">
        <f>IF(ISBLANK($D18),"0",IF(($D18-$D17)&gt;($C18-$C17),1,0))</f>
        <v>1</v>
      </c>
      <c r="F18" s="64">
        <f t="shared" ca="1" si="1"/>
        <v>14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311</v>
      </c>
      <c r="K18" s="70"/>
      <c r="L18" s="70" t="s">
        <v>313</v>
      </c>
      <c r="M18" s="70" t="s">
        <v>312</v>
      </c>
      <c r="N18" s="70"/>
      <c r="O18" s="70"/>
      <c r="P18" s="70" t="s">
        <v>317</v>
      </c>
      <c r="Q18" s="70"/>
      <c r="R18" s="70"/>
      <c r="S18" s="70"/>
      <c r="T18" s="70"/>
      <c r="U18" s="70"/>
      <c r="V18" s="70" t="s">
        <v>317</v>
      </c>
      <c r="W18" s="70" t="s">
        <v>317</v>
      </c>
      <c r="X18" s="70"/>
      <c r="Y18" s="70"/>
      <c r="Z18" s="70"/>
      <c r="AA18" s="70"/>
      <c r="AB18" s="70"/>
      <c r="AC18" s="70"/>
      <c r="AD18" s="70"/>
      <c r="AE18" s="70" t="s">
        <v>355</v>
      </c>
      <c r="AF18" s="70"/>
      <c r="AG18" s="70"/>
      <c r="AH18" s="70" t="s">
        <v>348</v>
      </c>
      <c r="AI18" s="70"/>
      <c r="AJ18" s="70"/>
      <c r="AK18" s="70" t="s">
        <v>317</v>
      </c>
      <c r="AL18" s="70"/>
      <c r="AM18" s="70"/>
      <c r="AN18" s="70" t="s">
        <v>317</v>
      </c>
      <c r="AO18" s="70"/>
      <c r="AP18" s="70"/>
      <c r="AQ18" s="70"/>
      <c r="AR18" s="70"/>
      <c r="AS18" s="70"/>
      <c r="AT18" s="70"/>
      <c r="AU18" s="70"/>
      <c r="AV18" s="70" t="s">
        <v>317</v>
      </c>
      <c r="AW18" s="70" t="s">
        <v>323</v>
      </c>
      <c r="AX18" s="70"/>
      <c r="AY18" s="70"/>
      <c r="AZ18" s="70"/>
      <c r="BA18" s="70" t="s">
        <v>317</v>
      </c>
      <c r="BB18" s="70"/>
      <c r="BC18" s="70"/>
      <c r="BD18" s="70"/>
      <c r="BE18" s="70"/>
      <c r="BF18" s="70"/>
      <c r="BG18" s="70"/>
      <c r="BH18" s="70" t="s">
        <v>317</v>
      </c>
      <c r="BI18" s="70"/>
      <c r="BJ18" s="70"/>
      <c r="BK18" s="70"/>
      <c r="BL18" s="70" t="s">
        <v>317</v>
      </c>
      <c r="BM18" s="70"/>
      <c r="BN18" s="70"/>
    </row>
    <row r="19" spans="1:66" x14ac:dyDescent="0.25">
      <c r="A19" s="59">
        <v>9</v>
      </c>
      <c r="B19" s="67" t="s">
        <v>259</v>
      </c>
      <c r="C19" s="65"/>
      <c r="D19" s="64">
        <v>54</v>
      </c>
      <c r="E19" s="64">
        <f>IF(ISBLANK($D19),"0",IF(($D20-$D19)&lt;($C20-$C19),1,0))</f>
        <v>1</v>
      </c>
      <c r="F19" s="64">
        <f t="shared" ca="1" si="1"/>
        <v>18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311</v>
      </c>
      <c r="K19" s="69" t="s">
        <v>312</v>
      </c>
      <c r="L19" s="69" t="s">
        <v>313</v>
      </c>
      <c r="M19" s="69"/>
      <c r="N19" s="69"/>
      <c r="O19" s="69"/>
      <c r="P19" s="69"/>
      <c r="Q19" s="69" t="s">
        <v>352</v>
      </c>
      <c r="R19" s="69" t="s">
        <v>329</v>
      </c>
      <c r="S19" s="69" t="s">
        <v>342</v>
      </c>
      <c r="T19" s="69"/>
      <c r="U19" s="69" t="s">
        <v>348</v>
      </c>
      <c r="V19" s="69"/>
      <c r="W19" s="69"/>
      <c r="X19" s="69"/>
      <c r="Y19" s="69"/>
      <c r="Z19" s="69"/>
      <c r="AA19" s="69"/>
      <c r="AB19" s="69" t="s">
        <v>317</v>
      </c>
      <c r="AC19" s="69" t="s">
        <v>317</v>
      </c>
      <c r="AD19" s="69"/>
      <c r="AE19" s="69"/>
      <c r="AF19" s="69"/>
      <c r="AG19" s="69"/>
      <c r="AH19" s="69" t="s">
        <v>320</v>
      </c>
      <c r="AI19" s="69"/>
      <c r="AJ19" s="69"/>
      <c r="AK19" s="69" t="s">
        <v>317</v>
      </c>
      <c r="AL19" s="69"/>
      <c r="AM19" s="69"/>
      <c r="AN19" s="69"/>
      <c r="AO19" s="69"/>
      <c r="AP19" s="69"/>
      <c r="AQ19" s="69" t="s">
        <v>354</v>
      </c>
      <c r="AR19" s="69"/>
      <c r="AS19" s="69"/>
      <c r="AT19" s="69"/>
      <c r="AU19" s="69" t="s">
        <v>312</v>
      </c>
      <c r="AV19" s="69"/>
      <c r="AW19" s="69"/>
      <c r="AX19" s="69" t="s">
        <v>347</v>
      </c>
      <c r="AY19" s="69" t="s">
        <v>366</v>
      </c>
      <c r="AZ19" s="69" t="s">
        <v>316</v>
      </c>
      <c r="BA19" s="69"/>
      <c r="BB19" s="69"/>
      <c r="BC19" s="69"/>
      <c r="BD19" s="69"/>
      <c r="BE19" s="69"/>
      <c r="BF19" s="69"/>
      <c r="BG19" s="69" t="s">
        <v>319</v>
      </c>
      <c r="BH19" s="69" t="s">
        <v>312</v>
      </c>
      <c r="BI19" s="69"/>
      <c r="BJ19" s="69"/>
      <c r="BK19" s="69"/>
      <c r="BL19" s="69"/>
      <c r="BM19" s="69"/>
      <c r="BN19" s="69" t="s">
        <v>312</v>
      </c>
    </row>
    <row r="20" spans="1:66" x14ac:dyDescent="0.25">
      <c r="A20" s="61" t="s">
        <v>3</v>
      </c>
      <c r="B20" s="68" t="s">
        <v>306</v>
      </c>
      <c r="C20" s="66">
        <v>6.5</v>
      </c>
      <c r="D20" s="64">
        <v>10</v>
      </c>
      <c r="E20" s="64">
        <f>IF(ISBLANK($D20),"0",IF(($D20-$D19)&gt;($C20-$C19),1,0))</f>
        <v>0</v>
      </c>
      <c r="F20" s="64">
        <f t="shared" ca="1" si="1"/>
        <v>38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/>
      <c r="L20" s="70"/>
      <c r="M20" s="70" t="s">
        <v>312</v>
      </c>
      <c r="N20" s="70" t="s">
        <v>355</v>
      </c>
      <c r="O20" s="70" t="s">
        <v>371</v>
      </c>
      <c r="P20" s="70" t="s">
        <v>317</v>
      </c>
      <c r="Q20" s="70"/>
      <c r="R20" s="70"/>
      <c r="S20" s="70"/>
      <c r="T20" s="70" t="s">
        <v>328</v>
      </c>
      <c r="U20" s="70"/>
      <c r="V20" s="70" t="s">
        <v>317</v>
      </c>
      <c r="W20" s="70" t="s">
        <v>317</v>
      </c>
      <c r="X20" s="70" t="s">
        <v>312</v>
      </c>
      <c r="Y20" s="70" t="s">
        <v>326</v>
      </c>
      <c r="Z20" s="70" t="s">
        <v>319</v>
      </c>
      <c r="AA20" s="70" t="s">
        <v>354</v>
      </c>
      <c r="AB20" s="70"/>
      <c r="AC20" s="70"/>
      <c r="AD20" s="70" t="s">
        <v>317</v>
      </c>
      <c r="AE20" s="70" t="s">
        <v>355</v>
      </c>
      <c r="AF20" s="70" t="s">
        <v>355</v>
      </c>
      <c r="AG20" s="70" t="s">
        <v>368</v>
      </c>
      <c r="AH20" s="70"/>
      <c r="AI20" s="70" t="s">
        <v>339</v>
      </c>
      <c r="AJ20" s="70" t="s">
        <v>334</v>
      </c>
      <c r="AK20" s="70"/>
      <c r="AL20" s="70" t="s">
        <v>347</v>
      </c>
      <c r="AM20" s="70" t="s">
        <v>320</v>
      </c>
      <c r="AN20" s="70" t="s">
        <v>317</v>
      </c>
      <c r="AO20" s="70" t="s">
        <v>317</v>
      </c>
      <c r="AP20" s="70" t="s">
        <v>361</v>
      </c>
      <c r="AQ20" s="70"/>
      <c r="AR20" s="99" t="s">
        <v>398</v>
      </c>
      <c r="AS20" s="70" t="s">
        <v>328</v>
      </c>
      <c r="AT20" s="70" t="s">
        <v>334</v>
      </c>
      <c r="AU20" s="70"/>
      <c r="AV20" s="70" t="s">
        <v>317</v>
      </c>
      <c r="AW20" s="70" t="s">
        <v>394</v>
      </c>
      <c r="AX20" s="70"/>
      <c r="AY20" s="70"/>
      <c r="AZ20" s="70"/>
      <c r="BA20" s="70" t="s">
        <v>317</v>
      </c>
      <c r="BB20" s="70" t="s">
        <v>317</v>
      </c>
      <c r="BC20" s="70" t="s">
        <v>322</v>
      </c>
      <c r="BD20" s="70" t="s">
        <v>324</v>
      </c>
      <c r="BE20" s="70" t="s">
        <v>367</v>
      </c>
      <c r="BF20" s="70" t="s">
        <v>387</v>
      </c>
      <c r="BG20" s="70"/>
      <c r="BH20" s="70"/>
      <c r="BI20" s="70" t="s">
        <v>317</v>
      </c>
      <c r="BJ20" s="70" t="s">
        <v>321</v>
      </c>
      <c r="BK20" s="70" t="s">
        <v>317</v>
      </c>
      <c r="BL20" s="70" t="s">
        <v>317</v>
      </c>
      <c r="BM20" s="70" t="s">
        <v>388</v>
      </c>
      <c r="BN20" s="70"/>
    </row>
    <row r="21" spans="1:66" x14ac:dyDescent="0.25">
      <c r="A21" s="59">
        <v>10</v>
      </c>
      <c r="B21" s="67" t="s">
        <v>178</v>
      </c>
      <c r="C21" s="65">
        <v>3.5</v>
      </c>
      <c r="D21" s="64">
        <v>23</v>
      </c>
      <c r="E21" s="64">
        <f>IF(ISBLANK($D21),"0",IF(($D22-$D21)&lt;($C22-$C21),1,0))</f>
        <v>1</v>
      </c>
      <c r="F21" s="64">
        <f t="shared" ca="1" si="1"/>
        <v>38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311</v>
      </c>
      <c r="K21" s="69"/>
      <c r="L21" s="69"/>
      <c r="M21" s="69" t="s">
        <v>312</v>
      </c>
      <c r="N21" s="69" t="s">
        <v>313</v>
      </c>
      <c r="O21" s="69" t="s">
        <v>371</v>
      </c>
      <c r="P21" s="69"/>
      <c r="Q21" s="69"/>
      <c r="R21" s="69" t="s">
        <v>315</v>
      </c>
      <c r="S21" s="69" t="s">
        <v>311</v>
      </c>
      <c r="T21" s="69" t="s">
        <v>322</v>
      </c>
      <c r="U21" s="69" t="s">
        <v>311</v>
      </c>
      <c r="V21" s="69" t="s">
        <v>317</v>
      </c>
      <c r="W21" s="69" t="s">
        <v>317</v>
      </c>
      <c r="X21" s="69"/>
      <c r="Y21" s="69" t="s">
        <v>326</v>
      </c>
      <c r="Z21" s="69" t="s">
        <v>334</v>
      </c>
      <c r="AA21" s="69" t="s">
        <v>354</v>
      </c>
      <c r="AB21" s="69" t="s">
        <v>317</v>
      </c>
      <c r="AC21" s="69" t="s">
        <v>317</v>
      </c>
      <c r="AD21" s="69"/>
      <c r="AE21" s="69" t="s">
        <v>355</v>
      </c>
      <c r="AF21" s="69" t="s">
        <v>355</v>
      </c>
      <c r="AG21" s="69" t="s">
        <v>346</v>
      </c>
      <c r="AH21" s="69"/>
      <c r="AI21" s="69" t="s">
        <v>320</v>
      </c>
      <c r="AJ21" s="69" t="s">
        <v>392</v>
      </c>
      <c r="AK21" s="69"/>
      <c r="AL21" s="69" t="s">
        <v>347</v>
      </c>
      <c r="AM21" s="69"/>
      <c r="AN21" s="69" t="s">
        <v>317</v>
      </c>
      <c r="AO21" s="69" t="s">
        <v>317</v>
      </c>
      <c r="AP21" s="69"/>
      <c r="AQ21" s="69" t="s">
        <v>354</v>
      </c>
      <c r="AR21" s="99" t="s">
        <v>398</v>
      </c>
      <c r="AS21" s="69"/>
      <c r="AT21" s="69" t="s">
        <v>334</v>
      </c>
      <c r="AU21" s="69" t="s">
        <v>312</v>
      </c>
      <c r="AV21" s="69"/>
      <c r="AW21" s="69" t="s">
        <v>381</v>
      </c>
      <c r="AX21" s="69"/>
      <c r="AY21" s="69" t="s">
        <v>366</v>
      </c>
      <c r="AZ21" s="69" t="s">
        <v>326</v>
      </c>
      <c r="BA21" s="69"/>
      <c r="BB21" s="69" t="s">
        <v>317</v>
      </c>
      <c r="BC21" s="69" t="s">
        <v>326</v>
      </c>
      <c r="BD21" s="69"/>
      <c r="BE21" s="69" t="s">
        <v>367</v>
      </c>
      <c r="BF21" s="69" t="s">
        <v>387</v>
      </c>
      <c r="BG21" s="69"/>
      <c r="BH21" s="69"/>
      <c r="BI21" s="69" t="s">
        <v>317</v>
      </c>
      <c r="BJ21" s="69" t="s">
        <v>321</v>
      </c>
      <c r="BK21" s="69" t="s">
        <v>317</v>
      </c>
      <c r="BL21" s="69" t="s">
        <v>317</v>
      </c>
      <c r="BM21" s="69" t="s">
        <v>388</v>
      </c>
      <c r="BN21" s="69"/>
    </row>
    <row r="22" spans="1:66" x14ac:dyDescent="0.25">
      <c r="A22" s="61" t="s">
        <v>3</v>
      </c>
      <c r="B22" s="68" t="s">
        <v>174</v>
      </c>
      <c r="C22" s="66"/>
      <c r="D22" s="64">
        <v>13</v>
      </c>
      <c r="E22" s="64">
        <f>IF(ISBLANK($D22),"0",IF(($D22-$D21)&gt;($C22-$C21),1,0))</f>
        <v>0</v>
      </c>
      <c r="F22" s="64">
        <f t="shared" ca="1" si="1"/>
        <v>18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 t="s">
        <v>312</v>
      </c>
      <c r="L22" s="70" t="s">
        <v>313</v>
      </c>
      <c r="M22" s="70"/>
      <c r="N22" s="70"/>
      <c r="O22" s="70"/>
      <c r="P22" s="70" t="s">
        <v>317</v>
      </c>
      <c r="Q22" s="70" t="s">
        <v>322</v>
      </c>
      <c r="R22" s="70"/>
      <c r="S22" s="70"/>
      <c r="T22" s="70"/>
      <c r="U22" s="70"/>
      <c r="V22" s="70"/>
      <c r="W22" s="70"/>
      <c r="X22" s="70" t="s">
        <v>312</v>
      </c>
      <c r="Y22" s="70"/>
      <c r="Z22" s="70"/>
      <c r="AA22" s="70"/>
      <c r="AB22" s="70"/>
      <c r="AC22" s="70"/>
      <c r="AD22" s="70" t="s">
        <v>317</v>
      </c>
      <c r="AE22" s="70"/>
      <c r="AF22" s="70"/>
      <c r="AG22" s="70"/>
      <c r="AH22" s="70" t="s">
        <v>341</v>
      </c>
      <c r="AI22" s="70"/>
      <c r="AJ22" s="70"/>
      <c r="AK22" s="70" t="s">
        <v>317</v>
      </c>
      <c r="AL22" s="70"/>
      <c r="AM22" s="70" t="s">
        <v>326</v>
      </c>
      <c r="AN22" s="70"/>
      <c r="AO22" s="70"/>
      <c r="AP22" s="70" t="s">
        <v>361</v>
      </c>
      <c r="AQ22" s="70"/>
      <c r="AR22" s="70"/>
      <c r="AS22" s="70" t="s">
        <v>326</v>
      </c>
      <c r="AT22" s="70"/>
      <c r="AU22" s="70"/>
      <c r="AV22" s="70" t="s">
        <v>317</v>
      </c>
      <c r="AW22" s="70"/>
      <c r="AX22" s="70" t="s">
        <v>326</v>
      </c>
      <c r="AY22" s="70"/>
      <c r="AZ22" s="70"/>
      <c r="BA22" s="70" t="s">
        <v>317</v>
      </c>
      <c r="BB22" s="70"/>
      <c r="BC22" s="70"/>
      <c r="BD22" s="70" t="s">
        <v>336</v>
      </c>
      <c r="BE22" s="70"/>
      <c r="BF22" s="70"/>
      <c r="BG22" s="70" t="s">
        <v>326</v>
      </c>
      <c r="BH22" s="70" t="s">
        <v>317</v>
      </c>
      <c r="BI22" s="70"/>
      <c r="BJ22" s="70"/>
      <c r="BK22" s="70"/>
      <c r="BL22" s="70"/>
      <c r="BM22" s="70"/>
      <c r="BN22" s="70" t="s">
        <v>312</v>
      </c>
    </row>
    <row r="23" spans="1:66" x14ac:dyDescent="0.25">
      <c r="A23" s="59"/>
      <c r="B23" s="67" t="str">
        <f>B21&amp; " - score"</f>
        <v>Oklahoma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30</v>
      </c>
      <c r="G23" s="59"/>
      <c r="H23" s="59"/>
      <c r="I23" s="60"/>
      <c r="J23" s="78">
        <v>28</v>
      </c>
      <c r="K23" s="78">
        <v>35</v>
      </c>
      <c r="L23" s="78">
        <v>17</v>
      </c>
      <c r="M23" s="78">
        <v>31</v>
      </c>
      <c r="N23" s="80">
        <v>32</v>
      </c>
      <c r="O23" s="78">
        <v>42</v>
      </c>
      <c r="P23" s="78">
        <v>27</v>
      </c>
      <c r="Q23" s="78">
        <v>28</v>
      </c>
      <c r="R23" s="78">
        <v>35</v>
      </c>
      <c r="S23" s="78">
        <v>31</v>
      </c>
      <c r="T23" s="78">
        <v>27</v>
      </c>
      <c r="U23" s="78">
        <v>24</v>
      </c>
      <c r="V23" s="78">
        <v>24</v>
      </c>
      <c r="W23" s="78">
        <v>37</v>
      </c>
      <c r="X23" s="78">
        <v>24</v>
      </c>
      <c r="Y23" s="78">
        <v>28</v>
      </c>
      <c r="Z23" s="78">
        <v>31</v>
      </c>
      <c r="AA23" s="78">
        <v>28</v>
      </c>
      <c r="AB23" s="78">
        <v>34</v>
      </c>
      <c r="AC23" s="78">
        <v>31</v>
      </c>
      <c r="AD23" s="78">
        <v>21</v>
      </c>
      <c r="AE23" s="78">
        <v>33</v>
      </c>
      <c r="AF23" s="78">
        <v>39</v>
      </c>
      <c r="AG23" s="78">
        <v>45</v>
      </c>
      <c r="AH23" s="78">
        <v>30</v>
      </c>
      <c r="AI23" s="78">
        <v>45</v>
      </c>
      <c r="AJ23" s="78">
        <v>37</v>
      </c>
      <c r="AK23" s="78">
        <v>31</v>
      </c>
      <c r="AL23" s="78">
        <v>27</v>
      </c>
      <c r="AM23" s="78">
        <v>21</v>
      </c>
      <c r="AN23" s="78">
        <v>42</v>
      </c>
      <c r="AO23" s="78">
        <v>24</v>
      </c>
      <c r="AP23" s="78">
        <v>20</v>
      </c>
      <c r="AQ23" s="78">
        <v>21</v>
      </c>
      <c r="AR23" s="78"/>
      <c r="AS23" s="78">
        <v>27</v>
      </c>
      <c r="AT23" s="78">
        <v>34</v>
      </c>
      <c r="AU23" s="78">
        <v>21</v>
      </c>
      <c r="AV23" s="78">
        <v>24</v>
      </c>
      <c r="AW23" s="78">
        <v>38</v>
      </c>
      <c r="AX23" s="78">
        <v>28</v>
      </c>
      <c r="AY23" s="78">
        <v>35</v>
      </c>
      <c r="AZ23" s="78">
        <v>34</v>
      </c>
      <c r="BA23" s="78">
        <v>21</v>
      </c>
      <c r="BB23" s="78">
        <v>21</v>
      </c>
      <c r="BC23" s="78">
        <v>14</v>
      </c>
      <c r="BD23" s="78">
        <v>30</v>
      </c>
      <c r="BE23" s="78">
        <v>35</v>
      </c>
      <c r="BF23" s="78">
        <v>43</v>
      </c>
      <c r="BG23" s="78">
        <v>27</v>
      </c>
      <c r="BH23" s="78">
        <v>28</v>
      </c>
      <c r="BI23" s="78">
        <v>34</v>
      </c>
      <c r="BJ23" s="78">
        <v>35</v>
      </c>
      <c r="BK23" s="78">
        <v>27</v>
      </c>
      <c r="BL23" s="78">
        <v>24</v>
      </c>
      <c r="BM23" s="78">
        <v>28</v>
      </c>
      <c r="BN23" s="78">
        <v>24</v>
      </c>
    </row>
    <row r="24" spans="1:66" x14ac:dyDescent="0.2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23</v>
      </c>
      <c r="K24" s="79">
        <v>38</v>
      </c>
      <c r="L24" s="79">
        <v>33</v>
      </c>
      <c r="M24" s="79">
        <v>24</v>
      </c>
      <c r="N24" s="79">
        <v>25</v>
      </c>
      <c r="O24" s="79">
        <v>14</v>
      </c>
      <c r="P24" s="79">
        <v>32</v>
      </c>
      <c r="Q24" s="79">
        <v>35</v>
      </c>
      <c r="R24" s="79">
        <v>17</v>
      </c>
      <c r="S24" s="79">
        <v>23</v>
      </c>
      <c r="T24" s="79">
        <v>23</v>
      </c>
      <c r="U24" s="79">
        <v>14</v>
      </c>
      <c r="V24" s="79">
        <v>14</v>
      </c>
      <c r="W24" s="79">
        <v>21</v>
      </c>
      <c r="X24" s="79">
        <v>27</v>
      </c>
      <c r="Y24" s="79">
        <v>24</v>
      </c>
      <c r="Z24" s="79">
        <v>27</v>
      </c>
      <c r="AA24" s="79">
        <v>24</v>
      </c>
      <c r="AB24" s="79">
        <v>28</v>
      </c>
      <c r="AC24" s="79">
        <v>21</v>
      </c>
      <c r="AD24" s="79">
        <v>31</v>
      </c>
      <c r="AE24" s="79">
        <v>28</v>
      </c>
      <c r="AF24" s="79">
        <v>26</v>
      </c>
      <c r="AG24" s="79">
        <v>27</v>
      </c>
      <c r="AH24" s="79">
        <v>27</v>
      </c>
      <c r="AI24" s="79">
        <v>31</v>
      </c>
      <c r="AJ24" s="79">
        <v>23</v>
      </c>
      <c r="AK24" s="79">
        <v>28</v>
      </c>
      <c r="AL24" s="79">
        <v>20</v>
      </c>
      <c r="AM24" s="79">
        <v>27</v>
      </c>
      <c r="AN24" s="79">
        <v>35</v>
      </c>
      <c r="AO24" s="79">
        <v>20</v>
      </c>
      <c r="AP24" s="79">
        <v>17</v>
      </c>
      <c r="AQ24" s="79">
        <v>17</v>
      </c>
      <c r="AR24" s="79"/>
      <c r="AS24" s="79">
        <v>24</v>
      </c>
      <c r="AT24" s="79">
        <v>24</v>
      </c>
      <c r="AU24" s="79">
        <v>14</v>
      </c>
      <c r="AV24" s="79">
        <v>28</v>
      </c>
      <c r="AW24" s="79">
        <v>27</v>
      </c>
      <c r="AX24" s="79">
        <v>35</v>
      </c>
      <c r="AY24" s="79">
        <v>31</v>
      </c>
      <c r="AZ24" s="79">
        <v>21</v>
      </c>
      <c r="BA24" s="79">
        <v>35</v>
      </c>
      <c r="BB24" s="79">
        <v>14</v>
      </c>
      <c r="BC24" s="79">
        <v>10</v>
      </c>
      <c r="BD24" s="79">
        <v>31</v>
      </c>
      <c r="BE24" s="79">
        <v>17</v>
      </c>
      <c r="BF24" s="79">
        <v>24</v>
      </c>
      <c r="BG24" s="79">
        <v>34</v>
      </c>
      <c r="BH24" s="79">
        <v>27</v>
      </c>
      <c r="BI24" s="79">
        <v>23</v>
      </c>
      <c r="BJ24" s="79">
        <v>21</v>
      </c>
      <c r="BK24" s="79">
        <v>21</v>
      </c>
      <c r="BL24" s="79">
        <v>17</v>
      </c>
      <c r="BM24" s="79">
        <v>24</v>
      </c>
      <c r="BN24" s="79">
        <v>27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7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3</v>
      </c>
      <c r="Q25" s="36">
        <f t="shared" si="3"/>
        <v>3</v>
      </c>
      <c r="R25" s="36">
        <f t="shared" si="3"/>
        <v>7</v>
      </c>
      <c r="S25" s="36">
        <f t="shared" si="3"/>
        <v>5</v>
      </c>
      <c r="T25" s="36">
        <f t="shared" si="3"/>
        <v>6</v>
      </c>
      <c r="U25" s="36">
        <f t="shared" si="3"/>
        <v>4</v>
      </c>
      <c r="V25" s="36">
        <f t="shared" si="3"/>
        <v>8</v>
      </c>
      <c r="W25" s="36">
        <f t="shared" si="3"/>
        <v>6</v>
      </c>
      <c r="X25" s="36">
        <f t="shared" si="3"/>
        <v>4</v>
      </c>
      <c r="Y25" s="36">
        <f t="shared" si="3"/>
        <v>5</v>
      </c>
      <c r="Z25" s="36">
        <f t="shared" si="3"/>
        <v>6</v>
      </c>
      <c r="AA25" s="36">
        <f t="shared" si="3"/>
        <v>3</v>
      </c>
      <c r="AB25" s="36">
        <f t="shared" si="3"/>
        <v>8</v>
      </c>
      <c r="AC25" s="36">
        <f t="shared" si="3"/>
        <v>4</v>
      </c>
      <c r="AD25" s="36">
        <f t="shared" si="3"/>
        <v>4</v>
      </c>
      <c r="AE25" s="36">
        <f t="shared" si="3"/>
        <v>6</v>
      </c>
      <c r="AF25" s="36">
        <f t="shared" si="3"/>
        <v>3</v>
      </c>
      <c r="AG25" s="36">
        <f t="shared" si="3"/>
        <v>5</v>
      </c>
      <c r="AH25" s="36">
        <f t="shared" si="3"/>
        <v>5</v>
      </c>
      <c r="AI25" s="36">
        <f t="shared" si="3"/>
        <v>5</v>
      </c>
      <c r="AJ25" s="36">
        <f t="shared" si="3"/>
        <v>5</v>
      </c>
      <c r="AK25" s="36">
        <f t="shared" si="3"/>
        <v>3</v>
      </c>
      <c r="AL25" s="36">
        <f t="shared" si="3"/>
        <v>6</v>
      </c>
      <c r="AM25" s="36">
        <f t="shared" si="3"/>
        <v>6</v>
      </c>
      <c r="AN25" s="36">
        <f t="shared" si="3"/>
        <v>6</v>
      </c>
      <c r="AO25" s="36">
        <f t="shared" si="3"/>
        <v>5</v>
      </c>
      <c r="AP25" s="36">
        <f t="shared" si="3"/>
        <v>5</v>
      </c>
      <c r="AQ25" s="36">
        <f t="shared" si="3"/>
        <v>5</v>
      </c>
      <c r="AR25" s="36">
        <f t="shared" si="3"/>
        <v>3</v>
      </c>
      <c r="AS25" s="36">
        <f t="shared" si="3"/>
        <v>4</v>
      </c>
      <c r="AT25" s="36">
        <f t="shared" si="3"/>
        <v>4</v>
      </c>
      <c r="AU25" s="36">
        <f t="shared" si="3"/>
        <v>7</v>
      </c>
      <c r="AV25" s="36">
        <f t="shared" si="3"/>
        <v>8</v>
      </c>
      <c r="AW25" s="36">
        <f t="shared" si="3"/>
        <v>7</v>
      </c>
      <c r="AX25" s="36">
        <f t="shared" si="3"/>
        <v>4</v>
      </c>
      <c r="AY25" s="36">
        <f t="shared" si="3"/>
        <v>6</v>
      </c>
      <c r="AZ25" s="36">
        <f t="shared" si="3"/>
        <v>5</v>
      </c>
      <c r="BA25" s="36">
        <f t="shared" si="3"/>
        <v>3</v>
      </c>
      <c r="BB25" s="36">
        <f t="shared" si="3"/>
        <v>6</v>
      </c>
      <c r="BC25" s="36">
        <f t="shared" si="3"/>
        <v>6</v>
      </c>
      <c r="BD25" s="36">
        <f t="shared" si="3"/>
        <v>3</v>
      </c>
      <c r="BE25" s="36">
        <f t="shared" si="3"/>
        <v>5</v>
      </c>
      <c r="BF25" s="36">
        <f t="shared" si="3"/>
        <v>6</v>
      </c>
      <c r="BG25" s="36">
        <f t="shared" si="3"/>
        <v>3</v>
      </c>
      <c r="BH25" s="36">
        <f t="shared" si="3"/>
        <v>7</v>
      </c>
      <c r="BI25" s="36">
        <f t="shared" si="3"/>
        <v>4</v>
      </c>
      <c r="BJ25" s="36">
        <f t="shared" si="3"/>
        <v>3</v>
      </c>
      <c r="BK25" s="36">
        <f t="shared" si="3"/>
        <v>5</v>
      </c>
      <c r="BL25" s="36">
        <f t="shared" si="3"/>
        <v>7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6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13</v>
      </c>
      <c r="L26" s="71">
        <f t="shared" ref="L26:BN26" si="4">ABS((L23-L24)-($D21-$D22))</f>
        <v>26</v>
      </c>
      <c r="M26" s="71">
        <f t="shared" si="4"/>
        <v>3</v>
      </c>
      <c r="N26" s="71">
        <f t="shared" si="4"/>
        <v>3</v>
      </c>
      <c r="O26" s="71">
        <f t="shared" si="4"/>
        <v>18</v>
      </c>
      <c r="P26" s="71">
        <f t="shared" si="4"/>
        <v>15</v>
      </c>
      <c r="Q26" s="71">
        <f t="shared" si="4"/>
        <v>17</v>
      </c>
      <c r="R26" s="71">
        <f t="shared" si="4"/>
        <v>8</v>
      </c>
      <c r="S26" s="71">
        <f t="shared" si="4"/>
        <v>2</v>
      </c>
      <c r="T26" s="71">
        <f t="shared" si="4"/>
        <v>6</v>
      </c>
      <c r="U26" s="71">
        <f t="shared" si="4"/>
        <v>0</v>
      </c>
      <c r="V26" s="71">
        <f t="shared" si="4"/>
        <v>0</v>
      </c>
      <c r="W26" s="71">
        <f t="shared" si="4"/>
        <v>6</v>
      </c>
      <c r="X26" s="71">
        <f t="shared" si="4"/>
        <v>13</v>
      </c>
      <c r="Y26" s="71">
        <f t="shared" si="4"/>
        <v>6</v>
      </c>
      <c r="Z26" s="71">
        <f t="shared" si="4"/>
        <v>6</v>
      </c>
      <c r="AA26" s="71">
        <f t="shared" si="4"/>
        <v>6</v>
      </c>
      <c r="AB26" s="71">
        <f t="shared" si="4"/>
        <v>4</v>
      </c>
      <c r="AC26" s="71">
        <f t="shared" si="4"/>
        <v>0</v>
      </c>
      <c r="AD26" s="71">
        <f t="shared" si="4"/>
        <v>20</v>
      </c>
      <c r="AE26" s="71">
        <f t="shared" si="4"/>
        <v>5</v>
      </c>
      <c r="AF26" s="71">
        <f t="shared" si="4"/>
        <v>3</v>
      </c>
      <c r="AG26" s="71">
        <f t="shared" si="4"/>
        <v>8</v>
      </c>
      <c r="AH26" s="71">
        <f t="shared" si="4"/>
        <v>7</v>
      </c>
      <c r="AI26" s="71">
        <f t="shared" si="4"/>
        <v>4</v>
      </c>
      <c r="AJ26" s="71">
        <f t="shared" si="4"/>
        <v>4</v>
      </c>
      <c r="AK26" s="71">
        <f t="shared" si="4"/>
        <v>7</v>
      </c>
      <c r="AL26" s="71">
        <f t="shared" si="4"/>
        <v>3</v>
      </c>
      <c r="AM26" s="71">
        <f t="shared" si="4"/>
        <v>16</v>
      </c>
      <c r="AN26" s="71">
        <f t="shared" si="4"/>
        <v>3</v>
      </c>
      <c r="AO26" s="71">
        <f t="shared" si="4"/>
        <v>6</v>
      </c>
      <c r="AP26" s="71">
        <f t="shared" si="4"/>
        <v>7</v>
      </c>
      <c r="AQ26" s="71">
        <f t="shared" si="4"/>
        <v>6</v>
      </c>
      <c r="AR26" s="71">
        <f t="shared" si="4"/>
        <v>10</v>
      </c>
      <c r="AS26" s="71">
        <f t="shared" si="4"/>
        <v>7</v>
      </c>
      <c r="AT26" s="71">
        <f t="shared" si="4"/>
        <v>0</v>
      </c>
      <c r="AU26" s="71">
        <f t="shared" si="4"/>
        <v>3</v>
      </c>
      <c r="AV26" s="71">
        <f t="shared" si="4"/>
        <v>14</v>
      </c>
      <c r="AW26" s="71">
        <f t="shared" si="4"/>
        <v>1</v>
      </c>
      <c r="AX26" s="71">
        <f t="shared" si="4"/>
        <v>17</v>
      </c>
      <c r="AY26" s="71">
        <f t="shared" si="4"/>
        <v>6</v>
      </c>
      <c r="AZ26" s="71">
        <f t="shared" si="4"/>
        <v>3</v>
      </c>
      <c r="BA26" s="71">
        <f t="shared" si="4"/>
        <v>24</v>
      </c>
      <c r="BB26" s="71">
        <f t="shared" si="4"/>
        <v>3</v>
      </c>
      <c r="BC26" s="71">
        <f t="shared" si="4"/>
        <v>6</v>
      </c>
      <c r="BD26" s="71">
        <f t="shared" si="4"/>
        <v>11</v>
      </c>
      <c r="BE26" s="71">
        <f t="shared" si="4"/>
        <v>8</v>
      </c>
      <c r="BF26" s="71">
        <f t="shared" si="4"/>
        <v>9</v>
      </c>
      <c r="BG26" s="71">
        <f t="shared" si="4"/>
        <v>17</v>
      </c>
      <c r="BH26" s="71">
        <f t="shared" si="4"/>
        <v>9</v>
      </c>
      <c r="BI26" s="71">
        <f t="shared" si="4"/>
        <v>1</v>
      </c>
      <c r="BJ26" s="71">
        <f t="shared" si="4"/>
        <v>4</v>
      </c>
      <c r="BK26" s="71">
        <f t="shared" si="4"/>
        <v>4</v>
      </c>
      <c r="BL26" s="71">
        <f t="shared" si="4"/>
        <v>3</v>
      </c>
      <c r="BM26" s="71">
        <f t="shared" si="4"/>
        <v>6</v>
      </c>
      <c r="BN26" s="71">
        <f t="shared" si="4"/>
        <v>13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37</v>
      </c>
      <c r="L27" s="71">
        <f t="shared" ref="L27:BN27" si="5">ABS(($D21+$D22)-(L23+L24))</f>
        <v>14</v>
      </c>
      <c r="M27" s="71">
        <f t="shared" si="5"/>
        <v>19</v>
      </c>
      <c r="N27" s="71">
        <f t="shared" si="5"/>
        <v>21</v>
      </c>
      <c r="O27" s="71">
        <f t="shared" si="5"/>
        <v>20</v>
      </c>
      <c r="P27" s="71">
        <f t="shared" si="5"/>
        <v>23</v>
      </c>
      <c r="Q27" s="71">
        <f t="shared" si="5"/>
        <v>27</v>
      </c>
      <c r="R27" s="71">
        <f t="shared" si="5"/>
        <v>16</v>
      </c>
      <c r="S27" s="71">
        <f t="shared" si="5"/>
        <v>18</v>
      </c>
      <c r="T27" s="71">
        <f t="shared" si="5"/>
        <v>14</v>
      </c>
      <c r="U27" s="71">
        <f t="shared" si="5"/>
        <v>2</v>
      </c>
      <c r="V27" s="71">
        <f t="shared" si="5"/>
        <v>2</v>
      </c>
      <c r="W27" s="71">
        <f t="shared" si="5"/>
        <v>22</v>
      </c>
      <c r="X27" s="71">
        <f t="shared" si="5"/>
        <v>15</v>
      </c>
      <c r="Y27" s="71">
        <f t="shared" si="5"/>
        <v>16</v>
      </c>
      <c r="Z27" s="71">
        <f t="shared" si="5"/>
        <v>22</v>
      </c>
      <c r="AA27" s="71">
        <f t="shared" si="5"/>
        <v>16</v>
      </c>
      <c r="AB27" s="71">
        <f t="shared" si="5"/>
        <v>26</v>
      </c>
      <c r="AC27" s="71">
        <f t="shared" si="5"/>
        <v>16</v>
      </c>
      <c r="AD27" s="71">
        <f t="shared" si="5"/>
        <v>16</v>
      </c>
      <c r="AE27" s="71">
        <f t="shared" si="5"/>
        <v>25</v>
      </c>
      <c r="AF27" s="71">
        <f t="shared" si="5"/>
        <v>29</v>
      </c>
      <c r="AG27" s="71">
        <f t="shared" si="5"/>
        <v>36</v>
      </c>
      <c r="AH27" s="71">
        <f t="shared" si="5"/>
        <v>21</v>
      </c>
      <c r="AI27" s="71">
        <f t="shared" si="5"/>
        <v>40</v>
      </c>
      <c r="AJ27" s="71">
        <f t="shared" si="5"/>
        <v>24</v>
      </c>
      <c r="AK27" s="71">
        <f t="shared" si="5"/>
        <v>23</v>
      </c>
      <c r="AL27" s="71">
        <f t="shared" si="5"/>
        <v>11</v>
      </c>
      <c r="AM27" s="71">
        <f t="shared" si="5"/>
        <v>12</v>
      </c>
      <c r="AN27" s="71">
        <f t="shared" si="5"/>
        <v>41</v>
      </c>
      <c r="AO27" s="71">
        <f t="shared" si="5"/>
        <v>8</v>
      </c>
      <c r="AP27" s="71">
        <f t="shared" si="5"/>
        <v>1</v>
      </c>
      <c r="AQ27" s="71">
        <f t="shared" si="5"/>
        <v>2</v>
      </c>
      <c r="AR27" s="71">
        <f t="shared" si="5"/>
        <v>36</v>
      </c>
      <c r="AS27" s="71">
        <f t="shared" si="5"/>
        <v>15</v>
      </c>
      <c r="AT27" s="71">
        <f t="shared" si="5"/>
        <v>22</v>
      </c>
      <c r="AU27" s="71">
        <f t="shared" si="5"/>
        <v>1</v>
      </c>
      <c r="AV27" s="71">
        <f t="shared" si="5"/>
        <v>16</v>
      </c>
      <c r="AW27" s="71">
        <f t="shared" si="5"/>
        <v>29</v>
      </c>
      <c r="AX27" s="71">
        <f t="shared" si="5"/>
        <v>27</v>
      </c>
      <c r="AY27" s="71">
        <f t="shared" si="5"/>
        <v>30</v>
      </c>
      <c r="AZ27" s="71">
        <f t="shared" si="5"/>
        <v>19</v>
      </c>
      <c r="BA27" s="71">
        <f t="shared" si="5"/>
        <v>20</v>
      </c>
      <c r="BB27" s="71">
        <f t="shared" si="5"/>
        <v>1</v>
      </c>
      <c r="BC27" s="71">
        <f t="shared" si="5"/>
        <v>12</v>
      </c>
      <c r="BD27" s="71">
        <f t="shared" si="5"/>
        <v>25</v>
      </c>
      <c r="BE27" s="71">
        <f t="shared" si="5"/>
        <v>16</v>
      </c>
      <c r="BF27" s="71">
        <f t="shared" si="5"/>
        <v>31</v>
      </c>
      <c r="BG27" s="71">
        <f t="shared" si="5"/>
        <v>25</v>
      </c>
      <c r="BH27" s="71">
        <f t="shared" si="5"/>
        <v>19</v>
      </c>
      <c r="BI27" s="71">
        <f t="shared" si="5"/>
        <v>21</v>
      </c>
      <c r="BJ27" s="71">
        <f t="shared" si="5"/>
        <v>20</v>
      </c>
      <c r="BK27" s="71">
        <f t="shared" si="5"/>
        <v>12</v>
      </c>
      <c r="BL27" s="71">
        <f t="shared" si="5"/>
        <v>5</v>
      </c>
      <c r="BM27" s="71">
        <f t="shared" si="5"/>
        <v>16</v>
      </c>
      <c r="BN27" s="71">
        <f t="shared" si="5"/>
        <v>15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>
        <f t="shared" ca="1" si="6"/>
        <v>1</v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0.50535714285714284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7">COUNTA(L$3,L$5,L$7,L$9,L$11,L$13,L$15,L$17,L$19,L$21)</f>
        <v>6</v>
      </c>
      <c r="M29" s="71">
        <f t="shared" si="7"/>
        <v>6</v>
      </c>
      <c r="N29" s="71">
        <f t="shared" si="7"/>
        <v>6</v>
      </c>
      <c r="O29" s="71">
        <f t="shared" si="7"/>
        <v>4</v>
      </c>
      <c r="P29" s="71">
        <f t="shared" si="7"/>
        <v>6</v>
      </c>
      <c r="Q29" s="71">
        <f t="shared" si="7"/>
        <v>8</v>
      </c>
      <c r="R29" s="71">
        <f t="shared" si="7"/>
        <v>8</v>
      </c>
      <c r="S29" s="71">
        <f t="shared" si="7"/>
        <v>8</v>
      </c>
      <c r="T29" s="71">
        <f t="shared" si="7"/>
        <v>7</v>
      </c>
      <c r="U29" s="71">
        <f t="shared" si="7"/>
        <v>7</v>
      </c>
      <c r="V29" s="71">
        <f t="shared" si="7"/>
        <v>5</v>
      </c>
      <c r="W29" s="71">
        <f t="shared" si="7"/>
        <v>5</v>
      </c>
      <c r="X29" s="71">
        <f t="shared" si="7"/>
        <v>5</v>
      </c>
      <c r="Y29" s="71">
        <f t="shared" si="7"/>
        <v>6</v>
      </c>
      <c r="Z29" s="71">
        <f t="shared" si="7"/>
        <v>5</v>
      </c>
      <c r="AA29" s="71">
        <f t="shared" si="7"/>
        <v>6</v>
      </c>
      <c r="AB29" s="71">
        <f t="shared" si="7"/>
        <v>7</v>
      </c>
      <c r="AC29" s="71">
        <f t="shared" si="7"/>
        <v>7</v>
      </c>
      <c r="AD29" s="71">
        <f t="shared" si="7"/>
        <v>5</v>
      </c>
      <c r="AE29" s="71">
        <f t="shared" si="7"/>
        <v>3</v>
      </c>
      <c r="AF29" s="71">
        <f t="shared" si="7"/>
        <v>6</v>
      </c>
      <c r="AG29" s="71">
        <f t="shared" si="7"/>
        <v>8</v>
      </c>
      <c r="AH29" s="71">
        <f t="shared" si="7"/>
        <v>6</v>
      </c>
      <c r="AI29" s="71">
        <f t="shared" si="7"/>
        <v>6</v>
      </c>
      <c r="AJ29" s="71">
        <f t="shared" si="7"/>
        <v>4</v>
      </c>
      <c r="AK29" s="71">
        <f t="shared" si="7"/>
        <v>6</v>
      </c>
      <c r="AL29" s="71">
        <f t="shared" si="7"/>
        <v>7</v>
      </c>
      <c r="AM29" s="71">
        <f t="shared" si="7"/>
        <v>3</v>
      </c>
      <c r="AN29" s="71">
        <f t="shared" si="7"/>
        <v>5</v>
      </c>
      <c r="AO29" s="71">
        <f t="shared" si="7"/>
        <v>6</v>
      </c>
      <c r="AP29" s="71">
        <f t="shared" si="7"/>
        <v>4</v>
      </c>
      <c r="AQ29" s="71">
        <f t="shared" si="7"/>
        <v>10</v>
      </c>
      <c r="AR29" s="71">
        <f t="shared" si="7"/>
        <v>6</v>
      </c>
      <c r="AS29" s="71">
        <f t="shared" si="7"/>
        <v>7</v>
      </c>
      <c r="AT29" s="71">
        <f t="shared" si="7"/>
        <v>7</v>
      </c>
      <c r="AU29" s="71">
        <f t="shared" si="7"/>
        <v>6</v>
      </c>
      <c r="AV29" s="71">
        <f t="shared" si="7"/>
        <v>3</v>
      </c>
      <c r="AW29" s="71">
        <f t="shared" si="7"/>
        <v>6</v>
      </c>
      <c r="AX29" s="71">
        <f t="shared" si="7"/>
        <v>3</v>
      </c>
      <c r="AY29" s="71">
        <f t="shared" si="7"/>
        <v>7</v>
      </c>
      <c r="AZ29" s="71">
        <f t="shared" si="7"/>
        <v>10</v>
      </c>
      <c r="BA29" s="71">
        <f t="shared" si="7"/>
        <v>4</v>
      </c>
      <c r="BB29" s="71">
        <f t="shared" si="7"/>
        <v>5</v>
      </c>
      <c r="BC29" s="71">
        <f t="shared" si="7"/>
        <v>5</v>
      </c>
      <c r="BD29" s="71">
        <f t="shared" si="7"/>
        <v>4</v>
      </c>
      <c r="BE29" s="71">
        <f t="shared" si="7"/>
        <v>6</v>
      </c>
      <c r="BF29" s="71">
        <f t="shared" si="7"/>
        <v>5</v>
      </c>
      <c r="BG29" s="71">
        <f t="shared" si="7"/>
        <v>8</v>
      </c>
      <c r="BH29" s="71">
        <f t="shared" si="7"/>
        <v>6</v>
      </c>
      <c r="BI29" s="71">
        <f t="shared" si="7"/>
        <v>5</v>
      </c>
      <c r="BJ29" s="71">
        <f t="shared" si="7"/>
        <v>8</v>
      </c>
      <c r="BK29" s="71">
        <f t="shared" si="7"/>
        <v>4</v>
      </c>
      <c r="BL29" s="71">
        <f t="shared" si="7"/>
        <v>4</v>
      </c>
      <c r="BM29" s="71">
        <f t="shared" si="7"/>
        <v>8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4</v>
      </c>
      <c r="N30" s="73">
        <f t="shared" si="8"/>
        <v>4</v>
      </c>
      <c r="O30" s="73">
        <f t="shared" si="8"/>
        <v>2</v>
      </c>
      <c r="P30" s="73">
        <f t="shared" si="8"/>
        <v>6</v>
      </c>
      <c r="Q30" s="73">
        <f t="shared" si="8"/>
        <v>6</v>
      </c>
      <c r="R30" s="73">
        <f t="shared" si="8"/>
        <v>4</v>
      </c>
      <c r="S30" s="73">
        <f t="shared" si="8"/>
        <v>4</v>
      </c>
      <c r="T30" s="73">
        <f t="shared" si="8"/>
        <v>3</v>
      </c>
      <c r="U30" s="73">
        <f t="shared" si="8"/>
        <v>5</v>
      </c>
      <c r="V30" s="73">
        <f t="shared" si="8"/>
        <v>3</v>
      </c>
      <c r="W30" s="73">
        <f t="shared" si="8"/>
        <v>3</v>
      </c>
      <c r="X30" s="73">
        <f t="shared" si="8"/>
        <v>3</v>
      </c>
      <c r="Y30" s="73">
        <f t="shared" si="8"/>
        <v>4</v>
      </c>
      <c r="Z30" s="73">
        <f t="shared" si="8"/>
        <v>1</v>
      </c>
      <c r="AA30" s="73">
        <f t="shared" si="8"/>
        <v>4</v>
      </c>
      <c r="AB30" s="73">
        <f t="shared" si="8"/>
        <v>3</v>
      </c>
      <c r="AC30" s="73">
        <f t="shared" si="8"/>
        <v>5</v>
      </c>
      <c r="AD30" s="73">
        <f t="shared" si="8"/>
        <v>3</v>
      </c>
      <c r="AE30" s="73">
        <f t="shared" si="8"/>
        <v>3</v>
      </c>
      <c r="AF30" s="73">
        <f t="shared" si="8"/>
        <v>4</v>
      </c>
      <c r="AG30" s="73">
        <f t="shared" si="8"/>
        <v>4</v>
      </c>
      <c r="AH30" s="73">
        <f t="shared" si="8"/>
        <v>6</v>
      </c>
      <c r="AI30" s="73">
        <f t="shared" si="8"/>
        <v>2</v>
      </c>
      <c r="AJ30" s="73">
        <f t="shared" si="8"/>
        <v>2</v>
      </c>
      <c r="AK30" s="73">
        <f t="shared" si="8"/>
        <v>10</v>
      </c>
      <c r="AL30" s="73">
        <f t="shared" si="8"/>
        <v>3</v>
      </c>
      <c r="AM30" s="73">
        <f t="shared" si="8"/>
        <v>1</v>
      </c>
      <c r="AN30" s="73">
        <f t="shared" si="8"/>
        <v>3</v>
      </c>
      <c r="AO30" s="73">
        <f t="shared" si="8"/>
        <v>2</v>
      </c>
      <c r="AP30" s="73">
        <f t="shared" si="8"/>
        <v>4</v>
      </c>
      <c r="AQ30" s="73">
        <f t="shared" si="8"/>
        <v>6</v>
      </c>
      <c r="AR30" s="73">
        <f t="shared" si="8"/>
        <v>4</v>
      </c>
      <c r="AS30" s="73">
        <f t="shared" si="8"/>
        <v>5</v>
      </c>
      <c r="AT30" s="73">
        <f t="shared" si="8"/>
        <v>5</v>
      </c>
      <c r="AU30" s="73">
        <f t="shared" si="8"/>
        <v>4</v>
      </c>
      <c r="AV30" s="73">
        <f t="shared" si="8"/>
        <v>3</v>
      </c>
      <c r="AW30" s="73">
        <f t="shared" si="8"/>
        <v>4</v>
      </c>
      <c r="AX30" s="73">
        <f t="shared" si="8"/>
        <v>5</v>
      </c>
      <c r="AY30" s="73">
        <f t="shared" si="8"/>
        <v>3</v>
      </c>
      <c r="AZ30" s="73">
        <f t="shared" si="8"/>
        <v>6</v>
      </c>
      <c r="BA30" s="73">
        <f t="shared" si="8"/>
        <v>6</v>
      </c>
      <c r="BB30" s="73">
        <f t="shared" si="8"/>
        <v>1</v>
      </c>
      <c r="BC30" s="73">
        <f t="shared" si="8"/>
        <v>1</v>
      </c>
      <c r="BD30" s="73">
        <f t="shared" si="8"/>
        <v>4</v>
      </c>
      <c r="BE30" s="73">
        <f t="shared" si="8"/>
        <v>4</v>
      </c>
      <c r="BF30" s="73">
        <f t="shared" si="8"/>
        <v>3</v>
      </c>
      <c r="BG30" s="73">
        <f t="shared" si="8"/>
        <v>8</v>
      </c>
      <c r="BH30" s="73">
        <f t="shared" si="8"/>
        <v>6</v>
      </c>
      <c r="BI30" s="73">
        <f t="shared" si="8"/>
        <v>3</v>
      </c>
      <c r="BJ30" s="73">
        <f t="shared" si="8"/>
        <v>6</v>
      </c>
      <c r="BK30" s="73">
        <f t="shared" si="8"/>
        <v>2</v>
      </c>
      <c r="BL30" s="73">
        <f t="shared" si="8"/>
        <v>2</v>
      </c>
      <c r="BM30" s="73">
        <f t="shared" si="8"/>
        <v>4</v>
      </c>
      <c r="BN30" s="73">
        <f t="shared" si="8"/>
        <v>5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2</v>
      </c>
      <c r="N31" s="71">
        <f t="shared" ca="1" si="9"/>
        <v>4</v>
      </c>
      <c r="O31" s="71">
        <f t="shared" ca="1" si="9"/>
        <v>2</v>
      </c>
      <c r="P31" s="71">
        <f t="shared" ca="1" si="9"/>
        <v>4</v>
      </c>
      <c r="Q31" s="71">
        <f t="shared" ca="1" si="9"/>
        <v>4</v>
      </c>
      <c r="R31" s="71">
        <f t="shared" ca="1" si="9"/>
        <v>4</v>
      </c>
      <c r="S31" s="71">
        <f t="shared" ca="1" si="9"/>
        <v>2</v>
      </c>
      <c r="T31" s="71">
        <f t="shared" ca="1" si="9"/>
        <v>1</v>
      </c>
      <c r="U31" s="71">
        <f t="shared" ca="1" si="9"/>
        <v>3</v>
      </c>
      <c r="V31" s="71">
        <f t="shared" ca="1" si="9"/>
        <v>3</v>
      </c>
      <c r="W31" s="71">
        <f t="shared" ca="1" si="9"/>
        <v>1</v>
      </c>
      <c r="X31" s="71">
        <f t="shared" ca="1" si="9"/>
        <v>3</v>
      </c>
      <c r="Y31" s="71">
        <f t="shared" ca="1" si="9"/>
        <v>2</v>
      </c>
      <c r="Z31" s="71">
        <f t="shared" ca="1" si="9"/>
        <v>1</v>
      </c>
      <c r="AA31" s="71">
        <f t="shared" ca="1" si="9"/>
        <v>2</v>
      </c>
      <c r="AB31" s="71">
        <f t="shared" ca="1" si="9"/>
        <v>3</v>
      </c>
      <c r="AC31" s="71">
        <f t="shared" ca="1" si="9"/>
        <v>3</v>
      </c>
      <c r="AD31" s="71">
        <f t="shared" ca="1" si="9"/>
        <v>1</v>
      </c>
      <c r="AE31" s="71">
        <f t="shared" ca="1" si="9"/>
        <v>3</v>
      </c>
      <c r="AF31" s="71">
        <f t="shared" ca="1" si="9"/>
        <v>2</v>
      </c>
      <c r="AG31" s="71">
        <f t="shared" ca="1" si="9"/>
        <v>2</v>
      </c>
      <c r="AH31" s="71">
        <f t="shared" ca="1" si="9"/>
        <v>4</v>
      </c>
      <c r="AI31" s="71">
        <f t="shared" ca="1" si="9"/>
        <v>2</v>
      </c>
      <c r="AJ31" s="71">
        <f t="shared" ca="1" si="9"/>
        <v>2</v>
      </c>
      <c r="AK31" s="71">
        <f t="shared" ca="1" si="9"/>
        <v>8</v>
      </c>
      <c r="AL31" s="71">
        <f t="shared" ca="1" si="9"/>
        <v>3</v>
      </c>
      <c r="AM31" s="71">
        <f t="shared" ca="1" si="9"/>
        <v>3</v>
      </c>
      <c r="AN31" s="71">
        <f t="shared" ca="1" si="9"/>
        <v>1</v>
      </c>
      <c r="AO31" s="71">
        <f t="shared" ca="1" si="9"/>
        <v>2</v>
      </c>
      <c r="AP31" s="71">
        <f t="shared" ca="1" si="9"/>
        <v>6</v>
      </c>
      <c r="AQ31" s="71">
        <f t="shared" ca="1" si="9"/>
        <v>4</v>
      </c>
      <c r="AR31" s="71">
        <f t="shared" ca="1" si="9"/>
        <v>2</v>
      </c>
      <c r="AS31" s="71">
        <f t="shared" ca="1" si="9"/>
        <v>3</v>
      </c>
      <c r="AT31" s="71">
        <f t="shared" ca="1" si="9"/>
        <v>3</v>
      </c>
      <c r="AU31" s="71">
        <f t="shared" ca="1" si="9"/>
        <v>6</v>
      </c>
      <c r="AV31" s="71">
        <f t="shared" ca="1" si="9"/>
        <v>5</v>
      </c>
      <c r="AW31" s="71">
        <f t="shared" ca="1" si="9"/>
        <v>2</v>
      </c>
      <c r="AX31" s="71">
        <f t="shared" ca="1" si="9"/>
        <v>5</v>
      </c>
      <c r="AY31" s="71">
        <f t="shared" ca="1" si="9"/>
        <v>3</v>
      </c>
      <c r="AZ31" s="71">
        <f t="shared" ca="1" si="9"/>
        <v>4</v>
      </c>
      <c r="BA31" s="71">
        <f t="shared" ca="1" si="9"/>
        <v>6</v>
      </c>
      <c r="BB31" s="71">
        <f t="shared" ca="1" si="9"/>
        <v>1</v>
      </c>
      <c r="BC31" s="71">
        <f t="shared" ca="1" si="9"/>
        <v>1</v>
      </c>
      <c r="BD31" s="71">
        <f t="shared" ca="1" si="9"/>
        <v>4</v>
      </c>
      <c r="BE31" s="71">
        <f t="shared" ca="1" si="9"/>
        <v>4</v>
      </c>
      <c r="BF31" s="71">
        <f t="shared" ca="1" si="9"/>
        <v>3</v>
      </c>
      <c r="BG31" s="71">
        <f t="shared" ca="1" si="9"/>
        <v>6</v>
      </c>
      <c r="BH31" s="71">
        <f t="shared" ca="1" si="9"/>
        <v>4</v>
      </c>
      <c r="BI31" s="71">
        <f t="shared" ca="1" si="9"/>
        <v>3</v>
      </c>
      <c r="BJ31" s="71">
        <f t="shared" ca="1" si="9"/>
        <v>4</v>
      </c>
      <c r="BK31" s="71">
        <f t="shared" ca="1" si="9"/>
        <v>2</v>
      </c>
      <c r="BL31" s="71">
        <f t="shared" ca="1" si="9"/>
        <v>2</v>
      </c>
      <c r="BM31" s="71">
        <f t="shared" ca="1" si="9"/>
        <v>2</v>
      </c>
      <c r="BN31" s="71">
        <f t="shared" ca="1" si="9"/>
        <v>5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99947852</v>
      </c>
      <c r="L36" s="32">
        <f t="shared" ref="L36:BN36" si="12">COUNTA(L23:L24)*((10000000*L25)+(1000000*(COUNTA(L21)*$E21+COUNTA(L22)*$E22))-(COUNTA($D$21:$D$22)*1000*L26)-(COUNTA($D$21:$D$22)*L27))</f>
        <v>99895944</v>
      </c>
      <c r="M36" s="32">
        <f t="shared" si="12"/>
        <v>101987924</v>
      </c>
      <c r="N36" s="32">
        <f t="shared" si="12"/>
        <v>101987916</v>
      </c>
      <c r="O36" s="32">
        <f t="shared" si="12"/>
        <v>101927920</v>
      </c>
      <c r="P36" s="32">
        <f t="shared" si="12"/>
        <v>59939908</v>
      </c>
      <c r="Q36" s="32">
        <f t="shared" si="12"/>
        <v>59931892</v>
      </c>
      <c r="R36" s="32">
        <f t="shared" si="12"/>
        <v>141967936</v>
      </c>
      <c r="S36" s="32">
        <f t="shared" si="12"/>
        <v>101991928</v>
      </c>
      <c r="T36" s="32">
        <f t="shared" si="12"/>
        <v>121975944</v>
      </c>
      <c r="U36" s="32">
        <f t="shared" si="12"/>
        <v>81999992</v>
      </c>
      <c r="V36" s="32">
        <f t="shared" si="12"/>
        <v>161999992</v>
      </c>
      <c r="W36" s="32">
        <f t="shared" si="12"/>
        <v>121975912</v>
      </c>
      <c r="X36" s="32">
        <f t="shared" si="12"/>
        <v>79947940</v>
      </c>
      <c r="Y36" s="32">
        <f t="shared" si="12"/>
        <v>101975936</v>
      </c>
      <c r="Z36" s="32">
        <f t="shared" si="12"/>
        <v>121975912</v>
      </c>
      <c r="AA36" s="32">
        <f t="shared" si="12"/>
        <v>61975936</v>
      </c>
      <c r="AB36" s="32">
        <f t="shared" si="12"/>
        <v>161983896</v>
      </c>
      <c r="AC36" s="32">
        <f t="shared" si="12"/>
        <v>81999936</v>
      </c>
      <c r="AD36" s="32">
        <f t="shared" si="12"/>
        <v>79919936</v>
      </c>
      <c r="AE36" s="32">
        <f t="shared" si="12"/>
        <v>121979900</v>
      </c>
      <c r="AF36" s="32">
        <f t="shared" si="12"/>
        <v>61987884</v>
      </c>
      <c r="AG36" s="32">
        <f t="shared" si="12"/>
        <v>101967856</v>
      </c>
      <c r="AH36" s="32">
        <f t="shared" si="12"/>
        <v>99971916</v>
      </c>
      <c r="AI36" s="32">
        <f t="shared" si="12"/>
        <v>101983840</v>
      </c>
      <c r="AJ36" s="32">
        <f t="shared" si="12"/>
        <v>101983904</v>
      </c>
      <c r="AK36" s="32">
        <f t="shared" si="12"/>
        <v>59971908</v>
      </c>
      <c r="AL36" s="32">
        <f t="shared" si="12"/>
        <v>121987956</v>
      </c>
      <c r="AM36" s="32">
        <f t="shared" si="12"/>
        <v>119935952</v>
      </c>
      <c r="AN36" s="32">
        <f t="shared" si="12"/>
        <v>121987836</v>
      </c>
      <c r="AO36" s="32">
        <f t="shared" si="12"/>
        <v>101975968</v>
      </c>
      <c r="AP36" s="32">
        <f t="shared" si="12"/>
        <v>99971996</v>
      </c>
      <c r="AQ36" s="32">
        <f t="shared" si="12"/>
        <v>101975992</v>
      </c>
      <c r="AR36" s="32">
        <f t="shared" si="12"/>
        <v>0</v>
      </c>
      <c r="AS36" s="32">
        <f t="shared" si="12"/>
        <v>79971940</v>
      </c>
      <c r="AT36" s="32">
        <f t="shared" si="12"/>
        <v>81999912</v>
      </c>
      <c r="AU36" s="32">
        <f t="shared" si="12"/>
        <v>141987996</v>
      </c>
      <c r="AV36" s="32">
        <f t="shared" si="12"/>
        <v>159943936</v>
      </c>
      <c r="AW36" s="32">
        <f t="shared" si="12"/>
        <v>141995884</v>
      </c>
      <c r="AX36" s="32">
        <f t="shared" si="12"/>
        <v>79931892</v>
      </c>
      <c r="AY36" s="32">
        <f t="shared" si="12"/>
        <v>121975880</v>
      </c>
      <c r="AZ36" s="32">
        <f t="shared" si="12"/>
        <v>101987924</v>
      </c>
      <c r="BA36" s="32">
        <f t="shared" si="12"/>
        <v>59903920</v>
      </c>
      <c r="BB36" s="32">
        <f t="shared" si="12"/>
        <v>121987996</v>
      </c>
      <c r="BC36" s="32">
        <f t="shared" si="12"/>
        <v>121975952</v>
      </c>
      <c r="BD36" s="32">
        <f t="shared" si="12"/>
        <v>59955900</v>
      </c>
      <c r="BE36" s="32">
        <f t="shared" si="12"/>
        <v>101967936</v>
      </c>
      <c r="BF36" s="32">
        <f t="shared" si="12"/>
        <v>121963876</v>
      </c>
      <c r="BG36" s="32">
        <f t="shared" si="12"/>
        <v>59931900</v>
      </c>
      <c r="BH36" s="32">
        <f t="shared" si="12"/>
        <v>139963924</v>
      </c>
      <c r="BI36" s="32">
        <f t="shared" si="12"/>
        <v>81995916</v>
      </c>
      <c r="BJ36" s="32">
        <f t="shared" si="12"/>
        <v>61983920</v>
      </c>
      <c r="BK36" s="32">
        <f t="shared" si="12"/>
        <v>101983952</v>
      </c>
      <c r="BL36" s="32">
        <f t="shared" si="12"/>
        <v>141987980</v>
      </c>
      <c r="BM36" s="32">
        <f t="shared" si="12"/>
        <v>101975936</v>
      </c>
      <c r="BN36" s="32">
        <f t="shared" si="12"/>
        <v>119947940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 x14ac:dyDescent="0.25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Brent;Holley, Jeremy Remote;Hucks, Jason;Inabinet, Greg;James, Larry C;Johnson, Robert J;Kandela, Marwan;Locklear,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70" priority="26" stopIfTrue="1" operator="equal">
      <formula>0</formula>
    </cfRule>
  </conditionalFormatting>
  <conditionalFormatting sqref="B12:C12 B14:C14 B16:C16 B18:C18 B20:C20 B22:C22 B24:C24 E24 H24:I24 B10:C10 B4:C4 B6:C6 B8:C8 AO24:BE24">
    <cfRule type="cellIs" dxfId="369" priority="25" stopIfTrue="1" operator="equal">
      <formula>0</formula>
    </cfRule>
  </conditionalFormatting>
  <conditionalFormatting sqref="D26:J28 K28:BE28">
    <cfRule type="cellIs" dxfId="368" priority="24" stopIfTrue="1" operator="equal">
      <formula>1</formula>
    </cfRule>
  </conditionalFormatting>
  <conditionalFormatting sqref="H3:I3 F23 H5:I5 H7:I7 H9:I9 H11:I11 H13:I13 H15:I15 H17:I17 H19:I19 H21:I21">
    <cfRule type="cellIs" dxfId="367" priority="23" stopIfTrue="1" operator="equal">
      <formula>0</formula>
    </cfRule>
  </conditionalFormatting>
  <conditionalFormatting sqref="H4:I4 F24 H6:I6 H8:I8 H10:I10 H12:I12 H14:I14 H16:I16 H18:I18 H20:I20 H22:I22">
    <cfRule type="cellIs" dxfId="366" priority="22" stopIfTrue="1" operator="equal">
      <formula>0</formula>
    </cfRule>
  </conditionalFormatting>
  <conditionalFormatting sqref="F3 F5 F7 F9 F11 F13 F15 F17 F19 F21">
    <cfRule type="cellIs" dxfId="365" priority="21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64" priority="20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63" priority="18" stopIfTrue="1">
      <formula>AND(COUNTA(J4)=1,$E4=1,SUM($E3:$E4)=1)</formula>
    </cfRule>
    <cfRule type="expression" dxfId="362" priority="19" stopIfTrue="1">
      <formula>AND(COUNTA(J4)=1,$E4=0,SUM($E3:$E4)=1)</formula>
    </cfRule>
  </conditionalFormatting>
  <conditionalFormatting sqref="J7:BE7 J9:BE9 J13:BE13 J19:BE19 J3:BE3 J5:BE5 J11:BE11 J15:BE15 J17:BE17 J21:BE21">
    <cfRule type="expression" dxfId="361" priority="16" stopIfTrue="1">
      <formula>AND(COUNTA(J3)=1,$E3=1,SUM($E3:$E4)=1)</formula>
    </cfRule>
    <cfRule type="expression" dxfId="360" priority="17" stopIfTrue="1">
      <formula>AND(COUNTA(J3)=1,$E3=0,SUM($E3:$E4)=1)</formula>
    </cfRule>
  </conditionalFormatting>
  <conditionalFormatting sqref="BF23:BN23">
    <cfRule type="cellIs" dxfId="359" priority="15" stopIfTrue="1" operator="equal">
      <formula>0</formula>
    </cfRule>
  </conditionalFormatting>
  <conditionalFormatting sqref="BF24:BN24">
    <cfRule type="cellIs" dxfId="358" priority="14" stopIfTrue="1" operator="equal">
      <formula>0</formula>
    </cfRule>
  </conditionalFormatting>
  <conditionalFormatting sqref="BF28:BN28">
    <cfRule type="cellIs" dxfId="357" priority="13" stopIfTrue="1" operator="equal">
      <formula>1</formula>
    </cfRule>
  </conditionalFormatting>
  <conditionalFormatting sqref="BF12:BN12 BF14:BN14 BF16:BN16 BF18:BN18 BF20:BN20 BF22:BN22 BF4:BN4 BF6:BN6 BF8:BN8 BF10:BN10">
    <cfRule type="expression" dxfId="356" priority="11" stopIfTrue="1">
      <formula>AND(COUNTA(BF4)=1,$E4=1,SUM($E3:$E4)=1)</formula>
    </cfRule>
    <cfRule type="expression" dxfId="355" priority="12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354" priority="9" stopIfTrue="1">
      <formula>AND(COUNTA(BF3)=1,$E3=1,SUM($E3:$E4)=1)</formula>
    </cfRule>
    <cfRule type="expression" dxfId="353" priority="10" stopIfTrue="1">
      <formula>AND(COUNTA(BF3)=1,$E3=0,SUM($E3:$E4)=1)</formula>
    </cfRule>
  </conditionalFormatting>
  <conditionalFormatting sqref="AR8">
    <cfRule type="expression" dxfId="352" priority="7" stopIfTrue="1">
      <formula>AND(COUNTA(AR8)=1,$E8=1,SUM($E8:$E9)=1)</formula>
    </cfRule>
    <cfRule type="expression" dxfId="351" priority="8" stopIfTrue="1">
      <formula>AND(COUNTA(AR8)=1,$E8=0,SUM($E8:$E9)=1)</formula>
    </cfRule>
  </conditionalFormatting>
  <conditionalFormatting sqref="AR10">
    <cfRule type="expression" dxfId="350" priority="5" stopIfTrue="1">
      <formula>AND(COUNTA(AR10)=1,$E10=1,SUM($E10:$E11)=1)</formula>
    </cfRule>
    <cfRule type="expression" dxfId="349" priority="6" stopIfTrue="1">
      <formula>AND(COUNTA(AR10)=1,$E10=0,SUM($E10:$E11)=1)</formula>
    </cfRule>
  </conditionalFormatting>
  <conditionalFormatting sqref="AR14">
    <cfRule type="expression" dxfId="348" priority="3" stopIfTrue="1">
      <formula>AND(COUNTA(AR14)=1,$E14=1,SUM($E14:$E15)=1)</formula>
    </cfRule>
    <cfRule type="expression" dxfId="347" priority="4" stopIfTrue="1">
      <formula>AND(COUNTA(AR14)=1,$E14=0,SUM($E14:$E15)=1)</formula>
    </cfRule>
  </conditionalFormatting>
  <conditionalFormatting sqref="AR20">
    <cfRule type="expression" dxfId="346" priority="1" stopIfTrue="1">
      <formula>AND(COUNTA(AR20)=1,$E20=1,SUM($E20:$E21)=1)</formula>
    </cfRule>
    <cfRule type="expression" dxfId="345" priority="2" stopIfTrue="1">
      <formula>AND(COUNTA(AR20)=1,$E20=0,SUM($E20:$E21)=1)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7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22860</xdr:colOff>
                    <xdr:row>1</xdr:row>
                    <xdr:rowOff>106680</xdr:rowOff>
                  </from>
                  <to>
                    <xdr:col>1</xdr:col>
                    <xdr:colOff>624840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22860</xdr:colOff>
                    <xdr:row>1</xdr:row>
                    <xdr:rowOff>381000</xdr:rowOff>
                  </from>
                  <to>
                    <xdr:col>1</xdr:col>
                    <xdr:colOff>624840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49" r:id="rId6" name="Button 5">
              <controlPr defaultSize="0" print="0" autoFill="0" autoPict="0" macro="[0]!grabSayings">
                <anchor moveWithCells="1" sizeWithCells="1">
                  <from>
                    <xdr:col>1</xdr:col>
                    <xdr:colOff>22860</xdr:colOff>
                    <xdr:row>1</xdr:row>
                    <xdr:rowOff>678180</xdr:rowOff>
                  </from>
                  <to>
                    <xdr:col>1</xdr:col>
                    <xdr:colOff>739140</xdr:colOff>
                    <xdr:row>1</xdr:row>
                    <xdr:rowOff>883920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N58"/>
  <sheetViews>
    <sheetView zoomScale="90" zoomScaleNormal="100" zoomScaleSheetLayoutView="100" workbookViewId="0">
      <selection activeCell="B10" sqref="B10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6" x14ac:dyDescent="0.25">
      <c r="B1" s="6"/>
      <c r="I1">
        <f>COUNTA(K1:BL1)</f>
        <v>0</v>
      </c>
      <c r="J1">
        <f>SUM(K1:BL1)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 x14ac:dyDescent="0.25">
      <c r="A3" s="59">
        <v>1</v>
      </c>
      <c r="B3" s="67" t="s">
        <v>189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26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311</v>
      </c>
      <c r="K3" s="69" t="s">
        <v>312</v>
      </c>
      <c r="L3" s="69"/>
      <c r="M3" s="69"/>
      <c r="N3" s="69"/>
      <c r="O3" s="69"/>
      <c r="P3" s="69" t="s">
        <v>317</v>
      </c>
      <c r="Q3" s="69"/>
      <c r="R3" s="69" t="s">
        <v>333</v>
      </c>
      <c r="S3" s="69"/>
      <c r="T3" s="69" t="s">
        <v>315</v>
      </c>
      <c r="U3" s="69" t="s">
        <v>319</v>
      </c>
      <c r="V3" s="69"/>
      <c r="W3" s="69"/>
      <c r="X3" s="69" t="s">
        <v>312</v>
      </c>
      <c r="Y3" s="69"/>
      <c r="Z3" s="69" t="s">
        <v>399</v>
      </c>
      <c r="AA3" s="69" t="s">
        <v>354</v>
      </c>
      <c r="AB3" s="69" t="s">
        <v>317</v>
      </c>
      <c r="AC3" s="69"/>
      <c r="AD3" s="69" t="s">
        <v>317</v>
      </c>
      <c r="AE3" s="69"/>
      <c r="AF3" s="69" t="s">
        <v>355</v>
      </c>
      <c r="AG3" s="69" t="s">
        <v>334</v>
      </c>
      <c r="AH3" s="69"/>
      <c r="AI3" s="69"/>
      <c r="AJ3" s="69"/>
      <c r="AK3" s="69" t="s">
        <v>317</v>
      </c>
      <c r="AL3" s="69"/>
      <c r="AM3" s="69" t="s">
        <v>347</v>
      </c>
      <c r="AN3" s="69"/>
      <c r="AO3" s="69"/>
      <c r="AP3" s="69"/>
      <c r="AQ3" s="69"/>
      <c r="AR3" s="99" t="s">
        <v>317</v>
      </c>
      <c r="AS3" s="69"/>
      <c r="AT3" s="69" t="s">
        <v>334</v>
      </c>
      <c r="AU3" s="69"/>
      <c r="AV3" s="69" t="s">
        <v>317</v>
      </c>
      <c r="AW3" s="69" t="s">
        <v>322</v>
      </c>
      <c r="AX3" s="69" t="s">
        <v>409</v>
      </c>
      <c r="AY3" s="69"/>
      <c r="AZ3" s="69" t="s">
        <v>338</v>
      </c>
      <c r="BA3" s="69"/>
      <c r="BB3" s="69"/>
      <c r="BC3" s="69" t="s">
        <v>357</v>
      </c>
      <c r="BD3" s="69" t="s">
        <v>312</v>
      </c>
      <c r="BE3" s="69"/>
      <c r="BF3" s="69"/>
      <c r="BG3" s="69" t="s">
        <v>313</v>
      </c>
      <c r="BH3" s="69"/>
      <c r="BI3" s="69" t="s">
        <v>361</v>
      </c>
      <c r="BJ3" s="69" t="s">
        <v>317</v>
      </c>
      <c r="BK3" s="69" t="s">
        <v>317</v>
      </c>
      <c r="BL3" s="69"/>
      <c r="BM3" s="69"/>
      <c r="BN3" s="69"/>
    </row>
    <row r="4" spans="1:66" x14ac:dyDescent="0.25">
      <c r="A4" s="61" t="s">
        <v>3</v>
      </c>
      <c r="B4" s="68" t="s">
        <v>212</v>
      </c>
      <c r="C4" s="66">
        <v>7.5</v>
      </c>
      <c r="D4" s="64">
        <v>44</v>
      </c>
      <c r="E4" s="64">
        <f>IF(ISBLANK($D4),"0",IF(($D4-$D3)&gt;($C4-$C3),1,0))</f>
        <v>1</v>
      </c>
      <c r="F4" s="64">
        <f t="shared" ref="F4:F22" ca="1" si="1">COUNTA(INDIRECT("RC11:RC"&amp;11+playercnt-1,FALSE))</f>
        <v>30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313</v>
      </c>
      <c r="M4" s="70" t="s">
        <v>312</v>
      </c>
      <c r="N4" s="70" t="s">
        <v>416</v>
      </c>
      <c r="O4" s="70" t="s">
        <v>371</v>
      </c>
      <c r="P4" s="70"/>
      <c r="Q4" s="70" t="s">
        <v>318</v>
      </c>
      <c r="R4" s="70"/>
      <c r="S4" s="70" t="s">
        <v>316</v>
      </c>
      <c r="T4" s="70"/>
      <c r="U4" s="70"/>
      <c r="V4" s="70" t="s">
        <v>338</v>
      </c>
      <c r="W4" s="70" t="s">
        <v>326</v>
      </c>
      <c r="X4" s="70"/>
      <c r="Y4" s="70" t="s">
        <v>317</v>
      </c>
      <c r="Z4" s="70"/>
      <c r="AA4" s="70"/>
      <c r="AB4" s="70"/>
      <c r="AC4" s="70" t="s">
        <v>327</v>
      </c>
      <c r="AD4" s="70"/>
      <c r="AE4" s="70" t="s">
        <v>355</v>
      </c>
      <c r="AF4" s="70"/>
      <c r="AG4" s="70"/>
      <c r="AH4" s="70" t="s">
        <v>315</v>
      </c>
      <c r="AI4" s="70" t="s">
        <v>315</v>
      </c>
      <c r="AJ4" s="70" t="s">
        <v>392</v>
      </c>
      <c r="AK4" s="70"/>
      <c r="AL4" s="70" t="s">
        <v>347</v>
      </c>
      <c r="AM4" s="70"/>
      <c r="AN4" s="70" t="s">
        <v>317</v>
      </c>
      <c r="AO4" s="70" t="s">
        <v>317</v>
      </c>
      <c r="AP4" s="70" t="s">
        <v>344</v>
      </c>
      <c r="AQ4" s="70" t="s">
        <v>354</v>
      </c>
      <c r="AR4" s="70"/>
      <c r="AS4" s="70" t="s">
        <v>351</v>
      </c>
      <c r="AT4" s="70"/>
      <c r="AU4" s="70" t="s">
        <v>317</v>
      </c>
      <c r="AV4" s="70"/>
      <c r="AW4" s="70"/>
      <c r="AX4" s="70"/>
      <c r="AY4" s="70" t="s">
        <v>366</v>
      </c>
      <c r="AZ4" s="70"/>
      <c r="BA4" s="70" t="s">
        <v>317</v>
      </c>
      <c r="BB4" s="70" t="s">
        <v>313</v>
      </c>
      <c r="BC4" s="70"/>
      <c r="BD4" s="70"/>
      <c r="BE4" s="70" t="s">
        <v>367</v>
      </c>
      <c r="BF4" s="70" t="s">
        <v>387</v>
      </c>
      <c r="BG4" s="70"/>
      <c r="BH4" s="70" t="s">
        <v>317</v>
      </c>
      <c r="BI4" s="70"/>
      <c r="BJ4" s="70"/>
      <c r="BK4" s="70"/>
      <c r="BL4" s="70" t="s">
        <v>317</v>
      </c>
      <c r="BM4" s="70" t="s">
        <v>326</v>
      </c>
      <c r="BN4" s="70" t="s">
        <v>312</v>
      </c>
    </row>
    <row r="5" spans="1:66" x14ac:dyDescent="0.25">
      <c r="A5" s="59">
        <v>2</v>
      </c>
      <c r="B5" s="67" t="s">
        <v>159</v>
      </c>
      <c r="C5" s="65">
        <v>6.5</v>
      </c>
      <c r="D5" s="64">
        <v>15</v>
      </c>
      <c r="E5" s="64">
        <f>IF(ISBLANK($D5),"0",IF(($D6-$D5)&lt;($C6-$C5),1,0))</f>
        <v>0</v>
      </c>
      <c r="F5" s="64">
        <f t="shared" ca="1" si="1"/>
        <v>36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/>
      <c r="L5" s="69" t="s">
        <v>313</v>
      </c>
      <c r="M5" s="69" t="s">
        <v>312</v>
      </c>
      <c r="N5" s="69" t="s">
        <v>416</v>
      </c>
      <c r="O5" s="69" t="s">
        <v>371</v>
      </c>
      <c r="P5" s="69" t="s">
        <v>317</v>
      </c>
      <c r="Q5" s="69"/>
      <c r="R5" s="69"/>
      <c r="S5" s="69" t="s">
        <v>320</v>
      </c>
      <c r="T5" s="69"/>
      <c r="U5" s="69"/>
      <c r="V5" s="69" t="s">
        <v>351</v>
      </c>
      <c r="W5" s="69" t="s">
        <v>326</v>
      </c>
      <c r="X5" s="69"/>
      <c r="Y5" s="69" t="s">
        <v>317</v>
      </c>
      <c r="Z5" s="69"/>
      <c r="AA5" s="69" t="s">
        <v>354</v>
      </c>
      <c r="AB5" s="69" t="s">
        <v>317</v>
      </c>
      <c r="AC5" s="69"/>
      <c r="AD5" s="69"/>
      <c r="AE5" s="69" t="s">
        <v>355</v>
      </c>
      <c r="AF5" s="69" t="s">
        <v>355</v>
      </c>
      <c r="AG5" s="69"/>
      <c r="AH5" s="69" t="s">
        <v>320</v>
      </c>
      <c r="AI5" s="69" t="s">
        <v>320</v>
      </c>
      <c r="AJ5" s="69" t="s">
        <v>400</v>
      </c>
      <c r="AK5" s="69"/>
      <c r="AL5" s="69"/>
      <c r="AM5" s="69" t="s">
        <v>351</v>
      </c>
      <c r="AN5" s="69" t="s">
        <v>317</v>
      </c>
      <c r="AO5" s="69"/>
      <c r="AP5" s="69" t="s">
        <v>322</v>
      </c>
      <c r="AQ5" s="69"/>
      <c r="AR5" s="99" t="s">
        <v>317</v>
      </c>
      <c r="AS5" s="69" t="s">
        <v>319</v>
      </c>
      <c r="AT5" s="69"/>
      <c r="AU5" s="69" t="s">
        <v>317</v>
      </c>
      <c r="AV5" s="69" t="s">
        <v>317</v>
      </c>
      <c r="AW5" s="69"/>
      <c r="AX5" s="69"/>
      <c r="AY5" s="69" t="s">
        <v>366</v>
      </c>
      <c r="AZ5" s="69"/>
      <c r="BA5" s="69" t="s">
        <v>317</v>
      </c>
      <c r="BB5" s="69"/>
      <c r="BC5" s="69" t="s">
        <v>357</v>
      </c>
      <c r="BD5" s="69" t="s">
        <v>312</v>
      </c>
      <c r="BE5" s="69" t="s">
        <v>367</v>
      </c>
      <c r="BF5" s="69" t="s">
        <v>387</v>
      </c>
      <c r="BG5" s="69" t="s">
        <v>313</v>
      </c>
      <c r="BH5" s="69"/>
      <c r="BI5" s="69" t="s">
        <v>323</v>
      </c>
      <c r="BJ5" s="69" t="s">
        <v>317</v>
      </c>
      <c r="BK5" s="69" t="s">
        <v>317</v>
      </c>
      <c r="BL5" s="69" t="s">
        <v>317</v>
      </c>
      <c r="BM5" s="69" t="s">
        <v>411</v>
      </c>
      <c r="BN5" s="69" t="s">
        <v>312</v>
      </c>
    </row>
    <row r="6" spans="1:66" x14ac:dyDescent="0.25">
      <c r="A6" s="61" t="s">
        <v>3</v>
      </c>
      <c r="B6" s="68" t="s">
        <v>215</v>
      </c>
      <c r="C6" s="66"/>
      <c r="D6" s="64">
        <v>12</v>
      </c>
      <c r="E6" s="64">
        <f>IF(ISBLANK($D6),"0",IF(($D6-$D5)&gt;($C6-$C5),1,0))</f>
        <v>1</v>
      </c>
      <c r="F6" s="64">
        <f t="shared" ca="1" si="1"/>
        <v>20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311</v>
      </c>
      <c r="K6" s="70" t="s">
        <v>312</v>
      </c>
      <c r="L6" s="70"/>
      <c r="M6" s="70"/>
      <c r="N6" s="70"/>
      <c r="O6" s="70"/>
      <c r="P6" s="70"/>
      <c r="Q6" s="70" t="s">
        <v>318</v>
      </c>
      <c r="R6" s="70" t="s">
        <v>319</v>
      </c>
      <c r="S6" s="70"/>
      <c r="T6" s="70" t="s">
        <v>329</v>
      </c>
      <c r="U6" s="70" t="s">
        <v>335</v>
      </c>
      <c r="V6" s="70"/>
      <c r="W6" s="70"/>
      <c r="X6" s="70" t="s">
        <v>312</v>
      </c>
      <c r="Y6" s="70"/>
      <c r="Z6" s="70" t="s">
        <v>360</v>
      </c>
      <c r="AA6" s="70"/>
      <c r="AB6" s="70"/>
      <c r="AC6" s="70" t="s">
        <v>340</v>
      </c>
      <c r="AD6" s="70" t="s">
        <v>317</v>
      </c>
      <c r="AE6" s="70"/>
      <c r="AF6" s="70"/>
      <c r="AG6" s="70" t="s">
        <v>327</v>
      </c>
      <c r="AH6" s="70"/>
      <c r="AI6" s="70"/>
      <c r="AJ6" s="70"/>
      <c r="AK6" s="70" t="s">
        <v>317</v>
      </c>
      <c r="AL6" s="70" t="s">
        <v>347</v>
      </c>
      <c r="AM6" s="70"/>
      <c r="AN6" s="70"/>
      <c r="AO6" s="70" t="s">
        <v>317</v>
      </c>
      <c r="AP6" s="70"/>
      <c r="AQ6" s="70" t="s">
        <v>354</v>
      </c>
      <c r="AR6" s="70"/>
      <c r="AS6" s="70"/>
      <c r="AT6" s="70" t="s">
        <v>334</v>
      </c>
      <c r="AU6" s="70"/>
      <c r="AV6" s="70"/>
      <c r="AW6" s="70" t="s">
        <v>350</v>
      </c>
      <c r="AX6" s="70" t="s">
        <v>346</v>
      </c>
      <c r="AY6" s="70"/>
      <c r="AZ6" s="70" t="s">
        <v>335</v>
      </c>
      <c r="BA6" s="70"/>
      <c r="BB6" s="70" t="s">
        <v>313</v>
      </c>
      <c r="BC6" s="70"/>
      <c r="BD6" s="70"/>
      <c r="BE6" s="70"/>
      <c r="BF6" s="70"/>
      <c r="BG6" s="70"/>
      <c r="BH6" s="70" t="s">
        <v>317</v>
      </c>
      <c r="BI6" s="70"/>
      <c r="BJ6" s="70"/>
      <c r="BK6" s="70"/>
      <c r="BL6" s="70"/>
      <c r="BM6" s="70"/>
      <c r="BN6" s="70"/>
    </row>
    <row r="7" spans="1:66" x14ac:dyDescent="0.25">
      <c r="A7" s="59">
        <v>3</v>
      </c>
      <c r="B7" s="67" t="s">
        <v>167</v>
      </c>
      <c r="C7" s="65">
        <v>10.5</v>
      </c>
      <c r="D7" s="64">
        <v>27</v>
      </c>
      <c r="E7" s="64">
        <f>IF(ISBLANK($D7),"0",IF(($D8-$D7)&lt;($C8-$C7),1,0))</f>
        <v>1</v>
      </c>
      <c r="F7" s="64">
        <f t="shared" ca="1" si="1"/>
        <v>43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312</v>
      </c>
      <c r="L7" s="69"/>
      <c r="M7" s="69" t="s">
        <v>312</v>
      </c>
      <c r="N7" s="69" t="s">
        <v>416</v>
      </c>
      <c r="O7" s="69" t="s">
        <v>371</v>
      </c>
      <c r="P7" s="69" t="s">
        <v>317</v>
      </c>
      <c r="Q7" s="69" t="s">
        <v>318</v>
      </c>
      <c r="R7" s="69"/>
      <c r="S7" s="69" t="s">
        <v>323</v>
      </c>
      <c r="T7" s="69" t="s">
        <v>337</v>
      </c>
      <c r="U7" s="69" t="s">
        <v>375</v>
      </c>
      <c r="V7" s="69" t="s">
        <v>344</v>
      </c>
      <c r="W7" s="69" t="s">
        <v>326</v>
      </c>
      <c r="X7" s="69" t="s">
        <v>312</v>
      </c>
      <c r="Y7" s="69" t="s">
        <v>317</v>
      </c>
      <c r="Z7" s="69" t="s">
        <v>333</v>
      </c>
      <c r="AA7" s="69" t="s">
        <v>354</v>
      </c>
      <c r="AB7" s="69" t="s">
        <v>317</v>
      </c>
      <c r="AC7" s="69" t="s">
        <v>341</v>
      </c>
      <c r="AD7" s="69" t="s">
        <v>317</v>
      </c>
      <c r="AE7" s="69" t="s">
        <v>355</v>
      </c>
      <c r="AF7" s="69"/>
      <c r="AG7" s="69" t="s">
        <v>347</v>
      </c>
      <c r="AH7" s="69"/>
      <c r="AI7" s="69" t="s">
        <v>311</v>
      </c>
      <c r="AJ7" s="69" t="s">
        <v>401</v>
      </c>
      <c r="AK7" s="69" t="s">
        <v>317</v>
      </c>
      <c r="AL7" s="69"/>
      <c r="AM7" s="69" t="s">
        <v>351</v>
      </c>
      <c r="AN7" s="69" t="s">
        <v>317</v>
      </c>
      <c r="AO7" s="69" t="s">
        <v>317</v>
      </c>
      <c r="AP7" s="69" t="s">
        <v>334</v>
      </c>
      <c r="AQ7" s="69"/>
      <c r="AR7" s="99" t="s">
        <v>317</v>
      </c>
      <c r="AS7" s="69"/>
      <c r="AT7" s="69" t="s">
        <v>334</v>
      </c>
      <c r="AU7" s="69" t="s">
        <v>317</v>
      </c>
      <c r="AV7" s="69" t="s">
        <v>317</v>
      </c>
      <c r="AW7" s="69" t="s">
        <v>323</v>
      </c>
      <c r="AX7" s="69" t="s">
        <v>397</v>
      </c>
      <c r="AY7" s="69" t="s">
        <v>366</v>
      </c>
      <c r="AZ7" s="69"/>
      <c r="BA7" s="69" t="s">
        <v>317</v>
      </c>
      <c r="BB7" s="69"/>
      <c r="BC7" s="69"/>
      <c r="BD7" s="69"/>
      <c r="BE7" s="69"/>
      <c r="BF7" s="69" t="s">
        <v>387</v>
      </c>
      <c r="BG7" s="69" t="s">
        <v>313</v>
      </c>
      <c r="BH7" s="69"/>
      <c r="BI7" s="69" t="s">
        <v>350</v>
      </c>
      <c r="BJ7" s="69" t="s">
        <v>317</v>
      </c>
      <c r="BK7" s="69" t="s">
        <v>317</v>
      </c>
      <c r="BL7" s="69" t="s">
        <v>317</v>
      </c>
      <c r="BM7" s="69" t="s">
        <v>354</v>
      </c>
      <c r="BN7" s="69" t="s">
        <v>312</v>
      </c>
    </row>
    <row r="8" spans="1:66" x14ac:dyDescent="0.25">
      <c r="A8" s="61" t="s">
        <v>3</v>
      </c>
      <c r="B8" s="68" t="s">
        <v>271</v>
      </c>
      <c r="C8" s="66"/>
      <c r="D8" s="64">
        <v>13</v>
      </c>
      <c r="E8" s="64">
        <f>IF(ISBLANK($D8),"0",IF(($D8-$D7)&gt;($C8-$C7),1,0))</f>
        <v>0</v>
      </c>
      <c r="F8" s="64">
        <f t="shared" ca="1" si="1"/>
        <v>13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311</v>
      </c>
      <c r="K8" s="70"/>
      <c r="L8" s="70" t="s">
        <v>313</v>
      </c>
      <c r="M8" s="70"/>
      <c r="N8" s="70"/>
      <c r="O8" s="70"/>
      <c r="P8" s="70"/>
      <c r="Q8" s="70"/>
      <c r="R8" s="70" t="s">
        <v>351</v>
      </c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 t="s">
        <v>355</v>
      </c>
      <c r="AG8" s="70"/>
      <c r="AH8" s="70" t="s">
        <v>386</v>
      </c>
      <c r="AI8" s="70"/>
      <c r="AJ8" s="70"/>
      <c r="AK8" s="70"/>
      <c r="AL8" s="70" t="s">
        <v>347</v>
      </c>
      <c r="AM8" s="70"/>
      <c r="AN8" s="70"/>
      <c r="AO8" s="70"/>
      <c r="AP8" s="70"/>
      <c r="AQ8" s="70" t="s">
        <v>354</v>
      </c>
      <c r="AR8" s="70"/>
      <c r="AS8" s="70" t="s">
        <v>314</v>
      </c>
      <c r="AT8" s="70"/>
      <c r="AU8" s="70"/>
      <c r="AV8" s="70"/>
      <c r="AW8" s="70"/>
      <c r="AX8" s="70"/>
      <c r="AY8" s="70"/>
      <c r="AZ8" s="70" t="s">
        <v>375</v>
      </c>
      <c r="BA8" s="70"/>
      <c r="BB8" s="70" t="s">
        <v>313</v>
      </c>
      <c r="BC8" s="70" t="s">
        <v>357</v>
      </c>
      <c r="BD8" s="70" t="s">
        <v>312</v>
      </c>
      <c r="BE8" s="70" t="s">
        <v>367</v>
      </c>
      <c r="BF8" s="70"/>
      <c r="BG8" s="70"/>
      <c r="BH8" s="70" t="s">
        <v>317</v>
      </c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67" t="s">
        <v>266</v>
      </c>
      <c r="C9" s="65"/>
      <c r="D9" s="81">
        <v>27</v>
      </c>
      <c r="E9" s="64">
        <f>IF(ISBLANK($D9),"0",IF(($D10-$D9)&lt;($C10-$C9),1,0))</f>
        <v>1</v>
      </c>
      <c r="F9" s="64">
        <f t="shared" ca="1" si="1"/>
        <v>27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311</v>
      </c>
      <c r="K9" s="69"/>
      <c r="L9" s="69" t="s">
        <v>313</v>
      </c>
      <c r="M9" s="69"/>
      <c r="N9" s="69"/>
      <c r="O9" s="69" t="s">
        <v>371</v>
      </c>
      <c r="P9" s="69"/>
      <c r="Q9" s="69" t="s">
        <v>318</v>
      </c>
      <c r="R9" s="69" t="s">
        <v>328</v>
      </c>
      <c r="S9" s="69"/>
      <c r="T9" s="69" t="s">
        <v>327</v>
      </c>
      <c r="U9" s="69" t="s">
        <v>320</v>
      </c>
      <c r="V9" s="69"/>
      <c r="W9" s="69"/>
      <c r="X9" s="69" t="s">
        <v>312</v>
      </c>
      <c r="Y9" s="69" t="s">
        <v>317</v>
      </c>
      <c r="Z9" s="69" t="s">
        <v>329</v>
      </c>
      <c r="AA9" s="69"/>
      <c r="AB9" s="69" t="s">
        <v>317</v>
      </c>
      <c r="AC9" s="69"/>
      <c r="AD9" s="69" t="s">
        <v>317</v>
      </c>
      <c r="AE9" s="69"/>
      <c r="AF9" s="69"/>
      <c r="AG9" s="69"/>
      <c r="AH9" s="69"/>
      <c r="AI9" s="69"/>
      <c r="AJ9" s="69"/>
      <c r="AK9" s="69" t="s">
        <v>317</v>
      </c>
      <c r="AL9" s="69" t="s">
        <v>347</v>
      </c>
      <c r="AM9" s="69" t="s">
        <v>386</v>
      </c>
      <c r="AN9" s="69"/>
      <c r="AO9" s="69" t="s">
        <v>317</v>
      </c>
      <c r="AP9" s="69" t="s">
        <v>329</v>
      </c>
      <c r="AQ9" s="69"/>
      <c r="AR9" s="99"/>
      <c r="AS9" s="69" t="s">
        <v>364</v>
      </c>
      <c r="AT9" s="69"/>
      <c r="AU9" s="69" t="s">
        <v>317</v>
      </c>
      <c r="AV9" s="69"/>
      <c r="AW9" s="69" t="s">
        <v>346</v>
      </c>
      <c r="AX9" s="69"/>
      <c r="AY9" s="69"/>
      <c r="AZ9" s="69" t="s">
        <v>339</v>
      </c>
      <c r="BA9" s="69"/>
      <c r="BB9" s="69" t="s">
        <v>313</v>
      </c>
      <c r="BC9" s="69" t="s">
        <v>357</v>
      </c>
      <c r="BD9" s="69"/>
      <c r="BE9" s="69" t="s">
        <v>367</v>
      </c>
      <c r="BF9" s="69"/>
      <c r="BG9" s="69"/>
      <c r="BH9" s="69"/>
      <c r="BI9" s="69" t="s">
        <v>337</v>
      </c>
      <c r="BJ9" s="69"/>
      <c r="BK9" s="69" t="s">
        <v>317</v>
      </c>
      <c r="BL9" s="69"/>
      <c r="BM9" s="69" t="s">
        <v>367</v>
      </c>
      <c r="BN9" s="69" t="s">
        <v>312</v>
      </c>
    </row>
    <row r="10" spans="1:66" x14ac:dyDescent="0.25">
      <c r="A10" s="61" t="s">
        <v>3</v>
      </c>
      <c r="B10" s="68" t="s">
        <v>263</v>
      </c>
      <c r="C10" s="66">
        <v>3.5</v>
      </c>
      <c r="D10" s="64">
        <v>19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312</v>
      </c>
      <c r="L10" s="70"/>
      <c r="M10" s="70" t="s">
        <v>312</v>
      </c>
      <c r="N10" s="70" t="s">
        <v>416</v>
      </c>
      <c r="O10" s="70"/>
      <c r="P10" s="70" t="s">
        <v>317</v>
      </c>
      <c r="Q10" s="70"/>
      <c r="R10" s="70"/>
      <c r="S10" s="70" t="s">
        <v>350</v>
      </c>
      <c r="T10" s="70"/>
      <c r="U10" s="70"/>
      <c r="V10" s="70" t="s">
        <v>316</v>
      </c>
      <c r="W10" s="70" t="s">
        <v>326</v>
      </c>
      <c r="X10" s="70"/>
      <c r="Y10" s="70"/>
      <c r="Z10" s="70"/>
      <c r="AA10" s="70" t="s">
        <v>354</v>
      </c>
      <c r="AB10" s="70"/>
      <c r="AC10" s="70" t="s">
        <v>341</v>
      </c>
      <c r="AD10" s="70"/>
      <c r="AE10" s="70" t="s">
        <v>355</v>
      </c>
      <c r="AF10" s="70" t="s">
        <v>355</v>
      </c>
      <c r="AG10" s="70" t="s">
        <v>319</v>
      </c>
      <c r="AH10" s="70" t="s">
        <v>320</v>
      </c>
      <c r="AI10" s="70" t="s">
        <v>350</v>
      </c>
      <c r="AJ10" s="70" t="s">
        <v>402</v>
      </c>
      <c r="AK10" s="70"/>
      <c r="AL10" s="70"/>
      <c r="AM10" s="70"/>
      <c r="AN10" s="70" t="s">
        <v>317</v>
      </c>
      <c r="AO10" s="70"/>
      <c r="AP10" s="70"/>
      <c r="AQ10" s="70" t="s">
        <v>354</v>
      </c>
      <c r="AR10" s="70" t="s">
        <v>317</v>
      </c>
      <c r="AS10" s="70"/>
      <c r="AT10" s="70" t="s">
        <v>334</v>
      </c>
      <c r="AU10" s="70"/>
      <c r="AV10" s="70" t="s">
        <v>317</v>
      </c>
      <c r="AW10" s="70"/>
      <c r="AX10" s="70" t="s">
        <v>311</v>
      </c>
      <c r="AY10" s="70" t="s">
        <v>366</v>
      </c>
      <c r="AZ10" s="70"/>
      <c r="BA10" s="70" t="s">
        <v>317</v>
      </c>
      <c r="BB10" s="70"/>
      <c r="BC10" s="70"/>
      <c r="BD10" s="70" t="s">
        <v>312</v>
      </c>
      <c r="BE10" s="70"/>
      <c r="BF10" s="70" t="s">
        <v>387</v>
      </c>
      <c r="BG10" s="70" t="s">
        <v>313</v>
      </c>
      <c r="BH10" s="70" t="s">
        <v>312</v>
      </c>
      <c r="BI10" s="70"/>
      <c r="BJ10" s="70" t="s">
        <v>317</v>
      </c>
      <c r="BK10" s="70"/>
      <c r="BL10" s="70" t="s">
        <v>317</v>
      </c>
      <c r="BM10" s="70"/>
      <c r="BN10" s="70"/>
    </row>
    <row r="11" spans="1:66" x14ac:dyDescent="0.25">
      <c r="A11" s="59">
        <v>5</v>
      </c>
      <c r="B11" s="67" t="s">
        <v>156</v>
      </c>
      <c r="C11" s="65">
        <v>5.5</v>
      </c>
      <c r="D11" s="64">
        <v>47</v>
      </c>
      <c r="E11" s="64">
        <f>IF(ISBLANK($D11),"0",IF(($D12-$D11)&lt;($C12-$C11),1,0))</f>
        <v>1</v>
      </c>
      <c r="F11" s="64">
        <f t="shared" ca="1" si="1"/>
        <v>44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/>
      <c r="L11" s="69"/>
      <c r="M11" s="69" t="s">
        <v>312</v>
      </c>
      <c r="N11" s="69" t="s">
        <v>416</v>
      </c>
      <c r="O11" s="69" t="s">
        <v>371</v>
      </c>
      <c r="P11" s="69" t="s">
        <v>317</v>
      </c>
      <c r="Q11" s="69" t="s">
        <v>318</v>
      </c>
      <c r="R11" s="69"/>
      <c r="S11" s="69" t="s">
        <v>319</v>
      </c>
      <c r="T11" s="69" t="s">
        <v>328</v>
      </c>
      <c r="U11" s="69" t="s">
        <v>331</v>
      </c>
      <c r="V11" s="69" t="s">
        <v>320</v>
      </c>
      <c r="W11" s="69"/>
      <c r="X11" s="69"/>
      <c r="Y11" s="69" t="s">
        <v>317</v>
      </c>
      <c r="Z11" s="69" t="s">
        <v>347</v>
      </c>
      <c r="AA11" s="69" t="s">
        <v>354</v>
      </c>
      <c r="AB11" s="69" t="s">
        <v>317</v>
      </c>
      <c r="AC11" s="69" t="s">
        <v>346</v>
      </c>
      <c r="AD11" s="69" t="s">
        <v>317</v>
      </c>
      <c r="AE11" s="69"/>
      <c r="AF11" s="69" t="s">
        <v>355</v>
      </c>
      <c r="AG11" s="69" t="s">
        <v>352</v>
      </c>
      <c r="AH11" s="69" t="s">
        <v>325</v>
      </c>
      <c r="AI11" s="69" t="s">
        <v>341</v>
      </c>
      <c r="AJ11" s="69" t="s">
        <v>403</v>
      </c>
      <c r="AK11" s="69" t="s">
        <v>317</v>
      </c>
      <c r="AL11" s="69" t="s">
        <v>347</v>
      </c>
      <c r="AM11" s="69" t="s">
        <v>324</v>
      </c>
      <c r="AN11" s="69" t="s">
        <v>317</v>
      </c>
      <c r="AO11" s="69" t="s">
        <v>317</v>
      </c>
      <c r="AP11" s="69" t="s">
        <v>383</v>
      </c>
      <c r="AQ11" s="69" t="s">
        <v>354</v>
      </c>
      <c r="AR11" s="69" t="s">
        <v>317</v>
      </c>
      <c r="AS11" s="69" t="s">
        <v>361</v>
      </c>
      <c r="AT11" s="69" t="s">
        <v>334</v>
      </c>
      <c r="AU11" s="69"/>
      <c r="AV11" s="69" t="s">
        <v>317</v>
      </c>
      <c r="AW11" s="69" t="s">
        <v>343</v>
      </c>
      <c r="AX11" s="69" t="s">
        <v>410</v>
      </c>
      <c r="AY11" s="69" t="s">
        <v>366</v>
      </c>
      <c r="AZ11" s="69"/>
      <c r="BA11" s="69" t="s">
        <v>317</v>
      </c>
      <c r="BB11" s="69" t="s">
        <v>313</v>
      </c>
      <c r="BC11" s="69" t="s">
        <v>357</v>
      </c>
      <c r="BD11" s="69"/>
      <c r="BE11" s="69" t="s">
        <v>367</v>
      </c>
      <c r="BF11" s="69" t="s">
        <v>387</v>
      </c>
      <c r="BG11" s="69"/>
      <c r="BH11" s="69"/>
      <c r="BI11" s="69" t="s">
        <v>327</v>
      </c>
      <c r="BJ11" s="69" t="s">
        <v>317</v>
      </c>
      <c r="BK11" s="69" t="s">
        <v>317</v>
      </c>
      <c r="BL11" s="69"/>
      <c r="BM11" s="69" t="s">
        <v>412</v>
      </c>
      <c r="BN11" s="69" t="s">
        <v>312</v>
      </c>
    </row>
    <row r="12" spans="1:66" x14ac:dyDescent="0.25">
      <c r="A12" s="61" t="s">
        <v>3</v>
      </c>
      <c r="B12" s="68" t="s">
        <v>217</v>
      </c>
      <c r="C12" s="66"/>
      <c r="D12" s="64">
        <v>21</v>
      </c>
      <c r="E12" s="64">
        <f>IF(ISBLANK($D12),"0",IF(($D12-$D11)&gt;($C12-$C11),1,0))</f>
        <v>0</v>
      </c>
      <c r="F12" s="64">
        <f t="shared" ca="1" si="1"/>
        <v>12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311</v>
      </c>
      <c r="K12" s="70" t="s">
        <v>312</v>
      </c>
      <c r="L12" s="70" t="s">
        <v>313</v>
      </c>
      <c r="M12" s="70"/>
      <c r="N12" s="70"/>
      <c r="O12" s="70"/>
      <c r="P12" s="70"/>
      <c r="Q12" s="70"/>
      <c r="R12" s="70" t="s">
        <v>314</v>
      </c>
      <c r="S12" s="70"/>
      <c r="T12" s="70"/>
      <c r="U12" s="70"/>
      <c r="V12" s="70"/>
      <c r="W12" s="70" t="s">
        <v>326</v>
      </c>
      <c r="X12" s="70" t="s">
        <v>312</v>
      </c>
      <c r="Y12" s="70"/>
      <c r="Z12" s="70"/>
      <c r="AA12" s="70"/>
      <c r="AB12" s="70"/>
      <c r="AC12" s="70"/>
      <c r="AD12" s="70"/>
      <c r="AE12" s="70" t="s">
        <v>355</v>
      </c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100"/>
      <c r="AS12" s="70"/>
      <c r="AT12" s="70"/>
      <c r="AU12" s="70" t="s">
        <v>317</v>
      </c>
      <c r="AV12" s="70"/>
      <c r="AW12" s="70"/>
      <c r="AX12" s="70"/>
      <c r="AY12" s="70"/>
      <c r="AZ12" s="70" t="s">
        <v>316</v>
      </c>
      <c r="BA12" s="70"/>
      <c r="BB12" s="70"/>
      <c r="BC12" s="70"/>
      <c r="BD12" s="70" t="s">
        <v>312</v>
      </c>
      <c r="BE12" s="70"/>
      <c r="BF12" s="70"/>
      <c r="BG12" s="70" t="s">
        <v>313</v>
      </c>
      <c r="BH12" s="70" t="s">
        <v>317</v>
      </c>
      <c r="BI12" s="70"/>
      <c r="BJ12" s="70"/>
      <c r="BK12" s="70"/>
      <c r="BL12" s="70" t="s">
        <v>317</v>
      </c>
      <c r="BM12" s="70"/>
      <c r="BN12" s="70"/>
    </row>
    <row r="13" spans="1:66" x14ac:dyDescent="0.25">
      <c r="A13" s="59">
        <v>6</v>
      </c>
      <c r="B13" s="67" t="s">
        <v>270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31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 t="s">
        <v>312</v>
      </c>
      <c r="L13" s="69"/>
      <c r="M13" s="69"/>
      <c r="N13" s="69" t="s">
        <v>416</v>
      </c>
      <c r="O13" s="69"/>
      <c r="P13" s="69"/>
      <c r="Q13" s="69" t="s">
        <v>318</v>
      </c>
      <c r="R13" s="69" t="s">
        <v>343</v>
      </c>
      <c r="S13" s="69" t="s">
        <v>324</v>
      </c>
      <c r="T13" s="69"/>
      <c r="U13" s="69" t="s">
        <v>361</v>
      </c>
      <c r="V13" s="69" t="s">
        <v>323</v>
      </c>
      <c r="W13" s="69"/>
      <c r="X13" s="69" t="s">
        <v>312</v>
      </c>
      <c r="Y13" s="69"/>
      <c r="Z13" s="69"/>
      <c r="AA13" s="69" t="s">
        <v>354</v>
      </c>
      <c r="AB13" s="69"/>
      <c r="AC13" s="69" t="s">
        <v>364</v>
      </c>
      <c r="AD13" s="69" t="s">
        <v>317</v>
      </c>
      <c r="AE13" s="69" t="s">
        <v>355</v>
      </c>
      <c r="AF13" s="69" t="s">
        <v>355</v>
      </c>
      <c r="AG13" s="69" t="s">
        <v>322</v>
      </c>
      <c r="AH13" s="69"/>
      <c r="AI13" s="69"/>
      <c r="AJ13" s="69"/>
      <c r="AK13" s="69" t="s">
        <v>317</v>
      </c>
      <c r="AL13" s="69"/>
      <c r="AM13" s="69" t="s">
        <v>340</v>
      </c>
      <c r="AN13" s="69" t="s">
        <v>317</v>
      </c>
      <c r="AO13" s="69" t="s">
        <v>317</v>
      </c>
      <c r="AP13" s="69" t="s">
        <v>337</v>
      </c>
      <c r="AQ13" s="69"/>
      <c r="AR13" s="99" t="s">
        <v>317</v>
      </c>
      <c r="AS13" s="69" t="s">
        <v>347</v>
      </c>
      <c r="AT13" s="69"/>
      <c r="AU13" s="69"/>
      <c r="AV13" s="69"/>
      <c r="AW13" s="69" t="s">
        <v>325</v>
      </c>
      <c r="AX13" s="69" t="s">
        <v>375</v>
      </c>
      <c r="AY13" s="69" t="s">
        <v>366</v>
      </c>
      <c r="AZ13" s="69"/>
      <c r="BA13" s="69"/>
      <c r="BB13" s="69"/>
      <c r="BC13" s="69" t="s">
        <v>357</v>
      </c>
      <c r="BD13" s="69" t="s">
        <v>312</v>
      </c>
      <c r="BE13" s="69" t="s">
        <v>367</v>
      </c>
      <c r="BF13" s="69"/>
      <c r="BG13" s="69"/>
      <c r="BH13" s="69" t="s">
        <v>317</v>
      </c>
      <c r="BI13" s="69" t="s">
        <v>417</v>
      </c>
      <c r="BJ13" s="69" t="s">
        <v>317</v>
      </c>
      <c r="BK13" s="69"/>
      <c r="BL13" s="69"/>
      <c r="BM13" s="69"/>
      <c r="BN13" s="69" t="s">
        <v>312</v>
      </c>
    </row>
    <row r="14" spans="1:66" x14ac:dyDescent="0.25">
      <c r="A14" s="61" t="s">
        <v>3</v>
      </c>
      <c r="B14" s="68" t="s">
        <v>179</v>
      </c>
      <c r="C14" s="66">
        <v>11.5</v>
      </c>
      <c r="D14" s="64">
        <v>38</v>
      </c>
      <c r="E14" s="64">
        <f>IF(ISBLANK($D14),"0",IF(($D14-$D13)&gt;($C14-$C13),1,0))</f>
        <v>1</v>
      </c>
      <c r="F14" s="64">
        <f t="shared" ca="1" si="1"/>
        <v>25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311</v>
      </c>
      <c r="K14" s="70"/>
      <c r="L14" s="70" t="s">
        <v>313</v>
      </c>
      <c r="M14" s="70" t="s">
        <v>312</v>
      </c>
      <c r="N14" s="70"/>
      <c r="O14" s="70" t="s">
        <v>371</v>
      </c>
      <c r="P14" s="70" t="s">
        <v>317</v>
      </c>
      <c r="Q14" s="70"/>
      <c r="R14" s="70"/>
      <c r="S14" s="70"/>
      <c r="T14" s="70" t="s">
        <v>343</v>
      </c>
      <c r="U14" s="70"/>
      <c r="V14" s="70"/>
      <c r="W14" s="70" t="s">
        <v>326</v>
      </c>
      <c r="X14" s="70"/>
      <c r="Y14" s="70" t="s">
        <v>317</v>
      </c>
      <c r="Z14" s="70" t="s">
        <v>322</v>
      </c>
      <c r="AA14" s="70"/>
      <c r="AB14" s="70" t="s">
        <v>317</v>
      </c>
      <c r="AC14" s="70"/>
      <c r="AD14" s="70"/>
      <c r="AE14" s="70"/>
      <c r="AF14" s="70"/>
      <c r="AG14" s="70"/>
      <c r="AH14" s="70" t="s">
        <v>311</v>
      </c>
      <c r="AI14" s="70" t="s">
        <v>324</v>
      </c>
      <c r="AJ14" s="70" t="s">
        <v>404</v>
      </c>
      <c r="AK14" s="70"/>
      <c r="AL14" s="70" t="s">
        <v>347</v>
      </c>
      <c r="AM14" s="70"/>
      <c r="AN14" s="70"/>
      <c r="AO14" s="70"/>
      <c r="AP14" s="70"/>
      <c r="AQ14" s="70" t="s">
        <v>354</v>
      </c>
      <c r="AR14" s="70"/>
      <c r="AS14" s="70"/>
      <c r="AT14" s="70" t="s">
        <v>334</v>
      </c>
      <c r="AU14" s="70" t="s">
        <v>317</v>
      </c>
      <c r="AV14" s="70" t="s">
        <v>317</v>
      </c>
      <c r="AW14" s="70"/>
      <c r="AX14" s="70"/>
      <c r="AY14" s="70"/>
      <c r="AZ14" s="70" t="s">
        <v>324</v>
      </c>
      <c r="BA14" s="70" t="s">
        <v>317</v>
      </c>
      <c r="BB14" s="70" t="s">
        <v>313</v>
      </c>
      <c r="BC14" s="70"/>
      <c r="BD14" s="70"/>
      <c r="BE14" s="70"/>
      <c r="BF14" s="70" t="s">
        <v>387</v>
      </c>
      <c r="BG14" s="70" t="s">
        <v>313</v>
      </c>
      <c r="BH14" s="70"/>
      <c r="BI14" s="70"/>
      <c r="BJ14" s="70"/>
      <c r="BK14" s="70" t="s">
        <v>317</v>
      </c>
      <c r="BL14" s="70" t="s">
        <v>317</v>
      </c>
      <c r="BM14" s="70" t="s">
        <v>413</v>
      </c>
      <c r="BN14" s="70"/>
    </row>
    <row r="15" spans="1:66" x14ac:dyDescent="0.25">
      <c r="A15" s="59">
        <v>7</v>
      </c>
      <c r="B15" s="67" t="s">
        <v>184</v>
      </c>
      <c r="C15" s="65"/>
      <c r="D15" s="64">
        <v>28</v>
      </c>
      <c r="E15" s="64">
        <f>IF(ISBLANK($D15),"0",IF(($D16-$D15)&lt;($C16-$C15),1,0))</f>
        <v>0</v>
      </c>
      <c r="F15" s="64">
        <f t="shared" ca="1" si="1"/>
        <v>18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311</v>
      </c>
      <c r="K15" s="69"/>
      <c r="L15" s="69"/>
      <c r="M15" s="69"/>
      <c r="N15" s="69"/>
      <c r="O15" s="69" t="s">
        <v>371</v>
      </c>
      <c r="P15" s="69"/>
      <c r="Q15" s="69"/>
      <c r="R15" s="69" t="s">
        <v>332</v>
      </c>
      <c r="S15" s="69"/>
      <c r="T15" s="69" t="s">
        <v>322</v>
      </c>
      <c r="U15" s="69"/>
      <c r="V15" s="69"/>
      <c r="W15" s="69"/>
      <c r="X15" s="69" t="s">
        <v>312</v>
      </c>
      <c r="Y15" s="69"/>
      <c r="Z15" s="69" t="s">
        <v>328</v>
      </c>
      <c r="AA15" s="69" t="s">
        <v>354</v>
      </c>
      <c r="AB15" s="69" t="s">
        <v>317</v>
      </c>
      <c r="AC15" s="69"/>
      <c r="AD15" s="69"/>
      <c r="AE15" s="69"/>
      <c r="AF15" s="69"/>
      <c r="AG15" s="69" t="s">
        <v>332</v>
      </c>
      <c r="AH15" s="69"/>
      <c r="AI15" s="69"/>
      <c r="AJ15" s="69"/>
      <c r="AK15" s="69"/>
      <c r="AL15" s="69"/>
      <c r="AM15" s="69"/>
      <c r="AN15" s="69"/>
      <c r="AO15" s="69" t="s">
        <v>317</v>
      </c>
      <c r="AP15" s="69"/>
      <c r="AQ15" s="69"/>
      <c r="AR15" s="69" t="s">
        <v>317</v>
      </c>
      <c r="AS15" s="69" t="s">
        <v>319</v>
      </c>
      <c r="AT15" s="69"/>
      <c r="AU15" s="69"/>
      <c r="AV15" s="69"/>
      <c r="AW15" s="69"/>
      <c r="AX15" s="69"/>
      <c r="AY15" s="69"/>
      <c r="AZ15" s="69" t="s">
        <v>349</v>
      </c>
      <c r="BA15" s="69"/>
      <c r="BB15" s="69" t="s">
        <v>313</v>
      </c>
      <c r="BC15" s="69"/>
      <c r="BD15" s="69" t="s">
        <v>312</v>
      </c>
      <c r="BE15" s="69"/>
      <c r="BF15" s="69" t="s">
        <v>387</v>
      </c>
      <c r="BG15" s="69" t="s">
        <v>313</v>
      </c>
      <c r="BH15" s="69" t="s">
        <v>317</v>
      </c>
      <c r="BI15" s="69"/>
      <c r="BJ15" s="69"/>
      <c r="BK15" s="69" t="s">
        <v>317</v>
      </c>
      <c r="BL15" s="69"/>
      <c r="BM15" s="69"/>
      <c r="BN15" s="69"/>
    </row>
    <row r="16" spans="1:66" x14ac:dyDescent="0.25">
      <c r="A16" s="61" t="s">
        <v>3</v>
      </c>
      <c r="B16" s="68" t="s">
        <v>158</v>
      </c>
      <c r="C16" s="66">
        <v>6.5</v>
      </c>
      <c r="D16" s="64">
        <v>35</v>
      </c>
      <c r="E16" s="64">
        <f>IF(ISBLANK($D16),"0",IF(($D16-$D15)&gt;($C16-$C15),1,0))</f>
        <v>1</v>
      </c>
      <c r="F16" s="64">
        <f t="shared" ca="1" si="1"/>
        <v>38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312</v>
      </c>
      <c r="L16" s="70" t="s">
        <v>313</v>
      </c>
      <c r="M16" s="70" t="s">
        <v>312</v>
      </c>
      <c r="N16" s="70" t="s">
        <v>416</v>
      </c>
      <c r="O16" s="70"/>
      <c r="P16" s="70" t="s">
        <v>317</v>
      </c>
      <c r="Q16" s="70" t="s">
        <v>318</v>
      </c>
      <c r="R16" s="70"/>
      <c r="S16" s="70" t="s">
        <v>349</v>
      </c>
      <c r="T16" s="70"/>
      <c r="U16" s="70" t="s">
        <v>320</v>
      </c>
      <c r="V16" s="70" t="s">
        <v>350</v>
      </c>
      <c r="W16" s="70" t="s">
        <v>326</v>
      </c>
      <c r="X16" s="70"/>
      <c r="Y16" s="70" t="s">
        <v>317</v>
      </c>
      <c r="Z16" s="70"/>
      <c r="AA16" s="70"/>
      <c r="AB16" s="70"/>
      <c r="AC16" s="70" t="s">
        <v>342</v>
      </c>
      <c r="AD16" s="70" t="s">
        <v>317</v>
      </c>
      <c r="AE16" s="70" t="s">
        <v>355</v>
      </c>
      <c r="AF16" s="70" t="s">
        <v>355</v>
      </c>
      <c r="AG16" s="70"/>
      <c r="AH16" s="70" t="s">
        <v>320</v>
      </c>
      <c r="AI16" s="70" t="s">
        <v>346</v>
      </c>
      <c r="AJ16" s="70" t="s">
        <v>405</v>
      </c>
      <c r="AK16" s="70" t="s">
        <v>317</v>
      </c>
      <c r="AL16" s="70" t="s">
        <v>347</v>
      </c>
      <c r="AM16" s="70" t="s">
        <v>341</v>
      </c>
      <c r="AN16" s="70" t="s">
        <v>317</v>
      </c>
      <c r="AO16" s="70"/>
      <c r="AP16" s="70" t="s">
        <v>360</v>
      </c>
      <c r="AQ16" s="70" t="s">
        <v>354</v>
      </c>
      <c r="AR16" s="100"/>
      <c r="AS16" s="70"/>
      <c r="AT16" s="70" t="s">
        <v>334</v>
      </c>
      <c r="AU16" s="70" t="s">
        <v>317</v>
      </c>
      <c r="AV16" s="70" t="s">
        <v>317</v>
      </c>
      <c r="AW16" s="70" t="s">
        <v>334</v>
      </c>
      <c r="AX16" s="70" t="s">
        <v>323</v>
      </c>
      <c r="AY16" s="70" t="s">
        <v>366</v>
      </c>
      <c r="AZ16" s="70"/>
      <c r="BA16" s="70" t="s">
        <v>317</v>
      </c>
      <c r="BB16" s="70"/>
      <c r="BC16" s="70" t="s">
        <v>357</v>
      </c>
      <c r="BD16" s="70"/>
      <c r="BE16" s="70" t="s">
        <v>367</v>
      </c>
      <c r="BF16" s="70"/>
      <c r="BG16" s="70"/>
      <c r="BH16" s="70"/>
      <c r="BI16" s="70" t="s">
        <v>311</v>
      </c>
      <c r="BJ16" s="70" t="s">
        <v>317</v>
      </c>
      <c r="BK16" s="70"/>
      <c r="BL16" s="70" t="s">
        <v>317</v>
      </c>
      <c r="BM16" s="70" t="s">
        <v>414</v>
      </c>
      <c r="BN16" s="70" t="s">
        <v>312</v>
      </c>
    </row>
    <row r="17" spans="1:66" x14ac:dyDescent="0.25">
      <c r="A17" s="59">
        <v>8</v>
      </c>
      <c r="B17" s="67" t="s">
        <v>174</v>
      </c>
      <c r="C17" s="65">
        <v>3.5</v>
      </c>
      <c r="D17" s="64">
        <v>30</v>
      </c>
      <c r="E17" s="64">
        <f>IF(ISBLANK($D17),"0",IF(($D18-$D17)&lt;($C18-$C17),1,0))</f>
        <v>0</v>
      </c>
      <c r="F17" s="64">
        <f t="shared" ca="1" si="1"/>
        <v>29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/>
      <c r="L17" s="69"/>
      <c r="M17" s="69" t="s">
        <v>312</v>
      </c>
      <c r="N17" s="69"/>
      <c r="O17" s="69"/>
      <c r="P17" s="69" t="s">
        <v>317</v>
      </c>
      <c r="Q17" s="69" t="s">
        <v>318</v>
      </c>
      <c r="R17" s="69"/>
      <c r="S17" s="69"/>
      <c r="T17" s="69" t="s">
        <v>314</v>
      </c>
      <c r="U17" s="69"/>
      <c r="V17" s="69" t="s">
        <v>360</v>
      </c>
      <c r="W17" s="69"/>
      <c r="X17" s="69"/>
      <c r="Y17" s="69" t="s">
        <v>317</v>
      </c>
      <c r="Z17" s="69"/>
      <c r="AA17" s="69" t="s">
        <v>354</v>
      </c>
      <c r="AB17" s="69" t="s">
        <v>317</v>
      </c>
      <c r="AC17" s="69"/>
      <c r="AD17" s="69"/>
      <c r="AE17" s="69"/>
      <c r="AF17" s="69" t="s">
        <v>355</v>
      </c>
      <c r="AG17" s="69" t="s">
        <v>338</v>
      </c>
      <c r="AH17" s="69"/>
      <c r="AI17" s="69" t="s">
        <v>360</v>
      </c>
      <c r="AJ17" s="69" t="s">
        <v>406</v>
      </c>
      <c r="AK17" s="69" t="s">
        <v>317</v>
      </c>
      <c r="AL17" s="69"/>
      <c r="AM17" s="69"/>
      <c r="AN17" s="69" t="s">
        <v>317</v>
      </c>
      <c r="AO17" s="69"/>
      <c r="AP17" s="69"/>
      <c r="AQ17" s="69" t="s">
        <v>354</v>
      </c>
      <c r="AR17" s="99" t="s">
        <v>317</v>
      </c>
      <c r="AS17" s="69" t="s">
        <v>360</v>
      </c>
      <c r="AT17" s="69" t="s">
        <v>334</v>
      </c>
      <c r="AU17" s="69"/>
      <c r="AV17" s="69" t="s">
        <v>317</v>
      </c>
      <c r="AW17" s="69" t="s">
        <v>377</v>
      </c>
      <c r="AX17" s="69" t="s">
        <v>341</v>
      </c>
      <c r="AY17" s="69"/>
      <c r="AZ17" s="69" t="s">
        <v>397</v>
      </c>
      <c r="BA17" s="69"/>
      <c r="BB17" s="69"/>
      <c r="BC17" s="69" t="s">
        <v>357</v>
      </c>
      <c r="BD17" s="69"/>
      <c r="BE17" s="69" t="s">
        <v>367</v>
      </c>
      <c r="BF17" s="69" t="s">
        <v>387</v>
      </c>
      <c r="BG17" s="69" t="s">
        <v>313</v>
      </c>
      <c r="BH17" s="69"/>
      <c r="BI17" s="69"/>
      <c r="BJ17" s="69" t="s">
        <v>317</v>
      </c>
      <c r="BK17" s="69" t="s">
        <v>317</v>
      </c>
      <c r="BL17" s="69"/>
      <c r="BM17" s="69" t="s">
        <v>371</v>
      </c>
      <c r="BN17" s="69"/>
    </row>
    <row r="18" spans="1:66" x14ac:dyDescent="0.25">
      <c r="A18" s="61" t="s">
        <v>3</v>
      </c>
      <c r="B18" s="68" t="s">
        <v>175</v>
      </c>
      <c r="C18" s="66"/>
      <c r="D18" s="64">
        <v>35</v>
      </c>
      <c r="E18" s="64">
        <f>IF(ISBLANK($D18),"0",IF(($D18-$D17)&gt;($C18-$C17),1,0))</f>
        <v>1</v>
      </c>
      <c r="F18" s="64">
        <f t="shared" ca="1" si="1"/>
        <v>27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311</v>
      </c>
      <c r="K18" s="70" t="s">
        <v>312</v>
      </c>
      <c r="L18" s="70" t="s">
        <v>313</v>
      </c>
      <c r="M18" s="70"/>
      <c r="N18" s="70" t="s">
        <v>416</v>
      </c>
      <c r="O18" s="70" t="s">
        <v>371</v>
      </c>
      <c r="P18" s="70"/>
      <c r="Q18" s="70"/>
      <c r="R18" s="70" t="s">
        <v>327</v>
      </c>
      <c r="S18" s="70" t="s">
        <v>320</v>
      </c>
      <c r="T18" s="70"/>
      <c r="U18" s="70" t="s">
        <v>311</v>
      </c>
      <c r="V18" s="70"/>
      <c r="W18" s="70" t="s">
        <v>326</v>
      </c>
      <c r="X18" s="70" t="s">
        <v>312</v>
      </c>
      <c r="Y18" s="70"/>
      <c r="Z18" s="70" t="s">
        <v>387</v>
      </c>
      <c r="AA18" s="70"/>
      <c r="AB18" s="70"/>
      <c r="AC18" s="70" t="s">
        <v>333</v>
      </c>
      <c r="AD18" s="70" t="s">
        <v>317</v>
      </c>
      <c r="AE18" s="70" t="s">
        <v>355</v>
      </c>
      <c r="AF18" s="70"/>
      <c r="AG18" s="70"/>
      <c r="AH18" s="70" t="s">
        <v>408</v>
      </c>
      <c r="AI18" s="70"/>
      <c r="AJ18" s="70"/>
      <c r="AK18" s="70"/>
      <c r="AL18" s="70" t="s">
        <v>347</v>
      </c>
      <c r="AM18" s="70" t="s">
        <v>350</v>
      </c>
      <c r="AN18" s="70"/>
      <c r="AO18" s="70" t="s">
        <v>317</v>
      </c>
      <c r="AP18" s="70" t="s">
        <v>322</v>
      </c>
      <c r="AQ18" s="70"/>
      <c r="AR18" s="70"/>
      <c r="AS18" s="70"/>
      <c r="AT18" s="70"/>
      <c r="AU18" s="70" t="s">
        <v>317</v>
      </c>
      <c r="AV18" s="70"/>
      <c r="AW18" s="70"/>
      <c r="AX18" s="70"/>
      <c r="AY18" s="70" t="s">
        <v>366</v>
      </c>
      <c r="AZ18" s="70"/>
      <c r="BA18" s="70" t="s">
        <v>317</v>
      </c>
      <c r="BB18" s="70" t="s">
        <v>313</v>
      </c>
      <c r="BC18" s="70"/>
      <c r="BD18" s="70" t="s">
        <v>312</v>
      </c>
      <c r="BE18" s="70"/>
      <c r="BF18" s="70"/>
      <c r="BG18" s="70"/>
      <c r="BH18" s="70" t="s">
        <v>312</v>
      </c>
      <c r="BI18" s="70" t="s">
        <v>418</v>
      </c>
      <c r="BJ18" s="70"/>
      <c r="BK18" s="70"/>
      <c r="BL18" s="70" t="s">
        <v>317</v>
      </c>
      <c r="BM18" s="70"/>
      <c r="BN18" s="70" t="s">
        <v>312</v>
      </c>
    </row>
    <row r="19" spans="1:66" x14ac:dyDescent="0.25">
      <c r="A19" s="59">
        <v>9</v>
      </c>
      <c r="B19" s="67" t="s">
        <v>264</v>
      </c>
      <c r="C19" s="65"/>
      <c r="D19" s="64">
        <v>22</v>
      </c>
      <c r="E19" s="64">
        <f>IF(ISBLANK($D19),"0",IF(($D20-$D19)&lt;($C20-$C19),1,0))</f>
        <v>0</v>
      </c>
      <c r="F19" s="64">
        <f t="shared" ca="1" si="1"/>
        <v>39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311</v>
      </c>
      <c r="K19" s="69"/>
      <c r="L19" s="69"/>
      <c r="M19" s="69" t="s">
        <v>312</v>
      </c>
      <c r="N19" s="69" t="s">
        <v>416</v>
      </c>
      <c r="O19" s="69"/>
      <c r="P19" s="69" t="s">
        <v>317</v>
      </c>
      <c r="Q19" s="69" t="s">
        <v>318</v>
      </c>
      <c r="R19" s="69" t="s">
        <v>334</v>
      </c>
      <c r="S19" s="69" t="s">
        <v>311</v>
      </c>
      <c r="T19" s="69" t="s">
        <v>347</v>
      </c>
      <c r="U19" s="69" t="s">
        <v>349</v>
      </c>
      <c r="V19" s="69"/>
      <c r="W19" s="69" t="s">
        <v>326</v>
      </c>
      <c r="X19" s="69"/>
      <c r="Y19" s="69" t="s">
        <v>317</v>
      </c>
      <c r="Z19" s="69" t="s">
        <v>328</v>
      </c>
      <c r="AA19" s="69"/>
      <c r="AB19" s="69" t="s">
        <v>317</v>
      </c>
      <c r="AC19" s="69" t="s">
        <v>375</v>
      </c>
      <c r="AD19" s="69" t="s">
        <v>317</v>
      </c>
      <c r="AE19" s="69"/>
      <c r="AF19" s="69" t="s">
        <v>355</v>
      </c>
      <c r="AG19" s="69" t="s">
        <v>334</v>
      </c>
      <c r="AH19" s="69" t="s">
        <v>326</v>
      </c>
      <c r="AI19" s="69"/>
      <c r="AJ19" s="69"/>
      <c r="AK19" s="69"/>
      <c r="AL19" s="69" t="s">
        <v>347</v>
      </c>
      <c r="AM19" s="69"/>
      <c r="AN19" s="69" t="s">
        <v>317</v>
      </c>
      <c r="AO19" s="69"/>
      <c r="AP19" s="69" t="s">
        <v>364</v>
      </c>
      <c r="AQ19" s="69" t="s">
        <v>354</v>
      </c>
      <c r="AR19" s="69"/>
      <c r="AS19" s="69" t="s">
        <v>322</v>
      </c>
      <c r="AT19" s="69" t="s">
        <v>334</v>
      </c>
      <c r="AU19" s="69"/>
      <c r="AV19" s="69" t="s">
        <v>317</v>
      </c>
      <c r="AW19" s="69" t="s">
        <v>320</v>
      </c>
      <c r="AX19" s="69" t="s">
        <v>341</v>
      </c>
      <c r="AY19" s="69" t="s">
        <v>366</v>
      </c>
      <c r="AZ19" s="69"/>
      <c r="BA19" s="69"/>
      <c r="BB19" s="69" t="s">
        <v>313</v>
      </c>
      <c r="BC19" s="69" t="s">
        <v>357</v>
      </c>
      <c r="BD19" s="69" t="s">
        <v>312</v>
      </c>
      <c r="BE19" s="69"/>
      <c r="BF19" s="69" t="s">
        <v>387</v>
      </c>
      <c r="BG19" s="69" t="s">
        <v>313</v>
      </c>
      <c r="BH19" s="69" t="s">
        <v>317</v>
      </c>
      <c r="BI19" s="69" t="s">
        <v>325</v>
      </c>
      <c r="BJ19" s="69" t="s">
        <v>317</v>
      </c>
      <c r="BK19" s="69" t="s">
        <v>317</v>
      </c>
      <c r="BL19" s="69" t="s">
        <v>317</v>
      </c>
      <c r="BM19" s="69" t="s">
        <v>415</v>
      </c>
      <c r="BN19" s="69" t="s">
        <v>312</v>
      </c>
    </row>
    <row r="20" spans="1:66" x14ac:dyDescent="0.25">
      <c r="A20" s="61" t="s">
        <v>3</v>
      </c>
      <c r="B20" s="68" t="s">
        <v>261</v>
      </c>
      <c r="C20" s="66">
        <v>3.5</v>
      </c>
      <c r="D20" s="64">
        <v>43</v>
      </c>
      <c r="E20" s="64">
        <f>IF(ISBLANK($D20),"0",IF(($D20-$D19)&gt;($C20-$C19),1,0))</f>
        <v>1</v>
      </c>
      <c r="F20" s="64">
        <f t="shared" ca="1" si="1"/>
        <v>17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 t="s">
        <v>312</v>
      </c>
      <c r="L20" s="70" t="s">
        <v>313</v>
      </c>
      <c r="M20" s="70"/>
      <c r="N20" s="70"/>
      <c r="O20" s="70" t="s">
        <v>371</v>
      </c>
      <c r="P20" s="70"/>
      <c r="Q20" s="70"/>
      <c r="R20" s="70"/>
      <c r="S20" s="70"/>
      <c r="T20" s="70"/>
      <c r="U20" s="70"/>
      <c r="V20" s="70" t="s">
        <v>364</v>
      </c>
      <c r="W20" s="70"/>
      <c r="X20" s="70" t="s">
        <v>312</v>
      </c>
      <c r="Y20" s="70"/>
      <c r="Z20" s="70"/>
      <c r="AA20" s="70" t="s">
        <v>354</v>
      </c>
      <c r="AB20" s="70"/>
      <c r="AC20" s="70"/>
      <c r="AD20" s="70"/>
      <c r="AE20" s="70" t="s">
        <v>355</v>
      </c>
      <c r="AF20" s="70"/>
      <c r="AG20" s="70"/>
      <c r="AH20" s="70"/>
      <c r="AI20" s="70" t="s">
        <v>322</v>
      </c>
      <c r="AJ20" s="70" t="s">
        <v>407</v>
      </c>
      <c r="AK20" s="70" t="s">
        <v>317</v>
      </c>
      <c r="AL20" s="70"/>
      <c r="AM20" s="70" t="s">
        <v>320</v>
      </c>
      <c r="AN20" s="70"/>
      <c r="AO20" s="70" t="s">
        <v>317</v>
      </c>
      <c r="AP20" s="70"/>
      <c r="AQ20" s="70"/>
      <c r="AR20" s="100" t="s">
        <v>317</v>
      </c>
      <c r="AS20" s="70"/>
      <c r="AT20" s="70"/>
      <c r="AU20" s="70" t="s">
        <v>317</v>
      </c>
      <c r="AV20" s="70"/>
      <c r="AW20" s="70"/>
      <c r="AX20" s="70"/>
      <c r="AY20" s="70"/>
      <c r="AZ20" s="70" t="s">
        <v>320</v>
      </c>
      <c r="BA20" s="70" t="s">
        <v>317</v>
      </c>
      <c r="BB20" s="70"/>
      <c r="BC20" s="70"/>
      <c r="BD20" s="70"/>
      <c r="BE20" s="70" t="s">
        <v>367</v>
      </c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5">
      <c r="A21" s="59">
        <v>10</v>
      </c>
      <c r="B21" s="67" t="s">
        <v>166</v>
      </c>
      <c r="C21" s="65"/>
      <c r="D21" s="64">
        <v>30</v>
      </c>
      <c r="E21" s="64">
        <f>IF(ISBLANK($D21),"0",IF(($D22-$D21)&lt;($C22-$C21),1,0))</f>
        <v>1</v>
      </c>
      <c r="F21" s="64">
        <f t="shared" ca="1" si="1"/>
        <v>29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311</v>
      </c>
      <c r="K21" s="69"/>
      <c r="L21" s="69"/>
      <c r="M21" s="69"/>
      <c r="N21" s="69"/>
      <c r="O21" s="69" t="s">
        <v>371</v>
      </c>
      <c r="P21" s="69" t="s">
        <v>317</v>
      </c>
      <c r="Q21" s="69"/>
      <c r="R21" s="69" t="s">
        <v>353</v>
      </c>
      <c r="S21" s="69"/>
      <c r="T21" s="69" t="s">
        <v>319</v>
      </c>
      <c r="U21" s="69"/>
      <c r="V21" s="69"/>
      <c r="W21" s="69" t="s">
        <v>326</v>
      </c>
      <c r="X21" s="69"/>
      <c r="Y21" s="69" t="s">
        <v>317</v>
      </c>
      <c r="Z21" s="69" t="s">
        <v>319</v>
      </c>
      <c r="AA21" s="69" t="s">
        <v>354</v>
      </c>
      <c r="AB21" s="69" t="s">
        <v>317</v>
      </c>
      <c r="AC21" s="69" t="s">
        <v>350</v>
      </c>
      <c r="AD21" s="69" t="s">
        <v>317</v>
      </c>
      <c r="AE21" s="69"/>
      <c r="AF21" s="69"/>
      <c r="AG21" s="69" t="s">
        <v>331</v>
      </c>
      <c r="AH21" s="69"/>
      <c r="AI21" s="69" t="s">
        <v>364</v>
      </c>
      <c r="AJ21" s="69"/>
      <c r="AK21" s="69"/>
      <c r="AL21" s="69"/>
      <c r="AM21" s="69"/>
      <c r="AN21" s="69" t="s">
        <v>317</v>
      </c>
      <c r="AO21" s="69" t="s">
        <v>317</v>
      </c>
      <c r="AP21" s="69" t="s">
        <v>408</v>
      </c>
      <c r="AQ21" s="69"/>
      <c r="AR21" s="99" t="s">
        <v>317</v>
      </c>
      <c r="AS21" s="69" t="s">
        <v>333</v>
      </c>
      <c r="AT21" s="69" t="s">
        <v>334</v>
      </c>
      <c r="AU21" s="69" t="s">
        <v>317</v>
      </c>
      <c r="AV21" s="69"/>
      <c r="AW21" s="69" t="s">
        <v>367</v>
      </c>
      <c r="AX21" s="69" t="s">
        <v>346</v>
      </c>
      <c r="AY21" s="69"/>
      <c r="AZ21" s="69"/>
      <c r="BA21" s="69"/>
      <c r="BB21" s="69"/>
      <c r="BC21" s="69" t="s">
        <v>357</v>
      </c>
      <c r="BD21" s="69" t="s">
        <v>312</v>
      </c>
      <c r="BE21" s="69" t="s">
        <v>367</v>
      </c>
      <c r="BF21" s="69"/>
      <c r="BG21" s="69" t="s">
        <v>313</v>
      </c>
      <c r="BH21" s="69"/>
      <c r="BI21" s="69"/>
      <c r="BJ21" s="69" t="s">
        <v>317</v>
      </c>
      <c r="BK21" s="69"/>
      <c r="BL21" s="69"/>
      <c r="BM21" s="69" t="s">
        <v>326</v>
      </c>
      <c r="BN21" s="69" t="s">
        <v>312</v>
      </c>
    </row>
    <row r="22" spans="1:66" x14ac:dyDescent="0.25">
      <c r="A22" s="61" t="s">
        <v>3</v>
      </c>
      <c r="B22" s="68" t="s">
        <v>210</v>
      </c>
      <c r="C22" s="66">
        <v>3.5</v>
      </c>
      <c r="D22" s="64">
        <v>29</v>
      </c>
      <c r="E22" s="64">
        <f>IF(ISBLANK($D22),"0",IF(($D22-$D21)&gt;($C22-$C21),1,0))</f>
        <v>0</v>
      </c>
      <c r="F22" s="64">
        <f t="shared" ca="1" si="1"/>
        <v>27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 t="s">
        <v>312</v>
      </c>
      <c r="L22" s="70" t="s">
        <v>313</v>
      </c>
      <c r="M22" s="70" t="s">
        <v>312</v>
      </c>
      <c r="N22" s="70" t="s">
        <v>416</v>
      </c>
      <c r="O22" s="70"/>
      <c r="P22" s="70"/>
      <c r="Q22" s="70" t="s">
        <v>318</v>
      </c>
      <c r="R22" s="70"/>
      <c r="S22" s="70" t="s">
        <v>326</v>
      </c>
      <c r="T22" s="70"/>
      <c r="U22" s="70" t="s">
        <v>335</v>
      </c>
      <c r="V22" s="70" t="s">
        <v>326</v>
      </c>
      <c r="W22" s="70"/>
      <c r="X22" s="70" t="s">
        <v>312</v>
      </c>
      <c r="Y22" s="70"/>
      <c r="Z22" s="70"/>
      <c r="AA22" s="70"/>
      <c r="AB22" s="70"/>
      <c r="AC22" s="70"/>
      <c r="AD22" s="70"/>
      <c r="AE22" s="70" t="s">
        <v>355</v>
      </c>
      <c r="AF22" s="70" t="s">
        <v>355</v>
      </c>
      <c r="AG22" s="70"/>
      <c r="AH22" s="70" t="s">
        <v>326</v>
      </c>
      <c r="AI22" s="70"/>
      <c r="AJ22" s="70" t="s">
        <v>392</v>
      </c>
      <c r="AK22" s="70" t="s">
        <v>317</v>
      </c>
      <c r="AL22" s="70" t="s">
        <v>347</v>
      </c>
      <c r="AM22" s="70" t="s">
        <v>325</v>
      </c>
      <c r="AN22" s="70"/>
      <c r="AO22" s="70"/>
      <c r="AP22" s="70"/>
      <c r="AQ22" s="70" t="s">
        <v>354</v>
      </c>
      <c r="AR22" s="70"/>
      <c r="AS22" s="70"/>
      <c r="AT22" s="70"/>
      <c r="AU22" s="70"/>
      <c r="AV22" s="70" t="s">
        <v>317</v>
      </c>
      <c r="AW22" s="70"/>
      <c r="AX22" s="70"/>
      <c r="AY22" s="70" t="s">
        <v>366</v>
      </c>
      <c r="AZ22" s="70" t="s">
        <v>325</v>
      </c>
      <c r="BA22" s="70" t="s">
        <v>317</v>
      </c>
      <c r="BB22" s="70" t="s">
        <v>313</v>
      </c>
      <c r="BC22" s="70"/>
      <c r="BD22" s="70"/>
      <c r="BE22" s="70"/>
      <c r="BF22" s="70" t="s">
        <v>387</v>
      </c>
      <c r="BG22" s="70"/>
      <c r="BH22" s="70" t="s">
        <v>317</v>
      </c>
      <c r="BI22" s="70" t="s">
        <v>326</v>
      </c>
      <c r="BJ22" s="70"/>
      <c r="BK22" s="70" t="s">
        <v>317</v>
      </c>
      <c r="BL22" s="70" t="s">
        <v>317</v>
      </c>
      <c r="BM22" s="70"/>
      <c r="BN22" s="70"/>
    </row>
    <row r="23" spans="1:66" x14ac:dyDescent="0.25">
      <c r="A23" s="59"/>
      <c r="B23" s="67" t="str">
        <f>B21&amp; " - score"</f>
        <v>Oklahoma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23</v>
      </c>
      <c r="K23" s="78">
        <v>38</v>
      </c>
      <c r="L23" s="78">
        <v>19</v>
      </c>
      <c r="M23" s="78">
        <v>21</v>
      </c>
      <c r="N23" s="80">
        <v>17</v>
      </c>
      <c r="O23" s="78">
        <v>24</v>
      </c>
      <c r="P23" s="78">
        <v>37</v>
      </c>
      <c r="Q23" s="78">
        <v>14</v>
      </c>
      <c r="R23" s="78">
        <v>23</v>
      </c>
      <c r="S23" s="78">
        <v>42</v>
      </c>
      <c r="T23" s="78">
        <v>20</v>
      </c>
      <c r="U23" s="78">
        <v>22</v>
      </c>
      <c r="V23" s="78">
        <v>14</v>
      </c>
      <c r="W23" s="78">
        <v>21</v>
      </c>
      <c r="X23" s="78">
        <v>24</v>
      </c>
      <c r="Y23" s="78">
        <v>21</v>
      </c>
      <c r="Z23" s="78">
        <v>42</v>
      </c>
      <c r="AA23" s="78">
        <v>38</v>
      </c>
      <c r="AB23" s="78">
        <v>35</v>
      </c>
      <c r="AC23" s="78">
        <v>41</v>
      </c>
      <c r="AD23" s="78">
        <v>31</v>
      </c>
      <c r="AE23" s="78">
        <v>13</v>
      </c>
      <c r="AF23" s="78">
        <v>6</v>
      </c>
      <c r="AG23" s="78">
        <v>43</v>
      </c>
      <c r="AH23" s="78">
        <v>27</v>
      </c>
      <c r="AI23" s="78">
        <v>31</v>
      </c>
      <c r="AJ23" s="78">
        <v>13</v>
      </c>
      <c r="AK23" s="78">
        <v>24</v>
      </c>
      <c r="AL23" s="78">
        <v>17</v>
      </c>
      <c r="AM23" s="78">
        <v>17</v>
      </c>
      <c r="AN23" s="78">
        <v>33</v>
      </c>
      <c r="AO23" s="78">
        <v>41</v>
      </c>
      <c r="AP23" s="78">
        <v>24</v>
      </c>
      <c r="AQ23" s="78">
        <v>13</v>
      </c>
      <c r="AR23" s="78">
        <v>17</v>
      </c>
      <c r="AS23" s="78">
        <v>31</v>
      </c>
      <c r="AT23" s="78">
        <v>27</v>
      </c>
      <c r="AU23" s="78">
        <v>21</v>
      </c>
      <c r="AV23" s="78">
        <v>24</v>
      </c>
      <c r="AW23" s="78">
        <v>30</v>
      </c>
      <c r="AX23" s="78">
        <v>45</v>
      </c>
      <c r="AY23" s="78">
        <v>31</v>
      </c>
      <c r="AZ23" s="78">
        <v>24</v>
      </c>
      <c r="BA23" s="78">
        <v>21</v>
      </c>
      <c r="BB23" s="78">
        <v>21</v>
      </c>
      <c r="BC23" s="78">
        <v>17</v>
      </c>
      <c r="BD23" s="78">
        <v>40</v>
      </c>
      <c r="BE23" s="78">
        <v>20</v>
      </c>
      <c r="BF23" s="78">
        <v>31</v>
      </c>
      <c r="BG23" s="78">
        <v>23</v>
      </c>
      <c r="BH23" s="78">
        <v>31</v>
      </c>
      <c r="BI23" s="78">
        <v>31</v>
      </c>
      <c r="BJ23" s="78">
        <v>35</v>
      </c>
      <c r="BK23" s="78">
        <v>24</v>
      </c>
      <c r="BL23" s="78">
        <v>18</v>
      </c>
      <c r="BM23" s="78">
        <v>31</v>
      </c>
      <c r="BN23" s="78">
        <v>35</v>
      </c>
    </row>
    <row r="24" spans="1:66" x14ac:dyDescent="0.25">
      <c r="A24" s="61"/>
      <c r="B24" s="68" t="str">
        <f>B22&amp; " - score"</f>
        <v>Texas A&amp;M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24</v>
      </c>
      <c r="K24" s="79">
        <v>42</v>
      </c>
      <c r="L24" s="79">
        <v>24</v>
      </c>
      <c r="M24" s="79">
        <v>31</v>
      </c>
      <c r="N24" s="79">
        <v>24</v>
      </c>
      <c r="O24" s="79">
        <v>21</v>
      </c>
      <c r="P24" s="79">
        <v>24</v>
      </c>
      <c r="Q24" s="79">
        <v>26</v>
      </c>
      <c r="R24" s="79">
        <v>21</v>
      </c>
      <c r="S24" s="79">
        <v>48</v>
      </c>
      <c r="T24" s="79">
        <v>23</v>
      </c>
      <c r="U24" s="79">
        <v>27</v>
      </c>
      <c r="V24" s="79">
        <v>24</v>
      </c>
      <c r="W24" s="79">
        <v>24</v>
      </c>
      <c r="X24" s="79">
        <v>28</v>
      </c>
      <c r="Y24" s="79">
        <v>24</v>
      </c>
      <c r="Z24" s="79">
        <v>41</v>
      </c>
      <c r="AA24" s="79">
        <v>31</v>
      </c>
      <c r="AB24" s="79">
        <v>31</v>
      </c>
      <c r="AC24" s="79">
        <v>31</v>
      </c>
      <c r="AD24" s="79">
        <v>14</v>
      </c>
      <c r="AE24" s="79">
        <v>29</v>
      </c>
      <c r="AF24" s="79">
        <v>24</v>
      </c>
      <c r="AG24" s="79">
        <v>33</v>
      </c>
      <c r="AH24" s="79">
        <v>31</v>
      </c>
      <c r="AI24" s="79">
        <v>27</v>
      </c>
      <c r="AJ24" s="79">
        <v>24</v>
      </c>
      <c r="AK24" s="79">
        <v>32</v>
      </c>
      <c r="AL24" s="79">
        <v>27</v>
      </c>
      <c r="AM24" s="79">
        <v>24</v>
      </c>
      <c r="AN24" s="79">
        <v>30</v>
      </c>
      <c r="AO24" s="79">
        <v>30</v>
      </c>
      <c r="AP24" s="79">
        <v>21</v>
      </c>
      <c r="AQ24" s="79">
        <v>27</v>
      </c>
      <c r="AR24" s="79">
        <v>14</v>
      </c>
      <c r="AS24" s="79">
        <v>28</v>
      </c>
      <c r="AT24" s="79">
        <v>21</v>
      </c>
      <c r="AU24" s="79">
        <v>17</v>
      </c>
      <c r="AV24" s="79">
        <v>30</v>
      </c>
      <c r="AW24" s="79">
        <v>31</v>
      </c>
      <c r="AX24" s="79">
        <v>21</v>
      </c>
      <c r="AY24" s="79">
        <v>35</v>
      </c>
      <c r="AZ24" s="79">
        <v>31</v>
      </c>
      <c r="BA24" s="79">
        <v>35</v>
      </c>
      <c r="BB24" s="79">
        <v>25</v>
      </c>
      <c r="BC24" s="79">
        <v>13</v>
      </c>
      <c r="BD24" s="79">
        <v>10</v>
      </c>
      <c r="BE24" s="79">
        <v>21</v>
      </c>
      <c r="BF24" s="79">
        <v>35</v>
      </c>
      <c r="BG24" s="79">
        <v>17</v>
      </c>
      <c r="BH24" s="79">
        <v>38</v>
      </c>
      <c r="BI24" s="79">
        <v>38</v>
      </c>
      <c r="BJ24" s="79">
        <v>28</v>
      </c>
      <c r="BK24" s="79">
        <v>28</v>
      </c>
      <c r="BL24" s="79">
        <v>24</v>
      </c>
      <c r="BM24" s="79">
        <v>28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8</v>
      </c>
      <c r="P25" s="36">
        <f t="shared" si="3"/>
        <v>5</v>
      </c>
      <c r="Q25" s="36">
        <f t="shared" si="3"/>
        <v>6</v>
      </c>
      <c r="R25" s="36">
        <f t="shared" si="3"/>
        <v>4</v>
      </c>
      <c r="S25" s="36">
        <f t="shared" si="3"/>
        <v>5</v>
      </c>
      <c r="T25" s="36">
        <f t="shared" si="3"/>
        <v>6</v>
      </c>
      <c r="U25" s="36">
        <f t="shared" si="3"/>
        <v>6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7</v>
      </c>
      <c r="Z25" s="36">
        <f t="shared" si="3"/>
        <v>7</v>
      </c>
      <c r="AA25" s="36">
        <f t="shared" si="3"/>
        <v>4</v>
      </c>
      <c r="AB25" s="36">
        <f t="shared" si="3"/>
        <v>5</v>
      </c>
      <c r="AC25" s="36">
        <f t="shared" si="3"/>
        <v>7</v>
      </c>
      <c r="AD25" s="36">
        <f t="shared" si="3"/>
        <v>7</v>
      </c>
      <c r="AE25" s="36">
        <f t="shared" si="3"/>
        <v>5</v>
      </c>
      <c r="AF25" s="36">
        <f t="shared" si="3"/>
        <v>2</v>
      </c>
      <c r="AG25" s="36">
        <f t="shared" si="3"/>
        <v>4</v>
      </c>
      <c r="AH25" s="36">
        <f t="shared" si="3"/>
        <v>5</v>
      </c>
      <c r="AI25" s="36">
        <f t="shared" si="3"/>
        <v>7</v>
      </c>
      <c r="AJ25" s="36">
        <f t="shared" si="3"/>
        <v>6</v>
      </c>
      <c r="AK25" s="36">
        <f t="shared" si="3"/>
        <v>6</v>
      </c>
      <c r="AL25" s="36">
        <f t="shared" si="3"/>
        <v>7</v>
      </c>
      <c r="AM25" s="36">
        <f t="shared" si="3"/>
        <v>6</v>
      </c>
      <c r="AN25" s="36">
        <f t="shared" si="3"/>
        <v>5</v>
      </c>
      <c r="AO25" s="36">
        <f t="shared" si="3"/>
        <v>8</v>
      </c>
      <c r="AP25" s="36">
        <f t="shared" si="3"/>
        <v>7</v>
      </c>
      <c r="AQ25" s="36">
        <f t="shared" si="3"/>
        <v>5</v>
      </c>
      <c r="AR25" s="36">
        <f t="shared" si="3"/>
        <v>4</v>
      </c>
      <c r="AS25" s="36">
        <f t="shared" si="3"/>
        <v>4</v>
      </c>
      <c r="AT25" s="36">
        <f t="shared" si="3"/>
        <v>6</v>
      </c>
      <c r="AU25" s="36">
        <f t="shared" si="3"/>
        <v>8</v>
      </c>
      <c r="AV25" s="36">
        <f t="shared" si="3"/>
        <v>4</v>
      </c>
      <c r="AW25" s="36">
        <f t="shared" si="3"/>
        <v>6</v>
      </c>
      <c r="AX25" s="36">
        <f t="shared" si="3"/>
        <v>5</v>
      </c>
      <c r="AY25" s="36">
        <f t="shared" si="3"/>
        <v>5</v>
      </c>
      <c r="AZ25" s="36">
        <f t="shared" si="3"/>
        <v>4</v>
      </c>
      <c r="BA25" s="36">
        <f t="shared" si="3"/>
        <v>7</v>
      </c>
      <c r="BB25" s="36">
        <f t="shared" si="3"/>
        <v>6</v>
      </c>
      <c r="BC25" s="36">
        <f t="shared" si="3"/>
        <v>4</v>
      </c>
      <c r="BD25" s="36">
        <f t="shared" si="3"/>
        <v>2</v>
      </c>
      <c r="BE25" s="36">
        <f t="shared" si="3"/>
        <v>6</v>
      </c>
      <c r="BF25" s="36">
        <f t="shared" si="3"/>
        <v>4</v>
      </c>
      <c r="BG25" s="36">
        <f t="shared" si="3"/>
        <v>3</v>
      </c>
      <c r="BH25" s="36">
        <f t="shared" si="3"/>
        <v>3</v>
      </c>
      <c r="BI25" s="36">
        <f t="shared" si="3"/>
        <v>5</v>
      </c>
      <c r="BJ25" s="36">
        <f t="shared" si="3"/>
        <v>4</v>
      </c>
      <c r="BK25" s="36">
        <f t="shared" si="3"/>
        <v>4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7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7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BN26" si="4">ABS((L23-L24)-($D21-$D22))</f>
        <v>6</v>
      </c>
      <c r="M26" s="71">
        <f t="shared" si="4"/>
        <v>11</v>
      </c>
      <c r="N26" s="71">
        <f t="shared" si="4"/>
        <v>8</v>
      </c>
      <c r="O26" s="71">
        <f t="shared" si="4"/>
        <v>2</v>
      </c>
      <c r="P26" s="71">
        <f t="shared" si="4"/>
        <v>12</v>
      </c>
      <c r="Q26" s="71">
        <f t="shared" si="4"/>
        <v>13</v>
      </c>
      <c r="R26" s="71">
        <f t="shared" si="4"/>
        <v>1</v>
      </c>
      <c r="S26" s="71">
        <f t="shared" si="4"/>
        <v>7</v>
      </c>
      <c r="T26" s="71">
        <f t="shared" si="4"/>
        <v>4</v>
      </c>
      <c r="U26" s="71">
        <f t="shared" si="4"/>
        <v>6</v>
      </c>
      <c r="V26" s="71">
        <f t="shared" si="4"/>
        <v>11</v>
      </c>
      <c r="W26" s="71">
        <f t="shared" si="4"/>
        <v>4</v>
      </c>
      <c r="X26" s="71">
        <f t="shared" si="4"/>
        <v>5</v>
      </c>
      <c r="Y26" s="71">
        <f t="shared" si="4"/>
        <v>4</v>
      </c>
      <c r="Z26" s="71">
        <f t="shared" si="4"/>
        <v>0</v>
      </c>
      <c r="AA26" s="71">
        <f t="shared" si="4"/>
        <v>6</v>
      </c>
      <c r="AB26" s="71">
        <f t="shared" si="4"/>
        <v>3</v>
      </c>
      <c r="AC26" s="71">
        <f t="shared" si="4"/>
        <v>9</v>
      </c>
      <c r="AD26" s="71">
        <f t="shared" si="4"/>
        <v>16</v>
      </c>
      <c r="AE26" s="71">
        <f t="shared" si="4"/>
        <v>17</v>
      </c>
      <c r="AF26" s="71">
        <f t="shared" si="4"/>
        <v>19</v>
      </c>
      <c r="AG26" s="71">
        <f t="shared" si="4"/>
        <v>9</v>
      </c>
      <c r="AH26" s="71">
        <f t="shared" si="4"/>
        <v>5</v>
      </c>
      <c r="AI26" s="71">
        <f t="shared" si="4"/>
        <v>3</v>
      </c>
      <c r="AJ26" s="71">
        <f t="shared" si="4"/>
        <v>12</v>
      </c>
      <c r="AK26" s="71">
        <f t="shared" si="4"/>
        <v>9</v>
      </c>
      <c r="AL26" s="71">
        <f t="shared" si="4"/>
        <v>11</v>
      </c>
      <c r="AM26" s="71">
        <f t="shared" si="4"/>
        <v>8</v>
      </c>
      <c r="AN26" s="71">
        <f t="shared" si="4"/>
        <v>2</v>
      </c>
      <c r="AO26" s="71">
        <f t="shared" si="4"/>
        <v>10</v>
      </c>
      <c r="AP26" s="71">
        <f t="shared" si="4"/>
        <v>2</v>
      </c>
      <c r="AQ26" s="71">
        <f t="shared" si="4"/>
        <v>15</v>
      </c>
      <c r="AR26" s="71">
        <f t="shared" si="4"/>
        <v>2</v>
      </c>
      <c r="AS26" s="71">
        <f t="shared" si="4"/>
        <v>2</v>
      </c>
      <c r="AT26" s="71">
        <f t="shared" si="4"/>
        <v>5</v>
      </c>
      <c r="AU26" s="71">
        <f t="shared" si="4"/>
        <v>3</v>
      </c>
      <c r="AV26" s="71">
        <f t="shared" si="4"/>
        <v>7</v>
      </c>
      <c r="AW26" s="71">
        <f t="shared" si="4"/>
        <v>2</v>
      </c>
      <c r="AX26" s="71">
        <f t="shared" si="4"/>
        <v>23</v>
      </c>
      <c r="AY26" s="71">
        <f t="shared" si="4"/>
        <v>5</v>
      </c>
      <c r="AZ26" s="71">
        <f t="shared" si="4"/>
        <v>8</v>
      </c>
      <c r="BA26" s="71">
        <f t="shared" si="4"/>
        <v>15</v>
      </c>
      <c r="BB26" s="71">
        <f t="shared" si="4"/>
        <v>5</v>
      </c>
      <c r="BC26" s="71">
        <f t="shared" si="4"/>
        <v>3</v>
      </c>
      <c r="BD26" s="71">
        <f t="shared" si="4"/>
        <v>29</v>
      </c>
      <c r="BE26" s="71">
        <f t="shared" si="4"/>
        <v>2</v>
      </c>
      <c r="BF26" s="71">
        <f t="shared" si="4"/>
        <v>5</v>
      </c>
      <c r="BG26" s="71">
        <f t="shared" si="4"/>
        <v>5</v>
      </c>
      <c r="BH26" s="71">
        <f t="shared" si="4"/>
        <v>8</v>
      </c>
      <c r="BI26" s="71">
        <f t="shared" si="4"/>
        <v>8</v>
      </c>
      <c r="BJ26" s="71">
        <f t="shared" si="4"/>
        <v>6</v>
      </c>
      <c r="BK26" s="71">
        <f t="shared" si="4"/>
        <v>5</v>
      </c>
      <c r="BL26" s="71">
        <f t="shared" si="4"/>
        <v>7</v>
      </c>
      <c r="BM26" s="71">
        <f t="shared" si="4"/>
        <v>2</v>
      </c>
      <c r="BN26" s="71">
        <f t="shared" si="4"/>
        <v>6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BN27" si="5">ABS(($D21+$D22)-(L23+L24))</f>
        <v>16</v>
      </c>
      <c r="M27" s="71">
        <f t="shared" si="5"/>
        <v>7</v>
      </c>
      <c r="N27" s="71">
        <f t="shared" si="5"/>
        <v>18</v>
      </c>
      <c r="O27" s="71">
        <f t="shared" si="5"/>
        <v>14</v>
      </c>
      <c r="P27" s="71">
        <f t="shared" si="5"/>
        <v>2</v>
      </c>
      <c r="Q27" s="71">
        <f t="shared" si="5"/>
        <v>19</v>
      </c>
      <c r="R27" s="71">
        <f t="shared" si="5"/>
        <v>15</v>
      </c>
      <c r="S27" s="71">
        <f t="shared" si="5"/>
        <v>31</v>
      </c>
      <c r="T27" s="71">
        <f t="shared" si="5"/>
        <v>16</v>
      </c>
      <c r="U27" s="71">
        <f t="shared" si="5"/>
        <v>10</v>
      </c>
      <c r="V27" s="71">
        <f t="shared" si="5"/>
        <v>21</v>
      </c>
      <c r="W27" s="71">
        <f t="shared" si="5"/>
        <v>14</v>
      </c>
      <c r="X27" s="71">
        <f t="shared" si="5"/>
        <v>7</v>
      </c>
      <c r="Y27" s="71">
        <f t="shared" si="5"/>
        <v>14</v>
      </c>
      <c r="Z27" s="71">
        <f t="shared" si="5"/>
        <v>24</v>
      </c>
      <c r="AA27" s="71">
        <f t="shared" si="5"/>
        <v>10</v>
      </c>
      <c r="AB27" s="71">
        <f t="shared" si="5"/>
        <v>7</v>
      </c>
      <c r="AC27" s="71">
        <f t="shared" si="5"/>
        <v>13</v>
      </c>
      <c r="AD27" s="71">
        <f t="shared" si="5"/>
        <v>14</v>
      </c>
      <c r="AE27" s="71">
        <f t="shared" si="5"/>
        <v>17</v>
      </c>
      <c r="AF27" s="71">
        <f t="shared" si="5"/>
        <v>29</v>
      </c>
      <c r="AG27" s="71">
        <f t="shared" si="5"/>
        <v>17</v>
      </c>
      <c r="AH27" s="71">
        <f t="shared" si="5"/>
        <v>1</v>
      </c>
      <c r="AI27" s="71">
        <f t="shared" si="5"/>
        <v>1</v>
      </c>
      <c r="AJ27" s="71">
        <f t="shared" si="5"/>
        <v>22</v>
      </c>
      <c r="AK27" s="71">
        <f t="shared" si="5"/>
        <v>3</v>
      </c>
      <c r="AL27" s="71">
        <f t="shared" si="5"/>
        <v>15</v>
      </c>
      <c r="AM27" s="71">
        <f t="shared" si="5"/>
        <v>18</v>
      </c>
      <c r="AN27" s="71">
        <f t="shared" si="5"/>
        <v>4</v>
      </c>
      <c r="AO27" s="71">
        <f t="shared" si="5"/>
        <v>12</v>
      </c>
      <c r="AP27" s="71">
        <f t="shared" si="5"/>
        <v>14</v>
      </c>
      <c r="AQ27" s="71">
        <f t="shared" si="5"/>
        <v>19</v>
      </c>
      <c r="AR27" s="71">
        <f t="shared" si="5"/>
        <v>28</v>
      </c>
      <c r="AS27" s="71">
        <f t="shared" si="5"/>
        <v>0</v>
      </c>
      <c r="AT27" s="71">
        <f t="shared" si="5"/>
        <v>11</v>
      </c>
      <c r="AU27" s="71">
        <f t="shared" si="5"/>
        <v>21</v>
      </c>
      <c r="AV27" s="71">
        <f t="shared" si="5"/>
        <v>5</v>
      </c>
      <c r="AW27" s="71">
        <f t="shared" si="5"/>
        <v>2</v>
      </c>
      <c r="AX27" s="71">
        <f t="shared" si="5"/>
        <v>7</v>
      </c>
      <c r="AY27" s="71">
        <f t="shared" si="5"/>
        <v>7</v>
      </c>
      <c r="AZ27" s="71">
        <f t="shared" si="5"/>
        <v>4</v>
      </c>
      <c r="BA27" s="71">
        <f t="shared" si="5"/>
        <v>3</v>
      </c>
      <c r="BB27" s="71">
        <f t="shared" si="5"/>
        <v>13</v>
      </c>
      <c r="BC27" s="71">
        <f t="shared" si="5"/>
        <v>29</v>
      </c>
      <c r="BD27" s="71">
        <f t="shared" si="5"/>
        <v>9</v>
      </c>
      <c r="BE27" s="71">
        <f t="shared" si="5"/>
        <v>18</v>
      </c>
      <c r="BF27" s="71">
        <f t="shared" si="5"/>
        <v>7</v>
      </c>
      <c r="BG27" s="71">
        <f t="shared" si="5"/>
        <v>19</v>
      </c>
      <c r="BH27" s="71">
        <f t="shared" si="5"/>
        <v>10</v>
      </c>
      <c r="BI27" s="71">
        <f t="shared" si="5"/>
        <v>10</v>
      </c>
      <c r="BJ27" s="71">
        <f t="shared" si="5"/>
        <v>4</v>
      </c>
      <c r="BK27" s="71">
        <f t="shared" si="5"/>
        <v>7</v>
      </c>
      <c r="BL27" s="71">
        <f t="shared" si="5"/>
        <v>17</v>
      </c>
      <c r="BM27" s="71">
        <f t="shared" si="5"/>
        <v>0</v>
      </c>
      <c r="BN27" s="71">
        <f t="shared" si="5"/>
        <v>4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>
        <f t="shared" ca="1" si="6"/>
        <v>1</v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0.5357142857142857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2</v>
      </c>
      <c r="M29" s="71">
        <f t="shared" si="7"/>
        <v>5</v>
      </c>
      <c r="N29" s="71">
        <f t="shared" si="7"/>
        <v>5</v>
      </c>
      <c r="O29" s="71">
        <f t="shared" si="7"/>
        <v>6</v>
      </c>
      <c r="P29" s="71">
        <f t="shared" si="7"/>
        <v>7</v>
      </c>
      <c r="Q29" s="71">
        <f t="shared" si="7"/>
        <v>6</v>
      </c>
      <c r="R29" s="71">
        <f t="shared" si="7"/>
        <v>6</v>
      </c>
      <c r="S29" s="71">
        <f t="shared" si="7"/>
        <v>5</v>
      </c>
      <c r="T29" s="71">
        <f t="shared" si="7"/>
        <v>8</v>
      </c>
      <c r="U29" s="71">
        <f t="shared" si="7"/>
        <v>6</v>
      </c>
      <c r="V29" s="71">
        <f t="shared" si="7"/>
        <v>5</v>
      </c>
      <c r="W29" s="71">
        <f t="shared" si="7"/>
        <v>4</v>
      </c>
      <c r="X29" s="71">
        <f t="shared" si="7"/>
        <v>5</v>
      </c>
      <c r="Y29" s="71">
        <f t="shared" si="7"/>
        <v>7</v>
      </c>
      <c r="Z29" s="71">
        <f t="shared" si="7"/>
        <v>7</v>
      </c>
      <c r="AA29" s="71">
        <f t="shared" si="7"/>
        <v>8</v>
      </c>
      <c r="AB29" s="71">
        <f t="shared" si="7"/>
        <v>9</v>
      </c>
      <c r="AC29" s="71">
        <f t="shared" si="7"/>
        <v>5</v>
      </c>
      <c r="AD29" s="71">
        <f t="shared" si="7"/>
        <v>7</v>
      </c>
      <c r="AE29" s="71">
        <f t="shared" si="7"/>
        <v>3</v>
      </c>
      <c r="AF29" s="71">
        <f t="shared" si="7"/>
        <v>6</v>
      </c>
      <c r="AG29" s="71">
        <f t="shared" si="7"/>
        <v>8</v>
      </c>
      <c r="AH29" s="71">
        <f t="shared" si="7"/>
        <v>3</v>
      </c>
      <c r="AI29" s="71">
        <f t="shared" si="7"/>
        <v>5</v>
      </c>
      <c r="AJ29" s="71">
        <f t="shared" si="7"/>
        <v>4</v>
      </c>
      <c r="AK29" s="71">
        <f t="shared" si="7"/>
        <v>6</v>
      </c>
      <c r="AL29" s="71">
        <f t="shared" si="7"/>
        <v>3</v>
      </c>
      <c r="AM29" s="71">
        <f t="shared" si="7"/>
        <v>6</v>
      </c>
      <c r="AN29" s="71">
        <f t="shared" si="7"/>
        <v>7</v>
      </c>
      <c r="AO29" s="71">
        <f t="shared" si="7"/>
        <v>6</v>
      </c>
      <c r="AP29" s="71">
        <f t="shared" si="7"/>
        <v>7</v>
      </c>
      <c r="AQ29" s="71">
        <f t="shared" si="7"/>
        <v>3</v>
      </c>
      <c r="AR29" s="71">
        <f t="shared" si="7"/>
        <v>8</v>
      </c>
      <c r="AS29" s="71">
        <f t="shared" si="7"/>
        <v>8</v>
      </c>
      <c r="AT29" s="71">
        <f t="shared" si="7"/>
        <v>6</v>
      </c>
      <c r="AU29" s="71">
        <f t="shared" si="7"/>
        <v>4</v>
      </c>
      <c r="AV29" s="71">
        <f t="shared" si="7"/>
        <v>6</v>
      </c>
      <c r="AW29" s="71">
        <f t="shared" si="7"/>
        <v>8</v>
      </c>
      <c r="AX29" s="71">
        <f t="shared" si="7"/>
        <v>7</v>
      </c>
      <c r="AY29" s="71">
        <f t="shared" si="7"/>
        <v>5</v>
      </c>
      <c r="AZ29" s="71">
        <f t="shared" si="7"/>
        <v>4</v>
      </c>
      <c r="BA29" s="71">
        <f t="shared" si="7"/>
        <v>3</v>
      </c>
      <c r="BB29" s="71">
        <f t="shared" si="7"/>
        <v>4</v>
      </c>
      <c r="BC29" s="71">
        <f t="shared" si="7"/>
        <v>8</v>
      </c>
      <c r="BD29" s="71">
        <f t="shared" si="7"/>
        <v>6</v>
      </c>
      <c r="BE29" s="71">
        <f t="shared" si="7"/>
        <v>6</v>
      </c>
      <c r="BF29" s="71">
        <f t="shared" si="7"/>
        <v>6</v>
      </c>
      <c r="BG29" s="71">
        <f t="shared" si="7"/>
        <v>7</v>
      </c>
      <c r="BH29" s="71">
        <f t="shared" si="7"/>
        <v>3</v>
      </c>
      <c r="BI29" s="71">
        <f t="shared" si="7"/>
        <v>7</v>
      </c>
      <c r="BJ29" s="71">
        <f t="shared" si="7"/>
        <v>8</v>
      </c>
      <c r="BK29" s="71">
        <f t="shared" si="7"/>
        <v>8</v>
      </c>
      <c r="BL29" s="71">
        <f t="shared" si="7"/>
        <v>3</v>
      </c>
      <c r="BM29" s="71">
        <f t="shared" si="7"/>
        <v>7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1</v>
      </c>
      <c r="N30" s="73">
        <f t="shared" si="8"/>
        <v>3</v>
      </c>
      <c r="O30" s="73">
        <f t="shared" si="8"/>
        <v>4</v>
      </c>
      <c r="P30" s="73">
        <f t="shared" si="8"/>
        <v>3</v>
      </c>
      <c r="Q30" s="73">
        <f t="shared" si="8"/>
        <v>4</v>
      </c>
      <c r="R30" s="73">
        <f t="shared" si="8"/>
        <v>10</v>
      </c>
      <c r="S30" s="73">
        <f t="shared" si="8"/>
        <v>3</v>
      </c>
      <c r="T30" s="73">
        <f t="shared" si="8"/>
        <v>6</v>
      </c>
      <c r="U30" s="73">
        <f t="shared" si="8"/>
        <v>6</v>
      </c>
      <c r="V30" s="73">
        <f t="shared" si="8"/>
        <v>1</v>
      </c>
      <c r="W30" s="73">
        <f t="shared" si="8"/>
        <v>4</v>
      </c>
      <c r="X30" s="73">
        <f t="shared" si="8"/>
        <v>7</v>
      </c>
      <c r="Y30" s="73">
        <f t="shared" si="8"/>
        <v>3</v>
      </c>
      <c r="Z30" s="73">
        <f t="shared" si="8"/>
        <v>7</v>
      </c>
      <c r="AA30" s="73">
        <f t="shared" si="8"/>
        <v>4</v>
      </c>
      <c r="AB30" s="73">
        <f t="shared" si="8"/>
        <v>5</v>
      </c>
      <c r="AC30" s="73">
        <f t="shared" si="8"/>
        <v>5</v>
      </c>
      <c r="AD30" s="73">
        <f t="shared" si="8"/>
        <v>7</v>
      </c>
      <c r="AE30" s="73">
        <f t="shared" si="8"/>
        <v>3</v>
      </c>
      <c r="AF30" s="73">
        <f t="shared" si="8"/>
        <v>4</v>
      </c>
      <c r="AG30" s="73">
        <f t="shared" si="8"/>
        <v>6</v>
      </c>
      <c r="AH30" s="73">
        <f t="shared" si="8"/>
        <v>3</v>
      </c>
      <c r="AI30" s="73">
        <f t="shared" si="8"/>
        <v>1</v>
      </c>
      <c r="AJ30" s="73">
        <f t="shared" si="8"/>
        <v>0</v>
      </c>
      <c r="AK30" s="73">
        <f t="shared" si="8"/>
        <v>4</v>
      </c>
      <c r="AL30" s="73">
        <f t="shared" si="8"/>
        <v>5</v>
      </c>
      <c r="AM30" s="73">
        <f t="shared" si="8"/>
        <v>4</v>
      </c>
      <c r="AN30" s="73">
        <f t="shared" si="8"/>
        <v>3</v>
      </c>
      <c r="AO30" s="73">
        <f t="shared" si="8"/>
        <v>6</v>
      </c>
      <c r="AP30" s="73">
        <f t="shared" si="8"/>
        <v>5</v>
      </c>
      <c r="AQ30" s="73">
        <f t="shared" si="8"/>
        <v>3</v>
      </c>
      <c r="AR30" s="73">
        <f t="shared" si="8"/>
        <v>4</v>
      </c>
      <c r="AS30" s="73">
        <f t="shared" si="8"/>
        <v>6</v>
      </c>
      <c r="AT30" s="73">
        <f t="shared" si="8"/>
        <v>4</v>
      </c>
      <c r="AU30" s="73">
        <f t="shared" si="8"/>
        <v>4</v>
      </c>
      <c r="AV30" s="73">
        <f t="shared" si="8"/>
        <v>2</v>
      </c>
      <c r="AW30" s="73">
        <f t="shared" si="8"/>
        <v>6</v>
      </c>
      <c r="AX30" s="73">
        <f t="shared" si="8"/>
        <v>5</v>
      </c>
      <c r="AY30" s="73">
        <f t="shared" si="8"/>
        <v>3</v>
      </c>
      <c r="AZ30" s="73">
        <f t="shared" si="8"/>
        <v>6</v>
      </c>
      <c r="BA30" s="73">
        <f t="shared" si="8"/>
        <v>1</v>
      </c>
      <c r="BB30" s="73">
        <f t="shared" si="8"/>
        <v>6</v>
      </c>
      <c r="BC30" s="73">
        <f t="shared" si="8"/>
        <v>6</v>
      </c>
      <c r="BD30" s="73">
        <f t="shared" si="8"/>
        <v>8</v>
      </c>
      <c r="BE30" s="73">
        <f t="shared" si="8"/>
        <v>4</v>
      </c>
      <c r="BF30" s="73">
        <f t="shared" si="8"/>
        <v>2</v>
      </c>
      <c r="BG30" s="73">
        <f t="shared" si="8"/>
        <v>5</v>
      </c>
      <c r="BH30" s="73">
        <f t="shared" si="8"/>
        <v>7</v>
      </c>
      <c r="BI30" s="73">
        <f t="shared" si="8"/>
        <v>5</v>
      </c>
      <c r="BJ30" s="73">
        <f t="shared" si="8"/>
        <v>4</v>
      </c>
      <c r="BK30" s="73">
        <f t="shared" si="8"/>
        <v>4</v>
      </c>
      <c r="BL30" s="73">
        <f t="shared" si="8"/>
        <v>3</v>
      </c>
      <c r="BM30" s="73">
        <f t="shared" si="8"/>
        <v>3</v>
      </c>
      <c r="BN30" s="73">
        <f t="shared" si="8"/>
        <v>5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7</v>
      </c>
      <c r="M31" s="71">
        <f t="shared" ca="1" si="9"/>
        <v>2</v>
      </c>
      <c r="N31" s="71">
        <f t="shared" ca="1" si="9"/>
        <v>2</v>
      </c>
      <c r="O31" s="71">
        <f t="shared" ca="1" si="9"/>
        <v>5</v>
      </c>
      <c r="P31" s="71">
        <f t="shared" ca="1" si="9"/>
        <v>2</v>
      </c>
      <c r="Q31" s="71">
        <f t="shared" ca="1" si="9"/>
        <v>3</v>
      </c>
      <c r="R31" s="71">
        <f t="shared" ca="1" si="9"/>
        <v>7</v>
      </c>
      <c r="S31" s="71">
        <f t="shared" ca="1" si="9"/>
        <v>2</v>
      </c>
      <c r="T31" s="71">
        <f t="shared" ca="1" si="9"/>
        <v>5</v>
      </c>
      <c r="U31" s="71">
        <f t="shared" ca="1" si="9"/>
        <v>5</v>
      </c>
      <c r="V31" s="71">
        <f t="shared" ca="1" si="9"/>
        <v>2</v>
      </c>
      <c r="W31" s="71">
        <f t="shared" ca="1" si="9"/>
        <v>3</v>
      </c>
      <c r="X31" s="71">
        <f t="shared" ca="1" si="9"/>
        <v>8</v>
      </c>
      <c r="Y31" s="71">
        <f t="shared" ca="1" si="9"/>
        <v>2</v>
      </c>
      <c r="Z31" s="71">
        <f t="shared" ca="1" si="9"/>
        <v>6</v>
      </c>
      <c r="AA31" s="71">
        <f t="shared" ca="1" si="9"/>
        <v>3</v>
      </c>
      <c r="AB31" s="71">
        <f t="shared" ca="1" si="9"/>
        <v>4</v>
      </c>
      <c r="AC31" s="71">
        <f t="shared" ca="1" si="9"/>
        <v>2</v>
      </c>
      <c r="AD31" s="71">
        <f t="shared" ca="1" si="9"/>
        <v>4</v>
      </c>
      <c r="AE31" s="71">
        <f t="shared" ca="1" si="9"/>
        <v>4</v>
      </c>
      <c r="AF31" s="71">
        <f t="shared" ca="1" si="9"/>
        <v>3</v>
      </c>
      <c r="AG31" s="71">
        <f t="shared" ca="1" si="9"/>
        <v>3</v>
      </c>
      <c r="AH31" s="71">
        <f t="shared" ca="1" si="9"/>
        <v>4</v>
      </c>
      <c r="AI31" s="71">
        <f t="shared" ca="1" si="9"/>
        <v>2</v>
      </c>
      <c r="AJ31" s="71">
        <f t="shared" ca="1" si="9"/>
        <v>3</v>
      </c>
      <c r="AK31" s="71">
        <f t="shared" ca="1" si="9"/>
        <v>5</v>
      </c>
      <c r="AL31" s="71">
        <f t="shared" ca="1" si="9"/>
        <v>6</v>
      </c>
      <c r="AM31" s="71">
        <f t="shared" ca="1" si="9"/>
        <v>5</v>
      </c>
      <c r="AN31" s="71">
        <f t="shared" ca="1" si="9"/>
        <v>0</v>
      </c>
      <c r="AO31" s="71">
        <f t="shared" ca="1" si="9"/>
        <v>5</v>
      </c>
      <c r="AP31" s="71">
        <f t="shared" ca="1" si="9"/>
        <v>2</v>
      </c>
      <c r="AQ31" s="71">
        <f t="shared" ca="1" si="9"/>
        <v>4</v>
      </c>
      <c r="AR31" s="71">
        <f t="shared" ca="1" si="9"/>
        <v>3</v>
      </c>
      <c r="AS31" s="71">
        <f t="shared" ca="1" si="9"/>
        <v>3</v>
      </c>
      <c r="AT31" s="71">
        <f t="shared" ca="1" si="9"/>
        <v>3</v>
      </c>
      <c r="AU31" s="71">
        <f t="shared" ca="1" si="9"/>
        <v>5</v>
      </c>
      <c r="AV31" s="71">
        <f t="shared" ca="1" si="9"/>
        <v>3</v>
      </c>
      <c r="AW31" s="71">
        <f t="shared" ca="1" si="9"/>
        <v>3</v>
      </c>
      <c r="AX31" s="71">
        <f t="shared" ca="1" si="9"/>
        <v>2</v>
      </c>
      <c r="AY31" s="71">
        <f t="shared" ca="1" si="9"/>
        <v>2</v>
      </c>
      <c r="AZ31" s="71">
        <f t="shared" ca="1" si="9"/>
        <v>9</v>
      </c>
      <c r="BA31" s="71">
        <f t="shared" ca="1" si="9"/>
        <v>4</v>
      </c>
      <c r="BB31" s="71">
        <f t="shared" ca="1" si="9"/>
        <v>7</v>
      </c>
      <c r="BC31" s="71">
        <f t="shared" ca="1" si="9"/>
        <v>3</v>
      </c>
      <c r="BD31" s="71">
        <f t="shared" ca="1" si="9"/>
        <v>5</v>
      </c>
      <c r="BE31" s="71">
        <f t="shared" ca="1" si="9"/>
        <v>3</v>
      </c>
      <c r="BF31" s="71">
        <f t="shared" ca="1" si="9"/>
        <v>3</v>
      </c>
      <c r="BG31" s="71">
        <f t="shared" ca="1" si="9"/>
        <v>4</v>
      </c>
      <c r="BH31" s="71">
        <f t="shared" ca="1" si="9"/>
        <v>6</v>
      </c>
      <c r="BI31" s="71">
        <f t="shared" ca="1" si="9"/>
        <v>4</v>
      </c>
      <c r="BJ31" s="71">
        <f t="shared" ca="1" si="9"/>
        <v>1</v>
      </c>
      <c r="BK31" s="71">
        <f t="shared" ca="1" si="9"/>
        <v>5</v>
      </c>
      <c r="BL31" s="71">
        <f t="shared" ca="1" si="9"/>
        <v>4</v>
      </c>
      <c r="BM31" s="71">
        <f t="shared" ca="1" si="9"/>
        <v>2</v>
      </c>
      <c r="BN31" s="71">
        <f t="shared" ca="1" si="9"/>
        <v>2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99979916</v>
      </c>
      <c r="L36" s="32">
        <f t="shared" ref="L36:BN36" si="12">COUNTA(L23:L24)*((10000000*L25)+(1000000*(COUNTA(L21)*$E21+COUNTA(L22)*$E22))-(COUNTA($D$21:$D$22)*1000*L26)-(COUNTA($D$21:$D$22)*L27))</f>
        <v>119975936</v>
      </c>
      <c r="M36" s="32">
        <f t="shared" si="12"/>
        <v>99955972</v>
      </c>
      <c r="N36" s="32">
        <f t="shared" si="12"/>
        <v>99967928</v>
      </c>
      <c r="O36" s="32">
        <f t="shared" si="12"/>
        <v>161991944</v>
      </c>
      <c r="P36" s="32">
        <f t="shared" si="12"/>
        <v>101951992</v>
      </c>
      <c r="Q36" s="32">
        <f t="shared" si="12"/>
        <v>119947924</v>
      </c>
      <c r="R36" s="32">
        <f t="shared" si="12"/>
        <v>81995940</v>
      </c>
      <c r="S36" s="32">
        <f t="shared" si="12"/>
        <v>99971876</v>
      </c>
      <c r="T36" s="32">
        <f t="shared" si="12"/>
        <v>121983936</v>
      </c>
      <c r="U36" s="32">
        <f t="shared" si="12"/>
        <v>119975960</v>
      </c>
      <c r="V36" s="32">
        <f t="shared" si="12"/>
        <v>99955916</v>
      </c>
      <c r="W36" s="32">
        <f t="shared" si="12"/>
        <v>121983944</v>
      </c>
      <c r="X36" s="32">
        <f t="shared" si="12"/>
        <v>99979972</v>
      </c>
      <c r="Y36" s="32">
        <f t="shared" si="12"/>
        <v>141983944</v>
      </c>
      <c r="Z36" s="32">
        <f t="shared" si="12"/>
        <v>141999904</v>
      </c>
      <c r="AA36" s="32">
        <f t="shared" si="12"/>
        <v>81975960</v>
      </c>
      <c r="AB36" s="32">
        <f t="shared" si="12"/>
        <v>101987972</v>
      </c>
      <c r="AC36" s="32">
        <f t="shared" si="12"/>
        <v>141963948</v>
      </c>
      <c r="AD36" s="32">
        <f t="shared" si="12"/>
        <v>141935944</v>
      </c>
      <c r="AE36" s="32">
        <f t="shared" si="12"/>
        <v>99931932</v>
      </c>
      <c r="AF36" s="32">
        <f t="shared" si="12"/>
        <v>39923884</v>
      </c>
      <c r="AG36" s="32">
        <f t="shared" si="12"/>
        <v>81963932</v>
      </c>
      <c r="AH36" s="32">
        <f t="shared" si="12"/>
        <v>99979996</v>
      </c>
      <c r="AI36" s="32">
        <f t="shared" si="12"/>
        <v>141987996</v>
      </c>
      <c r="AJ36" s="32">
        <f t="shared" si="12"/>
        <v>119951912</v>
      </c>
      <c r="AK36" s="32">
        <f t="shared" si="12"/>
        <v>119963988</v>
      </c>
      <c r="AL36" s="32">
        <f t="shared" si="12"/>
        <v>139955940</v>
      </c>
      <c r="AM36" s="32">
        <f t="shared" si="12"/>
        <v>119967928</v>
      </c>
      <c r="AN36" s="32">
        <f t="shared" si="12"/>
        <v>101991984</v>
      </c>
      <c r="AO36" s="32">
        <f t="shared" si="12"/>
        <v>161959952</v>
      </c>
      <c r="AP36" s="32">
        <f t="shared" si="12"/>
        <v>141991944</v>
      </c>
      <c r="AQ36" s="32">
        <f t="shared" si="12"/>
        <v>99939924</v>
      </c>
      <c r="AR36" s="32">
        <f t="shared" si="12"/>
        <v>81991888</v>
      </c>
      <c r="AS36" s="32">
        <f t="shared" si="12"/>
        <v>81992000</v>
      </c>
      <c r="AT36" s="32">
        <f t="shared" si="12"/>
        <v>121979956</v>
      </c>
      <c r="AU36" s="32">
        <f t="shared" si="12"/>
        <v>161987916</v>
      </c>
      <c r="AV36" s="32">
        <f t="shared" si="12"/>
        <v>79971980</v>
      </c>
      <c r="AW36" s="32">
        <f t="shared" si="12"/>
        <v>121991992</v>
      </c>
      <c r="AX36" s="32">
        <f t="shared" si="12"/>
        <v>101907972</v>
      </c>
      <c r="AY36" s="32">
        <f t="shared" si="12"/>
        <v>99979972</v>
      </c>
      <c r="AZ36" s="32">
        <f t="shared" si="12"/>
        <v>79967984</v>
      </c>
      <c r="BA36" s="32">
        <f t="shared" si="12"/>
        <v>139939988</v>
      </c>
      <c r="BB36" s="32">
        <f t="shared" si="12"/>
        <v>119979948</v>
      </c>
      <c r="BC36" s="32">
        <f t="shared" si="12"/>
        <v>81987884</v>
      </c>
      <c r="BD36" s="32">
        <f t="shared" si="12"/>
        <v>41883964</v>
      </c>
      <c r="BE36" s="32">
        <f t="shared" si="12"/>
        <v>121991928</v>
      </c>
      <c r="BF36" s="32">
        <f t="shared" si="12"/>
        <v>79979972</v>
      </c>
      <c r="BG36" s="32">
        <f t="shared" si="12"/>
        <v>61979924</v>
      </c>
      <c r="BH36" s="32">
        <f t="shared" si="12"/>
        <v>59967960</v>
      </c>
      <c r="BI36" s="32">
        <f t="shared" si="12"/>
        <v>99967960</v>
      </c>
      <c r="BJ36" s="32">
        <f t="shared" si="12"/>
        <v>81975984</v>
      </c>
      <c r="BK36" s="32">
        <f t="shared" si="12"/>
        <v>79979972</v>
      </c>
      <c r="BL36" s="32">
        <f t="shared" si="12"/>
        <v>99971932</v>
      </c>
      <c r="BM36" s="32">
        <f t="shared" si="12"/>
        <v>141992000</v>
      </c>
      <c r="BN36" s="32">
        <f t="shared" si="12"/>
        <v>141975984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 x14ac:dyDescent="0.25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Brent;Holley, Jeremy Remote;Hucks, Jason;Inabinet, Greg;James, Larry C;Johnson, Robert J;Kandela, Marwan;Locklear,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44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343" priority="17" stopIfTrue="1" operator="equal">
      <formula>0</formula>
    </cfRule>
  </conditionalFormatting>
  <conditionalFormatting sqref="D26:J28 K28:BE28">
    <cfRule type="cellIs" dxfId="342" priority="16" stopIfTrue="1" operator="equal">
      <formula>1</formula>
    </cfRule>
  </conditionalFormatting>
  <conditionalFormatting sqref="H3:I3 F23 H5:I5 H7:I7 H9:I9 H11:I11 H13:I13 H15:I15 H17:I17 H19:I19 H21:I21">
    <cfRule type="cellIs" dxfId="341" priority="15" stopIfTrue="1" operator="equal">
      <formula>0</formula>
    </cfRule>
  </conditionalFormatting>
  <conditionalFormatting sqref="H4:I4 F24 H6:I6 H8:I8 H10:I10 H12:I12 H14:I14 H16:I16 H18:I18 H20:I20 H22:I22">
    <cfRule type="cellIs" dxfId="340" priority="14" stopIfTrue="1" operator="equal">
      <formula>0</formula>
    </cfRule>
  </conditionalFormatting>
  <conditionalFormatting sqref="F3 F5 F7 F9 F11 F13 F15 F17 F19 F21">
    <cfRule type="cellIs" dxfId="33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38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37" priority="10" stopIfTrue="1">
      <formula>AND(COUNTA(J4)=1,$E4=1,SUM($E3:$E4)=1)</formula>
    </cfRule>
    <cfRule type="expression" dxfId="336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335" priority="8" stopIfTrue="1">
      <formula>AND(COUNTA(J3)=1,$E3=1,SUM($E3:$E4)=1)</formula>
    </cfRule>
    <cfRule type="expression" dxfId="334" priority="9" stopIfTrue="1">
      <formula>AND(COUNTA(J3)=1,$E3=0,SUM($E3:$E4)=1)</formula>
    </cfRule>
  </conditionalFormatting>
  <conditionalFormatting sqref="BF23:BN23">
    <cfRule type="cellIs" dxfId="333" priority="7" stopIfTrue="1" operator="equal">
      <formula>0</formula>
    </cfRule>
  </conditionalFormatting>
  <conditionalFormatting sqref="BF24:BN24">
    <cfRule type="cellIs" dxfId="332" priority="6" stopIfTrue="1" operator="equal">
      <formula>0</formula>
    </cfRule>
  </conditionalFormatting>
  <conditionalFormatting sqref="BF28:BN28">
    <cfRule type="cellIs" dxfId="33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330" priority="3" stopIfTrue="1">
      <formula>AND(COUNTA(BF4)=1,$E4=1,SUM($E3:$E4)=1)</formula>
    </cfRule>
    <cfRule type="expression" dxfId="32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328" priority="1" stopIfTrue="1">
      <formula>AND(COUNTA(BF3)=1,$E3=1,SUM($E3:$E4)=1)</formula>
    </cfRule>
    <cfRule type="expression" dxfId="32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676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22860</xdr:colOff>
                    <xdr:row>1</xdr:row>
                    <xdr:rowOff>106680</xdr:rowOff>
                  </from>
                  <to>
                    <xdr:col>1</xdr:col>
                    <xdr:colOff>624840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22860</xdr:colOff>
                    <xdr:row>1</xdr:row>
                    <xdr:rowOff>381000</xdr:rowOff>
                  </from>
                  <to>
                    <xdr:col>1</xdr:col>
                    <xdr:colOff>624840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2" r:id="rId6" name="Button 4">
              <controlPr defaultSize="0" print="0" autoFill="0" autoPict="0" macro="[0]!callGetPicks">
                <anchor moveWithCells="1" sizeWithCells="1">
                  <from>
                    <xdr:col>1</xdr:col>
                    <xdr:colOff>22860</xdr:colOff>
                    <xdr:row>1</xdr:row>
                    <xdr:rowOff>381000</xdr:rowOff>
                  </from>
                  <to>
                    <xdr:col>1</xdr:col>
                    <xdr:colOff>624840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73" r:id="rId7" name="Button 5">
              <controlPr defaultSize="0" print="0" autoFill="0" autoPict="0" macro="[0]!grabSayings">
                <anchor moveWithCells="1" sizeWithCells="1">
                  <from>
                    <xdr:col>1</xdr:col>
                    <xdr:colOff>22860</xdr:colOff>
                    <xdr:row>1</xdr:row>
                    <xdr:rowOff>678180</xdr:rowOff>
                  </from>
                  <to>
                    <xdr:col>1</xdr:col>
                    <xdr:colOff>739140</xdr:colOff>
                    <xdr:row>1</xdr:row>
                    <xdr:rowOff>883920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N58"/>
  <sheetViews>
    <sheetView zoomScale="90" zoomScaleNormal="100" zoomScaleSheetLayoutView="100" workbookViewId="0">
      <selection activeCell="AE25" sqref="AE25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6" x14ac:dyDescent="0.25">
      <c r="B1" s="6"/>
      <c r="I1">
        <f>COUNTA(K1:BL1)</f>
        <v>0</v>
      </c>
      <c r="J1">
        <f>SUM(K1:BL1)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 x14ac:dyDescent="0.25">
      <c r="A3" s="59">
        <v>1</v>
      </c>
      <c r="B3" s="67" t="s">
        <v>186</v>
      </c>
      <c r="C3" s="65">
        <v>2.5</v>
      </c>
      <c r="D3" s="64">
        <v>17</v>
      </c>
      <c r="E3" s="64">
        <f>IF(ISBLANK($D3),"0",IF(($D4-$D3)&lt;($C4-$C3),1,0))</f>
        <v>0</v>
      </c>
      <c r="F3" s="64">
        <f ca="1">COUNTA(INDIRECT("RC11:RC"&amp;11+playercnt-1,FALSE))</f>
        <v>37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311</v>
      </c>
      <c r="K3" s="69"/>
      <c r="L3" s="69" t="s">
        <v>313</v>
      </c>
      <c r="M3" s="69" t="s">
        <v>312</v>
      </c>
      <c r="N3" s="69"/>
      <c r="O3" s="69" t="s">
        <v>371</v>
      </c>
      <c r="P3" s="69" t="s">
        <v>317</v>
      </c>
      <c r="Q3" s="69" t="s">
        <v>397</v>
      </c>
      <c r="R3" s="69" t="s">
        <v>360</v>
      </c>
      <c r="S3" s="69" t="s">
        <v>316</v>
      </c>
      <c r="T3" s="69" t="s">
        <v>331</v>
      </c>
      <c r="U3" s="69"/>
      <c r="V3" s="69" t="s">
        <v>317</v>
      </c>
      <c r="W3" s="69"/>
      <c r="X3" s="69" t="s">
        <v>312</v>
      </c>
      <c r="Y3" s="69" t="s">
        <v>316</v>
      </c>
      <c r="Z3" s="69" t="s">
        <v>334</v>
      </c>
      <c r="AA3" s="69" t="s">
        <v>354</v>
      </c>
      <c r="AB3" s="69" t="s">
        <v>317</v>
      </c>
      <c r="AC3" s="69"/>
      <c r="AD3" s="69"/>
      <c r="AE3" s="69" t="s">
        <v>331</v>
      </c>
      <c r="AF3" s="69"/>
      <c r="AG3" s="69" t="s">
        <v>351</v>
      </c>
      <c r="AH3" s="69" t="s">
        <v>322</v>
      </c>
      <c r="AI3" s="69" t="s">
        <v>331</v>
      </c>
      <c r="AJ3" s="69" t="s">
        <v>314</v>
      </c>
      <c r="AK3" s="69" t="s">
        <v>317</v>
      </c>
      <c r="AL3" s="69" t="s">
        <v>347</v>
      </c>
      <c r="AM3" s="69" t="s">
        <v>315</v>
      </c>
      <c r="AN3" s="69"/>
      <c r="AO3" s="69"/>
      <c r="AP3" s="69" t="s">
        <v>334</v>
      </c>
      <c r="AQ3" s="69" t="s">
        <v>354</v>
      </c>
      <c r="AR3" s="99"/>
      <c r="AS3" s="69" t="s">
        <v>322</v>
      </c>
      <c r="AT3" s="69"/>
      <c r="AU3" s="69" t="s">
        <v>317</v>
      </c>
      <c r="AV3" s="69" t="s">
        <v>317</v>
      </c>
      <c r="AW3" s="69" t="s">
        <v>357</v>
      </c>
      <c r="AX3" s="69"/>
      <c r="AY3" s="69" t="s">
        <v>366</v>
      </c>
      <c r="AZ3" s="69"/>
      <c r="BA3" s="69"/>
      <c r="BB3" s="69" t="s">
        <v>315</v>
      </c>
      <c r="BC3" s="69" t="s">
        <v>326</v>
      </c>
      <c r="BD3" s="69"/>
      <c r="BE3" s="69"/>
      <c r="BF3" s="69"/>
      <c r="BG3" s="69" t="s">
        <v>331</v>
      </c>
      <c r="BH3" s="69"/>
      <c r="BI3" s="69" t="s">
        <v>317</v>
      </c>
      <c r="BJ3" s="69" t="s">
        <v>321</v>
      </c>
      <c r="BK3" s="69" t="s">
        <v>341</v>
      </c>
      <c r="BL3" s="69"/>
      <c r="BM3" s="69" t="s">
        <v>388</v>
      </c>
      <c r="BN3" s="69" t="s">
        <v>312</v>
      </c>
    </row>
    <row r="4" spans="1:66" x14ac:dyDescent="0.25">
      <c r="A4" s="61" t="s">
        <v>3</v>
      </c>
      <c r="B4" s="68" t="s">
        <v>215</v>
      </c>
      <c r="C4" s="66"/>
      <c r="D4" s="64">
        <v>44</v>
      </c>
      <c r="E4" s="64">
        <f>IF(ISBLANK($D4),"0",IF(($D4-$D3)&gt;($C4-$C3),1,0))</f>
        <v>1</v>
      </c>
      <c r="F4" s="64">
        <f t="shared" ref="F4:F22" ca="1" si="1">COUNTA(INDIRECT("RC11:RC"&amp;11+playercnt-1,FALSE))</f>
        <v>19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312</v>
      </c>
      <c r="L4" s="70"/>
      <c r="M4" s="70"/>
      <c r="N4" s="70" t="s">
        <v>355</v>
      </c>
      <c r="O4" s="70"/>
      <c r="P4" s="70"/>
      <c r="Q4" s="70"/>
      <c r="R4" s="70"/>
      <c r="S4" s="70"/>
      <c r="T4" s="70"/>
      <c r="U4" s="70" t="s">
        <v>333</v>
      </c>
      <c r="V4" s="70"/>
      <c r="W4" s="70" t="s">
        <v>332</v>
      </c>
      <c r="X4" s="70"/>
      <c r="Y4" s="70"/>
      <c r="Z4" s="70"/>
      <c r="AA4" s="70"/>
      <c r="AB4" s="70"/>
      <c r="AC4" s="70" t="s">
        <v>317</v>
      </c>
      <c r="AD4" s="70" t="s">
        <v>317</v>
      </c>
      <c r="AE4" s="70"/>
      <c r="AF4" s="70" t="s">
        <v>355</v>
      </c>
      <c r="AG4" s="70"/>
      <c r="AH4" s="70"/>
      <c r="AI4" s="70"/>
      <c r="AJ4" s="70"/>
      <c r="AK4" s="70"/>
      <c r="AL4" s="70"/>
      <c r="AM4" s="70"/>
      <c r="AN4" s="70" t="s">
        <v>317</v>
      </c>
      <c r="AO4" s="70" t="s">
        <v>317</v>
      </c>
      <c r="AP4" s="70"/>
      <c r="AQ4" s="70"/>
      <c r="AR4" s="70" t="s">
        <v>317</v>
      </c>
      <c r="AS4" s="70"/>
      <c r="AT4" s="70" t="s">
        <v>334</v>
      </c>
      <c r="AU4" s="70"/>
      <c r="AV4" s="70"/>
      <c r="AW4" s="70"/>
      <c r="AX4" s="70" t="s">
        <v>422</v>
      </c>
      <c r="AY4" s="70"/>
      <c r="AZ4" s="70" t="s">
        <v>313</v>
      </c>
      <c r="BA4" s="70" t="s">
        <v>317</v>
      </c>
      <c r="BB4" s="70"/>
      <c r="BC4" s="70"/>
      <c r="BD4" s="70" t="s">
        <v>420</v>
      </c>
      <c r="BE4" s="70" t="s">
        <v>367</v>
      </c>
      <c r="BF4" s="70" t="s">
        <v>368</v>
      </c>
      <c r="BG4" s="70"/>
      <c r="BH4" s="70" t="s">
        <v>317</v>
      </c>
      <c r="BI4" s="70"/>
      <c r="BJ4" s="70"/>
      <c r="BK4" s="70"/>
      <c r="BL4" s="70" t="s">
        <v>317</v>
      </c>
      <c r="BM4" s="70"/>
      <c r="BN4" s="70"/>
    </row>
    <row r="5" spans="1:66" x14ac:dyDescent="0.25">
      <c r="A5" s="59">
        <v>2</v>
      </c>
      <c r="B5" s="67" t="s">
        <v>210</v>
      </c>
      <c r="C5" s="65">
        <v>2.5</v>
      </c>
      <c r="D5" s="64">
        <v>38</v>
      </c>
      <c r="E5" s="64">
        <f>IF(ISBLANK($D5),"0",IF(($D6-$D5)&lt;($C6-$C5),1,0))</f>
        <v>0</v>
      </c>
      <c r="F5" s="64">
        <f t="shared" ca="1" si="1"/>
        <v>28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69"/>
      <c r="K5" s="69"/>
      <c r="L5" s="69" t="s">
        <v>313</v>
      </c>
      <c r="M5" s="69"/>
      <c r="N5" s="69"/>
      <c r="O5" s="69"/>
      <c r="P5" s="69"/>
      <c r="Q5" s="69"/>
      <c r="R5" s="69" t="s">
        <v>324</v>
      </c>
      <c r="S5" s="69" t="s">
        <v>320</v>
      </c>
      <c r="T5" s="69"/>
      <c r="U5" s="69" t="s">
        <v>386</v>
      </c>
      <c r="V5" s="69" t="s">
        <v>317</v>
      </c>
      <c r="W5" s="69"/>
      <c r="X5" s="69"/>
      <c r="Y5" s="69" t="s">
        <v>364</v>
      </c>
      <c r="Z5" s="69"/>
      <c r="AA5" s="69"/>
      <c r="AB5" s="69" t="s">
        <v>317</v>
      </c>
      <c r="AC5" s="69" t="s">
        <v>317</v>
      </c>
      <c r="AD5" s="69" t="s">
        <v>317</v>
      </c>
      <c r="AE5" s="69" t="s">
        <v>331</v>
      </c>
      <c r="AF5" s="69"/>
      <c r="AG5" s="69"/>
      <c r="AH5" s="69" t="s">
        <v>350</v>
      </c>
      <c r="AI5" s="69" t="s">
        <v>323</v>
      </c>
      <c r="AJ5" s="69" t="s">
        <v>314</v>
      </c>
      <c r="AK5" s="69"/>
      <c r="AL5" s="69"/>
      <c r="AM5" s="69"/>
      <c r="AN5" s="69"/>
      <c r="AO5" s="69" t="s">
        <v>317</v>
      </c>
      <c r="AP5" s="69" t="s">
        <v>327</v>
      </c>
      <c r="AQ5" s="69" t="s">
        <v>354</v>
      </c>
      <c r="AR5" s="99"/>
      <c r="AS5" s="69" t="s">
        <v>322</v>
      </c>
      <c r="AT5" s="69"/>
      <c r="AU5" s="69"/>
      <c r="AV5" s="69" t="s">
        <v>317</v>
      </c>
      <c r="AW5" s="69"/>
      <c r="AX5" s="69"/>
      <c r="AY5" s="69" t="s">
        <v>366</v>
      </c>
      <c r="AZ5" s="69" t="s">
        <v>313</v>
      </c>
      <c r="BA5" s="69"/>
      <c r="BB5" s="69" t="s">
        <v>335</v>
      </c>
      <c r="BC5" s="69" t="s">
        <v>387</v>
      </c>
      <c r="BD5" s="69"/>
      <c r="BE5" s="69"/>
      <c r="BF5" s="69" t="s">
        <v>368</v>
      </c>
      <c r="BG5" s="69" t="s">
        <v>331</v>
      </c>
      <c r="BH5" s="69" t="s">
        <v>317</v>
      </c>
      <c r="BI5" s="69"/>
      <c r="BJ5" s="69" t="s">
        <v>321</v>
      </c>
      <c r="BK5" s="69" t="s">
        <v>341</v>
      </c>
      <c r="BL5" s="69"/>
      <c r="BM5" s="69"/>
      <c r="BN5" s="69" t="s">
        <v>312</v>
      </c>
    </row>
    <row r="6" spans="1:66" x14ac:dyDescent="0.25">
      <c r="A6" s="61" t="s">
        <v>3</v>
      </c>
      <c r="B6" s="68" t="s">
        <v>270</v>
      </c>
      <c r="C6" s="66"/>
      <c r="D6" s="64">
        <v>42</v>
      </c>
      <c r="E6" s="64">
        <f>IF(ISBLANK($D6),"0",IF(($D6-$D5)&gt;($C6-$C5),1,0))</f>
        <v>1</v>
      </c>
      <c r="F6" s="64">
        <f t="shared" ca="1" si="1"/>
        <v>28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 t="s">
        <v>311</v>
      </c>
      <c r="K6" s="70" t="s">
        <v>312</v>
      </c>
      <c r="L6" s="70"/>
      <c r="M6" s="70" t="s">
        <v>312</v>
      </c>
      <c r="N6" s="70" t="s">
        <v>355</v>
      </c>
      <c r="O6" s="70" t="s">
        <v>371</v>
      </c>
      <c r="P6" s="70" t="s">
        <v>317</v>
      </c>
      <c r="Q6" s="70" t="s">
        <v>323</v>
      </c>
      <c r="R6" s="70"/>
      <c r="S6" s="70"/>
      <c r="T6" s="70" t="s">
        <v>333</v>
      </c>
      <c r="U6" s="70"/>
      <c r="V6" s="70"/>
      <c r="W6" s="70" t="s">
        <v>324</v>
      </c>
      <c r="X6" s="70" t="s">
        <v>312</v>
      </c>
      <c r="Y6" s="70"/>
      <c r="Z6" s="70" t="s">
        <v>343</v>
      </c>
      <c r="AA6" s="70" t="s">
        <v>354</v>
      </c>
      <c r="AB6" s="70"/>
      <c r="AC6" s="70"/>
      <c r="AD6" s="70"/>
      <c r="AE6" s="70"/>
      <c r="AF6" s="70" t="s">
        <v>355</v>
      </c>
      <c r="AG6" s="70" t="s">
        <v>323</v>
      </c>
      <c r="AH6" s="70"/>
      <c r="AI6" s="70"/>
      <c r="AJ6" s="70"/>
      <c r="AK6" s="70" t="s">
        <v>317</v>
      </c>
      <c r="AL6" s="70" t="s">
        <v>347</v>
      </c>
      <c r="AM6" s="70" t="s">
        <v>323</v>
      </c>
      <c r="AN6" s="70" t="s">
        <v>317</v>
      </c>
      <c r="AO6" s="70"/>
      <c r="AP6" s="70"/>
      <c r="AQ6" s="70"/>
      <c r="AR6" s="70" t="s">
        <v>317</v>
      </c>
      <c r="AS6" s="70"/>
      <c r="AT6" s="70" t="s">
        <v>334</v>
      </c>
      <c r="AU6" s="70" t="s">
        <v>317</v>
      </c>
      <c r="AV6" s="70"/>
      <c r="AW6" s="70" t="s">
        <v>379</v>
      </c>
      <c r="AX6" s="70" t="s">
        <v>351</v>
      </c>
      <c r="AY6" s="70"/>
      <c r="AZ6" s="70"/>
      <c r="BA6" s="70" t="s">
        <v>317</v>
      </c>
      <c r="BB6" s="70"/>
      <c r="BC6" s="70"/>
      <c r="BD6" s="70" t="s">
        <v>321</v>
      </c>
      <c r="BE6" s="70" t="s">
        <v>367</v>
      </c>
      <c r="BF6" s="70"/>
      <c r="BG6" s="70"/>
      <c r="BH6" s="70"/>
      <c r="BI6" s="70" t="s">
        <v>317</v>
      </c>
      <c r="BJ6" s="70"/>
      <c r="BK6" s="70"/>
      <c r="BL6" s="70" t="s">
        <v>317</v>
      </c>
      <c r="BM6" s="70" t="s">
        <v>388</v>
      </c>
      <c r="BN6" s="70"/>
    </row>
    <row r="7" spans="1:66" x14ac:dyDescent="0.25">
      <c r="A7" s="59">
        <v>3</v>
      </c>
      <c r="B7" s="67" t="s">
        <v>223</v>
      </c>
      <c r="C7" s="65"/>
      <c r="D7" s="64">
        <v>35</v>
      </c>
      <c r="E7" s="64">
        <f>IF(ISBLANK($D7),"0",IF(($D8-$D7)&lt;($C8-$C7),1,0))</f>
        <v>1</v>
      </c>
      <c r="F7" s="64">
        <f t="shared" ca="1" si="1"/>
        <v>12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 t="s">
        <v>312</v>
      </c>
      <c r="L7" s="69"/>
      <c r="M7" s="69"/>
      <c r="N7" s="69"/>
      <c r="O7" s="69"/>
      <c r="P7" s="69"/>
      <c r="Q7" s="69"/>
      <c r="R7" s="69"/>
      <c r="S7" s="69"/>
      <c r="T7" s="69" t="s">
        <v>331</v>
      </c>
      <c r="U7" s="69" t="s">
        <v>386</v>
      </c>
      <c r="V7" s="69"/>
      <c r="W7" s="69"/>
      <c r="X7" s="69"/>
      <c r="Y7" s="69"/>
      <c r="Z7" s="69"/>
      <c r="AA7" s="69" t="s">
        <v>354</v>
      </c>
      <c r="AB7" s="69"/>
      <c r="AC7" s="69"/>
      <c r="AD7" s="69" t="s">
        <v>317</v>
      </c>
      <c r="AE7" s="69"/>
      <c r="AF7" s="69" t="s">
        <v>355</v>
      </c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9"/>
      <c r="AS7" s="69" t="s">
        <v>319</v>
      </c>
      <c r="AT7" s="69" t="s">
        <v>334</v>
      </c>
      <c r="AU7" s="69"/>
      <c r="AV7" s="69"/>
      <c r="AW7" s="69"/>
      <c r="AX7" s="69"/>
      <c r="AY7" s="69"/>
      <c r="AZ7" s="69" t="s">
        <v>313</v>
      </c>
      <c r="BA7" s="69"/>
      <c r="BB7" s="69"/>
      <c r="BC7" s="69"/>
      <c r="BD7" s="69"/>
      <c r="BE7" s="69"/>
      <c r="BF7" s="69"/>
      <c r="BG7" s="69"/>
      <c r="BH7" s="69" t="s">
        <v>317</v>
      </c>
      <c r="BI7" s="69" t="s">
        <v>317</v>
      </c>
      <c r="BJ7" s="69"/>
      <c r="BK7" s="69"/>
      <c r="BL7" s="69"/>
      <c r="BM7" s="69"/>
      <c r="BN7" s="69" t="s">
        <v>312</v>
      </c>
    </row>
    <row r="8" spans="1:66" x14ac:dyDescent="0.25">
      <c r="A8" s="61" t="s">
        <v>3</v>
      </c>
      <c r="B8" s="68" t="s">
        <v>218</v>
      </c>
      <c r="C8" s="66">
        <v>7.5</v>
      </c>
      <c r="D8" s="64">
        <v>38</v>
      </c>
      <c r="E8" s="64">
        <f>IF(ISBLANK($D8),"0",IF(($D8-$D7)&gt;($C8-$C7),1,0))</f>
        <v>0</v>
      </c>
      <c r="F8" s="64">
        <f t="shared" ca="1" si="1"/>
        <v>44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311</v>
      </c>
      <c r="K8" s="70"/>
      <c r="L8" s="70" t="s">
        <v>313</v>
      </c>
      <c r="M8" s="70" t="s">
        <v>312</v>
      </c>
      <c r="N8" s="70" t="s">
        <v>355</v>
      </c>
      <c r="O8" s="70" t="s">
        <v>371</v>
      </c>
      <c r="P8" s="70" t="s">
        <v>317</v>
      </c>
      <c r="Q8" s="70" t="s">
        <v>336</v>
      </c>
      <c r="R8" s="70" t="s">
        <v>340</v>
      </c>
      <c r="S8" s="70" t="s">
        <v>323</v>
      </c>
      <c r="T8" s="70"/>
      <c r="U8" s="70"/>
      <c r="V8" s="70" t="s">
        <v>317</v>
      </c>
      <c r="W8" s="70" t="s">
        <v>316</v>
      </c>
      <c r="X8" s="70" t="s">
        <v>312</v>
      </c>
      <c r="Y8" s="70" t="s">
        <v>361</v>
      </c>
      <c r="Z8" s="70" t="s">
        <v>314</v>
      </c>
      <c r="AA8" s="70"/>
      <c r="AB8" s="70" t="s">
        <v>317</v>
      </c>
      <c r="AC8" s="70" t="s">
        <v>317</v>
      </c>
      <c r="AD8" s="70"/>
      <c r="AE8" s="70" t="s">
        <v>331</v>
      </c>
      <c r="AF8" s="70"/>
      <c r="AG8" s="70" t="s">
        <v>325</v>
      </c>
      <c r="AH8" s="70" t="s">
        <v>324</v>
      </c>
      <c r="AI8" s="70" t="s">
        <v>375</v>
      </c>
      <c r="AJ8" s="70" t="s">
        <v>314</v>
      </c>
      <c r="AK8" s="70" t="s">
        <v>317</v>
      </c>
      <c r="AL8" s="70" t="s">
        <v>347</v>
      </c>
      <c r="AM8" s="70" t="s">
        <v>363</v>
      </c>
      <c r="AN8" s="70" t="s">
        <v>317</v>
      </c>
      <c r="AO8" s="70" t="s">
        <v>317</v>
      </c>
      <c r="AP8" s="70" t="s">
        <v>352</v>
      </c>
      <c r="AQ8" s="70" t="s">
        <v>354</v>
      </c>
      <c r="AR8" s="70" t="s">
        <v>317</v>
      </c>
      <c r="AS8" s="70"/>
      <c r="AT8" s="70"/>
      <c r="AU8" s="70" t="s">
        <v>317</v>
      </c>
      <c r="AV8" s="70" t="s">
        <v>317</v>
      </c>
      <c r="AW8" s="70" t="s">
        <v>334</v>
      </c>
      <c r="AX8" s="70" t="s">
        <v>324</v>
      </c>
      <c r="AY8" s="70" t="s">
        <v>366</v>
      </c>
      <c r="AZ8" s="70"/>
      <c r="BA8" s="70" t="s">
        <v>317</v>
      </c>
      <c r="BB8" s="70" t="s">
        <v>311</v>
      </c>
      <c r="BC8" s="70" t="s">
        <v>334</v>
      </c>
      <c r="BD8" s="70" t="s">
        <v>377</v>
      </c>
      <c r="BE8" s="70" t="s">
        <v>367</v>
      </c>
      <c r="BF8" s="70" t="s">
        <v>368</v>
      </c>
      <c r="BG8" s="70" t="s">
        <v>331</v>
      </c>
      <c r="BH8" s="70"/>
      <c r="BI8" s="70"/>
      <c r="BJ8" s="70" t="s">
        <v>321</v>
      </c>
      <c r="BK8" s="70" t="s">
        <v>341</v>
      </c>
      <c r="BL8" s="70" t="s">
        <v>317</v>
      </c>
      <c r="BM8" s="70" t="s">
        <v>388</v>
      </c>
      <c r="BN8" s="70"/>
    </row>
    <row r="9" spans="1:66" x14ac:dyDescent="0.25">
      <c r="A9" s="59">
        <v>4</v>
      </c>
      <c r="B9" s="67" t="s">
        <v>162</v>
      </c>
      <c r="C9" s="65">
        <v>2.5</v>
      </c>
      <c r="D9" s="81">
        <v>27</v>
      </c>
      <c r="E9" s="64">
        <f>IF(ISBLANK($D9),"0",IF(($D10-$D9)&lt;($C10-$C9),1,0))</f>
        <v>1</v>
      </c>
      <c r="F9" s="64">
        <f t="shared" ca="1" si="1"/>
        <v>35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 t="s">
        <v>312</v>
      </c>
      <c r="L9" s="69" t="s">
        <v>313</v>
      </c>
      <c r="M9" s="69" t="s">
        <v>312</v>
      </c>
      <c r="N9" s="69"/>
      <c r="O9" s="69" t="s">
        <v>371</v>
      </c>
      <c r="P9" s="69" t="s">
        <v>317</v>
      </c>
      <c r="Q9" s="69" t="s">
        <v>335</v>
      </c>
      <c r="R9" s="69" t="s">
        <v>341</v>
      </c>
      <c r="S9" s="69" t="s">
        <v>350</v>
      </c>
      <c r="T9" s="69" t="s">
        <v>326</v>
      </c>
      <c r="U9" s="69"/>
      <c r="V9" s="69" t="s">
        <v>317</v>
      </c>
      <c r="W9" s="69"/>
      <c r="X9" s="69" t="s">
        <v>312</v>
      </c>
      <c r="Y9" s="69" t="s">
        <v>361</v>
      </c>
      <c r="Z9" s="69"/>
      <c r="AA9" s="69" t="s">
        <v>354</v>
      </c>
      <c r="AB9" s="69" t="s">
        <v>317</v>
      </c>
      <c r="AC9" s="69" t="s">
        <v>317</v>
      </c>
      <c r="AD9" s="69"/>
      <c r="AE9" s="69"/>
      <c r="AF9" s="69" t="s">
        <v>355</v>
      </c>
      <c r="AG9" s="69" t="s">
        <v>332</v>
      </c>
      <c r="AH9" s="69" t="s">
        <v>342</v>
      </c>
      <c r="AI9" s="69" t="s">
        <v>339</v>
      </c>
      <c r="AJ9" s="69"/>
      <c r="AK9" s="69" t="s">
        <v>317</v>
      </c>
      <c r="AL9" s="69" t="s">
        <v>347</v>
      </c>
      <c r="AM9" s="69"/>
      <c r="AN9" s="69"/>
      <c r="AO9" s="69" t="s">
        <v>317</v>
      </c>
      <c r="AP9" s="69" t="s">
        <v>322</v>
      </c>
      <c r="AQ9" s="69" t="s">
        <v>354</v>
      </c>
      <c r="AR9" s="99" t="s">
        <v>317</v>
      </c>
      <c r="AS9" s="69"/>
      <c r="AT9" s="69"/>
      <c r="AU9" s="69"/>
      <c r="AV9" s="69" t="s">
        <v>317</v>
      </c>
      <c r="AW9" s="69" t="s">
        <v>320</v>
      </c>
      <c r="AX9" s="69" t="s">
        <v>375</v>
      </c>
      <c r="AY9" s="69" t="s">
        <v>366</v>
      </c>
      <c r="AZ9" s="69"/>
      <c r="BA9" s="69"/>
      <c r="BB9" s="69"/>
      <c r="BC9" s="69" t="s">
        <v>327</v>
      </c>
      <c r="BD9" s="69" t="s">
        <v>320</v>
      </c>
      <c r="BE9" s="69" t="s">
        <v>367</v>
      </c>
      <c r="BF9" s="69"/>
      <c r="BG9" s="69"/>
      <c r="BH9" s="69"/>
      <c r="BI9" s="69" t="s">
        <v>317</v>
      </c>
      <c r="BJ9" s="69"/>
      <c r="BK9" s="69" t="s">
        <v>341</v>
      </c>
      <c r="BL9" s="69"/>
      <c r="BM9" s="69" t="s">
        <v>388</v>
      </c>
      <c r="BN9" s="69"/>
    </row>
    <row r="10" spans="1:66" x14ac:dyDescent="0.25">
      <c r="A10" s="61" t="s">
        <v>3</v>
      </c>
      <c r="B10" s="68" t="s">
        <v>163</v>
      </c>
      <c r="C10" s="66"/>
      <c r="D10" s="64">
        <v>19</v>
      </c>
      <c r="E10" s="64">
        <f>IF(ISBLANK($D10),"0",IF(($D10-$D9)&gt;($C10-$C9),1,0))</f>
        <v>0</v>
      </c>
      <c r="F10" s="64">
        <f t="shared" ca="1" si="1"/>
        <v>21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311</v>
      </c>
      <c r="K10" s="70"/>
      <c r="L10" s="70"/>
      <c r="M10" s="70"/>
      <c r="N10" s="70" t="s">
        <v>355</v>
      </c>
      <c r="O10" s="70"/>
      <c r="P10" s="70"/>
      <c r="Q10" s="70"/>
      <c r="R10" s="70"/>
      <c r="S10" s="70"/>
      <c r="T10" s="70"/>
      <c r="U10" s="70" t="s">
        <v>334</v>
      </c>
      <c r="V10" s="70"/>
      <c r="W10" s="70" t="s">
        <v>340</v>
      </c>
      <c r="X10" s="70"/>
      <c r="Y10" s="70"/>
      <c r="Z10" s="70" t="s">
        <v>328</v>
      </c>
      <c r="AA10" s="70"/>
      <c r="AB10" s="70"/>
      <c r="AC10" s="70"/>
      <c r="AD10" s="70" t="s">
        <v>317</v>
      </c>
      <c r="AE10" s="70" t="s">
        <v>331</v>
      </c>
      <c r="AF10" s="70"/>
      <c r="AG10" s="70"/>
      <c r="AH10" s="70"/>
      <c r="AI10" s="70"/>
      <c r="AJ10" s="70" t="s">
        <v>314</v>
      </c>
      <c r="AK10" s="70"/>
      <c r="AL10" s="70"/>
      <c r="AM10" s="70" t="s">
        <v>324</v>
      </c>
      <c r="AN10" s="70" t="s">
        <v>317</v>
      </c>
      <c r="AO10" s="70"/>
      <c r="AP10" s="70"/>
      <c r="AQ10" s="70"/>
      <c r="AR10" s="70"/>
      <c r="AS10" s="70" t="s">
        <v>316</v>
      </c>
      <c r="AT10" s="70" t="s">
        <v>334</v>
      </c>
      <c r="AU10" s="70" t="s">
        <v>317</v>
      </c>
      <c r="AV10" s="70"/>
      <c r="AW10" s="70"/>
      <c r="AX10" s="70"/>
      <c r="AY10" s="70"/>
      <c r="AZ10" s="70" t="s">
        <v>313</v>
      </c>
      <c r="BA10" s="70" t="s">
        <v>317</v>
      </c>
      <c r="BB10" s="70" t="s">
        <v>316</v>
      </c>
      <c r="BC10" s="70"/>
      <c r="BD10" s="70"/>
      <c r="BE10" s="70"/>
      <c r="BF10" s="70" t="s">
        <v>368</v>
      </c>
      <c r="BG10" s="70" t="s">
        <v>331</v>
      </c>
      <c r="BH10" s="70" t="s">
        <v>317</v>
      </c>
      <c r="BI10" s="70"/>
      <c r="BJ10" s="70" t="s">
        <v>321</v>
      </c>
      <c r="BK10" s="70"/>
      <c r="BL10" s="70" t="s">
        <v>317</v>
      </c>
      <c r="BM10" s="70"/>
      <c r="BN10" s="70" t="s">
        <v>312</v>
      </c>
    </row>
    <row r="11" spans="1:66" x14ac:dyDescent="0.25">
      <c r="A11" s="59">
        <v>5</v>
      </c>
      <c r="B11" s="67" t="s">
        <v>221</v>
      </c>
      <c r="C11" s="65"/>
      <c r="D11" s="64">
        <v>10</v>
      </c>
      <c r="E11" s="64">
        <f>IF(ISBLANK($D11),"0",IF(($D12-$D11)&lt;($C12-$C11),1,0))</f>
        <v>1</v>
      </c>
      <c r="F11" s="64">
        <f t="shared" ca="1" si="1"/>
        <v>24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 t="s">
        <v>312</v>
      </c>
      <c r="L11" s="69" t="s">
        <v>313</v>
      </c>
      <c r="M11" s="69"/>
      <c r="N11" s="69"/>
      <c r="O11" s="69"/>
      <c r="P11" s="69"/>
      <c r="Q11" s="69"/>
      <c r="R11" s="69"/>
      <c r="S11" s="69" t="s">
        <v>327</v>
      </c>
      <c r="T11" s="69"/>
      <c r="U11" s="69"/>
      <c r="V11" s="69" t="s">
        <v>317</v>
      </c>
      <c r="W11" s="69" t="s">
        <v>375</v>
      </c>
      <c r="X11" s="69" t="s">
        <v>312</v>
      </c>
      <c r="Y11" s="69"/>
      <c r="Z11" s="69" t="s">
        <v>360</v>
      </c>
      <c r="AA11" s="69" t="s">
        <v>354</v>
      </c>
      <c r="AB11" s="69" t="s">
        <v>317</v>
      </c>
      <c r="AC11" s="69"/>
      <c r="AD11" s="69" t="s">
        <v>317</v>
      </c>
      <c r="AE11" s="69"/>
      <c r="AF11" s="69"/>
      <c r="AG11" s="69"/>
      <c r="AH11" s="69" t="s">
        <v>334</v>
      </c>
      <c r="AI11" s="69" t="s">
        <v>327</v>
      </c>
      <c r="AJ11" s="69"/>
      <c r="AK11" s="69"/>
      <c r="AL11" s="69"/>
      <c r="AM11" s="69" t="s">
        <v>337</v>
      </c>
      <c r="AN11" s="69"/>
      <c r="AO11" s="69" t="s">
        <v>317</v>
      </c>
      <c r="AP11" s="69" t="s">
        <v>332</v>
      </c>
      <c r="AQ11" s="69"/>
      <c r="AR11" s="69" t="s">
        <v>317</v>
      </c>
      <c r="AS11" s="69"/>
      <c r="AT11" s="69"/>
      <c r="AU11" s="69"/>
      <c r="AV11" s="69" t="s">
        <v>317</v>
      </c>
      <c r="AW11" s="69" t="s">
        <v>323</v>
      </c>
      <c r="AX11" s="69" t="s">
        <v>339</v>
      </c>
      <c r="AY11" s="69" t="s">
        <v>366</v>
      </c>
      <c r="AZ11" s="69"/>
      <c r="BA11" s="69"/>
      <c r="BB11" s="69" t="s">
        <v>315</v>
      </c>
      <c r="BC11" s="69"/>
      <c r="BD11" s="69"/>
      <c r="BE11" s="69"/>
      <c r="BF11" s="69"/>
      <c r="BG11" s="69"/>
      <c r="BH11" s="69" t="s">
        <v>317</v>
      </c>
      <c r="BI11" s="69"/>
      <c r="BJ11" s="69" t="s">
        <v>321</v>
      </c>
      <c r="BK11" s="69"/>
      <c r="BL11" s="69"/>
      <c r="BM11" s="69"/>
      <c r="BN11" s="69" t="s">
        <v>312</v>
      </c>
    </row>
    <row r="12" spans="1:66" x14ac:dyDescent="0.25">
      <c r="A12" s="61" t="s">
        <v>3</v>
      </c>
      <c r="B12" s="68" t="s">
        <v>224</v>
      </c>
      <c r="C12" s="66">
        <v>3.5</v>
      </c>
      <c r="D12" s="64">
        <v>7</v>
      </c>
      <c r="E12" s="64">
        <f>IF(ISBLANK($D12),"0",IF(($D12-$D11)&gt;($C12-$C11),1,0))</f>
        <v>0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311</v>
      </c>
      <c r="K12" s="70"/>
      <c r="L12" s="70"/>
      <c r="M12" s="70" t="s">
        <v>312</v>
      </c>
      <c r="N12" s="70" t="s">
        <v>355</v>
      </c>
      <c r="O12" s="70" t="s">
        <v>371</v>
      </c>
      <c r="P12" s="70" t="s">
        <v>317</v>
      </c>
      <c r="Q12" s="70" t="s">
        <v>386</v>
      </c>
      <c r="R12" s="70" t="s">
        <v>319</v>
      </c>
      <c r="S12" s="70"/>
      <c r="T12" s="70" t="s">
        <v>319</v>
      </c>
      <c r="U12" s="70" t="s">
        <v>324</v>
      </c>
      <c r="V12" s="70"/>
      <c r="W12" s="70"/>
      <c r="X12" s="70"/>
      <c r="Y12" s="70" t="s">
        <v>330</v>
      </c>
      <c r="Z12" s="70"/>
      <c r="AA12" s="70"/>
      <c r="AB12" s="70"/>
      <c r="AC12" s="70" t="s">
        <v>317</v>
      </c>
      <c r="AD12" s="70"/>
      <c r="AE12" s="70" t="s">
        <v>331</v>
      </c>
      <c r="AF12" s="70" t="s">
        <v>355</v>
      </c>
      <c r="AG12" s="70" t="s">
        <v>323</v>
      </c>
      <c r="AH12" s="70"/>
      <c r="AI12" s="70"/>
      <c r="AJ12" s="70" t="s">
        <v>314</v>
      </c>
      <c r="AK12" s="70" t="s">
        <v>317</v>
      </c>
      <c r="AL12" s="70" t="s">
        <v>347</v>
      </c>
      <c r="AM12" s="70"/>
      <c r="AN12" s="70" t="s">
        <v>317</v>
      </c>
      <c r="AO12" s="70"/>
      <c r="AP12" s="70"/>
      <c r="AQ12" s="70" t="s">
        <v>354</v>
      </c>
      <c r="AR12" s="100"/>
      <c r="AS12" s="70" t="s">
        <v>333</v>
      </c>
      <c r="AT12" s="70" t="s">
        <v>334</v>
      </c>
      <c r="AU12" s="70" t="s">
        <v>317</v>
      </c>
      <c r="AV12" s="70"/>
      <c r="AW12" s="70"/>
      <c r="AX12" s="70"/>
      <c r="AY12" s="70"/>
      <c r="AZ12" s="70" t="s">
        <v>313</v>
      </c>
      <c r="BA12" s="70" t="s">
        <v>317</v>
      </c>
      <c r="BB12" s="70"/>
      <c r="BC12" s="70" t="s">
        <v>333</v>
      </c>
      <c r="BD12" s="70" t="s">
        <v>341</v>
      </c>
      <c r="BE12" s="70" t="s">
        <v>367</v>
      </c>
      <c r="BF12" s="70" t="s">
        <v>368</v>
      </c>
      <c r="BG12" s="70" t="s">
        <v>331</v>
      </c>
      <c r="BH12" s="70"/>
      <c r="BI12" s="70" t="s">
        <v>317</v>
      </c>
      <c r="BJ12" s="70"/>
      <c r="BK12" s="70" t="s">
        <v>341</v>
      </c>
      <c r="BL12" s="70" t="s">
        <v>317</v>
      </c>
      <c r="BM12" s="70" t="s">
        <v>388</v>
      </c>
      <c r="BN12" s="70"/>
    </row>
    <row r="13" spans="1:66" x14ac:dyDescent="0.25">
      <c r="A13" s="59">
        <v>6</v>
      </c>
      <c r="B13" s="67" t="s">
        <v>208</v>
      </c>
      <c r="C13" s="65">
        <v>3.5</v>
      </c>
      <c r="D13" s="64">
        <v>35</v>
      </c>
      <c r="E13" s="64">
        <f>IF(ISBLANK($D13),"0",IF(($D14-$D13)&lt;($C14-$C13),1,0))</f>
        <v>0</v>
      </c>
      <c r="F13" s="64">
        <f t="shared" ca="1" si="1"/>
        <v>33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 t="s">
        <v>312</v>
      </c>
      <c r="L13" s="69"/>
      <c r="M13" s="69" t="s">
        <v>312</v>
      </c>
      <c r="N13" s="69" t="s">
        <v>355</v>
      </c>
      <c r="O13" s="69"/>
      <c r="P13" s="69" t="s">
        <v>317</v>
      </c>
      <c r="Q13" s="69" t="s">
        <v>335</v>
      </c>
      <c r="R13" s="69" t="s">
        <v>324</v>
      </c>
      <c r="S13" s="69" t="s">
        <v>324</v>
      </c>
      <c r="T13" s="69"/>
      <c r="U13" s="69"/>
      <c r="V13" s="69" t="s">
        <v>317</v>
      </c>
      <c r="W13" s="69"/>
      <c r="X13" s="69" t="s">
        <v>312</v>
      </c>
      <c r="Y13" s="69" t="s">
        <v>315</v>
      </c>
      <c r="Z13" s="69"/>
      <c r="AA13" s="69"/>
      <c r="AB13" s="69" t="s">
        <v>317</v>
      </c>
      <c r="AC13" s="69" t="s">
        <v>317</v>
      </c>
      <c r="AD13" s="69"/>
      <c r="AE13" s="69"/>
      <c r="AF13" s="69"/>
      <c r="AG13" s="69" t="s">
        <v>341</v>
      </c>
      <c r="AH13" s="69" t="s">
        <v>377</v>
      </c>
      <c r="AI13" s="69" t="s">
        <v>324</v>
      </c>
      <c r="AJ13" s="69"/>
      <c r="AK13" s="69"/>
      <c r="AL13" s="69" t="s">
        <v>347</v>
      </c>
      <c r="AM13" s="69"/>
      <c r="AN13" s="69"/>
      <c r="AO13" s="69" t="s">
        <v>317</v>
      </c>
      <c r="AP13" s="69" t="s">
        <v>343</v>
      </c>
      <c r="AQ13" s="69" t="s">
        <v>354</v>
      </c>
      <c r="AR13" s="99" t="s">
        <v>317</v>
      </c>
      <c r="AS13" s="69" t="s">
        <v>316</v>
      </c>
      <c r="AT13" s="69"/>
      <c r="AU13" s="69" t="s">
        <v>317</v>
      </c>
      <c r="AV13" s="69" t="s">
        <v>317</v>
      </c>
      <c r="AW13" s="69"/>
      <c r="AX13" s="69"/>
      <c r="AY13" s="69" t="s">
        <v>366</v>
      </c>
      <c r="AZ13" s="69" t="s">
        <v>313</v>
      </c>
      <c r="BA13" s="69" t="s">
        <v>317</v>
      </c>
      <c r="BB13" s="69"/>
      <c r="BC13" s="69" t="s">
        <v>352</v>
      </c>
      <c r="BD13" s="69"/>
      <c r="BE13" s="69" t="s">
        <v>367</v>
      </c>
      <c r="BF13" s="69" t="s">
        <v>368</v>
      </c>
      <c r="BG13" s="69"/>
      <c r="BH13" s="69"/>
      <c r="BI13" s="69"/>
      <c r="BJ13" s="69" t="s">
        <v>321</v>
      </c>
      <c r="BK13" s="69" t="s">
        <v>341</v>
      </c>
      <c r="BL13" s="69"/>
      <c r="BM13" s="69" t="s">
        <v>388</v>
      </c>
      <c r="BN13" s="69" t="s">
        <v>312</v>
      </c>
    </row>
    <row r="14" spans="1:66" x14ac:dyDescent="0.25">
      <c r="A14" s="61" t="s">
        <v>3</v>
      </c>
      <c r="B14" s="68" t="s">
        <v>170</v>
      </c>
      <c r="C14" s="66"/>
      <c r="D14" s="64">
        <v>36</v>
      </c>
      <c r="E14" s="64">
        <f>IF(ISBLANK($D14),"0",IF(($D14-$D13)&gt;($C14-$C13),1,0))</f>
        <v>1</v>
      </c>
      <c r="F14" s="64">
        <f t="shared" ca="1" si="1"/>
        <v>23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311</v>
      </c>
      <c r="K14" s="70"/>
      <c r="L14" s="70" t="s">
        <v>313</v>
      </c>
      <c r="M14" s="70"/>
      <c r="N14" s="70"/>
      <c r="O14" s="70" t="s">
        <v>371</v>
      </c>
      <c r="P14" s="70"/>
      <c r="Q14" s="70"/>
      <c r="R14" s="70"/>
      <c r="S14" s="70"/>
      <c r="T14" s="70" t="s">
        <v>333</v>
      </c>
      <c r="U14" s="70" t="s">
        <v>343</v>
      </c>
      <c r="V14" s="70"/>
      <c r="W14" s="70" t="s">
        <v>339</v>
      </c>
      <c r="X14" s="70"/>
      <c r="Y14" s="70"/>
      <c r="Z14" s="70" t="s">
        <v>333</v>
      </c>
      <c r="AA14" s="70" t="s">
        <v>354</v>
      </c>
      <c r="AB14" s="70"/>
      <c r="AC14" s="70"/>
      <c r="AD14" s="70" t="s">
        <v>317</v>
      </c>
      <c r="AE14" s="70" t="s">
        <v>331</v>
      </c>
      <c r="AF14" s="70" t="s">
        <v>355</v>
      </c>
      <c r="AG14" s="70"/>
      <c r="AH14" s="70"/>
      <c r="AI14" s="70"/>
      <c r="AJ14" s="70" t="s">
        <v>314</v>
      </c>
      <c r="AK14" s="70" t="s">
        <v>317</v>
      </c>
      <c r="AL14" s="70"/>
      <c r="AM14" s="70" t="s">
        <v>342</v>
      </c>
      <c r="AN14" s="70" t="s">
        <v>317</v>
      </c>
      <c r="AO14" s="70"/>
      <c r="AP14" s="70"/>
      <c r="AQ14" s="70"/>
      <c r="AR14" s="70"/>
      <c r="AS14" s="70"/>
      <c r="AT14" s="70" t="s">
        <v>334</v>
      </c>
      <c r="AU14" s="70"/>
      <c r="AV14" s="70"/>
      <c r="AW14" s="70" t="s">
        <v>336</v>
      </c>
      <c r="AX14" s="70" t="s">
        <v>311</v>
      </c>
      <c r="AY14" s="70"/>
      <c r="AZ14" s="70"/>
      <c r="BA14" s="70"/>
      <c r="BB14" s="70" t="s">
        <v>323</v>
      </c>
      <c r="BC14" s="70"/>
      <c r="BD14" s="70" t="s">
        <v>320</v>
      </c>
      <c r="BE14" s="70"/>
      <c r="BF14" s="70"/>
      <c r="BG14" s="70" t="s">
        <v>331</v>
      </c>
      <c r="BH14" s="70" t="s">
        <v>317</v>
      </c>
      <c r="BI14" s="70" t="s">
        <v>317</v>
      </c>
      <c r="BJ14" s="70"/>
      <c r="BK14" s="70"/>
      <c r="BL14" s="70" t="s">
        <v>317</v>
      </c>
      <c r="BM14" s="70"/>
      <c r="BN14" s="70"/>
    </row>
    <row r="15" spans="1:66" x14ac:dyDescent="0.25">
      <c r="A15" s="59">
        <v>7</v>
      </c>
      <c r="B15" s="67" t="s">
        <v>171</v>
      </c>
      <c r="C15" s="65"/>
      <c r="D15" s="64">
        <v>16</v>
      </c>
      <c r="E15" s="64">
        <f>IF(ISBLANK($D15),"0",IF(($D16-$D15)&lt;($C16-$C15),1,0))</f>
        <v>1</v>
      </c>
      <c r="F15" s="64">
        <f t="shared" ca="1" si="1"/>
        <v>34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 t="s">
        <v>312</v>
      </c>
      <c r="N15" s="69" t="s">
        <v>355</v>
      </c>
      <c r="O15" s="69" t="s">
        <v>371</v>
      </c>
      <c r="P15" s="69"/>
      <c r="Q15" s="69"/>
      <c r="R15" s="69"/>
      <c r="S15" s="69" t="s">
        <v>339</v>
      </c>
      <c r="T15" s="69" t="s">
        <v>355</v>
      </c>
      <c r="U15" s="69" t="s">
        <v>350</v>
      </c>
      <c r="V15" s="69" t="s">
        <v>317</v>
      </c>
      <c r="W15" s="69" t="s">
        <v>325</v>
      </c>
      <c r="X15" s="69" t="s">
        <v>312</v>
      </c>
      <c r="Y15" s="69"/>
      <c r="Z15" s="69"/>
      <c r="AA15" s="69" t="s">
        <v>354</v>
      </c>
      <c r="AB15" s="69" t="s">
        <v>317</v>
      </c>
      <c r="AC15" s="69" t="s">
        <v>317</v>
      </c>
      <c r="AD15" s="69" t="s">
        <v>317</v>
      </c>
      <c r="AE15" s="69"/>
      <c r="AF15" s="69"/>
      <c r="AG15" s="69" t="s">
        <v>375</v>
      </c>
      <c r="AH15" s="69" t="s">
        <v>320</v>
      </c>
      <c r="AI15" s="69" t="s">
        <v>339</v>
      </c>
      <c r="AJ15" s="69" t="s">
        <v>314</v>
      </c>
      <c r="AK15" s="69" t="s">
        <v>317</v>
      </c>
      <c r="AL15" s="69" t="s">
        <v>347</v>
      </c>
      <c r="AM15" s="69"/>
      <c r="AN15" s="69" t="s">
        <v>317</v>
      </c>
      <c r="AO15" s="69"/>
      <c r="AP15" s="69" t="s">
        <v>387</v>
      </c>
      <c r="AQ15" s="69"/>
      <c r="AR15" s="69" t="s">
        <v>317</v>
      </c>
      <c r="AS15" s="69" t="s">
        <v>347</v>
      </c>
      <c r="AT15" s="69" t="s">
        <v>334</v>
      </c>
      <c r="AU15" s="69" t="s">
        <v>317</v>
      </c>
      <c r="AV15" s="69"/>
      <c r="AW15" s="69"/>
      <c r="AX15" s="69" t="s">
        <v>326</v>
      </c>
      <c r="AY15" s="69" t="s">
        <v>366</v>
      </c>
      <c r="AZ15" s="69" t="s">
        <v>313</v>
      </c>
      <c r="BA15" s="69" t="s">
        <v>317</v>
      </c>
      <c r="BB15" s="69"/>
      <c r="BC15" s="69" t="s">
        <v>343</v>
      </c>
      <c r="BD15" s="69" t="s">
        <v>421</v>
      </c>
      <c r="BE15" s="69" t="s">
        <v>367</v>
      </c>
      <c r="BF15" s="69" t="s">
        <v>368</v>
      </c>
      <c r="BG15" s="69"/>
      <c r="BH15" s="69" t="s">
        <v>317</v>
      </c>
      <c r="BI15" s="69"/>
      <c r="BJ15" s="69"/>
      <c r="BK15" s="69"/>
      <c r="BL15" s="69"/>
      <c r="BM15" s="69"/>
      <c r="BN15" s="69"/>
    </row>
    <row r="16" spans="1:66" x14ac:dyDescent="0.25">
      <c r="A16" s="61" t="s">
        <v>3</v>
      </c>
      <c r="B16" s="68" t="s">
        <v>169</v>
      </c>
      <c r="C16" s="66">
        <v>10.5</v>
      </c>
      <c r="D16" s="64">
        <v>13</v>
      </c>
      <c r="E16" s="64">
        <f>IF(ISBLANK($D16),"0",IF(($D16-$D15)&gt;($C16-$C15),1,0))</f>
        <v>0</v>
      </c>
      <c r="F16" s="64">
        <f t="shared" ca="1" si="1"/>
        <v>22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311</v>
      </c>
      <c r="K16" s="70" t="s">
        <v>312</v>
      </c>
      <c r="L16" s="70" t="s">
        <v>313</v>
      </c>
      <c r="M16" s="70"/>
      <c r="N16" s="70"/>
      <c r="O16" s="70"/>
      <c r="P16" s="70" t="s">
        <v>317</v>
      </c>
      <c r="Q16" s="70" t="s">
        <v>339</v>
      </c>
      <c r="R16" s="70" t="s">
        <v>314</v>
      </c>
      <c r="S16" s="70"/>
      <c r="T16" s="70"/>
      <c r="U16" s="70"/>
      <c r="V16" s="70"/>
      <c r="W16" s="70"/>
      <c r="X16" s="70"/>
      <c r="Y16" s="70" t="s">
        <v>347</v>
      </c>
      <c r="Z16" s="70" t="s">
        <v>329</v>
      </c>
      <c r="AA16" s="70"/>
      <c r="AB16" s="70"/>
      <c r="AC16" s="70"/>
      <c r="AD16" s="70"/>
      <c r="AE16" s="70" t="s">
        <v>331</v>
      </c>
      <c r="AF16" s="70" t="s">
        <v>355</v>
      </c>
      <c r="AG16" s="70"/>
      <c r="AH16" s="70"/>
      <c r="AI16" s="70"/>
      <c r="AJ16" s="70"/>
      <c r="AK16" s="70"/>
      <c r="AL16" s="70"/>
      <c r="AM16" s="70" t="s">
        <v>341</v>
      </c>
      <c r="AN16" s="70"/>
      <c r="AO16" s="70" t="s">
        <v>317</v>
      </c>
      <c r="AP16" s="70"/>
      <c r="AQ16" s="70" t="s">
        <v>354</v>
      </c>
      <c r="AR16" s="100"/>
      <c r="AS16" s="70"/>
      <c r="AT16" s="70"/>
      <c r="AU16" s="70"/>
      <c r="AV16" s="70" t="s">
        <v>317</v>
      </c>
      <c r="AW16" s="70" t="s">
        <v>322</v>
      </c>
      <c r="AX16" s="70"/>
      <c r="AY16" s="70"/>
      <c r="AZ16" s="70"/>
      <c r="BA16" s="70"/>
      <c r="BB16" s="70" t="s">
        <v>331</v>
      </c>
      <c r="BC16" s="70"/>
      <c r="BD16" s="70"/>
      <c r="BE16" s="70"/>
      <c r="BF16" s="70"/>
      <c r="BG16" s="70" t="s">
        <v>331</v>
      </c>
      <c r="BH16" s="70"/>
      <c r="BI16" s="70" t="s">
        <v>317</v>
      </c>
      <c r="BJ16" s="70" t="s">
        <v>321</v>
      </c>
      <c r="BK16" s="70" t="s">
        <v>341</v>
      </c>
      <c r="BL16" s="70" t="s">
        <v>317</v>
      </c>
      <c r="BM16" s="70" t="s">
        <v>388</v>
      </c>
      <c r="BN16" s="70" t="s">
        <v>312</v>
      </c>
    </row>
    <row r="17" spans="1:66" x14ac:dyDescent="0.25">
      <c r="A17" s="59">
        <v>8</v>
      </c>
      <c r="B17" s="67" t="s">
        <v>175</v>
      </c>
      <c r="C17" s="65"/>
      <c r="D17" s="64">
        <v>23</v>
      </c>
      <c r="E17" s="64">
        <f>IF(ISBLANK($D17),"0",IF(($D18-$D17)&lt;($C18-$C17),1,0))</f>
        <v>1</v>
      </c>
      <c r="F17" s="64">
        <f t="shared" ca="1" si="1"/>
        <v>39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312</v>
      </c>
      <c r="L17" s="69"/>
      <c r="M17" s="69"/>
      <c r="N17" s="69"/>
      <c r="O17" s="69" t="s">
        <v>371</v>
      </c>
      <c r="P17" s="69" t="s">
        <v>317</v>
      </c>
      <c r="Q17" s="69"/>
      <c r="R17" s="69" t="s">
        <v>324</v>
      </c>
      <c r="S17" s="69" t="s">
        <v>335</v>
      </c>
      <c r="T17" s="69" t="s">
        <v>333</v>
      </c>
      <c r="U17" s="69" t="s">
        <v>323</v>
      </c>
      <c r="V17" s="69"/>
      <c r="W17" s="69" t="s">
        <v>320</v>
      </c>
      <c r="X17" s="69" t="s">
        <v>312</v>
      </c>
      <c r="Y17" s="69" t="s">
        <v>331</v>
      </c>
      <c r="Z17" s="69"/>
      <c r="AA17" s="69"/>
      <c r="AB17" s="69"/>
      <c r="AC17" s="69" t="s">
        <v>317</v>
      </c>
      <c r="AD17" s="69" t="s">
        <v>317</v>
      </c>
      <c r="AE17" s="69"/>
      <c r="AF17" s="69"/>
      <c r="AG17" s="69"/>
      <c r="AH17" s="69" t="s">
        <v>329</v>
      </c>
      <c r="AI17" s="69" t="s">
        <v>335</v>
      </c>
      <c r="AJ17" s="69" t="s">
        <v>314</v>
      </c>
      <c r="AK17" s="69" t="s">
        <v>317</v>
      </c>
      <c r="AL17" s="69" t="s">
        <v>347</v>
      </c>
      <c r="AM17" s="69" t="s">
        <v>320</v>
      </c>
      <c r="AN17" s="69" t="s">
        <v>317</v>
      </c>
      <c r="AO17" s="69" t="s">
        <v>317</v>
      </c>
      <c r="AP17" s="69" t="s">
        <v>343</v>
      </c>
      <c r="AQ17" s="69" t="s">
        <v>354</v>
      </c>
      <c r="AR17" s="99"/>
      <c r="AS17" s="69" t="s">
        <v>351</v>
      </c>
      <c r="AT17" s="69" t="s">
        <v>334</v>
      </c>
      <c r="AU17" s="69" t="s">
        <v>317</v>
      </c>
      <c r="AV17" s="69" t="s">
        <v>317</v>
      </c>
      <c r="AW17" s="69"/>
      <c r="AX17" s="69" t="s">
        <v>326</v>
      </c>
      <c r="AY17" s="69" t="s">
        <v>366</v>
      </c>
      <c r="AZ17" s="69" t="s">
        <v>313</v>
      </c>
      <c r="BA17" s="69"/>
      <c r="BB17" s="69" t="s">
        <v>320</v>
      </c>
      <c r="BC17" s="69"/>
      <c r="BD17" s="69" t="s">
        <v>364</v>
      </c>
      <c r="BE17" s="69" t="s">
        <v>367</v>
      </c>
      <c r="BF17" s="69" t="s">
        <v>368</v>
      </c>
      <c r="BG17" s="69"/>
      <c r="BH17" s="69" t="s">
        <v>312</v>
      </c>
      <c r="BI17" s="69" t="s">
        <v>317</v>
      </c>
      <c r="BJ17" s="69" t="s">
        <v>321</v>
      </c>
      <c r="BK17" s="69" t="s">
        <v>341</v>
      </c>
      <c r="BL17" s="69"/>
      <c r="BM17" s="69" t="s">
        <v>388</v>
      </c>
      <c r="BN17" s="69" t="s">
        <v>312</v>
      </c>
    </row>
    <row r="18" spans="1:66" x14ac:dyDescent="0.25">
      <c r="A18" s="61" t="s">
        <v>3</v>
      </c>
      <c r="B18" s="68" t="s">
        <v>187</v>
      </c>
      <c r="C18" s="66">
        <v>7.5</v>
      </c>
      <c r="D18" s="64">
        <v>3</v>
      </c>
      <c r="E18" s="64">
        <f>IF(ISBLANK($D18),"0",IF(($D18-$D17)&gt;($C18-$C17),1,0))</f>
        <v>0</v>
      </c>
      <c r="F18" s="64">
        <f t="shared" ca="1" si="1"/>
        <v>17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311</v>
      </c>
      <c r="K18" s="70"/>
      <c r="L18" s="70" t="s">
        <v>313</v>
      </c>
      <c r="M18" s="70" t="s">
        <v>312</v>
      </c>
      <c r="N18" s="70" t="s">
        <v>355</v>
      </c>
      <c r="O18" s="70"/>
      <c r="P18" s="70"/>
      <c r="Q18" s="70" t="s">
        <v>325</v>
      </c>
      <c r="R18" s="70"/>
      <c r="S18" s="70"/>
      <c r="T18" s="70"/>
      <c r="U18" s="70"/>
      <c r="V18" s="70" t="s">
        <v>317</v>
      </c>
      <c r="W18" s="70"/>
      <c r="X18" s="70"/>
      <c r="Y18" s="70"/>
      <c r="Z18" s="70" t="s">
        <v>347</v>
      </c>
      <c r="AA18" s="70" t="s">
        <v>354</v>
      </c>
      <c r="AB18" s="70" t="s">
        <v>317</v>
      </c>
      <c r="AC18" s="70"/>
      <c r="AD18" s="70"/>
      <c r="AE18" s="70" t="s">
        <v>331</v>
      </c>
      <c r="AF18" s="70" t="s">
        <v>355</v>
      </c>
      <c r="AG18" s="70" t="s">
        <v>335</v>
      </c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 t="s">
        <v>317</v>
      </c>
      <c r="AS18" s="70"/>
      <c r="AT18" s="70"/>
      <c r="AU18" s="70"/>
      <c r="AV18" s="70"/>
      <c r="AW18" s="70" t="s">
        <v>328</v>
      </c>
      <c r="AX18" s="70"/>
      <c r="AY18" s="70"/>
      <c r="AZ18" s="70"/>
      <c r="BA18" s="70" t="s">
        <v>317</v>
      </c>
      <c r="BB18" s="70"/>
      <c r="BC18" s="70" t="s">
        <v>328</v>
      </c>
      <c r="BD18" s="70"/>
      <c r="BE18" s="70"/>
      <c r="BF18" s="70"/>
      <c r="BG18" s="70" t="s">
        <v>331</v>
      </c>
      <c r="BH18" s="70"/>
      <c r="BI18" s="70"/>
      <c r="BJ18" s="70"/>
      <c r="BK18" s="70"/>
      <c r="BL18" s="70" t="s">
        <v>317</v>
      </c>
      <c r="BM18" s="70"/>
      <c r="BN18" s="70"/>
    </row>
    <row r="19" spans="1:66" x14ac:dyDescent="0.25">
      <c r="A19" s="59">
        <v>9</v>
      </c>
      <c r="B19" s="67" t="s">
        <v>179</v>
      </c>
      <c r="C19" s="65">
        <v>3.5</v>
      </c>
      <c r="D19" s="64">
        <v>38</v>
      </c>
      <c r="E19" s="64">
        <f>IF(ISBLANK($D19),"0",IF(($D20-$D19)&lt;($C20-$C19),1,0))</f>
        <v>1</v>
      </c>
      <c r="F19" s="64">
        <f t="shared" ca="1" si="1"/>
        <v>44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313</v>
      </c>
      <c r="M19" s="69" t="s">
        <v>312</v>
      </c>
      <c r="N19" s="69" t="s">
        <v>355</v>
      </c>
      <c r="O19" s="69" t="s">
        <v>371</v>
      </c>
      <c r="P19" s="69" t="s">
        <v>317</v>
      </c>
      <c r="Q19" s="69" t="s">
        <v>324</v>
      </c>
      <c r="R19" s="69" t="s">
        <v>341</v>
      </c>
      <c r="S19" s="69" t="s">
        <v>320</v>
      </c>
      <c r="T19" s="69" t="s">
        <v>338</v>
      </c>
      <c r="U19" s="69" t="s">
        <v>349</v>
      </c>
      <c r="V19" s="69" t="s">
        <v>317</v>
      </c>
      <c r="W19" s="69" t="s">
        <v>349</v>
      </c>
      <c r="X19" s="69" t="s">
        <v>312</v>
      </c>
      <c r="Y19" s="69" t="s">
        <v>332</v>
      </c>
      <c r="Z19" s="69"/>
      <c r="AA19" s="69" t="s">
        <v>354</v>
      </c>
      <c r="AB19" s="69" t="s">
        <v>317</v>
      </c>
      <c r="AC19" s="69"/>
      <c r="AD19" s="69" t="s">
        <v>317</v>
      </c>
      <c r="AE19" s="69"/>
      <c r="AF19" s="69"/>
      <c r="AG19" s="69" t="s">
        <v>323</v>
      </c>
      <c r="AH19" s="69" t="s">
        <v>340</v>
      </c>
      <c r="AI19" s="69" t="s">
        <v>320</v>
      </c>
      <c r="AJ19" s="69" t="s">
        <v>314</v>
      </c>
      <c r="AK19" s="69" t="s">
        <v>317</v>
      </c>
      <c r="AL19" s="69" t="s">
        <v>347</v>
      </c>
      <c r="AM19" s="69" t="s">
        <v>311</v>
      </c>
      <c r="AN19" s="69" t="s">
        <v>317</v>
      </c>
      <c r="AO19" s="69" t="s">
        <v>317</v>
      </c>
      <c r="AP19" s="69"/>
      <c r="AQ19" s="69" t="s">
        <v>354</v>
      </c>
      <c r="AR19" s="69" t="s">
        <v>317</v>
      </c>
      <c r="AS19" s="69" t="s">
        <v>347</v>
      </c>
      <c r="AT19" s="69" t="s">
        <v>334</v>
      </c>
      <c r="AU19" s="69" t="s">
        <v>317</v>
      </c>
      <c r="AV19" s="69"/>
      <c r="AW19" s="69" t="s">
        <v>351</v>
      </c>
      <c r="AX19" s="69" t="s">
        <v>326</v>
      </c>
      <c r="AY19" s="69" t="s">
        <v>366</v>
      </c>
      <c r="AZ19" s="69" t="s">
        <v>313</v>
      </c>
      <c r="BA19" s="69" t="s">
        <v>317</v>
      </c>
      <c r="BB19" s="69" t="s">
        <v>320</v>
      </c>
      <c r="BC19" s="69" t="s">
        <v>322</v>
      </c>
      <c r="BD19" s="69"/>
      <c r="BE19" s="69" t="s">
        <v>367</v>
      </c>
      <c r="BF19" s="69" t="s">
        <v>368</v>
      </c>
      <c r="BG19" s="69"/>
      <c r="BH19" s="69"/>
      <c r="BI19" s="69"/>
      <c r="BJ19" s="69" t="s">
        <v>321</v>
      </c>
      <c r="BK19" s="69" t="s">
        <v>341</v>
      </c>
      <c r="BL19" s="69"/>
      <c r="BM19" s="69" t="s">
        <v>388</v>
      </c>
      <c r="BN19" s="69" t="s">
        <v>312</v>
      </c>
    </row>
    <row r="20" spans="1:66" x14ac:dyDescent="0.25">
      <c r="A20" s="61" t="s">
        <v>3</v>
      </c>
      <c r="B20" s="68" t="s">
        <v>268</v>
      </c>
      <c r="C20" s="66"/>
      <c r="D20" s="64">
        <v>10</v>
      </c>
      <c r="E20" s="64">
        <f>IF(ISBLANK($D20),"0",IF(($D20-$D19)&gt;($C20-$C19),1,0))</f>
        <v>0</v>
      </c>
      <c r="F20" s="64">
        <f t="shared" ca="1" si="1"/>
        <v>12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311</v>
      </c>
      <c r="K20" s="70" t="s">
        <v>312</v>
      </c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 t="s">
        <v>319</v>
      </c>
      <c r="AA20" s="70"/>
      <c r="AB20" s="70"/>
      <c r="AC20" s="70" t="s">
        <v>317</v>
      </c>
      <c r="AD20" s="70"/>
      <c r="AE20" s="70" t="s">
        <v>331</v>
      </c>
      <c r="AF20" s="70" t="s">
        <v>355</v>
      </c>
      <c r="AG20" s="70"/>
      <c r="AH20" s="70"/>
      <c r="AI20" s="70"/>
      <c r="AJ20" s="70"/>
      <c r="AK20" s="70"/>
      <c r="AL20" s="70"/>
      <c r="AM20" s="70"/>
      <c r="AN20" s="70"/>
      <c r="AO20" s="70"/>
      <c r="AP20" s="70" t="s">
        <v>319</v>
      </c>
      <c r="AQ20" s="70"/>
      <c r="AR20" s="100"/>
      <c r="AS20" s="70"/>
      <c r="AT20" s="70"/>
      <c r="AU20" s="70"/>
      <c r="AV20" s="70" t="s">
        <v>317</v>
      </c>
      <c r="AW20" s="70"/>
      <c r="AX20" s="70"/>
      <c r="AY20" s="70"/>
      <c r="AZ20" s="70"/>
      <c r="BA20" s="70"/>
      <c r="BB20" s="70"/>
      <c r="BC20" s="70"/>
      <c r="BD20" s="70" t="s">
        <v>342</v>
      </c>
      <c r="BE20" s="70"/>
      <c r="BF20" s="70"/>
      <c r="BG20" s="70" t="s">
        <v>331</v>
      </c>
      <c r="BH20" s="70" t="s">
        <v>317</v>
      </c>
      <c r="BI20" s="70" t="s">
        <v>317</v>
      </c>
      <c r="BJ20" s="70"/>
      <c r="BK20" s="70"/>
      <c r="BL20" s="70" t="s">
        <v>317</v>
      </c>
      <c r="BM20" s="70"/>
      <c r="BN20" s="70"/>
    </row>
    <row r="21" spans="1:66" x14ac:dyDescent="0.25">
      <c r="A21" s="59">
        <v>10</v>
      </c>
      <c r="B21" s="67" t="s">
        <v>207</v>
      </c>
      <c r="C21" s="65"/>
      <c r="D21" s="64">
        <v>17</v>
      </c>
      <c r="E21" s="64">
        <f>IF(ISBLANK($D21),"0",IF(($D22-$D21)&lt;($C22-$C21),1,0))</f>
        <v>0</v>
      </c>
      <c r="F21" s="64">
        <f t="shared" ca="1" si="1"/>
        <v>31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311</v>
      </c>
      <c r="K21" s="69"/>
      <c r="L21" s="69"/>
      <c r="M21" s="69" t="s">
        <v>312</v>
      </c>
      <c r="N21" s="69"/>
      <c r="O21" s="69" t="s">
        <v>371</v>
      </c>
      <c r="P21" s="69" t="s">
        <v>317</v>
      </c>
      <c r="Q21" s="69" t="s">
        <v>321</v>
      </c>
      <c r="R21" s="69" t="s">
        <v>320</v>
      </c>
      <c r="S21" s="69" t="s">
        <v>311</v>
      </c>
      <c r="T21" s="69"/>
      <c r="U21" s="69" t="s">
        <v>346</v>
      </c>
      <c r="V21" s="69"/>
      <c r="W21" s="69"/>
      <c r="X21" s="69" t="s">
        <v>312</v>
      </c>
      <c r="Y21" s="69"/>
      <c r="Z21" s="69"/>
      <c r="AA21" s="69" t="s">
        <v>354</v>
      </c>
      <c r="AB21" s="69" t="s">
        <v>317</v>
      </c>
      <c r="AC21" s="69"/>
      <c r="AD21" s="69"/>
      <c r="AE21" s="69" t="s">
        <v>331</v>
      </c>
      <c r="AF21" s="69" t="s">
        <v>355</v>
      </c>
      <c r="AG21" s="69"/>
      <c r="AH21" s="69"/>
      <c r="AI21" s="69" t="s">
        <v>311</v>
      </c>
      <c r="AJ21" s="69" t="s">
        <v>314</v>
      </c>
      <c r="AK21" s="69" t="s">
        <v>317</v>
      </c>
      <c r="AL21" s="69" t="s">
        <v>347</v>
      </c>
      <c r="AM21" s="69"/>
      <c r="AN21" s="69" t="s">
        <v>317</v>
      </c>
      <c r="AO21" s="69" t="s">
        <v>317</v>
      </c>
      <c r="AP21" s="69"/>
      <c r="AQ21" s="69"/>
      <c r="AR21" s="99"/>
      <c r="AS21" s="69" t="s">
        <v>319</v>
      </c>
      <c r="AT21" s="69"/>
      <c r="AU21" s="69" t="s">
        <v>317</v>
      </c>
      <c r="AV21" s="69" t="s">
        <v>317</v>
      </c>
      <c r="AW21" s="69"/>
      <c r="AX21" s="69"/>
      <c r="AY21" s="69" t="s">
        <v>366</v>
      </c>
      <c r="AZ21" s="69" t="s">
        <v>313</v>
      </c>
      <c r="BA21" s="69" t="s">
        <v>317</v>
      </c>
      <c r="BB21" s="69" t="s">
        <v>352</v>
      </c>
      <c r="BC21" s="69" t="s">
        <v>326</v>
      </c>
      <c r="BD21" s="69" t="s">
        <v>326</v>
      </c>
      <c r="BE21" s="69" t="s">
        <v>367</v>
      </c>
      <c r="BF21" s="69"/>
      <c r="BG21" s="69" t="s">
        <v>331</v>
      </c>
      <c r="BH21" s="69"/>
      <c r="BI21" s="69"/>
      <c r="BJ21" s="69"/>
      <c r="BK21" s="69" t="s">
        <v>341</v>
      </c>
      <c r="BL21" s="69"/>
      <c r="BM21" s="69" t="s">
        <v>388</v>
      </c>
      <c r="BN21" s="69"/>
    </row>
    <row r="22" spans="1:66" x14ac:dyDescent="0.25">
      <c r="A22" s="61" t="s">
        <v>3</v>
      </c>
      <c r="B22" s="68" t="s">
        <v>227</v>
      </c>
      <c r="C22" s="66">
        <v>9.5</v>
      </c>
      <c r="D22" s="64">
        <v>48</v>
      </c>
      <c r="E22" s="64">
        <f>IF(ISBLANK($D22),"0",IF(($D22-$D21)&gt;($C22-$C21),1,0))</f>
        <v>1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 t="s">
        <v>312</v>
      </c>
      <c r="L22" s="70" t="s">
        <v>313</v>
      </c>
      <c r="M22" s="70"/>
      <c r="N22" s="70" t="s">
        <v>355</v>
      </c>
      <c r="O22" s="70"/>
      <c r="P22" s="70"/>
      <c r="Q22" s="70"/>
      <c r="R22" s="70"/>
      <c r="S22" s="70"/>
      <c r="T22" s="70" t="s">
        <v>347</v>
      </c>
      <c r="U22" s="70"/>
      <c r="V22" s="70" t="s">
        <v>317</v>
      </c>
      <c r="W22" s="70" t="s">
        <v>349</v>
      </c>
      <c r="X22" s="70"/>
      <c r="Y22" s="70" t="s">
        <v>322</v>
      </c>
      <c r="Z22" s="70" t="s">
        <v>383</v>
      </c>
      <c r="AA22" s="70"/>
      <c r="AB22" s="70"/>
      <c r="AC22" s="70" t="s">
        <v>317</v>
      </c>
      <c r="AD22" s="70" t="s">
        <v>317</v>
      </c>
      <c r="AE22" s="70"/>
      <c r="AF22" s="70"/>
      <c r="AG22" s="70" t="s">
        <v>408</v>
      </c>
      <c r="AH22" s="70" t="s">
        <v>325</v>
      </c>
      <c r="AI22" s="70"/>
      <c r="AJ22" s="70"/>
      <c r="AK22" s="70"/>
      <c r="AL22" s="70"/>
      <c r="AM22" s="70" t="s">
        <v>326</v>
      </c>
      <c r="AN22" s="70"/>
      <c r="AO22" s="70"/>
      <c r="AP22" s="70" t="s">
        <v>332</v>
      </c>
      <c r="AQ22" s="70" t="s">
        <v>354</v>
      </c>
      <c r="AR22" s="70" t="s">
        <v>317</v>
      </c>
      <c r="AS22" s="70"/>
      <c r="AT22" s="70" t="s">
        <v>334</v>
      </c>
      <c r="AU22" s="70"/>
      <c r="AV22" s="70"/>
      <c r="AW22" s="70" t="s">
        <v>419</v>
      </c>
      <c r="AX22" s="70" t="s">
        <v>326</v>
      </c>
      <c r="AY22" s="70"/>
      <c r="AZ22" s="70"/>
      <c r="BA22" s="70"/>
      <c r="BB22" s="70"/>
      <c r="BC22" s="70"/>
      <c r="BD22" s="70"/>
      <c r="BE22" s="70"/>
      <c r="BF22" s="70" t="s">
        <v>368</v>
      </c>
      <c r="BG22" s="70"/>
      <c r="BH22" s="70" t="s">
        <v>317</v>
      </c>
      <c r="BI22" s="70" t="s">
        <v>317</v>
      </c>
      <c r="BJ22" s="70" t="s">
        <v>321</v>
      </c>
      <c r="BK22" s="70"/>
      <c r="BL22" s="70" t="s">
        <v>317</v>
      </c>
      <c r="BM22" s="70"/>
      <c r="BN22" s="70" t="s">
        <v>312</v>
      </c>
    </row>
    <row r="23" spans="1:66" x14ac:dyDescent="0.25">
      <c r="A23" s="59"/>
      <c r="B23" s="67" t="str">
        <f>B21&amp; " - score"</f>
        <v>Nebraska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24</v>
      </c>
      <c r="K23" s="78">
        <v>17</v>
      </c>
      <c r="L23" s="78">
        <v>34</v>
      </c>
      <c r="M23" s="78">
        <v>34</v>
      </c>
      <c r="N23" s="80">
        <v>27</v>
      </c>
      <c r="O23" s="78">
        <v>21</v>
      </c>
      <c r="P23" s="78">
        <v>23</v>
      </c>
      <c r="Q23" s="78">
        <v>28</v>
      </c>
      <c r="R23" s="78">
        <v>34</v>
      </c>
      <c r="S23" s="78">
        <v>27</v>
      </c>
      <c r="T23" s="78">
        <v>12</v>
      </c>
      <c r="U23" s="78">
        <v>21</v>
      </c>
      <c r="V23" s="78">
        <v>17</v>
      </c>
      <c r="W23" s="78">
        <v>21</v>
      </c>
      <c r="X23" s="78">
        <v>17</v>
      </c>
      <c r="Y23" s="78">
        <v>32</v>
      </c>
      <c r="Z23" s="78">
        <v>19</v>
      </c>
      <c r="AA23" s="78">
        <v>13</v>
      </c>
      <c r="AB23" s="78">
        <v>20</v>
      </c>
      <c r="AC23" s="78">
        <v>23</v>
      </c>
      <c r="AD23" s="78">
        <v>17</v>
      </c>
      <c r="AE23" s="78">
        <v>0</v>
      </c>
      <c r="AF23" s="78">
        <v>26</v>
      </c>
      <c r="AG23" s="78">
        <v>38</v>
      </c>
      <c r="AH23" s="78">
        <v>24</v>
      </c>
      <c r="AI23" s="78">
        <v>37</v>
      </c>
      <c r="AJ23" s="78">
        <v>23</v>
      </c>
      <c r="AK23" s="78">
        <v>32</v>
      </c>
      <c r="AL23" s="78">
        <v>30</v>
      </c>
      <c r="AM23" s="78">
        <v>17</v>
      </c>
      <c r="AN23" s="78">
        <v>27</v>
      </c>
      <c r="AO23" s="78">
        <v>13</v>
      </c>
      <c r="AP23" s="78">
        <v>13</v>
      </c>
      <c r="AQ23" s="78">
        <v>10</v>
      </c>
      <c r="AR23" s="78">
        <v>10</v>
      </c>
      <c r="AS23" s="78">
        <v>24</v>
      </c>
      <c r="AT23" s="78">
        <v>21</v>
      </c>
      <c r="AU23" s="78">
        <v>21</v>
      </c>
      <c r="AV23" s="78">
        <v>18</v>
      </c>
      <c r="AW23" s="78">
        <v>17</v>
      </c>
      <c r="AX23" s="78">
        <v>24</v>
      </c>
      <c r="AY23" s="78">
        <v>23</v>
      </c>
      <c r="AZ23" s="78">
        <v>18</v>
      </c>
      <c r="BA23" s="78">
        <v>35</v>
      </c>
      <c r="BB23" s="78">
        <v>62</v>
      </c>
      <c r="BC23" s="78">
        <v>24</v>
      </c>
      <c r="BD23" s="78">
        <v>21</v>
      </c>
      <c r="BE23" s="78">
        <v>30</v>
      </c>
      <c r="BF23" s="78">
        <v>24</v>
      </c>
      <c r="BG23" s="78">
        <v>27</v>
      </c>
      <c r="BH23" s="78">
        <v>22</v>
      </c>
      <c r="BI23" s="78">
        <v>15</v>
      </c>
      <c r="BJ23" s="78">
        <v>31</v>
      </c>
      <c r="BK23" s="78">
        <v>24</v>
      </c>
      <c r="BL23" s="78">
        <v>17</v>
      </c>
      <c r="BM23" s="78">
        <v>27</v>
      </c>
      <c r="BN23" s="78">
        <v>24</v>
      </c>
    </row>
    <row r="24" spans="1:66" x14ac:dyDescent="0.25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27</v>
      </c>
      <c r="K24" s="79">
        <v>27</v>
      </c>
      <c r="L24" s="79">
        <v>48</v>
      </c>
      <c r="M24" s="79">
        <v>21</v>
      </c>
      <c r="N24" s="79">
        <v>38</v>
      </c>
      <c r="O24" s="79">
        <v>28</v>
      </c>
      <c r="P24" s="79">
        <v>24</v>
      </c>
      <c r="Q24" s="79">
        <v>14</v>
      </c>
      <c r="R24" s="79">
        <v>30</v>
      </c>
      <c r="S24" s="79">
        <v>28</v>
      </c>
      <c r="T24" s="79">
        <v>30</v>
      </c>
      <c r="U24" s="79">
        <v>28</v>
      </c>
      <c r="V24" s="79">
        <v>31</v>
      </c>
      <c r="W24" s="79">
        <v>31</v>
      </c>
      <c r="X24" s="79">
        <v>24</v>
      </c>
      <c r="Y24" s="79">
        <v>42</v>
      </c>
      <c r="Z24" s="79">
        <v>31</v>
      </c>
      <c r="AA24" s="79">
        <v>17</v>
      </c>
      <c r="AB24" s="79">
        <v>27</v>
      </c>
      <c r="AC24" s="79">
        <v>47</v>
      </c>
      <c r="AD24" s="79">
        <v>31</v>
      </c>
      <c r="AE24" s="79">
        <v>0</v>
      </c>
      <c r="AF24" s="79">
        <v>25</v>
      </c>
      <c r="AG24" s="79">
        <v>49</v>
      </c>
      <c r="AH24" s="79">
        <v>35</v>
      </c>
      <c r="AI24" s="79">
        <v>41</v>
      </c>
      <c r="AJ24" s="79">
        <v>20</v>
      </c>
      <c r="AK24" s="79">
        <v>35</v>
      </c>
      <c r="AL24" s="79">
        <v>38</v>
      </c>
      <c r="AM24" s="79">
        <v>27</v>
      </c>
      <c r="AN24" s="79">
        <v>36</v>
      </c>
      <c r="AO24" s="79">
        <v>21</v>
      </c>
      <c r="AP24" s="79">
        <v>23</v>
      </c>
      <c r="AQ24" s="79">
        <v>35</v>
      </c>
      <c r="AR24" s="79">
        <v>31</v>
      </c>
      <c r="AS24" s="79">
        <v>28</v>
      </c>
      <c r="AT24" s="79">
        <v>35</v>
      </c>
      <c r="AU24" s="79">
        <v>17</v>
      </c>
      <c r="AV24" s="79">
        <v>27</v>
      </c>
      <c r="AW24" s="79">
        <v>30</v>
      </c>
      <c r="AX24" s="79">
        <v>35</v>
      </c>
      <c r="AY24" s="79">
        <v>31</v>
      </c>
      <c r="AZ24" s="79">
        <v>26</v>
      </c>
      <c r="BA24" s="79">
        <v>32</v>
      </c>
      <c r="BB24" s="79">
        <v>38</v>
      </c>
      <c r="BC24" s="79">
        <v>31</v>
      </c>
      <c r="BD24" s="79">
        <v>17</v>
      </c>
      <c r="BE24" s="79">
        <v>38</v>
      </c>
      <c r="BF24" s="79">
        <v>35</v>
      </c>
      <c r="BG24" s="79">
        <v>30</v>
      </c>
      <c r="BH24" s="79">
        <v>35</v>
      </c>
      <c r="BI24" s="79">
        <v>31</v>
      </c>
      <c r="BJ24" s="79">
        <v>45</v>
      </c>
      <c r="BK24" s="79">
        <v>28</v>
      </c>
      <c r="BL24" s="79">
        <v>31</v>
      </c>
      <c r="BM24" s="79">
        <v>35</v>
      </c>
      <c r="BN24" s="79">
        <v>35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3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2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6</v>
      </c>
      <c r="P25" s="36">
        <f t="shared" si="3"/>
        <v>4</v>
      </c>
      <c r="Q25" s="36">
        <f t="shared" si="3"/>
        <v>3</v>
      </c>
      <c r="R25" s="36">
        <f t="shared" si="3"/>
        <v>3</v>
      </c>
      <c r="S25" s="36">
        <f t="shared" si="3"/>
        <v>5</v>
      </c>
      <c r="T25" s="36">
        <f t="shared" si="3"/>
        <v>8</v>
      </c>
      <c r="U25" s="36">
        <f t="shared" si="3"/>
        <v>6</v>
      </c>
      <c r="V25" s="36">
        <f t="shared" si="3"/>
        <v>5</v>
      </c>
      <c r="W25" s="36">
        <f t="shared" si="3"/>
        <v>8</v>
      </c>
      <c r="X25" s="36">
        <f t="shared" si="3"/>
        <v>6</v>
      </c>
      <c r="Y25" s="36">
        <f t="shared" si="3"/>
        <v>4</v>
      </c>
      <c r="Z25" s="36">
        <f t="shared" si="3"/>
        <v>4</v>
      </c>
      <c r="AA25" s="36">
        <f t="shared" si="3"/>
        <v>7</v>
      </c>
      <c r="AB25" s="36">
        <f t="shared" si="3"/>
        <v>4</v>
      </c>
      <c r="AC25" s="36">
        <f t="shared" si="3"/>
        <v>5</v>
      </c>
      <c r="AD25" s="36">
        <f t="shared" si="3"/>
        <v>8</v>
      </c>
      <c r="AE25" s="36">
        <f t="shared" si="3"/>
        <v>1</v>
      </c>
      <c r="AF25" s="36">
        <f t="shared" si="3"/>
        <v>5</v>
      </c>
      <c r="AG25" s="36">
        <f t="shared" si="3"/>
        <v>5</v>
      </c>
      <c r="AH25" s="36">
        <f t="shared" si="3"/>
        <v>6</v>
      </c>
      <c r="AI25" s="36">
        <f t="shared" si="3"/>
        <v>5</v>
      </c>
      <c r="AJ25" s="36">
        <f t="shared" si="3"/>
        <v>4</v>
      </c>
      <c r="AK25" s="36">
        <f t="shared" si="3"/>
        <v>6</v>
      </c>
      <c r="AL25" s="36">
        <f t="shared" si="3"/>
        <v>5</v>
      </c>
      <c r="AM25" s="36">
        <f t="shared" si="3"/>
        <v>6</v>
      </c>
      <c r="AN25" s="36">
        <f t="shared" si="3"/>
        <v>6</v>
      </c>
      <c r="AO25" s="36">
        <f t="shared" si="3"/>
        <v>5</v>
      </c>
      <c r="AP25" s="36">
        <f t="shared" si="3"/>
        <v>5</v>
      </c>
      <c r="AQ25" s="36">
        <f t="shared" si="3"/>
        <v>4</v>
      </c>
      <c r="AR25" s="36">
        <f t="shared" si="3"/>
        <v>7</v>
      </c>
      <c r="AS25" s="36">
        <f t="shared" si="3"/>
        <v>4</v>
      </c>
      <c r="AT25" s="36">
        <f t="shared" si="3"/>
        <v>8</v>
      </c>
      <c r="AU25" s="36">
        <f t="shared" si="3"/>
        <v>4</v>
      </c>
      <c r="AV25" s="36">
        <f t="shared" si="3"/>
        <v>3</v>
      </c>
      <c r="AW25" s="36">
        <f t="shared" si="3"/>
        <v>6</v>
      </c>
      <c r="AX25" s="36">
        <f t="shared" si="3"/>
        <v>9</v>
      </c>
      <c r="AY25" s="36">
        <f t="shared" si="3"/>
        <v>5</v>
      </c>
      <c r="AZ25" s="36">
        <f t="shared" si="3"/>
        <v>5</v>
      </c>
      <c r="BA25" s="36">
        <f t="shared" si="3"/>
        <v>4</v>
      </c>
      <c r="BB25" s="36">
        <f t="shared" si="3"/>
        <v>4</v>
      </c>
      <c r="BC25" s="36">
        <f t="shared" si="3"/>
        <v>3</v>
      </c>
      <c r="BD25" s="36">
        <f t="shared" si="3"/>
        <v>6</v>
      </c>
      <c r="BE25" s="36">
        <f t="shared" si="3"/>
        <v>6</v>
      </c>
      <c r="BF25" s="36">
        <f t="shared" si="3"/>
        <v>5</v>
      </c>
      <c r="BG25" s="36">
        <f t="shared" si="3"/>
        <v>1</v>
      </c>
      <c r="BH25" s="36">
        <f t="shared" si="3"/>
        <v>7</v>
      </c>
      <c r="BI25" s="36">
        <f t="shared" si="3"/>
        <v>6</v>
      </c>
      <c r="BJ25" s="36">
        <f t="shared" si="3"/>
        <v>4</v>
      </c>
      <c r="BK25" s="36">
        <f t="shared" si="3"/>
        <v>3</v>
      </c>
      <c r="BL25" s="36">
        <f t="shared" si="3"/>
        <v>4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5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BN26" si="4">ABS((L23-L24)-($D21-$D22))</f>
        <v>17</v>
      </c>
      <c r="M26" s="71">
        <f t="shared" si="4"/>
        <v>44</v>
      </c>
      <c r="N26" s="71">
        <f t="shared" si="4"/>
        <v>20</v>
      </c>
      <c r="O26" s="71">
        <f t="shared" si="4"/>
        <v>24</v>
      </c>
      <c r="P26" s="71">
        <f t="shared" si="4"/>
        <v>30</v>
      </c>
      <c r="Q26" s="71">
        <f t="shared" si="4"/>
        <v>45</v>
      </c>
      <c r="R26" s="71">
        <f t="shared" si="4"/>
        <v>35</v>
      </c>
      <c r="S26" s="71">
        <f t="shared" si="4"/>
        <v>30</v>
      </c>
      <c r="T26" s="71">
        <f t="shared" si="4"/>
        <v>13</v>
      </c>
      <c r="U26" s="71">
        <f t="shared" si="4"/>
        <v>24</v>
      </c>
      <c r="V26" s="71">
        <f t="shared" si="4"/>
        <v>17</v>
      </c>
      <c r="W26" s="71">
        <f t="shared" si="4"/>
        <v>21</v>
      </c>
      <c r="X26" s="71">
        <f t="shared" si="4"/>
        <v>24</v>
      </c>
      <c r="Y26" s="71">
        <f t="shared" si="4"/>
        <v>21</v>
      </c>
      <c r="Z26" s="71">
        <f t="shared" si="4"/>
        <v>19</v>
      </c>
      <c r="AA26" s="71">
        <f t="shared" si="4"/>
        <v>27</v>
      </c>
      <c r="AB26" s="71">
        <f t="shared" si="4"/>
        <v>24</v>
      </c>
      <c r="AC26" s="71">
        <f t="shared" si="4"/>
        <v>7</v>
      </c>
      <c r="AD26" s="71">
        <f t="shared" si="4"/>
        <v>17</v>
      </c>
      <c r="AE26" s="71">
        <f t="shared" si="4"/>
        <v>31</v>
      </c>
      <c r="AF26" s="71">
        <f t="shared" si="4"/>
        <v>32</v>
      </c>
      <c r="AG26" s="71">
        <f t="shared" si="4"/>
        <v>20</v>
      </c>
      <c r="AH26" s="71">
        <f t="shared" si="4"/>
        <v>20</v>
      </c>
      <c r="AI26" s="71">
        <f t="shared" si="4"/>
        <v>27</v>
      </c>
      <c r="AJ26" s="71">
        <f t="shared" si="4"/>
        <v>34</v>
      </c>
      <c r="AK26" s="71">
        <f t="shared" si="4"/>
        <v>28</v>
      </c>
      <c r="AL26" s="71">
        <f t="shared" si="4"/>
        <v>23</v>
      </c>
      <c r="AM26" s="71">
        <f t="shared" si="4"/>
        <v>21</v>
      </c>
      <c r="AN26" s="71">
        <f t="shared" si="4"/>
        <v>22</v>
      </c>
      <c r="AO26" s="71">
        <f t="shared" si="4"/>
        <v>23</v>
      </c>
      <c r="AP26" s="71">
        <f t="shared" si="4"/>
        <v>21</v>
      </c>
      <c r="AQ26" s="71">
        <f t="shared" si="4"/>
        <v>6</v>
      </c>
      <c r="AR26" s="71">
        <f t="shared" si="4"/>
        <v>10</v>
      </c>
      <c r="AS26" s="71">
        <f t="shared" si="4"/>
        <v>27</v>
      </c>
      <c r="AT26" s="71">
        <f t="shared" si="4"/>
        <v>17</v>
      </c>
      <c r="AU26" s="71">
        <f t="shared" si="4"/>
        <v>35</v>
      </c>
      <c r="AV26" s="71">
        <f t="shared" si="4"/>
        <v>22</v>
      </c>
      <c r="AW26" s="71">
        <f t="shared" si="4"/>
        <v>18</v>
      </c>
      <c r="AX26" s="71">
        <f t="shared" si="4"/>
        <v>20</v>
      </c>
      <c r="AY26" s="71">
        <f t="shared" si="4"/>
        <v>23</v>
      </c>
      <c r="AZ26" s="71">
        <f t="shared" si="4"/>
        <v>23</v>
      </c>
      <c r="BA26" s="71">
        <f t="shared" si="4"/>
        <v>34</v>
      </c>
      <c r="BB26" s="71">
        <f t="shared" si="4"/>
        <v>55</v>
      </c>
      <c r="BC26" s="71">
        <f t="shared" si="4"/>
        <v>24</v>
      </c>
      <c r="BD26" s="71">
        <f t="shared" si="4"/>
        <v>35</v>
      </c>
      <c r="BE26" s="71">
        <f t="shared" si="4"/>
        <v>23</v>
      </c>
      <c r="BF26" s="71">
        <f t="shared" si="4"/>
        <v>20</v>
      </c>
      <c r="BG26" s="71">
        <f t="shared" si="4"/>
        <v>28</v>
      </c>
      <c r="BH26" s="71">
        <f t="shared" si="4"/>
        <v>18</v>
      </c>
      <c r="BI26" s="71">
        <f t="shared" si="4"/>
        <v>15</v>
      </c>
      <c r="BJ26" s="71">
        <f t="shared" si="4"/>
        <v>17</v>
      </c>
      <c r="BK26" s="71">
        <f t="shared" si="4"/>
        <v>27</v>
      </c>
      <c r="BL26" s="71">
        <f t="shared" si="4"/>
        <v>17</v>
      </c>
      <c r="BM26" s="71">
        <f t="shared" si="4"/>
        <v>23</v>
      </c>
      <c r="BN26" s="71">
        <f t="shared" si="4"/>
        <v>20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BN27" si="5">ABS(($D21+$D22)-(L23+L24))</f>
        <v>17</v>
      </c>
      <c r="M27" s="71">
        <f t="shared" si="5"/>
        <v>10</v>
      </c>
      <c r="N27" s="71">
        <f t="shared" si="5"/>
        <v>0</v>
      </c>
      <c r="O27" s="71">
        <f t="shared" si="5"/>
        <v>16</v>
      </c>
      <c r="P27" s="71">
        <f t="shared" si="5"/>
        <v>18</v>
      </c>
      <c r="Q27" s="71">
        <f t="shared" si="5"/>
        <v>23</v>
      </c>
      <c r="R27" s="71">
        <f t="shared" si="5"/>
        <v>1</v>
      </c>
      <c r="S27" s="71">
        <f t="shared" si="5"/>
        <v>10</v>
      </c>
      <c r="T27" s="71">
        <f t="shared" si="5"/>
        <v>23</v>
      </c>
      <c r="U27" s="71">
        <f t="shared" si="5"/>
        <v>16</v>
      </c>
      <c r="V27" s="71">
        <f t="shared" si="5"/>
        <v>17</v>
      </c>
      <c r="W27" s="71">
        <f t="shared" si="5"/>
        <v>13</v>
      </c>
      <c r="X27" s="71">
        <f t="shared" si="5"/>
        <v>24</v>
      </c>
      <c r="Y27" s="71">
        <f t="shared" si="5"/>
        <v>9</v>
      </c>
      <c r="Z27" s="71">
        <f t="shared" si="5"/>
        <v>15</v>
      </c>
      <c r="AA27" s="71">
        <f t="shared" si="5"/>
        <v>35</v>
      </c>
      <c r="AB27" s="71">
        <f t="shared" si="5"/>
        <v>18</v>
      </c>
      <c r="AC27" s="71">
        <f t="shared" si="5"/>
        <v>5</v>
      </c>
      <c r="AD27" s="71">
        <f t="shared" si="5"/>
        <v>17</v>
      </c>
      <c r="AE27" s="71">
        <f t="shared" si="5"/>
        <v>65</v>
      </c>
      <c r="AF27" s="71">
        <f t="shared" si="5"/>
        <v>14</v>
      </c>
      <c r="AG27" s="71">
        <f t="shared" si="5"/>
        <v>22</v>
      </c>
      <c r="AH27" s="71">
        <f t="shared" si="5"/>
        <v>6</v>
      </c>
      <c r="AI27" s="71">
        <f t="shared" si="5"/>
        <v>13</v>
      </c>
      <c r="AJ27" s="71">
        <f t="shared" si="5"/>
        <v>22</v>
      </c>
      <c r="AK27" s="71">
        <f t="shared" si="5"/>
        <v>2</v>
      </c>
      <c r="AL27" s="71">
        <f t="shared" si="5"/>
        <v>3</v>
      </c>
      <c r="AM27" s="71">
        <f t="shared" si="5"/>
        <v>21</v>
      </c>
      <c r="AN27" s="71">
        <f t="shared" si="5"/>
        <v>2</v>
      </c>
      <c r="AO27" s="71">
        <f t="shared" si="5"/>
        <v>31</v>
      </c>
      <c r="AP27" s="71">
        <f t="shared" si="5"/>
        <v>29</v>
      </c>
      <c r="AQ27" s="71">
        <f t="shared" si="5"/>
        <v>20</v>
      </c>
      <c r="AR27" s="71">
        <f t="shared" si="5"/>
        <v>24</v>
      </c>
      <c r="AS27" s="71">
        <f t="shared" si="5"/>
        <v>13</v>
      </c>
      <c r="AT27" s="71">
        <f t="shared" si="5"/>
        <v>9</v>
      </c>
      <c r="AU27" s="71">
        <f t="shared" si="5"/>
        <v>27</v>
      </c>
      <c r="AV27" s="71">
        <f t="shared" si="5"/>
        <v>20</v>
      </c>
      <c r="AW27" s="71">
        <f t="shared" si="5"/>
        <v>18</v>
      </c>
      <c r="AX27" s="71">
        <f t="shared" si="5"/>
        <v>6</v>
      </c>
      <c r="AY27" s="71">
        <f t="shared" si="5"/>
        <v>11</v>
      </c>
      <c r="AZ27" s="71">
        <f t="shared" si="5"/>
        <v>21</v>
      </c>
      <c r="BA27" s="71">
        <f t="shared" si="5"/>
        <v>2</v>
      </c>
      <c r="BB27" s="71">
        <f t="shared" si="5"/>
        <v>35</v>
      </c>
      <c r="BC27" s="71">
        <f t="shared" si="5"/>
        <v>10</v>
      </c>
      <c r="BD27" s="71">
        <f t="shared" si="5"/>
        <v>27</v>
      </c>
      <c r="BE27" s="71">
        <f t="shared" si="5"/>
        <v>3</v>
      </c>
      <c r="BF27" s="71">
        <f t="shared" si="5"/>
        <v>6</v>
      </c>
      <c r="BG27" s="71">
        <f t="shared" si="5"/>
        <v>8</v>
      </c>
      <c r="BH27" s="71">
        <f t="shared" si="5"/>
        <v>8</v>
      </c>
      <c r="BI27" s="71">
        <f t="shared" si="5"/>
        <v>19</v>
      </c>
      <c r="BJ27" s="71">
        <f t="shared" si="5"/>
        <v>11</v>
      </c>
      <c r="BK27" s="71">
        <f t="shared" si="5"/>
        <v>13</v>
      </c>
      <c r="BL27" s="71">
        <f t="shared" si="5"/>
        <v>17</v>
      </c>
      <c r="BM27" s="71">
        <f t="shared" si="5"/>
        <v>3</v>
      </c>
      <c r="BN27" s="71">
        <f t="shared" si="5"/>
        <v>6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>
        <f t="shared" ca="1" si="6"/>
        <v>1</v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0.50535714285714284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5</v>
      </c>
      <c r="M29" s="71">
        <f t="shared" si="7"/>
        <v>6</v>
      </c>
      <c r="N29" s="71">
        <f t="shared" si="7"/>
        <v>3</v>
      </c>
      <c r="O29" s="71">
        <f t="shared" si="7"/>
        <v>6</v>
      </c>
      <c r="P29" s="71">
        <f t="shared" si="7"/>
        <v>6</v>
      </c>
      <c r="Q29" s="71">
        <f t="shared" si="7"/>
        <v>5</v>
      </c>
      <c r="R29" s="71">
        <f t="shared" si="7"/>
        <v>7</v>
      </c>
      <c r="S29" s="71">
        <f t="shared" si="7"/>
        <v>9</v>
      </c>
      <c r="T29" s="71">
        <f t="shared" si="7"/>
        <v>6</v>
      </c>
      <c r="U29" s="71">
        <f t="shared" si="7"/>
        <v>6</v>
      </c>
      <c r="V29" s="71">
        <f t="shared" si="7"/>
        <v>7</v>
      </c>
      <c r="W29" s="71">
        <f t="shared" si="7"/>
        <v>4</v>
      </c>
      <c r="X29" s="71">
        <f t="shared" si="7"/>
        <v>8</v>
      </c>
      <c r="Y29" s="71">
        <f t="shared" si="7"/>
        <v>6</v>
      </c>
      <c r="Z29" s="71">
        <f t="shared" si="7"/>
        <v>2</v>
      </c>
      <c r="AA29" s="71">
        <f t="shared" si="7"/>
        <v>7</v>
      </c>
      <c r="AB29" s="71">
        <f t="shared" si="7"/>
        <v>8</v>
      </c>
      <c r="AC29" s="71">
        <f t="shared" si="7"/>
        <v>5</v>
      </c>
      <c r="AD29" s="71">
        <f t="shared" si="7"/>
        <v>6</v>
      </c>
      <c r="AE29" s="71">
        <f t="shared" si="7"/>
        <v>3</v>
      </c>
      <c r="AF29" s="71">
        <f t="shared" si="7"/>
        <v>3</v>
      </c>
      <c r="AG29" s="71">
        <f t="shared" si="7"/>
        <v>5</v>
      </c>
      <c r="AH29" s="71">
        <f t="shared" si="7"/>
        <v>8</v>
      </c>
      <c r="AI29" s="71">
        <f t="shared" si="7"/>
        <v>9</v>
      </c>
      <c r="AJ29" s="71">
        <f t="shared" si="7"/>
        <v>6</v>
      </c>
      <c r="AK29" s="71">
        <f t="shared" si="7"/>
        <v>6</v>
      </c>
      <c r="AL29" s="71">
        <f t="shared" si="7"/>
        <v>7</v>
      </c>
      <c r="AM29" s="71">
        <f t="shared" si="7"/>
        <v>4</v>
      </c>
      <c r="AN29" s="71">
        <f t="shared" si="7"/>
        <v>4</v>
      </c>
      <c r="AO29" s="71">
        <f t="shared" si="7"/>
        <v>7</v>
      </c>
      <c r="AP29" s="71">
        <f t="shared" si="7"/>
        <v>7</v>
      </c>
      <c r="AQ29" s="71">
        <f t="shared" si="7"/>
        <v>6</v>
      </c>
      <c r="AR29" s="71">
        <f t="shared" si="7"/>
        <v>5</v>
      </c>
      <c r="AS29" s="71">
        <f t="shared" si="7"/>
        <v>8</v>
      </c>
      <c r="AT29" s="71">
        <f t="shared" si="7"/>
        <v>4</v>
      </c>
      <c r="AU29" s="71">
        <f t="shared" si="7"/>
        <v>6</v>
      </c>
      <c r="AV29" s="71">
        <f t="shared" si="7"/>
        <v>7</v>
      </c>
      <c r="AW29" s="71">
        <f t="shared" si="7"/>
        <v>4</v>
      </c>
      <c r="AX29" s="71">
        <f t="shared" si="7"/>
        <v>5</v>
      </c>
      <c r="AY29" s="71">
        <f t="shared" si="7"/>
        <v>9</v>
      </c>
      <c r="AZ29" s="71">
        <f t="shared" si="7"/>
        <v>7</v>
      </c>
      <c r="BA29" s="71">
        <f t="shared" si="7"/>
        <v>4</v>
      </c>
      <c r="BB29" s="71">
        <f t="shared" si="7"/>
        <v>6</v>
      </c>
      <c r="BC29" s="71">
        <f t="shared" si="7"/>
        <v>7</v>
      </c>
      <c r="BD29" s="71">
        <f t="shared" si="7"/>
        <v>4</v>
      </c>
      <c r="BE29" s="71">
        <f t="shared" si="7"/>
        <v>6</v>
      </c>
      <c r="BF29" s="71">
        <f t="shared" si="7"/>
        <v>5</v>
      </c>
      <c r="BG29" s="71">
        <f t="shared" si="7"/>
        <v>3</v>
      </c>
      <c r="BH29" s="71">
        <f t="shared" si="7"/>
        <v>5</v>
      </c>
      <c r="BI29" s="71">
        <f t="shared" si="7"/>
        <v>4</v>
      </c>
      <c r="BJ29" s="71">
        <f t="shared" si="7"/>
        <v>6</v>
      </c>
      <c r="BK29" s="71">
        <f t="shared" si="7"/>
        <v>7</v>
      </c>
      <c r="BL29" s="71">
        <f t="shared" si="7"/>
        <v>0</v>
      </c>
      <c r="BM29" s="71">
        <f t="shared" si="7"/>
        <v>6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3</v>
      </c>
      <c r="N30" s="73">
        <f t="shared" si="8"/>
        <v>4</v>
      </c>
      <c r="O30" s="73">
        <f t="shared" si="8"/>
        <v>5</v>
      </c>
      <c r="P30" s="73">
        <f t="shared" si="8"/>
        <v>3</v>
      </c>
      <c r="Q30" s="73">
        <f t="shared" si="8"/>
        <v>2</v>
      </c>
      <c r="R30" s="73">
        <f t="shared" si="8"/>
        <v>2</v>
      </c>
      <c r="S30" s="73">
        <f t="shared" si="8"/>
        <v>4</v>
      </c>
      <c r="T30" s="73">
        <f t="shared" si="8"/>
        <v>5</v>
      </c>
      <c r="U30" s="73">
        <f t="shared" si="8"/>
        <v>7</v>
      </c>
      <c r="V30" s="73">
        <f t="shared" si="8"/>
        <v>2</v>
      </c>
      <c r="W30" s="73">
        <f t="shared" si="8"/>
        <v>7</v>
      </c>
      <c r="X30" s="73">
        <f t="shared" si="8"/>
        <v>5</v>
      </c>
      <c r="Y30" s="73">
        <f t="shared" si="8"/>
        <v>1</v>
      </c>
      <c r="Z30" s="73">
        <f t="shared" si="8"/>
        <v>5</v>
      </c>
      <c r="AA30" s="73">
        <f t="shared" si="8"/>
        <v>6</v>
      </c>
      <c r="AB30" s="73">
        <f t="shared" si="8"/>
        <v>3</v>
      </c>
      <c r="AC30" s="73">
        <f t="shared" si="8"/>
        <v>4</v>
      </c>
      <c r="AD30" s="73">
        <f t="shared" si="8"/>
        <v>7</v>
      </c>
      <c r="AE30" s="73">
        <f t="shared" si="8"/>
        <v>4</v>
      </c>
      <c r="AF30" s="73">
        <f t="shared" si="8"/>
        <v>6</v>
      </c>
      <c r="AG30" s="73">
        <f t="shared" si="8"/>
        <v>2</v>
      </c>
      <c r="AH30" s="73">
        <f t="shared" si="8"/>
        <v>3</v>
      </c>
      <c r="AI30" s="73">
        <f t="shared" si="8"/>
        <v>4</v>
      </c>
      <c r="AJ30" s="73">
        <f t="shared" si="8"/>
        <v>5</v>
      </c>
      <c r="AK30" s="73">
        <f t="shared" si="8"/>
        <v>5</v>
      </c>
      <c r="AL30" s="73">
        <f t="shared" si="8"/>
        <v>4</v>
      </c>
      <c r="AM30" s="73">
        <f t="shared" si="8"/>
        <v>5</v>
      </c>
      <c r="AN30" s="73">
        <f t="shared" si="8"/>
        <v>7</v>
      </c>
      <c r="AO30" s="73">
        <f t="shared" si="8"/>
        <v>4</v>
      </c>
      <c r="AP30" s="73">
        <f t="shared" si="8"/>
        <v>4</v>
      </c>
      <c r="AQ30" s="73">
        <f t="shared" si="8"/>
        <v>1</v>
      </c>
      <c r="AR30" s="73">
        <f t="shared" si="8"/>
        <v>4</v>
      </c>
      <c r="AS30" s="73">
        <f t="shared" si="8"/>
        <v>5</v>
      </c>
      <c r="AT30" s="73">
        <f t="shared" si="8"/>
        <v>7</v>
      </c>
      <c r="AU30" s="73">
        <f t="shared" si="8"/>
        <v>5</v>
      </c>
      <c r="AV30" s="73">
        <f t="shared" si="8"/>
        <v>4</v>
      </c>
      <c r="AW30" s="73">
        <f t="shared" si="8"/>
        <v>3</v>
      </c>
      <c r="AX30" s="73">
        <f t="shared" si="8"/>
        <v>6</v>
      </c>
      <c r="AY30" s="73">
        <f t="shared" si="8"/>
        <v>4</v>
      </c>
      <c r="AZ30" s="73">
        <f t="shared" si="8"/>
        <v>6</v>
      </c>
      <c r="BA30" s="73">
        <f t="shared" si="8"/>
        <v>5</v>
      </c>
      <c r="BB30" s="73">
        <f t="shared" si="8"/>
        <v>5</v>
      </c>
      <c r="BC30" s="73">
        <f t="shared" si="8"/>
        <v>2</v>
      </c>
      <c r="BD30" s="73">
        <f t="shared" si="8"/>
        <v>7</v>
      </c>
      <c r="BE30" s="73">
        <f t="shared" si="8"/>
        <v>5</v>
      </c>
      <c r="BF30" s="73">
        <f t="shared" si="8"/>
        <v>4</v>
      </c>
      <c r="BG30" s="73">
        <f t="shared" si="8"/>
        <v>4</v>
      </c>
      <c r="BH30" s="73">
        <f t="shared" si="8"/>
        <v>8</v>
      </c>
      <c r="BI30" s="73">
        <f t="shared" si="8"/>
        <v>5</v>
      </c>
      <c r="BJ30" s="73">
        <f t="shared" si="8"/>
        <v>3</v>
      </c>
      <c r="BK30" s="73">
        <f t="shared" si="8"/>
        <v>2</v>
      </c>
      <c r="BL30" s="73">
        <f t="shared" si="8"/>
        <v>5</v>
      </c>
      <c r="BM30" s="73">
        <f t="shared" si="8"/>
        <v>3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6.5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5.5</v>
      </c>
      <c r="M31" s="71">
        <f t="shared" ca="1" si="9"/>
        <v>1.5</v>
      </c>
      <c r="N31" s="71">
        <f t="shared" ca="1" si="9"/>
        <v>4.5</v>
      </c>
      <c r="O31" s="71">
        <f t="shared" ca="1" si="9"/>
        <v>1.5</v>
      </c>
      <c r="P31" s="71">
        <f t="shared" ca="1" si="9"/>
        <v>1.5</v>
      </c>
      <c r="Q31" s="71">
        <f t="shared" ca="1" si="9"/>
        <v>2.5</v>
      </c>
      <c r="R31" s="71">
        <f t="shared" ca="1" si="9"/>
        <v>1.5</v>
      </c>
      <c r="S31" s="71">
        <f t="shared" ca="1" si="9"/>
        <v>1.5</v>
      </c>
      <c r="T31" s="71">
        <f t="shared" ca="1" si="9"/>
        <v>3.5</v>
      </c>
      <c r="U31" s="71">
        <f t="shared" ca="1" si="9"/>
        <v>4.5</v>
      </c>
      <c r="V31" s="71">
        <f t="shared" ca="1" si="9"/>
        <v>3.5</v>
      </c>
      <c r="W31" s="71">
        <f t="shared" ca="1" si="9"/>
        <v>5.5</v>
      </c>
      <c r="X31" s="71">
        <f t="shared" ca="1" si="9"/>
        <v>1.5</v>
      </c>
      <c r="Y31" s="71">
        <f t="shared" ca="1" si="9"/>
        <v>2.5</v>
      </c>
      <c r="Z31" s="71">
        <f t="shared" ca="1" si="9"/>
        <v>7.5</v>
      </c>
      <c r="AA31" s="71">
        <f t="shared" ca="1" si="9"/>
        <v>4.5</v>
      </c>
      <c r="AB31" s="71">
        <f t="shared" ca="1" si="9"/>
        <v>2.5</v>
      </c>
      <c r="AC31" s="71">
        <f t="shared" ca="1" si="9"/>
        <v>3.5</v>
      </c>
      <c r="AD31" s="71">
        <f t="shared" ca="1" si="9"/>
        <v>6.5</v>
      </c>
      <c r="AE31" s="71">
        <f t="shared" ca="1" si="9"/>
        <v>5.5</v>
      </c>
      <c r="AF31" s="71">
        <f t="shared" ca="1" si="9"/>
        <v>6.5</v>
      </c>
      <c r="AG31" s="71">
        <f t="shared" ca="1" si="9"/>
        <v>2.5</v>
      </c>
      <c r="AH31" s="71">
        <f t="shared" ca="1" si="9"/>
        <v>2.5</v>
      </c>
      <c r="AI31" s="71">
        <f t="shared" ca="1" si="9"/>
        <v>1.5</v>
      </c>
      <c r="AJ31" s="71">
        <f t="shared" ca="1" si="9"/>
        <v>2.5</v>
      </c>
      <c r="AK31" s="71">
        <f t="shared" ca="1" si="9"/>
        <v>1.5</v>
      </c>
      <c r="AL31" s="71">
        <f t="shared" ca="1" si="9"/>
        <v>0.5</v>
      </c>
      <c r="AM31" s="71">
        <f t="shared" ca="1" si="9"/>
        <v>5.5</v>
      </c>
      <c r="AN31" s="71">
        <f t="shared" ca="1" si="9"/>
        <v>3.5</v>
      </c>
      <c r="AO31" s="71">
        <f t="shared" ca="1" si="9"/>
        <v>3.5</v>
      </c>
      <c r="AP31" s="71">
        <f t="shared" ca="1" si="9"/>
        <v>3.5</v>
      </c>
      <c r="AQ31" s="71">
        <f t="shared" ca="1" si="9"/>
        <v>2.5</v>
      </c>
      <c r="AR31" s="71">
        <f t="shared" ca="1" si="9"/>
        <v>4.5</v>
      </c>
      <c r="AS31" s="71">
        <f t="shared" ca="1" si="9"/>
        <v>2.5</v>
      </c>
      <c r="AT31" s="71">
        <f t="shared" ca="1" si="9"/>
        <v>5.5</v>
      </c>
      <c r="AU31" s="71">
        <f t="shared" ca="1" si="9"/>
        <v>1.5</v>
      </c>
      <c r="AV31" s="71">
        <f t="shared" ca="1" si="9"/>
        <v>3.5</v>
      </c>
      <c r="AW31" s="71">
        <f t="shared" ca="1" si="9"/>
        <v>5.5</v>
      </c>
      <c r="AX31" s="71">
        <f t="shared" ca="1" si="9"/>
        <v>4.5</v>
      </c>
      <c r="AY31" s="71">
        <f t="shared" ca="1" si="9"/>
        <v>1.5</v>
      </c>
      <c r="AZ31" s="71">
        <f t="shared" ca="1" si="9"/>
        <v>3.5</v>
      </c>
      <c r="BA31" s="71">
        <f t="shared" ca="1" si="9"/>
        <v>3.5</v>
      </c>
      <c r="BB31" s="71">
        <f t="shared" ca="1" si="9"/>
        <v>4.5</v>
      </c>
      <c r="BC31" s="71">
        <f t="shared" ca="1" si="9"/>
        <v>1.5</v>
      </c>
      <c r="BD31" s="71">
        <f t="shared" ca="1" si="9"/>
        <v>3.5</v>
      </c>
      <c r="BE31" s="71">
        <f t="shared" ca="1" si="9"/>
        <v>1.5</v>
      </c>
      <c r="BF31" s="71">
        <f t="shared" ca="1" si="9"/>
        <v>3.5</v>
      </c>
      <c r="BG31" s="71">
        <f t="shared" ca="1" si="9"/>
        <v>5.5</v>
      </c>
      <c r="BH31" s="71">
        <f t="shared" ca="1" si="9"/>
        <v>7.5</v>
      </c>
      <c r="BI31" s="71">
        <f t="shared" ca="1" si="9"/>
        <v>5.5</v>
      </c>
      <c r="BJ31" s="71">
        <f t="shared" ca="1" si="9"/>
        <v>4.5</v>
      </c>
      <c r="BK31" s="71">
        <f t="shared" ca="1" si="9"/>
        <v>1.5</v>
      </c>
      <c r="BL31" s="71">
        <f t="shared" ca="1" si="9"/>
        <v>7.5</v>
      </c>
      <c r="BM31" s="71">
        <f t="shared" ca="1" si="9"/>
        <v>1.5</v>
      </c>
      <c r="BN31" s="71">
        <f t="shared" ca="1" si="9"/>
        <v>5.5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141915916</v>
      </c>
      <c r="L36" s="32">
        <f t="shared" ref="L36:BN36" si="12">COUNTA(L23:L24)*((10000000*L25)+(1000000*(COUNTA(L21)*$E21+COUNTA(L22)*$E22))-(COUNTA($D$21:$D$22)*1000*L26)-(COUNTA($D$21:$D$22)*L27))</f>
        <v>101931932</v>
      </c>
      <c r="M36" s="32">
        <f t="shared" si="12"/>
        <v>79823960</v>
      </c>
      <c r="N36" s="32">
        <f t="shared" si="12"/>
        <v>101920000</v>
      </c>
      <c r="O36" s="32">
        <f t="shared" si="12"/>
        <v>119903936</v>
      </c>
      <c r="P36" s="32">
        <f t="shared" si="12"/>
        <v>79879928</v>
      </c>
      <c r="Q36" s="32">
        <f t="shared" si="12"/>
        <v>59819908</v>
      </c>
      <c r="R36" s="32">
        <f t="shared" si="12"/>
        <v>59859996</v>
      </c>
      <c r="S36" s="32">
        <f t="shared" si="12"/>
        <v>99879960</v>
      </c>
      <c r="T36" s="32">
        <f t="shared" si="12"/>
        <v>161947908</v>
      </c>
      <c r="U36" s="32">
        <f t="shared" si="12"/>
        <v>119903936</v>
      </c>
      <c r="V36" s="32">
        <f t="shared" si="12"/>
        <v>101931932</v>
      </c>
      <c r="W36" s="32">
        <f t="shared" si="12"/>
        <v>161915948</v>
      </c>
      <c r="X36" s="32">
        <f t="shared" si="12"/>
        <v>119903904</v>
      </c>
      <c r="Y36" s="32">
        <f t="shared" si="12"/>
        <v>81915964</v>
      </c>
      <c r="Z36" s="32">
        <f t="shared" si="12"/>
        <v>81923940</v>
      </c>
      <c r="AA36" s="32">
        <f t="shared" si="12"/>
        <v>139891860</v>
      </c>
      <c r="AB36" s="32">
        <f t="shared" si="12"/>
        <v>79903928</v>
      </c>
      <c r="AC36" s="32">
        <f t="shared" si="12"/>
        <v>101971980</v>
      </c>
      <c r="AD36" s="32">
        <f t="shared" si="12"/>
        <v>161931932</v>
      </c>
      <c r="AE36" s="32">
        <f t="shared" si="12"/>
        <v>19875740</v>
      </c>
      <c r="AF36" s="32">
        <f t="shared" si="12"/>
        <v>99871944</v>
      </c>
      <c r="AG36" s="32">
        <f t="shared" si="12"/>
        <v>101919912</v>
      </c>
      <c r="AH36" s="32">
        <f t="shared" si="12"/>
        <v>121919976</v>
      </c>
      <c r="AI36" s="32">
        <f t="shared" si="12"/>
        <v>99891948</v>
      </c>
      <c r="AJ36" s="32">
        <f t="shared" si="12"/>
        <v>79863912</v>
      </c>
      <c r="AK36" s="32">
        <f t="shared" si="12"/>
        <v>119887992</v>
      </c>
      <c r="AL36" s="32">
        <f t="shared" si="12"/>
        <v>99907988</v>
      </c>
      <c r="AM36" s="32">
        <f t="shared" si="12"/>
        <v>121915916</v>
      </c>
      <c r="AN36" s="32">
        <f t="shared" si="12"/>
        <v>119911992</v>
      </c>
      <c r="AO36" s="32">
        <f t="shared" si="12"/>
        <v>99907876</v>
      </c>
      <c r="AP36" s="32">
        <f t="shared" si="12"/>
        <v>101915884</v>
      </c>
      <c r="AQ36" s="32">
        <f t="shared" si="12"/>
        <v>81975920</v>
      </c>
      <c r="AR36" s="32">
        <f t="shared" si="12"/>
        <v>141959904</v>
      </c>
      <c r="AS36" s="32">
        <f t="shared" si="12"/>
        <v>79891948</v>
      </c>
      <c r="AT36" s="32">
        <f t="shared" si="12"/>
        <v>161931964</v>
      </c>
      <c r="AU36" s="32">
        <f t="shared" si="12"/>
        <v>79859892</v>
      </c>
      <c r="AV36" s="32">
        <f t="shared" si="12"/>
        <v>59911920</v>
      </c>
      <c r="AW36" s="32">
        <f t="shared" si="12"/>
        <v>121927928</v>
      </c>
      <c r="AX36" s="32">
        <f t="shared" si="12"/>
        <v>181919976</v>
      </c>
      <c r="AY36" s="32">
        <f t="shared" si="12"/>
        <v>99907956</v>
      </c>
      <c r="AZ36" s="32">
        <f t="shared" si="12"/>
        <v>99907916</v>
      </c>
      <c r="BA36" s="32">
        <f t="shared" si="12"/>
        <v>79863992</v>
      </c>
      <c r="BB36" s="32">
        <f t="shared" si="12"/>
        <v>79779860</v>
      </c>
      <c r="BC36" s="32">
        <f t="shared" si="12"/>
        <v>59903960</v>
      </c>
      <c r="BD36" s="32">
        <f t="shared" si="12"/>
        <v>119859892</v>
      </c>
      <c r="BE36" s="32">
        <f t="shared" si="12"/>
        <v>119907988</v>
      </c>
      <c r="BF36" s="32">
        <f t="shared" si="12"/>
        <v>101919976</v>
      </c>
      <c r="BG36" s="32">
        <f t="shared" si="12"/>
        <v>19887968</v>
      </c>
      <c r="BH36" s="32">
        <f t="shared" si="12"/>
        <v>141927968</v>
      </c>
      <c r="BI36" s="32">
        <f t="shared" si="12"/>
        <v>121939924</v>
      </c>
      <c r="BJ36" s="32">
        <f t="shared" si="12"/>
        <v>81931956</v>
      </c>
      <c r="BK36" s="32">
        <f t="shared" si="12"/>
        <v>59891948</v>
      </c>
      <c r="BL36" s="32">
        <f t="shared" si="12"/>
        <v>81931932</v>
      </c>
      <c r="BM36" s="32">
        <f t="shared" si="12"/>
        <v>79907988</v>
      </c>
      <c r="BN36" s="32">
        <f t="shared" si="12"/>
        <v>101919976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 x14ac:dyDescent="0.25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Brent;Holley, Jeremy Remote;Hucks, Jason;Inabinet, Greg;James, Larry C;Johnson, Robert J;Kandela, Marwan;Locklear,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26" priority="24" stopIfTrue="1" operator="equal">
      <formula>0</formula>
    </cfRule>
  </conditionalFormatting>
  <conditionalFormatting sqref="B12:C12 B14:C14 B16:C16 B18:C18 B20:C20 B22:C22 B24:C24 E24 H24:I24 B10:C10 B4:C4 B6:C6 B8:C8 AO24:BE24">
    <cfRule type="cellIs" dxfId="325" priority="23" stopIfTrue="1" operator="equal">
      <formula>0</formula>
    </cfRule>
  </conditionalFormatting>
  <conditionalFormatting sqref="D26:J28 K28:BE28">
    <cfRule type="cellIs" dxfId="324" priority="22" stopIfTrue="1" operator="equal">
      <formula>1</formula>
    </cfRule>
  </conditionalFormatting>
  <conditionalFormatting sqref="H3:I3 F23 H5:I5 H7:I7 H9:I9 H11:I11 H13:I13 H15:I15 H17:I17 H19:I19 H21:I21">
    <cfRule type="cellIs" dxfId="323" priority="21" stopIfTrue="1" operator="equal">
      <formula>0</formula>
    </cfRule>
  </conditionalFormatting>
  <conditionalFormatting sqref="H4:I4 F24 H6:I6 H8:I8 H10:I10 H12:I12 H14:I14 H16:I16 H18:I18 H20:I20 H22:I22">
    <cfRule type="cellIs" dxfId="322" priority="20" stopIfTrue="1" operator="equal">
      <formula>0</formula>
    </cfRule>
  </conditionalFormatting>
  <conditionalFormatting sqref="F3 F5 F7 F9 F11 F13 F15 F17 F19 F21">
    <cfRule type="cellIs" dxfId="321" priority="19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0" priority="18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9" priority="16" stopIfTrue="1">
      <formula>AND(COUNTA(J4)=1,$E4=1,SUM($E3:$E4)=1)</formula>
    </cfRule>
    <cfRule type="expression" dxfId="318" priority="17" stopIfTrue="1">
      <formula>AND(COUNTA(J4)=1,$E4=0,SUM($E3:$E4)=1)</formula>
    </cfRule>
  </conditionalFormatting>
  <conditionalFormatting sqref="J5:BE5 J7:BE7 J9:BE9 J11:BE11 J13:BE13 J15:BE15 J17:BE17 J19:BE19 J21:BE21 J3:BE3">
    <cfRule type="expression" dxfId="317" priority="14" stopIfTrue="1">
      <formula>AND(COUNTA(J3)=1,$E3=1,SUM($E3:$E4)=1)</formula>
    </cfRule>
    <cfRule type="expression" dxfId="316" priority="15" stopIfTrue="1">
      <formula>AND(COUNTA(J3)=1,$E3=0,SUM($E3:$E4)=1)</formula>
    </cfRule>
  </conditionalFormatting>
  <conditionalFormatting sqref="BF23:BN23">
    <cfRule type="cellIs" dxfId="315" priority="13" stopIfTrue="1" operator="equal">
      <formula>0</formula>
    </cfRule>
  </conditionalFormatting>
  <conditionalFormatting sqref="BF24:BN24">
    <cfRule type="cellIs" dxfId="314" priority="12" stopIfTrue="1" operator="equal">
      <formula>0</formula>
    </cfRule>
  </conditionalFormatting>
  <conditionalFormatting sqref="BF28:BN28">
    <cfRule type="cellIs" dxfId="313" priority="11" stopIfTrue="1" operator="equal">
      <formula>1</formula>
    </cfRule>
  </conditionalFormatting>
  <conditionalFormatting sqref="BF12:BN12 BF14:BN14 BF16:BN16 BF18:BN18 BF20:BN20 BF22:BN22 BF4:BN4 BF6:BN6 BF8:BN8 BF10:BN10">
    <cfRule type="expression" dxfId="312" priority="9" stopIfTrue="1">
      <formula>AND(COUNTA(BF4)=1,$E4=1,SUM($E3:$E4)=1)</formula>
    </cfRule>
    <cfRule type="expression" dxfId="311" priority="10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310" priority="7" stopIfTrue="1">
      <formula>AND(COUNTA(BF3)=1,$E3=1,SUM($E3:$E4)=1)</formula>
    </cfRule>
    <cfRule type="expression" dxfId="309" priority="8" stopIfTrue="1">
      <formula>AND(COUNTA(BF3)=1,$E3=0,SUM($E3:$E4)=1)</formula>
    </cfRule>
  </conditionalFormatting>
  <conditionalFormatting sqref="AE23">
    <cfRule type="cellIs" dxfId="308" priority="6" stopIfTrue="1" operator="equal">
      <formula>0</formula>
    </cfRule>
  </conditionalFormatting>
  <conditionalFormatting sqref="AE24">
    <cfRule type="cellIs" dxfId="307" priority="5" stopIfTrue="1" operator="equal">
      <formula>0</formula>
    </cfRule>
  </conditionalFormatting>
  <conditionalFormatting sqref="AE12 AE14 AE16 AE18 AE20 AE22 AE4 AE6 AE8 AE10">
    <cfRule type="expression" dxfId="306" priority="3" stopIfTrue="1">
      <formula>AND(COUNTA(AE4)=1,$E4=1,SUM($E3:$E4)=1)</formula>
    </cfRule>
    <cfRule type="expression" dxfId="305" priority="4" stopIfTrue="1">
      <formula>AND(COUNTA(AE4)=1,$E4=0,SUM($E3:$E4)=1)</formula>
    </cfRule>
  </conditionalFormatting>
  <conditionalFormatting sqref="AE11 AE13 AE15 AE17 AE19 AE21 AE3 AE5 AE7 AE9">
    <cfRule type="expression" dxfId="304" priority="1" stopIfTrue="1">
      <formula>AND(COUNTA(AE3)=1,$E3=1,SUM($E3:$E4)=1)</formula>
    </cfRule>
    <cfRule type="expression" dxfId="303" priority="2" stopIfTrue="1">
      <formula>AND(COUNTA(AE3)=1,$E3=0,SUM($E3:$E4)=1)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22860</xdr:colOff>
                    <xdr:row>1</xdr:row>
                    <xdr:rowOff>106680</xdr:rowOff>
                  </from>
                  <to>
                    <xdr:col>1</xdr:col>
                    <xdr:colOff>624840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22860</xdr:colOff>
                    <xdr:row>1</xdr:row>
                    <xdr:rowOff>381000</xdr:rowOff>
                  </from>
                  <to>
                    <xdr:col>1</xdr:col>
                    <xdr:colOff>624840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utton 4">
              <controlPr defaultSize="0" print="0" autoFill="0" autoPict="0" macro="[0]!grabSayings">
                <anchor moveWithCells="1" sizeWithCells="1">
                  <from>
                    <xdr:col>1</xdr:col>
                    <xdr:colOff>22860</xdr:colOff>
                    <xdr:row>1</xdr:row>
                    <xdr:rowOff>678180</xdr:rowOff>
                  </from>
                  <to>
                    <xdr:col>1</xdr:col>
                    <xdr:colOff>739140</xdr:colOff>
                    <xdr:row>1</xdr:row>
                    <xdr:rowOff>883920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N58"/>
  <sheetViews>
    <sheetView zoomScale="80" zoomScaleNormal="80" zoomScaleSheetLayoutView="100" workbookViewId="0">
      <selection activeCell="B2" sqref="B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6" x14ac:dyDescent="0.25">
      <c r="B1" s="6"/>
      <c r="I1">
        <f>COUNTA(K1:BL1)</f>
        <v>0</v>
      </c>
      <c r="J1">
        <f>SUM(K1:BL1)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 x14ac:dyDescent="0.25">
      <c r="A3" s="59">
        <v>1</v>
      </c>
      <c r="B3" s="67" t="s">
        <v>262</v>
      </c>
      <c r="C3" s="65">
        <v>1.5</v>
      </c>
      <c r="D3" s="64">
        <v>27</v>
      </c>
      <c r="E3" s="64">
        <f>IF(ISBLANK($D3),"0",IF(($D4-$D3)&lt;($C4-$C3),1,0))</f>
        <v>0</v>
      </c>
      <c r="F3" s="64">
        <f ca="1">COUNTA(INDIRECT("RC11:RC"&amp;11+playercnt-1,FALSE))</f>
        <v>27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311</v>
      </c>
      <c r="K3" s="69"/>
      <c r="L3" s="69"/>
      <c r="M3" s="69" t="s">
        <v>312</v>
      </c>
      <c r="N3" s="69" t="s">
        <v>355</v>
      </c>
      <c r="O3" s="69"/>
      <c r="P3" s="69"/>
      <c r="Q3" s="69"/>
      <c r="R3" s="69" t="s">
        <v>319</v>
      </c>
      <c r="S3" s="69" t="s">
        <v>316</v>
      </c>
      <c r="T3" s="69" t="s">
        <v>332</v>
      </c>
      <c r="U3" s="69"/>
      <c r="V3" s="69"/>
      <c r="W3" s="69" t="s">
        <v>357</v>
      </c>
      <c r="X3" s="69" t="s">
        <v>312</v>
      </c>
      <c r="Y3" s="69"/>
      <c r="Z3" s="69"/>
      <c r="AA3" s="69" t="s">
        <v>312</v>
      </c>
      <c r="AB3" s="69" t="s">
        <v>317</v>
      </c>
      <c r="AC3" s="69"/>
      <c r="AD3" s="69" t="s">
        <v>317</v>
      </c>
      <c r="AE3" s="69"/>
      <c r="AF3" s="69"/>
      <c r="AG3" s="69" t="s">
        <v>314</v>
      </c>
      <c r="AH3" s="69" t="s">
        <v>315</v>
      </c>
      <c r="AI3" s="69" t="s">
        <v>343</v>
      </c>
      <c r="AJ3" s="69"/>
      <c r="AK3" s="69"/>
      <c r="AL3" s="69" t="s">
        <v>347</v>
      </c>
      <c r="AM3" s="69" t="s">
        <v>329</v>
      </c>
      <c r="AN3" s="69"/>
      <c r="AO3" s="69" t="s">
        <v>317</v>
      </c>
      <c r="AP3" s="69"/>
      <c r="AQ3" s="69"/>
      <c r="AR3" s="99" t="s">
        <v>317</v>
      </c>
      <c r="AS3" s="69" t="s">
        <v>312</v>
      </c>
      <c r="AT3" s="69"/>
      <c r="AU3" s="69" t="s">
        <v>351</v>
      </c>
      <c r="AV3" s="69"/>
      <c r="AW3" s="69"/>
      <c r="AX3" s="69" t="s">
        <v>425</v>
      </c>
      <c r="AY3" s="69" t="s">
        <v>366</v>
      </c>
      <c r="AZ3" s="69"/>
      <c r="BA3" s="69"/>
      <c r="BB3" s="69"/>
      <c r="BC3" s="69"/>
      <c r="BD3" s="69" t="s">
        <v>312</v>
      </c>
      <c r="BE3" s="69"/>
      <c r="BF3" s="99" t="s">
        <v>398</v>
      </c>
      <c r="BG3" s="69" t="s">
        <v>332</v>
      </c>
      <c r="BH3" s="69" t="s">
        <v>312</v>
      </c>
      <c r="BI3" s="69" t="s">
        <v>426</v>
      </c>
      <c r="BJ3" s="69"/>
      <c r="BK3" s="69"/>
      <c r="BL3" s="69"/>
      <c r="BM3" s="69"/>
      <c r="BN3" s="69" t="s">
        <v>312</v>
      </c>
    </row>
    <row r="4" spans="1:66" x14ac:dyDescent="0.25">
      <c r="A4" s="61" t="s">
        <v>3</v>
      </c>
      <c r="B4" s="68" t="s">
        <v>263</v>
      </c>
      <c r="C4" s="66"/>
      <c r="D4" s="64">
        <v>37</v>
      </c>
      <c r="E4" s="64">
        <f>IF(ISBLANK($D4),"0",IF(($D4-$D3)&gt;($C4-$C3),1,0))</f>
        <v>1</v>
      </c>
      <c r="F4" s="64">
        <f t="shared" ref="F4:F22" ca="1" si="1">COUNTA(INDIRECT("RC11:RC"&amp;11+playercnt-1,FALSE))</f>
        <v>29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312</v>
      </c>
      <c r="L4" s="70" t="s">
        <v>313</v>
      </c>
      <c r="M4" s="70"/>
      <c r="N4" s="70"/>
      <c r="O4" s="70" t="s">
        <v>371</v>
      </c>
      <c r="P4" s="70" t="s">
        <v>317</v>
      </c>
      <c r="Q4" s="70" t="s">
        <v>318</v>
      </c>
      <c r="R4" s="70"/>
      <c r="S4" s="70"/>
      <c r="T4" s="70"/>
      <c r="U4" s="70" t="s">
        <v>313</v>
      </c>
      <c r="V4" s="70" t="s">
        <v>313</v>
      </c>
      <c r="W4" s="70"/>
      <c r="X4" s="70"/>
      <c r="Y4" s="70" t="s">
        <v>317</v>
      </c>
      <c r="Z4" s="70" t="s">
        <v>360</v>
      </c>
      <c r="AA4" s="70"/>
      <c r="AB4" s="70"/>
      <c r="AC4" s="70" t="s">
        <v>333</v>
      </c>
      <c r="AD4" s="70"/>
      <c r="AE4" s="70" t="s">
        <v>355</v>
      </c>
      <c r="AF4" s="70" t="s">
        <v>315</v>
      </c>
      <c r="AG4" s="70"/>
      <c r="AH4" s="70"/>
      <c r="AI4" s="70"/>
      <c r="AJ4" s="70" t="s">
        <v>322</v>
      </c>
      <c r="AK4" s="70" t="s">
        <v>317</v>
      </c>
      <c r="AL4" s="70"/>
      <c r="AM4" s="70"/>
      <c r="AN4" s="70" t="s">
        <v>317</v>
      </c>
      <c r="AO4" s="70"/>
      <c r="AP4" s="70" t="s">
        <v>322</v>
      </c>
      <c r="AQ4" s="70" t="s">
        <v>354</v>
      </c>
      <c r="AR4" s="70"/>
      <c r="AS4" s="70"/>
      <c r="AT4" s="70" t="s">
        <v>334</v>
      </c>
      <c r="AU4" s="70"/>
      <c r="AV4" s="70" t="s">
        <v>317</v>
      </c>
      <c r="AW4" s="70" t="s">
        <v>408</v>
      </c>
      <c r="AX4" s="70"/>
      <c r="AY4" s="70"/>
      <c r="AZ4" s="70" t="s">
        <v>351</v>
      </c>
      <c r="BA4" s="70" t="s">
        <v>313</v>
      </c>
      <c r="BB4" s="70" t="s">
        <v>313</v>
      </c>
      <c r="BC4" s="70" t="s">
        <v>357</v>
      </c>
      <c r="BD4" s="70"/>
      <c r="BE4" s="70" t="s">
        <v>367</v>
      </c>
      <c r="BF4" s="70"/>
      <c r="BG4" s="70"/>
      <c r="BH4" s="70"/>
      <c r="BI4" s="70"/>
      <c r="BJ4" s="70" t="s">
        <v>321</v>
      </c>
      <c r="BK4" s="70" t="s">
        <v>350</v>
      </c>
      <c r="BL4" s="70" t="s">
        <v>317</v>
      </c>
      <c r="BM4" s="70" t="s">
        <v>388</v>
      </c>
      <c r="BN4" s="70"/>
    </row>
    <row r="5" spans="1:66" x14ac:dyDescent="0.25">
      <c r="A5" s="59">
        <v>2</v>
      </c>
      <c r="B5" s="67" t="s">
        <v>220</v>
      </c>
      <c r="C5" s="65"/>
      <c r="D5" s="64">
        <v>3</v>
      </c>
      <c r="E5" s="64">
        <f>IF(ISBLANK($D5),"0",IF(($D6-$D5)&lt;($C6-$C5),1,0))</f>
        <v>0</v>
      </c>
      <c r="F5" s="64">
        <f t="shared" ca="1" si="1"/>
        <v>24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/>
      <c r="K5" s="69" t="s">
        <v>312</v>
      </c>
      <c r="L5" s="69" t="s">
        <v>313</v>
      </c>
      <c r="M5" s="69" t="s">
        <v>312</v>
      </c>
      <c r="N5" s="69" t="s">
        <v>355</v>
      </c>
      <c r="O5" s="69"/>
      <c r="P5" s="69" t="s">
        <v>317</v>
      </c>
      <c r="Q5" s="69"/>
      <c r="R5" s="69" t="s">
        <v>328</v>
      </c>
      <c r="S5" s="69"/>
      <c r="T5" s="69"/>
      <c r="U5" s="69" t="s">
        <v>313</v>
      </c>
      <c r="V5" s="69"/>
      <c r="W5" s="69"/>
      <c r="X5" s="69" t="s">
        <v>312</v>
      </c>
      <c r="Y5" s="69" t="s">
        <v>317</v>
      </c>
      <c r="Z5" s="69" t="s">
        <v>329</v>
      </c>
      <c r="AA5" s="69" t="s">
        <v>312</v>
      </c>
      <c r="AB5" s="69"/>
      <c r="AC5" s="69"/>
      <c r="AD5" s="69" t="s">
        <v>317</v>
      </c>
      <c r="AE5" s="69"/>
      <c r="AF5" s="69" t="s">
        <v>424</v>
      </c>
      <c r="AG5" s="69"/>
      <c r="AH5" s="69"/>
      <c r="AI5" s="69" t="s">
        <v>350</v>
      </c>
      <c r="AJ5" s="69"/>
      <c r="AK5" s="69"/>
      <c r="AL5" s="69"/>
      <c r="AM5" s="69" t="s">
        <v>324</v>
      </c>
      <c r="AN5" s="69"/>
      <c r="AO5" s="69"/>
      <c r="AP5" s="69" t="s">
        <v>343</v>
      </c>
      <c r="AQ5" s="69"/>
      <c r="AR5" s="99"/>
      <c r="AS5" s="69"/>
      <c r="AT5" s="69"/>
      <c r="AU5" s="69"/>
      <c r="AV5" s="69"/>
      <c r="AW5" s="69"/>
      <c r="AX5" s="69" t="s">
        <v>420</v>
      </c>
      <c r="AY5" s="69" t="s">
        <v>366</v>
      </c>
      <c r="AZ5" s="69"/>
      <c r="BA5" s="69" t="s">
        <v>313</v>
      </c>
      <c r="BB5" s="69" t="s">
        <v>313</v>
      </c>
      <c r="BC5" s="69"/>
      <c r="BD5" s="69"/>
      <c r="BE5" s="69"/>
      <c r="BF5" s="99" t="s">
        <v>398</v>
      </c>
      <c r="BG5" s="69"/>
      <c r="BH5" s="69" t="s">
        <v>317</v>
      </c>
      <c r="BI5" s="69"/>
      <c r="BJ5" s="69"/>
      <c r="BK5" s="69"/>
      <c r="BL5" s="69" t="s">
        <v>317</v>
      </c>
      <c r="BM5" s="69"/>
      <c r="BN5" s="69" t="s">
        <v>312</v>
      </c>
    </row>
    <row r="6" spans="1:66" x14ac:dyDescent="0.25">
      <c r="A6" s="61" t="s">
        <v>3</v>
      </c>
      <c r="B6" s="68" t="s">
        <v>225</v>
      </c>
      <c r="C6" s="66">
        <v>3.5</v>
      </c>
      <c r="D6" s="64">
        <v>13</v>
      </c>
      <c r="E6" s="64">
        <f>IF(ISBLANK($D6),"0",IF(($D6-$D5)&gt;($C6-$C5),1,0))</f>
        <v>1</v>
      </c>
      <c r="F6" s="64">
        <f t="shared" ca="1" si="1"/>
        <v>32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311</v>
      </c>
      <c r="K6" s="70"/>
      <c r="L6" s="70"/>
      <c r="M6" s="70"/>
      <c r="N6" s="70"/>
      <c r="O6" s="70" t="s">
        <v>371</v>
      </c>
      <c r="P6" s="70"/>
      <c r="Q6" s="70" t="s">
        <v>318</v>
      </c>
      <c r="R6" s="70"/>
      <c r="S6" s="70" t="s">
        <v>320</v>
      </c>
      <c r="T6" s="70" t="s">
        <v>347</v>
      </c>
      <c r="U6" s="70"/>
      <c r="V6" s="70" t="s">
        <v>313</v>
      </c>
      <c r="W6" s="70" t="s">
        <v>357</v>
      </c>
      <c r="X6" s="70"/>
      <c r="Y6" s="70"/>
      <c r="Z6" s="70"/>
      <c r="AA6" s="70"/>
      <c r="AB6" s="70" t="s">
        <v>317</v>
      </c>
      <c r="AC6" s="70" t="s">
        <v>325</v>
      </c>
      <c r="AD6" s="70"/>
      <c r="AE6" s="70" t="s">
        <v>355</v>
      </c>
      <c r="AF6" s="70"/>
      <c r="AG6" s="70" t="s">
        <v>323</v>
      </c>
      <c r="AH6" s="70" t="s">
        <v>324</v>
      </c>
      <c r="AI6" s="70"/>
      <c r="AJ6" s="70" t="s">
        <v>327</v>
      </c>
      <c r="AK6" s="70" t="s">
        <v>317</v>
      </c>
      <c r="AL6" s="70" t="s">
        <v>347</v>
      </c>
      <c r="AM6" s="70"/>
      <c r="AN6" s="70" t="s">
        <v>317</v>
      </c>
      <c r="AO6" s="70" t="s">
        <v>317</v>
      </c>
      <c r="AP6" s="70"/>
      <c r="AQ6" s="70" t="s">
        <v>354</v>
      </c>
      <c r="AR6" s="70" t="s">
        <v>317</v>
      </c>
      <c r="AS6" s="70" t="s">
        <v>312</v>
      </c>
      <c r="AT6" s="70" t="s">
        <v>334</v>
      </c>
      <c r="AU6" s="70" t="s">
        <v>364</v>
      </c>
      <c r="AV6" s="70" t="s">
        <v>317</v>
      </c>
      <c r="AW6" s="70" t="s">
        <v>317</v>
      </c>
      <c r="AX6" s="70"/>
      <c r="AY6" s="70"/>
      <c r="AZ6" s="70" t="s">
        <v>349</v>
      </c>
      <c r="BA6" s="70"/>
      <c r="BB6" s="70"/>
      <c r="BC6" s="70" t="s">
        <v>357</v>
      </c>
      <c r="BD6" s="70" t="s">
        <v>312</v>
      </c>
      <c r="BE6" s="70" t="s">
        <v>367</v>
      </c>
      <c r="BF6" s="70"/>
      <c r="BG6" s="70" t="s">
        <v>323</v>
      </c>
      <c r="BH6" s="70"/>
      <c r="BI6" s="70" t="s">
        <v>323</v>
      </c>
      <c r="BJ6" s="70" t="s">
        <v>321</v>
      </c>
      <c r="BK6" s="70" t="s">
        <v>350</v>
      </c>
      <c r="BL6" s="70"/>
      <c r="BM6" s="70" t="s">
        <v>388</v>
      </c>
      <c r="BN6" s="70"/>
    </row>
    <row r="7" spans="1:66" x14ac:dyDescent="0.25">
      <c r="A7" s="59">
        <v>3</v>
      </c>
      <c r="B7" s="67" t="s">
        <v>206</v>
      </c>
      <c r="C7" s="65">
        <v>3.5</v>
      </c>
      <c r="D7" s="64">
        <v>17</v>
      </c>
      <c r="E7" s="64">
        <f>IF(ISBLANK($D7),"0",IF(($D8-$D7)&lt;($C8-$C7),1,0))</f>
        <v>0</v>
      </c>
      <c r="F7" s="64">
        <f t="shared" ca="1" si="1"/>
        <v>26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 t="s">
        <v>312</v>
      </c>
      <c r="L7" s="69"/>
      <c r="M7" s="69"/>
      <c r="N7" s="69" t="s">
        <v>355</v>
      </c>
      <c r="O7" s="69" t="s">
        <v>371</v>
      </c>
      <c r="P7" s="69"/>
      <c r="Q7" s="69" t="s">
        <v>318</v>
      </c>
      <c r="R7" s="69"/>
      <c r="S7" s="69"/>
      <c r="T7" s="69" t="s">
        <v>314</v>
      </c>
      <c r="U7" s="69"/>
      <c r="V7" s="69" t="s">
        <v>313</v>
      </c>
      <c r="W7" s="69"/>
      <c r="X7" s="69"/>
      <c r="Y7" s="69"/>
      <c r="Z7" s="69"/>
      <c r="AA7" s="69" t="s">
        <v>312</v>
      </c>
      <c r="AB7" s="69" t="s">
        <v>317</v>
      </c>
      <c r="AC7" s="69" t="s">
        <v>320</v>
      </c>
      <c r="AD7" s="69" t="s">
        <v>317</v>
      </c>
      <c r="AE7" s="69" t="s">
        <v>355</v>
      </c>
      <c r="AF7" s="69" t="s">
        <v>315</v>
      </c>
      <c r="AG7" s="69"/>
      <c r="AH7" s="69"/>
      <c r="AI7" s="69" t="s">
        <v>311</v>
      </c>
      <c r="AJ7" s="69"/>
      <c r="AK7" s="69"/>
      <c r="AL7" s="69"/>
      <c r="AM7" s="69" t="s">
        <v>349</v>
      </c>
      <c r="AN7" s="69"/>
      <c r="AO7" s="69"/>
      <c r="AP7" s="69"/>
      <c r="AQ7" s="69" t="s">
        <v>354</v>
      </c>
      <c r="AR7" s="99"/>
      <c r="AS7" s="69"/>
      <c r="AT7" s="69"/>
      <c r="AU7" s="69" t="s">
        <v>316</v>
      </c>
      <c r="AV7" s="69"/>
      <c r="AW7" s="69" t="s">
        <v>408</v>
      </c>
      <c r="AX7" s="69" t="s">
        <v>333</v>
      </c>
      <c r="AY7" s="69"/>
      <c r="AZ7" s="69"/>
      <c r="BA7" s="69"/>
      <c r="BB7" s="69" t="s">
        <v>313</v>
      </c>
      <c r="BC7" s="69" t="s">
        <v>357</v>
      </c>
      <c r="BD7" s="69" t="s">
        <v>312</v>
      </c>
      <c r="BE7" s="69"/>
      <c r="BF7" s="99" t="s">
        <v>398</v>
      </c>
      <c r="BG7" s="69" t="s">
        <v>341</v>
      </c>
      <c r="BH7" s="69"/>
      <c r="BI7" s="69"/>
      <c r="BJ7" s="69" t="s">
        <v>321</v>
      </c>
      <c r="BK7" s="69" t="s">
        <v>350</v>
      </c>
      <c r="BL7" s="69"/>
      <c r="BM7" s="69"/>
      <c r="BN7" s="69" t="s">
        <v>312</v>
      </c>
    </row>
    <row r="8" spans="1:66" x14ac:dyDescent="0.25">
      <c r="A8" s="61" t="s">
        <v>3</v>
      </c>
      <c r="B8" s="68" t="s">
        <v>170</v>
      </c>
      <c r="C8" s="66"/>
      <c r="D8" s="64">
        <v>24</v>
      </c>
      <c r="E8" s="64">
        <f>IF(ISBLANK($D8),"0",IF(($D8-$D7)&gt;($C8-$C7),1,0))</f>
        <v>1</v>
      </c>
      <c r="F8" s="64">
        <f t="shared" ca="1" si="1"/>
        <v>30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311</v>
      </c>
      <c r="K8" s="70"/>
      <c r="L8" s="70" t="s">
        <v>313</v>
      </c>
      <c r="M8" s="70" t="s">
        <v>312</v>
      </c>
      <c r="N8" s="70"/>
      <c r="O8" s="70"/>
      <c r="P8" s="70" t="s">
        <v>317</v>
      </c>
      <c r="Q8" s="70"/>
      <c r="R8" s="70" t="s">
        <v>328</v>
      </c>
      <c r="S8" s="70" t="s">
        <v>323</v>
      </c>
      <c r="T8" s="70"/>
      <c r="U8" s="70" t="s">
        <v>313</v>
      </c>
      <c r="V8" s="70"/>
      <c r="W8" s="70" t="s">
        <v>357</v>
      </c>
      <c r="X8" s="70" t="s">
        <v>312</v>
      </c>
      <c r="Y8" s="70" t="s">
        <v>317</v>
      </c>
      <c r="Z8" s="70" t="s">
        <v>328</v>
      </c>
      <c r="AA8" s="70"/>
      <c r="AB8" s="70"/>
      <c r="AC8" s="70"/>
      <c r="AD8" s="70"/>
      <c r="AE8" s="70"/>
      <c r="AF8" s="70"/>
      <c r="AG8" s="70" t="s">
        <v>346</v>
      </c>
      <c r="AH8" s="70" t="s">
        <v>319</v>
      </c>
      <c r="AI8" s="70"/>
      <c r="AJ8" s="70" t="s">
        <v>347</v>
      </c>
      <c r="AK8" s="70" t="s">
        <v>317</v>
      </c>
      <c r="AL8" s="70" t="s">
        <v>347</v>
      </c>
      <c r="AM8" s="70"/>
      <c r="AN8" s="70" t="s">
        <v>317</v>
      </c>
      <c r="AO8" s="70" t="s">
        <v>317</v>
      </c>
      <c r="AP8" s="70" t="s">
        <v>312</v>
      </c>
      <c r="AQ8" s="70"/>
      <c r="AR8" s="70" t="s">
        <v>317</v>
      </c>
      <c r="AS8" s="70" t="s">
        <v>312</v>
      </c>
      <c r="AT8" s="70" t="s">
        <v>334</v>
      </c>
      <c r="AU8" s="70"/>
      <c r="AV8" s="70" t="s">
        <v>317</v>
      </c>
      <c r="AW8" s="70"/>
      <c r="AX8" s="70"/>
      <c r="AY8" s="70" t="s">
        <v>366</v>
      </c>
      <c r="AZ8" s="70" t="s">
        <v>335</v>
      </c>
      <c r="BA8" s="70" t="s">
        <v>313</v>
      </c>
      <c r="BB8" s="70"/>
      <c r="BC8" s="70"/>
      <c r="BD8" s="70"/>
      <c r="BE8" s="70" t="s">
        <v>367</v>
      </c>
      <c r="BF8" s="70"/>
      <c r="BG8" s="70"/>
      <c r="BH8" s="70" t="s">
        <v>317</v>
      </c>
      <c r="BI8" s="70" t="s">
        <v>321</v>
      </c>
      <c r="BJ8" s="70"/>
      <c r="BK8" s="70"/>
      <c r="BL8" s="70" t="s">
        <v>317</v>
      </c>
      <c r="BM8" s="70" t="s">
        <v>388</v>
      </c>
      <c r="BN8" s="70"/>
    </row>
    <row r="9" spans="1:66" x14ac:dyDescent="0.25">
      <c r="A9" s="59">
        <v>4</v>
      </c>
      <c r="B9" s="67" t="s">
        <v>171</v>
      </c>
      <c r="C9" s="65"/>
      <c r="D9" s="81">
        <v>14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 t="s">
        <v>311</v>
      </c>
      <c r="K9" s="69" t="s">
        <v>312</v>
      </c>
      <c r="L9" s="69" t="s">
        <v>313</v>
      </c>
      <c r="M9" s="69" t="s">
        <v>312</v>
      </c>
      <c r="N9" s="69"/>
      <c r="O9" s="69"/>
      <c r="P9" s="69"/>
      <c r="Q9" s="69"/>
      <c r="R9" s="69"/>
      <c r="S9" s="69"/>
      <c r="T9" s="69" t="s">
        <v>328</v>
      </c>
      <c r="U9" s="69" t="s">
        <v>313</v>
      </c>
      <c r="V9" s="69"/>
      <c r="W9" s="69" t="s">
        <v>357</v>
      </c>
      <c r="X9" s="69" t="s">
        <v>312</v>
      </c>
      <c r="Y9" s="69"/>
      <c r="Z9" s="69" t="s">
        <v>328</v>
      </c>
      <c r="AA9" s="69"/>
      <c r="AB9" s="69" t="s">
        <v>317</v>
      </c>
      <c r="AC9" s="69"/>
      <c r="AD9" s="69" t="s">
        <v>317</v>
      </c>
      <c r="AE9" s="69"/>
      <c r="AF9" s="69" t="s">
        <v>319</v>
      </c>
      <c r="AG9" s="69" t="s">
        <v>363</v>
      </c>
      <c r="AH9" s="69"/>
      <c r="AI9" s="69"/>
      <c r="AJ9" s="69" t="s">
        <v>331</v>
      </c>
      <c r="AK9" s="69" t="s">
        <v>317</v>
      </c>
      <c r="AL9" s="69" t="s">
        <v>347</v>
      </c>
      <c r="AM9" s="69"/>
      <c r="AN9" s="69" t="s">
        <v>317</v>
      </c>
      <c r="AO9" s="69"/>
      <c r="AP9" s="69"/>
      <c r="AQ9" s="69" t="s">
        <v>354</v>
      </c>
      <c r="AR9" s="99"/>
      <c r="AS9" s="69"/>
      <c r="AT9" s="69" t="s">
        <v>334</v>
      </c>
      <c r="AU9" s="69" t="s">
        <v>347</v>
      </c>
      <c r="AV9" s="69" t="s">
        <v>317</v>
      </c>
      <c r="AW9" s="69"/>
      <c r="AX9" s="69" t="s">
        <v>386</v>
      </c>
      <c r="AY9" s="69"/>
      <c r="AZ9" s="69" t="s">
        <v>342</v>
      </c>
      <c r="BA9" s="69"/>
      <c r="BB9" s="69"/>
      <c r="BC9" s="69" t="s">
        <v>357</v>
      </c>
      <c r="BD9" s="69" t="s">
        <v>312</v>
      </c>
      <c r="BE9" s="69"/>
      <c r="BF9" s="99" t="s">
        <v>398</v>
      </c>
      <c r="BG9" s="69" t="s">
        <v>375</v>
      </c>
      <c r="BH9" s="69"/>
      <c r="BI9" s="69"/>
      <c r="BJ9" s="69" t="s">
        <v>321</v>
      </c>
      <c r="BK9" s="69" t="s">
        <v>350</v>
      </c>
      <c r="BL9" s="69"/>
      <c r="BM9" s="69"/>
      <c r="BN9" s="69" t="s">
        <v>312</v>
      </c>
    </row>
    <row r="10" spans="1:66" x14ac:dyDescent="0.25">
      <c r="A10" s="61" t="s">
        <v>3</v>
      </c>
      <c r="B10" s="68" t="s">
        <v>270</v>
      </c>
      <c r="C10" s="66">
        <v>10.5</v>
      </c>
      <c r="D10" s="64">
        <v>38</v>
      </c>
      <c r="E10" s="64">
        <f>IF(ISBLANK($D10),"0",IF(($D10-$D9)&gt;($C10-$C9),1,0))</f>
        <v>1</v>
      </c>
      <c r="F10" s="64">
        <f t="shared" ca="1" si="1"/>
        <v>27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 t="s">
        <v>355</v>
      </c>
      <c r="O10" s="70" t="s">
        <v>371</v>
      </c>
      <c r="P10" s="70" t="s">
        <v>317</v>
      </c>
      <c r="Q10" s="70" t="s">
        <v>318</v>
      </c>
      <c r="R10" s="70" t="s">
        <v>315</v>
      </c>
      <c r="S10" s="70" t="s">
        <v>350</v>
      </c>
      <c r="T10" s="70"/>
      <c r="U10" s="70"/>
      <c r="V10" s="70" t="s">
        <v>313</v>
      </c>
      <c r="W10" s="70"/>
      <c r="X10" s="70"/>
      <c r="Y10" s="70" t="s">
        <v>317</v>
      </c>
      <c r="Z10" s="70"/>
      <c r="AA10" s="70" t="s">
        <v>312</v>
      </c>
      <c r="AB10" s="70"/>
      <c r="AC10" s="70" t="s">
        <v>360</v>
      </c>
      <c r="AD10" s="70"/>
      <c r="AE10" s="70" t="s">
        <v>355</v>
      </c>
      <c r="AF10" s="70"/>
      <c r="AG10" s="70"/>
      <c r="AH10" s="70" t="s">
        <v>324</v>
      </c>
      <c r="AI10" s="70" t="s">
        <v>332</v>
      </c>
      <c r="AJ10" s="70"/>
      <c r="AK10" s="70"/>
      <c r="AL10" s="70"/>
      <c r="AM10" s="70" t="s">
        <v>349</v>
      </c>
      <c r="AN10" s="70"/>
      <c r="AO10" s="70" t="s">
        <v>317</v>
      </c>
      <c r="AP10" s="70" t="s">
        <v>347</v>
      </c>
      <c r="AQ10" s="70"/>
      <c r="AR10" s="70" t="s">
        <v>317</v>
      </c>
      <c r="AS10" s="70" t="s">
        <v>312</v>
      </c>
      <c r="AT10" s="70"/>
      <c r="AU10" s="70"/>
      <c r="AV10" s="70"/>
      <c r="AW10" s="70" t="s">
        <v>317</v>
      </c>
      <c r="AX10" s="70"/>
      <c r="AY10" s="70" t="s">
        <v>366</v>
      </c>
      <c r="AZ10" s="70"/>
      <c r="BA10" s="70" t="s">
        <v>313</v>
      </c>
      <c r="BB10" s="70" t="s">
        <v>313</v>
      </c>
      <c r="BC10" s="70"/>
      <c r="BD10" s="70"/>
      <c r="BE10" s="70" t="s">
        <v>367</v>
      </c>
      <c r="BF10" s="70"/>
      <c r="BG10" s="70"/>
      <c r="BH10" s="70" t="s">
        <v>317</v>
      </c>
      <c r="BI10" s="70" t="s">
        <v>334</v>
      </c>
      <c r="BJ10" s="70"/>
      <c r="BK10" s="70"/>
      <c r="BL10" s="70" t="s">
        <v>317</v>
      </c>
      <c r="BM10" s="70" t="s">
        <v>388</v>
      </c>
      <c r="BN10" s="70"/>
    </row>
    <row r="11" spans="1:66" x14ac:dyDescent="0.25">
      <c r="A11" s="59">
        <v>5</v>
      </c>
      <c r="B11" s="67" t="s">
        <v>167</v>
      </c>
      <c r="C11" s="65">
        <v>1.5</v>
      </c>
      <c r="D11" s="64">
        <v>20</v>
      </c>
      <c r="E11" s="64">
        <f>IF(ISBLANK($D11),"0",IF(($D12-$D11)&lt;($C12-$C11),1,0))</f>
        <v>1</v>
      </c>
      <c r="F11" s="64">
        <f t="shared" ca="1" si="1"/>
        <v>34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312</v>
      </c>
      <c r="L11" s="69"/>
      <c r="M11" s="69" t="s">
        <v>312</v>
      </c>
      <c r="N11" s="69"/>
      <c r="O11" s="69" t="s">
        <v>371</v>
      </c>
      <c r="P11" s="69" t="s">
        <v>317</v>
      </c>
      <c r="Q11" s="69" t="s">
        <v>318</v>
      </c>
      <c r="R11" s="69"/>
      <c r="S11" s="69"/>
      <c r="T11" s="69"/>
      <c r="U11" s="69"/>
      <c r="V11" s="69"/>
      <c r="W11" s="69" t="s">
        <v>357</v>
      </c>
      <c r="X11" s="69"/>
      <c r="Y11" s="69" t="s">
        <v>317</v>
      </c>
      <c r="Z11" s="69"/>
      <c r="AA11" s="69" t="s">
        <v>312</v>
      </c>
      <c r="AB11" s="69" t="s">
        <v>317</v>
      </c>
      <c r="AC11" s="69" t="s">
        <v>324</v>
      </c>
      <c r="AD11" s="69"/>
      <c r="AE11" s="69"/>
      <c r="AF11" s="69" t="s">
        <v>351</v>
      </c>
      <c r="AG11" s="69" t="s">
        <v>320</v>
      </c>
      <c r="AH11" s="69" t="s">
        <v>350</v>
      </c>
      <c r="AI11" s="69"/>
      <c r="AJ11" s="69" t="s">
        <v>334</v>
      </c>
      <c r="AK11" s="69" t="s">
        <v>317</v>
      </c>
      <c r="AL11" s="69"/>
      <c r="AM11" s="69" t="s">
        <v>334</v>
      </c>
      <c r="AN11" s="69" t="s">
        <v>317</v>
      </c>
      <c r="AO11" s="69" t="s">
        <v>317</v>
      </c>
      <c r="AP11" s="69" t="s">
        <v>319</v>
      </c>
      <c r="AQ11" s="69"/>
      <c r="AR11" s="69"/>
      <c r="AS11" s="69" t="s">
        <v>312</v>
      </c>
      <c r="AT11" s="69" t="s">
        <v>334</v>
      </c>
      <c r="AU11" s="69" t="s">
        <v>316</v>
      </c>
      <c r="AV11" s="69" t="s">
        <v>317</v>
      </c>
      <c r="AW11" s="69" t="s">
        <v>317</v>
      </c>
      <c r="AX11" s="69" t="s">
        <v>386</v>
      </c>
      <c r="AY11" s="69" t="s">
        <v>366</v>
      </c>
      <c r="AZ11" s="69" t="s">
        <v>315</v>
      </c>
      <c r="BA11" s="69" t="s">
        <v>313</v>
      </c>
      <c r="BB11" s="69" t="s">
        <v>313</v>
      </c>
      <c r="BC11" s="69"/>
      <c r="BD11" s="69" t="s">
        <v>312</v>
      </c>
      <c r="BE11" s="69" t="s">
        <v>367</v>
      </c>
      <c r="BF11" s="69"/>
      <c r="BG11" s="69"/>
      <c r="BH11" s="69"/>
      <c r="BI11" s="69"/>
      <c r="BJ11" s="69" t="s">
        <v>321</v>
      </c>
      <c r="BK11" s="69" t="s">
        <v>350</v>
      </c>
      <c r="BL11" s="69"/>
      <c r="BM11" s="69" t="s">
        <v>388</v>
      </c>
      <c r="BN11" s="69"/>
    </row>
    <row r="12" spans="1:66" x14ac:dyDescent="0.25">
      <c r="A12" s="61" t="s">
        <v>3</v>
      </c>
      <c r="B12" s="68" t="s">
        <v>172</v>
      </c>
      <c r="C12" s="66"/>
      <c r="D12" s="64">
        <v>12</v>
      </c>
      <c r="E12" s="64">
        <f>IF(ISBLANK($D12),"0",IF(($D12-$D11)&gt;($C12-$C11),1,0))</f>
        <v>0</v>
      </c>
      <c r="F12" s="64">
        <f t="shared" ca="1" si="1"/>
        <v>22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311</v>
      </c>
      <c r="K12" s="70"/>
      <c r="L12" s="70" t="s">
        <v>313</v>
      </c>
      <c r="M12" s="70"/>
      <c r="N12" s="70" t="s">
        <v>355</v>
      </c>
      <c r="O12" s="70"/>
      <c r="P12" s="70"/>
      <c r="Q12" s="70"/>
      <c r="R12" s="70" t="s">
        <v>338</v>
      </c>
      <c r="S12" s="70" t="s">
        <v>328</v>
      </c>
      <c r="T12" s="70" t="s">
        <v>351</v>
      </c>
      <c r="U12" s="70" t="s">
        <v>313</v>
      </c>
      <c r="V12" s="70" t="s">
        <v>313</v>
      </c>
      <c r="W12" s="70"/>
      <c r="X12" s="70" t="s">
        <v>312</v>
      </c>
      <c r="Y12" s="70"/>
      <c r="Z12" s="70" t="s">
        <v>334</v>
      </c>
      <c r="AA12" s="70"/>
      <c r="AB12" s="70"/>
      <c r="AC12" s="70"/>
      <c r="AD12" s="70" t="s">
        <v>317</v>
      </c>
      <c r="AE12" s="70" t="s">
        <v>355</v>
      </c>
      <c r="AF12" s="70"/>
      <c r="AG12" s="70"/>
      <c r="AH12" s="70"/>
      <c r="AI12" s="70" t="s">
        <v>329</v>
      </c>
      <c r="AJ12" s="70"/>
      <c r="AK12" s="70"/>
      <c r="AL12" s="70" t="s">
        <v>347</v>
      </c>
      <c r="AM12" s="70"/>
      <c r="AN12" s="70"/>
      <c r="AO12" s="70"/>
      <c r="AP12" s="70"/>
      <c r="AQ12" s="70" t="s">
        <v>354</v>
      </c>
      <c r="AR12" s="100" t="s">
        <v>317</v>
      </c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 t="s">
        <v>357</v>
      </c>
      <c r="BD12" s="70"/>
      <c r="BE12" s="70"/>
      <c r="BF12" s="99" t="s">
        <v>398</v>
      </c>
      <c r="BG12" s="70" t="s">
        <v>335</v>
      </c>
      <c r="BH12" s="70" t="s">
        <v>317</v>
      </c>
      <c r="BI12" s="70" t="s">
        <v>323</v>
      </c>
      <c r="BJ12" s="70"/>
      <c r="BK12" s="70"/>
      <c r="BL12" s="70" t="s">
        <v>317</v>
      </c>
      <c r="BM12" s="70"/>
      <c r="BN12" s="70" t="s">
        <v>312</v>
      </c>
    </row>
    <row r="13" spans="1:66" x14ac:dyDescent="0.25">
      <c r="A13" s="59">
        <v>6</v>
      </c>
      <c r="B13" s="67" t="s">
        <v>224</v>
      </c>
      <c r="C13" s="65"/>
      <c r="D13" s="64">
        <v>27</v>
      </c>
      <c r="E13" s="64">
        <f>IF(ISBLANK($D13),"0",IF(($D14-$D13)&lt;($C14-$C13),1,0))</f>
        <v>1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/>
      <c r="L13" s="69" t="s">
        <v>313</v>
      </c>
      <c r="M13" s="69"/>
      <c r="N13" s="69"/>
      <c r="O13" s="69"/>
      <c r="P13" s="69"/>
      <c r="Q13" s="69"/>
      <c r="R13" s="69" t="s">
        <v>334</v>
      </c>
      <c r="S13" s="69"/>
      <c r="T13" s="69" t="s">
        <v>327</v>
      </c>
      <c r="U13" s="69" t="s">
        <v>313</v>
      </c>
      <c r="V13" s="69"/>
      <c r="W13" s="69"/>
      <c r="X13" s="69"/>
      <c r="Y13" s="69"/>
      <c r="Z13" s="69" t="s">
        <v>347</v>
      </c>
      <c r="AA13" s="69"/>
      <c r="AB13" s="69"/>
      <c r="AC13" s="69" t="s">
        <v>341</v>
      </c>
      <c r="AD13" s="69"/>
      <c r="AE13" s="69"/>
      <c r="AF13" s="69"/>
      <c r="AG13" s="69"/>
      <c r="AH13" s="69"/>
      <c r="AI13" s="69"/>
      <c r="AJ13" s="69" t="s">
        <v>343</v>
      </c>
      <c r="AK13" s="69"/>
      <c r="AL13" s="69"/>
      <c r="AM13" s="69"/>
      <c r="AN13" s="69" t="s">
        <v>317</v>
      </c>
      <c r="AO13" s="69"/>
      <c r="AP13" s="69"/>
      <c r="AQ13" s="69" t="s">
        <v>354</v>
      </c>
      <c r="AR13" s="99" t="s">
        <v>317</v>
      </c>
      <c r="AS13" s="69" t="s">
        <v>312</v>
      </c>
      <c r="AT13" s="69" t="s">
        <v>334</v>
      </c>
      <c r="AU13" s="69" t="s">
        <v>353</v>
      </c>
      <c r="AV13" s="69"/>
      <c r="AW13" s="69" t="s">
        <v>317</v>
      </c>
      <c r="AX13" s="69" t="s">
        <v>320</v>
      </c>
      <c r="AY13" s="69"/>
      <c r="AZ13" s="69" t="s">
        <v>323</v>
      </c>
      <c r="BA13" s="69"/>
      <c r="BB13" s="69"/>
      <c r="BC13" s="69" t="s">
        <v>357</v>
      </c>
      <c r="BD13" s="69" t="s">
        <v>312</v>
      </c>
      <c r="BE13" s="69"/>
      <c r="BF13" s="69"/>
      <c r="BG13" s="69"/>
      <c r="BH13" s="69" t="s">
        <v>317</v>
      </c>
      <c r="BI13" s="69" t="s">
        <v>311</v>
      </c>
      <c r="BJ13" s="69"/>
      <c r="BK13" s="69"/>
      <c r="BL13" s="69"/>
      <c r="BM13" s="69"/>
      <c r="BN13" s="69" t="s">
        <v>312</v>
      </c>
    </row>
    <row r="14" spans="1:66" x14ac:dyDescent="0.25">
      <c r="A14" s="61" t="s">
        <v>3</v>
      </c>
      <c r="B14" s="68" t="s">
        <v>207</v>
      </c>
      <c r="C14" s="66">
        <v>10.5</v>
      </c>
      <c r="D14" s="64">
        <v>34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311</v>
      </c>
      <c r="K14" s="70" t="s">
        <v>312</v>
      </c>
      <c r="L14" s="70"/>
      <c r="M14" s="70" t="s">
        <v>312</v>
      </c>
      <c r="N14" s="70" t="s">
        <v>355</v>
      </c>
      <c r="O14" s="70" t="s">
        <v>371</v>
      </c>
      <c r="P14" s="70" t="s">
        <v>317</v>
      </c>
      <c r="Q14" s="70" t="s">
        <v>318</v>
      </c>
      <c r="R14" s="70"/>
      <c r="S14" s="70" t="s">
        <v>323</v>
      </c>
      <c r="T14" s="70"/>
      <c r="U14" s="70"/>
      <c r="V14" s="70" t="s">
        <v>313</v>
      </c>
      <c r="W14" s="70" t="s">
        <v>357</v>
      </c>
      <c r="X14" s="70" t="s">
        <v>312</v>
      </c>
      <c r="Y14" s="70" t="s">
        <v>317</v>
      </c>
      <c r="Z14" s="70"/>
      <c r="AA14" s="70" t="s">
        <v>312</v>
      </c>
      <c r="AB14" s="70" t="s">
        <v>317</v>
      </c>
      <c r="AC14" s="70"/>
      <c r="AD14" s="70" t="s">
        <v>317</v>
      </c>
      <c r="AE14" s="70" t="s">
        <v>355</v>
      </c>
      <c r="AF14" s="70" t="s">
        <v>319</v>
      </c>
      <c r="AG14" s="70" t="s">
        <v>322</v>
      </c>
      <c r="AH14" s="70" t="s">
        <v>329</v>
      </c>
      <c r="AI14" s="70" t="s">
        <v>383</v>
      </c>
      <c r="AJ14" s="70"/>
      <c r="AK14" s="70" t="s">
        <v>317</v>
      </c>
      <c r="AL14" s="70" t="s">
        <v>347</v>
      </c>
      <c r="AM14" s="70" t="s">
        <v>335</v>
      </c>
      <c r="AN14" s="70"/>
      <c r="AO14" s="70" t="s">
        <v>317</v>
      </c>
      <c r="AP14" s="70" t="s">
        <v>315</v>
      </c>
      <c r="AQ14" s="70"/>
      <c r="AR14" s="70"/>
      <c r="AS14" s="70"/>
      <c r="AT14" s="70"/>
      <c r="AU14" s="70"/>
      <c r="AV14" s="70" t="s">
        <v>317</v>
      </c>
      <c r="AW14" s="70"/>
      <c r="AX14" s="70"/>
      <c r="AY14" s="70" t="s">
        <v>366</v>
      </c>
      <c r="AZ14" s="70"/>
      <c r="BA14" s="70" t="s">
        <v>313</v>
      </c>
      <c r="BB14" s="70" t="s">
        <v>313</v>
      </c>
      <c r="BC14" s="70"/>
      <c r="BD14" s="70"/>
      <c r="BE14" s="70" t="s">
        <v>367</v>
      </c>
      <c r="BF14" s="99" t="s">
        <v>398</v>
      </c>
      <c r="BG14" s="70" t="s">
        <v>323</v>
      </c>
      <c r="BH14" s="70"/>
      <c r="BI14" s="70"/>
      <c r="BJ14" s="70" t="s">
        <v>321</v>
      </c>
      <c r="BK14" s="70" t="s">
        <v>350</v>
      </c>
      <c r="BL14" s="70" t="s">
        <v>317</v>
      </c>
      <c r="BM14" s="70" t="s">
        <v>388</v>
      </c>
      <c r="BN14" s="70"/>
    </row>
    <row r="15" spans="1:66" x14ac:dyDescent="0.25">
      <c r="A15" s="59">
        <v>7</v>
      </c>
      <c r="B15" s="67" t="s">
        <v>261</v>
      </c>
      <c r="C15" s="65">
        <v>3.5</v>
      </c>
      <c r="D15" s="64">
        <v>35</v>
      </c>
      <c r="E15" s="64">
        <f>IF(ISBLANK($D15),"0",IF(($D16-$D15)&lt;($C16-$C15),1,0))</f>
        <v>1</v>
      </c>
      <c r="F15" s="64">
        <f t="shared" ca="1" si="1"/>
        <v>37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312</v>
      </c>
      <c r="L15" s="69" t="s">
        <v>313</v>
      </c>
      <c r="M15" s="69"/>
      <c r="N15" s="69" t="s">
        <v>355</v>
      </c>
      <c r="O15" s="69"/>
      <c r="P15" s="69"/>
      <c r="Q15" s="69"/>
      <c r="R15" s="69" t="s">
        <v>322</v>
      </c>
      <c r="S15" s="69" t="s">
        <v>348</v>
      </c>
      <c r="T15" s="69"/>
      <c r="U15" s="69" t="s">
        <v>313</v>
      </c>
      <c r="V15" s="69" t="s">
        <v>313</v>
      </c>
      <c r="W15" s="69" t="s">
        <v>357</v>
      </c>
      <c r="X15" s="69" t="s">
        <v>312</v>
      </c>
      <c r="Y15" s="69" t="s">
        <v>317</v>
      </c>
      <c r="Z15" s="69"/>
      <c r="AA15" s="69" t="s">
        <v>312</v>
      </c>
      <c r="AB15" s="69"/>
      <c r="AC15" s="69"/>
      <c r="AD15" s="69"/>
      <c r="AE15" s="69"/>
      <c r="AF15" s="69" t="s">
        <v>360</v>
      </c>
      <c r="AG15" s="69" t="s">
        <v>377</v>
      </c>
      <c r="AH15" s="69" t="s">
        <v>320</v>
      </c>
      <c r="AI15" s="69" t="s">
        <v>344</v>
      </c>
      <c r="AJ15" s="69" t="s">
        <v>314</v>
      </c>
      <c r="AK15" s="69" t="s">
        <v>317</v>
      </c>
      <c r="AL15" s="69" t="s">
        <v>347</v>
      </c>
      <c r="AM15" s="69" t="s">
        <v>348</v>
      </c>
      <c r="AN15" s="69" t="s">
        <v>317</v>
      </c>
      <c r="AO15" s="69"/>
      <c r="AP15" s="69"/>
      <c r="AQ15" s="69"/>
      <c r="AR15" s="69" t="s">
        <v>317</v>
      </c>
      <c r="AS15" s="69" t="s">
        <v>312</v>
      </c>
      <c r="AT15" s="69" t="s">
        <v>334</v>
      </c>
      <c r="AU15" s="69" t="s">
        <v>353</v>
      </c>
      <c r="AV15" s="69"/>
      <c r="AW15" s="69" t="s">
        <v>408</v>
      </c>
      <c r="AX15" s="69" t="s">
        <v>325</v>
      </c>
      <c r="AY15" s="69" t="s">
        <v>366</v>
      </c>
      <c r="AZ15" s="69"/>
      <c r="BA15" s="69" t="s">
        <v>313</v>
      </c>
      <c r="BB15" s="69" t="s">
        <v>313</v>
      </c>
      <c r="BC15" s="69" t="s">
        <v>357</v>
      </c>
      <c r="BD15" s="69" t="s">
        <v>312</v>
      </c>
      <c r="BE15" s="69" t="s">
        <v>367</v>
      </c>
      <c r="BF15" s="69"/>
      <c r="BG15" s="69"/>
      <c r="BH15" s="69" t="s">
        <v>317</v>
      </c>
      <c r="BI15" s="69" t="s">
        <v>350</v>
      </c>
      <c r="BJ15" s="69" t="s">
        <v>321</v>
      </c>
      <c r="BK15" s="69"/>
      <c r="BL15" s="69"/>
      <c r="BM15" s="69" t="s">
        <v>388</v>
      </c>
      <c r="BN15" s="69" t="s">
        <v>312</v>
      </c>
    </row>
    <row r="16" spans="1:66" x14ac:dyDescent="0.25">
      <c r="A16" s="61" t="s">
        <v>3</v>
      </c>
      <c r="B16" s="68" t="s">
        <v>259</v>
      </c>
      <c r="C16" s="66"/>
      <c r="D16" s="64">
        <v>14</v>
      </c>
      <c r="E16" s="64">
        <f>IF(ISBLANK($D16),"0",IF(($D16-$D15)&gt;($C16-$C15),1,0))</f>
        <v>0</v>
      </c>
      <c r="F16" s="64">
        <f t="shared" ca="1" si="1"/>
        <v>19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311</v>
      </c>
      <c r="K16" s="70"/>
      <c r="L16" s="70"/>
      <c r="M16" s="70" t="s">
        <v>312</v>
      </c>
      <c r="N16" s="70"/>
      <c r="O16" s="70" t="s">
        <v>371</v>
      </c>
      <c r="P16" s="70" t="s">
        <v>317</v>
      </c>
      <c r="Q16" s="70" t="s">
        <v>318</v>
      </c>
      <c r="R16" s="70"/>
      <c r="S16" s="70"/>
      <c r="T16" s="70" t="s">
        <v>333</v>
      </c>
      <c r="U16" s="70"/>
      <c r="V16" s="70"/>
      <c r="W16" s="70"/>
      <c r="X16" s="70"/>
      <c r="Y16" s="70"/>
      <c r="Z16" s="70" t="s">
        <v>334</v>
      </c>
      <c r="AA16" s="70"/>
      <c r="AB16" s="70" t="s">
        <v>317</v>
      </c>
      <c r="AC16" s="70" t="s">
        <v>360</v>
      </c>
      <c r="AD16" s="70" t="s">
        <v>317</v>
      </c>
      <c r="AE16" s="70" t="s">
        <v>355</v>
      </c>
      <c r="AF16" s="70"/>
      <c r="AG16" s="70"/>
      <c r="AH16" s="70"/>
      <c r="AI16" s="70"/>
      <c r="AJ16" s="70"/>
      <c r="AK16" s="70"/>
      <c r="AL16" s="70"/>
      <c r="AM16" s="70"/>
      <c r="AN16" s="70"/>
      <c r="AO16" s="70" t="s">
        <v>317</v>
      </c>
      <c r="AP16" s="70" t="s">
        <v>424</v>
      </c>
      <c r="AQ16" s="70" t="s">
        <v>354</v>
      </c>
      <c r="AR16" s="100"/>
      <c r="AS16" s="70"/>
      <c r="AT16" s="70"/>
      <c r="AU16" s="70"/>
      <c r="AV16" s="70" t="s">
        <v>317</v>
      </c>
      <c r="AW16" s="70"/>
      <c r="AX16" s="70"/>
      <c r="AY16" s="70"/>
      <c r="AZ16" s="70" t="s">
        <v>327</v>
      </c>
      <c r="BA16" s="70"/>
      <c r="BB16" s="70"/>
      <c r="BC16" s="70"/>
      <c r="BD16" s="70"/>
      <c r="BE16" s="70"/>
      <c r="BF16" s="99" t="s">
        <v>398</v>
      </c>
      <c r="BG16" s="70" t="s">
        <v>322</v>
      </c>
      <c r="BH16" s="70"/>
      <c r="BI16" s="70"/>
      <c r="BJ16" s="70"/>
      <c r="BK16" s="70" t="s">
        <v>350</v>
      </c>
      <c r="BL16" s="70" t="s">
        <v>317</v>
      </c>
      <c r="BM16" s="70"/>
      <c r="BN16" s="70"/>
    </row>
    <row r="17" spans="1:66" x14ac:dyDescent="0.25">
      <c r="A17" s="59">
        <v>8</v>
      </c>
      <c r="B17" s="67" t="s">
        <v>177</v>
      </c>
      <c r="C17" s="65"/>
      <c r="D17" s="64">
        <v>35</v>
      </c>
      <c r="E17" s="64">
        <f>IF(ISBLANK($D17),"0",IF(($D18-$D17)&lt;($C18-$C17),1,0))</f>
        <v>1</v>
      </c>
      <c r="F17" s="64">
        <f t="shared" ca="1" si="1"/>
        <v>21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/>
      <c r="L17" s="69"/>
      <c r="M17" s="69"/>
      <c r="N17" s="69" t="s">
        <v>355</v>
      </c>
      <c r="O17" s="69"/>
      <c r="P17" s="69" t="s">
        <v>317</v>
      </c>
      <c r="Q17" s="69" t="s">
        <v>318</v>
      </c>
      <c r="R17" s="69"/>
      <c r="S17" s="69"/>
      <c r="T17" s="69" t="s">
        <v>352</v>
      </c>
      <c r="U17" s="69" t="s">
        <v>313</v>
      </c>
      <c r="V17" s="69"/>
      <c r="W17" s="69"/>
      <c r="X17" s="69"/>
      <c r="Y17" s="69"/>
      <c r="Z17" s="69" t="s">
        <v>322</v>
      </c>
      <c r="AA17" s="69"/>
      <c r="AB17" s="69"/>
      <c r="AC17" s="69"/>
      <c r="AD17" s="69" t="s">
        <v>317</v>
      </c>
      <c r="AE17" s="69"/>
      <c r="AF17" s="69" t="s">
        <v>364</v>
      </c>
      <c r="AG17" s="69"/>
      <c r="AH17" s="69"/>
      <c r="AI17" s="69"/>
      <c r="AJ17" s="69"/>
      <c r="AK17" s="69"/>
      <c r="AL17" s="69" t="s">
        <v>347</v>
      </c>
      <c r="AM17" s="69"/>
      <c r="AN17" s="69"/>
      <c r="AO17" s="69" t="s">
        <v>317</v>
      </c>
      <c r="AP17" s="69" t="s">
        <v>328</v>
      </c>
      <c r="AQ17" s="69" t="s">
        <v>354</v>
      </c>
      <c r="AR17" s="99"/>
      <c r="AS17" s="69" t="s">
        <v>312</v>
      </c>
      <c r="AT17" s="69"/>
      <c r="AU17" s="69"/>
      <c r="AV17" s="69"/>
      <c r="AW17" s="69"/>
      <c r="AX17" s="69" t="s">
        <v>311</v>
      </c>
      <c r="AY17" s="69"/>
      <c r="AZ17" s="69"/>
      <c r="BA17" s="69"/>
      <c r="BB17" s="69" t="s">
        <v>313</v>
      </c>
      <c r="BC17" s="69"/>
      <c r="BD17" s="69"/>
      <c r="BE17" s="69"/>
      <c r="BF17" s="99" t="s">
        <v>398</v>
      </c>
      <c r="BG17" s="69" t="s">
        <v>340</v>
      </c>
      <c r="BH17" s="69" t="s">
        <v>317</v>
      </c>
      <c r="BI17" s="69" t="s">
        <v>335</v>
      </c>
      <c r="BJ17" s="69" t="s">
        <v>321</v>
      </c>
      <c r="BK17" s="69"/>
      <c r="BL17" s="69"/>
      <c r="BM17" s="69"/>
      <c r="BN17" s="69" t="s">
        <v>312</v>
      </c>
    </row>
    <row r="18" spans="1:66" x14ac:dyDescent="0.25">
      <c r="A18" s="61" t="s">
        <v>3</v>
      </c>
      <c r="B18" s="68" t="s">
        <v>187</v>
      </c>
      <c r="C18" s="66">
        <v>7.5</v>
      </c>
      <c r="D18" s="64">
        <v>38</v>
      </c>
      <c r="E18" s="64">
        <f>IF(ISBLANK($D18),"0",IF(($D18-$D17)&gt;($C18-$C17),1,0))</f>
        <v>0</v>
      </c>
      <c r="F18" s="64">
        <f t="shared" ca="1" si="1"/>
        <v>35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311</v>
      </c>
      <c r="K18" s="70" t="s">
        <v>312</v>
      </c>
      <c r="L18" s="70" t="s">
        <v>313</v>
      </c>
      <c r="M18" s="70" t="s">
        <v>312</v>
      </c>
      <c r="N18" s="70"/>
      <c r="O18" s="70" t="s">
        <v>371</v>
      </c>
      <c r="P18" s="70"/>
      <c r="Q18" s="70"/>
      <c r="R18" s="70" t="s">
        <v>319</v>
      </c>
      <c r="S18" s="70" t="s">
        <v>349</v>
      </c>
      <c r="T18" s="70"/>
      <c r="U18" s="70"/>
      <c r="V18" s="70" t="s">
        <v>313</v>
      </c>
      <c r="W18" s="70" t="s">
        <v>357</v>
      </c>
      <c r="X18" s="70" t="s">
        <v>312</v>
      </c>
      <c r="Y18" s="70" t="s">
        <v>317</v>
      </c>
      <c r="Z18" s="70"/>
      <c r="AA18" s="70" t="s">
        <v>312</v>
      </c>
      <c r="AB18" s="70" t="s">
        <v>317</v>
      </c>
      <c r="AC18" s="70" t="s">
        <v>335</v>
      </c>
      <c r="AD18" s="70"/>
      <c r="AE18" s="70" t="s">
        <v>355</v>
      </c>
      <c r="AF18" s="70"/>
      <c r="AG18" s="70" t="s">
        <v>323</v>
      </c>
      <c r="AH18" s="70" t="s">
        <v>349</v>
      </c>
      <c r="AI18" s="70" t="s">
        <v>316</v>
      </c>
      <c r="AJ18" s="70" t="s">
        <v>328</v>
      </c>
      <c r="AK18" s="70" t="s">
        <v>317</v>
      </c>
      <c r="AL18" s="70"/>
      <c r="AM18" s="70" t="s">
        <v>320</v>
      </c>
      <c r="AN18" s="70" t="s">
        <v>317</v>
      </c>
      <c r="AO18" s="70"/>
      <c r="AP18" s="70"/>
      <c r="AQ18" s="70"/>
      <c r="AR18" s="70" t="s">
        <v>317</v>
      </c>
      <c r="AS18" s="70"/>
      <c r="AT18" s="70" t="s">
        <v>334</v>
      </c>
      <c r="AU18" s="70" t="s">
        <v>328</v>
      </c>
      <c r="AV18" s="70" t="s">
        <v>317</v>
      </c>
      <c r="AW18" s="70" t="s">
        <v>408</v>
      </c>
      <c r="AX18" s="70"/>
      <c r="AY18" s="70" t="s">
        <v>366</v>
      </c>
      <c r="AZ18" s="70" t="s">
        <v>321</v>
      </c>
      <c r="BA18" s="70" t="s">
        <v>313</v>
      </c>
      <c r="BB18" s="70"/>
      <c r="BC18" s="70" t="s">
        <v>357</v>
      </c>
      <c r="BD18" s="70" t="s">
        <v>312</v>
      </c>
      <c r="BE18" s="70" t="s">
        <v>367</v>
      </c>
      <c r="BF18" s="70"/>
      <c r="BG18" s="70"/>
      <c r="BH18" s="70"/>
      <c r="BI18" s="70"/>
      <c r="BJ18" s="70"/>
      <c r="BK18" s="70" t="s">
        <v>350</v>
      </c>
      <c r="BL18" s="70" t="s">
        <v>317</v>
      </c>
      <c r="BM18" s="70" t="s">
        <v>388</v>
      </c>
      <c r="BN18" s="70"/>
    </row>
    <row r="19" spans="1:66" x14ac:dyDescent="0.25">
      <c r="A19" s="59">
        <v>9</v>
      </c>
      <c r="B19" s="67" t="s">
        <v>268</v>
      </c>
      <c r="C19" s="65"/>
      <c r="D19" s="64">
        <v>11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/>
      <c r="Q19" s="69"/>
      <c r="R19" s="69" t="s">
        <v>333</v>
      </c>
      <c r="S19" s="69"/>
      <c r="T19" s="69"/>
      <c r="U19" s="69"/>
      <c r="V19" s="69" t="s">
        <v>313</v>
      </c>
      <c r="W19" s="69"/>
      <c r="X19" s="69"/>
      <c r="Y19" s="69"/>
      <c r="Z19" s="69" t="s">
        <v>337</v>
      </c>
      <c r="AA19" s="69"/>
      <c r="AB19" s="69"/>
      <c r="AC19" s="69" t="s">
        <v>368</v>
      </c>
      <c r="AD19" s="69"/>
      <c r="AE19" s="69"/>
      <c r="AF19" s="69" t="s">
        <v>322</v>
      </c>
      <c r="AG19" s="69"/>
      <c r="AH19" s="69"/>
      <c r="AI19" s="69"/>
      <c r="AJ19" s="69" t="s">
        <v>326</v>
      </c>
      <c r="AK19" s="69" t="s">
        <v>317</v>
      </c>
      <c r="AL19" s="69"/>
      <c r="AM19" s="69"/>
      <c r="AN19" s="69"/>
      <c r="AO19" s="69"/>
      <c r="AP19" s="69"/>
      <c r="AQ19" s="69" t="s">
        <v>354</v>
      </c>
      <c r="AR19" s="69"/>
      <c r="AS19" s="69" t="s">
        <v>312</v>
      </c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 t="s">
        <v>312</v>
      </c>
      <c r="BE19" s="69" t="s">
        <v>367</v>
      </c>
      <c r="BF19" s="69"/>
      <c r="BG19" s="69" t="s">
        <v>317</v>
      </c>
      <c r="BH19" s="69"/>
      <c r="BI19" s="69"/>
      <c r="BJ19" s="69"/>
      <c r="BK19" s="69" t="s">
        <v>350</v>
      </c>
      <c r="BL19" s="69" t="s">
        <v>317</v>
      </c>
      <c r="BM19" s="69" t="s">
        <v>388</v>
      </c>
      <c r="BN19" s="69"/>
    </row>
    <row r="20" spans="1:66" x14ac:dyDescent="0.25">
      <c r="A20" s="61" t="s">
        <v>3</v>
      </c>
      <c r="B20" s="68" t="s">
        <v>156</v>
      </c>
      <c r="C20" s="66">
        <v>10.5</v>
      </c>
      <c r="D20" s="64">
        <v>41</v>
      </c>
      <c r="E20" s="64">
        <f>IF(ISBLANK($D20),"0",IF(($D20-$D19)&gt;($C20-$C19),1,0))</f>
        <v>1</v>
      </c>
      <c r="F20" s="64">
        <f t="shared" ca="1" si="1"/>
        <v>41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311</v>
      </c>
      <c r="K20" s="70" t="s">
        <v>312</v>
      </c>
      <c r="L20" s="70" t="s">
        <v>313</v>
      </c>
      <c r="M20" s="70" t="s">
        <v>312</v>
      </c>
      <c r="N20" s="70" t="s">
        <v>355</v>
      </c>
      <c r="O20" s="70" t="s">
        <v>371</v>
      </c>
      <c r="P20" s="70" t="s">
        <v>317</v>
      </c>
      <c r="Q20" s="70" t="s">
        <v>318</v>
      </c>
      <c r="R20" s="70"/>
      <c r="S20" s="70" t="s">
        <v>320</v>
      </c>
      <c r="T20" s="70" t="s">
        <v>328</v>
      </c>
      <c r="U20" s="70" t="s">
        <v>313</v>
      </c>
      <c r="V20" s="70"/>
      <c r="W20" s="70" t="s">
        <v>357</v>
      </c>
      <c r="X20" s="70" t="s">
        <v>312</v>
      </c>
      <c r="Y20" s="70" t="s">
        <v>317</v>
      </c>
      <c r="Z20" s="70"/>
      <c r="AA20" s="70" t="s">
        <v>312</v>
      </c>
      <c r="AB20" s="70" t="s">
        <v>317</v>
      </c>
      <c r="AC20" s="70"/>
      <c r="AD20" s="70" t="s">
        <v>317</v>
      </c>
      <c r="AE20" s="70" t="s">
        <v>355</v>
      </c>
      <c r="AF20" s="70"/>
      <c r="AG20" s="70" t="s">
        <v>321</v>
      </c>
      <c r="AH20" s="70" t="s">
        <v>323</v>
      </c>
      <c r="AI20" s="70" t="s">
        <v>354</v>
      </c>
      <c r="AJ20" s="70"/>
      <c r="AK20" s="70"/>
      <c r="AL20" s="70" t="s">
        <v>347</v>
      </c>
      <c r="AM20" s="70" t="s">
        <v>341</v>
      </c>
      <c r="AN20" s="70" t="s">
        <v>317</v>
      </c>
      <c r="AO20" s="70" t="s">
        <v>317</v>
      </c>
      <c r="AP20" s="70" t="s">
        <v>329</v>
      </c>
      <c r="AQ20" s="70"/>
      <c r="AR20" s="100" t="s">
        <v>317</v>
      </c>
      <c r="AS20" s="70"/>
      <c r="AT20" s="70" t="s">
        <v>334</v>
      </c>
      <c r="AU20" s="70" t="s">
        <v>347</v>
      </c>
      <c r="AV20" s="70" t="s">
        <v>317</v>
      </c>
      <c r="AW20" s="70" t="s">
        <v>317</v>
      </c>
      <c r="AX20" s="70" t="s">
        <v>320</v>
      </c>
      <c r="AY20" s="70" t="s">
        <v>366</v>
      </c>
      <c r="AZ20" s="70" t="s">
        <v>339</v>
      </c>
      <c r="BA20" s="70" t="s">
        <v>313</v>
      </c>
      <c r="BB20" s="70" t="s">
        <v>313</v>
      </c>
      <c r="BC20" s="70" t="s">
        <v>357</v>
      </c>
      <c r="BD20" s="70"/>
      <c r="BE20" s="70"/>
      <c r="BF20" s="99" t="s">
        <v>398</v>
      </c>
      <c r="BG20" s="70"/>
      <c r="BH20" s="70" t="s">
        <v>312</v>
      </c>
      <c r="BI20" s="70" t="s">
        <v>375</v>
      </c>
      <c r="BJ20" s="70" t="s">
        <v>321</v>
      </c>
      <c r="BK20" s="70"/>
      <c r="BL20" s="70"/>
      <c r="BM20" s="70"/>
      <c r="BN20" s="70" t="s">
        <v>312</v>
      </c>
    </row>
    <row r="21" spans="1:66" x14ac:dyDescent="0.25">
      <c r="A21" s="59">
        <v>10</v>
      </c>
      <c r="B21" s="67" t="s">
        <v>178</v>
      </c>
      <c r="C21" s="65">
        <v>9.5</v>
      </c>
      <c r="D21" s="64">
        <v>55</v>
      </c>
      <c r="E21" s="64">
        <f>IF(ISBLANK($D21),"0",IF(($D22-$D21)&lt;($C22-$C21),1,0))</f>
        <v>1</v>
      </c>
      <c r="F21" s="64">
        <f t="shared" ca="1" si="1"/>
        <v>29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313</v>
      </c>
      <c r="M21" s="69"/>
      <c r="N21" s="69" t="s">
        <v>355</v>
      </c>
      <c r="O21" s="69"/>
      <c r="P21" s="69"/>
      <c r="Q21" s="69"/>
      <c r="R21" s="69"/>
      <c r="S21" s="69" t="s">
        <v>311</v>
      </c>
      <c r="T21" s="69"/>
      <c r="U21" s="69"/>
      <c r="V21" s="69"/>
      <c r="W21" s="69" t="s">
        <v>357</v>
      </c>
      <c r="X21" s="69" t="s">
        <v>312</v>
      </c>
      <c r="Y21" s="69" t="s">
        <v>317</v>
      </c>
      <c r="Z21" s="69"/>
      <c r="AA21" s="69" t="s">
        <v>312</v>
      </c>
      <c r="AB21" s="69" t="s">
        <v>317</v>
      </c>
      <c r="AC21" s="69" t="s">
        <v>320</v>
      </c>
      <c r="AD21" s="69"/>
      <c r="AE21" s="69" t="s">
        <v>355</v>
      </c>
      <c r="AF21" s="69" t="s">
        <v>315</v>
      </c>
      <c r="AG21" s="69" t="s">
        <v>408</v>
      </c>
      <c r="AH21" s="69" t="s">
        <v>317</v>
      </c>
      <c r="AI21" s="69"/>
      <c r="AJ21" s="69" t="s">
        <v>326</v>
      </c>
      <c r="AK21" s="69"/>
      <c r="AL21" s="69"/>
      <c r="AM21" s="69" t="s">
        <v>311</v>
      </c>
      <c r="AN21" s="69"/>
      <c r="AO21" s="69" t="s">
        <v>317</v>
      </c>
      <c r="AP21" s="69" t="s">
        <v>333</v>
      </c>
      <c r="AQ21" s="69"/>
      <c r="AR21" s="99"/>
      <c r="AS21" s="69" t="s">
        <v>312</v>
      </c>
      <c r="AT21" s="69"/>
      <c r="AU21" s="69"/>
      <c r="AV21" s="69" t="s">
        <v>317</v>
      </c>
      <c r="AW21" s="69" t="s">
        <v>317</v>
      </c>
      <c r="AX21" s="69" t="s">
        <v>364</v>
      </c>
      <c r="AY21" s="69" t="s">
        <v>366</v>
      </c>
      <c r="AZ21" s="69"/>
      <c r="BA21" s="69" t="s">
        <v>313</v>
      </c>
      <c r="BB21" s="69"/>
      <c r="BC21" s="69"/>
      <c r="BD21" s="69"/>
      <c r="BE21" s="69" t="s">
        <v>367</v>
      </c>
      <c r="BF21" s="69"/>
      <c r="BG21" s="69"/>
      <c r="BH21" s="69" t="s">
        <v>317</v>
      </c>
      <c r="BI21" s="69"/>
      <c r="BJ21" s="69" t="s">
        <v>321</v>
      </c>
      <c r="BK21" s="69" t="s">
        <v>350</v>
      </c>
      <c r="BL21" s="69" t="s">
        <v>317</v>
      </c>
      <c r="BM21" s="69" t="s">
        <v>388</v>
      </c>
      <c r="BN21" s="69"/>
    </row>
    <row r="22" spans="1:66" x14ac:dyDescent="0.25">
      <c r="A22" s="61" t="s">
        <v>3</v>
      </c>
      <c r="B22" s="68" t="s">
        <v>209</v>
      </c>
      <c r="C22" s="66"/>
      <c r="D22" s="64">
        <v>17</v>
      </c>
      <c r="E22" s="64">
        <f>IF(ISBLANK($D22),"0",IF(($D22-$D21)&gt;($C22-$C21),1,0))</f>
        <v>0</v>
      </c>
      <c r="F22" s="64">
        <f t="shared" ca="1" si="1"/>
        <v>27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311</v>
      </c>
      <c r="K22" s="70" t="s">
        <v>312</v>
      </c>
      <c r="L22" s="70"/>
      <c r="M22" s="70" t="s">
        <v>312</v>
      </c>
      <c r="N22" s="70"/>
      <c r="O22" s="70" t="s">
        <v>371</v>
      </c>
      <c r="P22" s="70" t="s">
        <v>317</v>
      </c>
      <c r="Q22" s="70" t="s">
        <v>318</v>
      </c>
      <c r="R22" s="70" t="s">
        <v>331</v>
      </c>
      <c r="S22" s="70"/>
      <c r="T22" s="70" t="s">
        <v>322</v>
      </c>
      <c r="U22" s="70" t="s">
        <v>313</v>
      </c>
      <c r="V22" s="70" t="s">
        <v>313</v>
      </c>
      <c r="W22" s="70"/>
      <c r="X22" s="70"/>
      <c r="Y22" s="70"/>
      <c r="Z22" s="70" t="s">
        <v>423</v>
      </c>
      <c r="AA22" s="70"/>
      <c r="AB22" s="70"/>
      <c r="AC22" s="70"/>
      <c r="AD22" s="70" t="s">
        <v>317</v>
      </c>
      <c r="AE22" s="70"/>
      <c r="AF22" s="70"/>
      <c r="AG22" s="70"/>
      <c r="AH22" s="70"/>
      <c r="AI22" s="70" t="s">
        <v>383</v>
      </c>
      <c r="AJ22" s="70"/>
      <c r="AK22" s="70" t="s">
        <v>317</v>
      </c>
      <c r="AL22" s="70" t="s">
        <v>347</v>
      </c>
      <c r="AM22" s="70"/>
      <c r="AN22" s="70" t="s">
        <v>317</v>
      </c>
      <c r="AO22" s="70"/>
      <c r="AP22" s="70"/>
      <c r="AQ22" s="70" t="s">
        <v>354</v>
      </c>
      <c r="AR22" s="70" t="s">
        <v>317</v>
      </c>
      <c r="AS22" s="70"/>
      <c r="AT22" s="70" t="s">
        <v>334</v>
      </c>
      <c r="AU22" s="70" t="s">
        <v>327</v>
      </c>
      <c r="AV22" s="70"/>
      <c r="AW22" s="70"/>
      <c r="AX22" s="70"/>
      <c r="AY22" s="70"/>
      <c r="AZ22" s="70" t="s">
        <v>311</v>
      </c>
      <c r="BA22" s="70"/>
      <c r="BB22" s="70" t="s">
        <v>313</v>
      </c>
      <c r="BC22" s="70" t="s">
        <v>357</v>
      </c>
      <c r="BD22" s="70" t="s">
        <v>312</v>
      </c>
      <c r="BE22" s="70"/>
      <c r="BF22" s="99" t="s">
        <v>398</v>
      </c>
      <c r="BG22" s="70" t="s">
        <v>326</v>
      </c>
      <c r="BH22" s="70"/>
      <c r="BI22" s="70" t="s">
        <v>326</v>
      </c>
      <c r="BJ22" s="70"/>
      <c r="BK22" s="70"/>
      <c r="BL22" s="70"/>
      <c r="BM22" s="70"/>
      <c r="BN22" s="70" t="s">
        <v>312</v>
      </c>
    </row>
    <row r="23" spans="1:66" x14ac:dyDescent="0.25">
      <c r="A23" s="59"/>
      <c r="B23" s="67" t="str">
        <f>B21&amp; " - score"</f>
        <v>Oklahoma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>
        <v>35</v>
      </c>
      <c r="K23" s="78">
        <v>35</v>
      </c>
      <c r="L23" s="78">
        <v>32</v>
      </c>
      <c r="M23" s="78">
        <v>28</v>
      </c>
      <c r="N23" s="80">
        <v>31</v>
      </c>
      <c r="O23" s="78">
        <v>21</v>
      </c>
      <c r="P23" s="78">
        <v>27</v>
      </c>
      <c r="Q23" s="78">
        <v>14</v>
      </c>
      <c r="R23" s="78">
        <v>31</v>
      </c>
      <c r="S23" s="78">
        <v>31</v>
      </c>
      <c r="T23" s="78">
        <v>32</v>
      </c>
      <c r="U23" s="78">
        <v>26</v>
      </c>
      <c r="V23" s="78">
        <v>48</v>
      </c>
      <c r="W23" s="78">
        <v>42</v>
      </c>
      <c r="X23" s="78">
        <v>31</v>
      </c>
      <c r="Y23" s="78">
        <v>28</v>
      </c>
      <c r="Z23" s="78">
        <v>31</v>
      </c>
      <c r="AA23" s="78">
        <v>24</v>
      </c>
      <c r="AB23" s="78">
        <v>30</v>
      </c>
      <c r="AC23" s="78">
        <v>38</v>
      </c>
      <c r="AD23" s="78">
        <v>14</v>
      </c>
      <c r="AE23" s="78">
        <v>39</v>
      </c>
      <c r="AF23" s="78">
        <v>31</v>
      </c>
      <c r="AG23" s="78">
        <v>41</v>
      </c>
      <c r="AH23" s="78">
        <v>35</v>
      </c>
      <c r="AI23" s="78">
        <v>31</v>
      </c>
      <c r="AJ23" s="78">
        <v>34</v>
      </c>
      <c r="AK23" s="78">
        <v>38</v>
      </c>
      <c r="AL23" s="78">
        <v>23</v>
      </c>
      <c r="AM23" s="78">
        <v>28</v>
      </c>
      <c r="AN23" s="78">
        <v>30</v>
      </c>
      <c r="AO23" s="78">
        <v>34</v>
      </c>
      <c r="AP23" s="78">
        <v>27</v>
      </c>
      <c r="AQ23" s="78">
        <v>17</v>
      </c>
      <c r="AR23" s="78">
        <v>24</v>
      </c>
      <c r="AS23" s="78">
        <v>30</v>
      </c>
      <c r="AT23" s="78">
        <v>41</v>
      </c>
      <c r="AU23" s="78">
        <v>31</v>
      </c>
      <c r="AV23" s="78">
        <v>34</v>
      </c>
      <c r="AW23" s="78">
        <v>31</v>
      </c>
      <c r="AX23" s="78">
        <v>48</v>
      </c>
      <c r="AY23" s="78">
        <v>35</v>
      </c>
      <c r="AZ23" s="78">
        <v>34</v>
      </c>
      <c r="BA23" s="78">
        <v>47</v>
      </c>
      <c r="BB23" s="78">
        <v>35</v>
      </c>
      <c r="BC23" s="78">
        <v>28</v>
      </c>
      <c r="BD23" s="78">
        <v>20</v>
      </c>
      <c r="BE23" s="78">
        <v>31</v>
      </c>
      <c r="BF23" s="78"/>
      <c r="BG23" s="78">
        <v>7</v>
      </c>
      <c r="BH23" s="78">
        <v>37</v>
      </c>
      <c r="BI23" s="78">
        <v>29</v>
      </c>
      <c r="BJ23" s="78">
        <v>42</v>
      </c>
      <c r="BK23" s="78">
        <v>35</v>
      </c>
      <c r="BL23" s="78">
        <v>35</v>
      </c>
      <c r="BM23" s="78">
        <v>35</v>
      </c>
      <c r="BN23" s="78">
        <v>31</v>
      </c>
    </row>
    <row r="24" spans="1:66" x14ac:dyDescent="0.25">
      <c r="A24" s="61"/>
      <c r="B24" s="68" t="str">
        <f>B22&amp; " - score"</f>
        <v>Texas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>
        <v>27</v>
      </c>
      <c r="K24" s="79">
        <v>36</v>
      </c>
      <c r="L24" s="79">
        <v>16</v>
      </c>
      <c r="M24" s="79">
        <v>24</v>
      </c>
      <c r="N24" s="79">
        <v>20</v>
      </c>
      <c r="O24" s="79">
        <v>14</v>
      </c>
      <c r="P24" s="79">
        <v>20</v>
      </c>
      <c r="Q24" s="79">
        <v>21</v>
      </c>
      <c r="R24" s="79">
        <v>24</v>
      </c>
      <c r="S24" s="79">
        <v>10</v>
      </c>
      <c r="T24" s="79">
        <v>25</v>
      </c>
      <c r="U24" s="79">
        <v>27</v>
      </c>
      <c r="V24" s="79">
        <v>63</v>
      </c>
      <c r="W24" s="79">
        <v>27</v>
      </c>
      <c r="X24" s="79">
        <v>13</v>
      </c>
      <c r="Y24" s="79">
        <v>18</v>
      </c>
      <c r="Z24" s="79">
        <v>24</v>
      </c>
      <c r="AA24" s="79">
        <v>10</v>
      </c>
      <c r="AB24" s="79">
        <v>20</v>
      </c>
      <c r="AC24" s="79">
        <v>17</v>
      </c>
      <c r="AD24" s="79">
        <v>21</v>
      </c>
      <c r="AE24" s="79">
        <v>23</v>
      </c>
      <c r="AF24" s="79">
        <v>6</v>
      </c>
      <c r="AG24" s="79">
        <v>27</v>
      </c>
      <c r="AH24" s="79">
        <v>24</v>
      </c>
      <c r="AI24" s="79">
        <v>30</v>
      </c>
      <c r="AJ24" s="79">
        <v>22</v>
      </c>
      <c r="AK24" s="79">
        <v>31</v>
      </c>
      <c r="AL24" s="79">
        <v>20</v>
      </c>
      <c r="AM24" s="79">
        <v>14</v>
      </c>
      <c r="AN24" s="79">
        <v>21</v>
      </c>
      <c r="AO24" s="79">
        <v>17</v>
      </c>
      <c r="AP24" s="79">
        <v>14</v>
      </c>
      <c r="AQ24" s="79">
        <v>21</v>
      </c>
      <c r="AR24" s="79">
        <v>28</v>
      </c>
      <c r="AS24" s="79">
        <v>20</v>
      </c>
      <c r="AT24" s="79">
        <v>33</v>
      </c>
      <c r="AU24" s="79">
        <v>23</v>
      </c>
      <c r="AV24" s="79">
        <v>21</v>
      </c>
      <c r="AW24" s="79">
        <v>20</v>
      </c>
      <c r="AX24" s="79">
        <v>14</v>
      </c>
      <c r="AY24" s="79">
        <v>24</v>
      </c>
      <c r="AZ24" s="79">
        <v>30</v>
      </c>
      <c r="BA24" s="79">
        <v>12</v>
      </c>
      <c r="BB24" s="79">
        <v>27</v>
      </c>
      <c r="BC24" s="79">
        <v>23</v>
      </c>
      <c r="BD24" s="79">
        <v>21</v>
      </c>
      <c r="BE24" s="79">
        <v>17</v>
      </c>
      <c r="BF24" s="79"/>
      <c r="BG24" s="79">
        <v>52</v>
      </c>
      <c r="BH24" s="79">
        <v>20</v>
      </c>
      <c r="BI24" s="79">
        <v>24</v>
      </c>
      <c r="BJ24" s="79">
        <v>28</v>
      </c>
      <c r="BK24" s="79">
        <v>21</v>
      </c>
      <c r="BL24" s="79">
        <v>14</v>
      </c>
      <c r="BM24" s="79">
        <v>14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6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6</v>
      </c>
      <c r="Q25" s="36">
        <f t="shared" si="3"/>
        <v>6</v>
      </c>
      <c r="R25" s="36">
        <f t="shared" si="3"/>
        <v>4</v>
      </c>
      <c r="S25" s="36">
        <f t="shared" si="3"/>
        <v>6</v>
      </c>
      <c r="T25" s="36">
        <f t="shared" si="3"/>
        <v>4</v>
      </c>
      <c r="U25" s="36">
        <f t="shared" si="3"/>
        <v>6</v>
      </c>
      <c r="V25" s="36">
        <f t="shared" si="3"/>
        <v>4</v>
      </c>
      <c r="W25" s="36">
        <f t="shared" si="3"/>
        <v>6</v>
      </c>
      <c r="X25" s="36">
        <f t="shared" si="3"/>
        <v>4</v>
      </c>
      <c r="Y25" s="36">
        <f t="shared" si="3"/>
        <v>7</v>
      </c>
      <c r="Z25" s="36">
        <f t="shared" si="3"/>
        <v>4</v>
      </c>
      <c r="AA25" s="36">
        <f t="shared" si="3"/>
        <v>5</v>
      </c>
      <c r="AB25" s="36">
        <f t="shared" si="3"/>
        <v>4</v>
      </c>
      <c r="AC25" s="36">
        <f t="shared" si="3"/>
        <v>6</v>
      </c>
      <c r="AD25" s="36">
        <f t="shared" si="3"/>
        <v>2</v>
      </c>
      <c r="AE25" s="36">
        <f t="shared" si="3"/>
        <v>5</v>
      </c>
      <c r="AF25" s="36">
        <f t="shared" si="3"/>
        <v>5</v>
      </c>
      <c r="AG25" s="36">
        <f t="shared" si="3"/>
        <v>6</v>
      </c>
      <c r="AH25" s="36">
        <f t="shared" si="3"/>
        <v>7</v>
      </c>
      <c r="AI25" s="36">
        <f t="shared" si="3"/>
        <v>3</v>
      </c>
      <c r="AJ25" s="36">
        <f t="shared" si="3"/>
        <v>7</v>
      </c>
      <c r="AK25" s="36">
        <f t="shared" si="3"/>
        <v>5</v>
      </c>
      <c r="AL25" s="36">
        <f t="shared" si="3"/>
        <v>5</v>
      </c>
      <c r="AM25" s="36">
        <f t="shared" si="3"/>
        <v>5</v>
      </c>
      <c r="AN25" s="36">
        <f t="shared" si="3"/>
        <v>7</v>
      </c>
      <c r="AO25" s="36">
        <f t="shared" si="3"/>
        <v>7</v>
      </c>
      <c r="AP25" s="36">
        <f t="shared" si="3"/>
        <v>7</v>
      </c>
      <c r="AQ25" s="36">
        <f t="shared" si="3"/>
        <v>4</v>
      </c>
      <c r="AR25" s="36">
        <f t="shared" si="3"/>
        <v>6</v>
      </c>
      <c r="AS25" s="36">
        <f t="shared" si="3"/>
        <v>8</v>
      </c>
      <c r="AT25" s="36">
        <f t="shared" si="3"/>
        <v>7</v>
      </c>
      <c r="AU25" s="36">
        <f t="shared" si="3"/>
        <v>5</v>
      </c>
      <c r="AV25" s="36">
        <f t="shared" si="3"/>
        <v>6</v>
      </c>
      <c r="AW25" s="36">
        <f t="shared" si="3"/>
        <v>8</v>
      </c>
      <c r="AX25" s="36">
        <f t="shared" si="3"/>
        <v>6</v>
      </c>
      <c r="AY25" s="36">
        <f t="shared" si="3"/>
        <v>6</v>
      </c>
      <c r="AZ25" s="36">
        <f t="shared" si="3"/>
        <v>6</v>
      </c>
      <c r="BA25" s="36">
        <f t="shared" si="3"/>
        <v>7</v>
      </c>
      <c r="BB25" s="36">
        <f t="shared" si="3"/>
        <v>6</v>
      </c>
      <c r="BC25" s="36">
        <f t="shared" si="3"/>
        <v>5</v>
      </c>
      <c r="BD25" s="36">
        <f t="shared" si="3"/>
        <v>4</v>
      </c>
      <c r="BE25" s="36">
        <f t="shared" si="3"/>
        <v>7</v>
      </c>
      <c r="BF25" s="36">
        <f t="shared" si="3"/>
        <v>2</v>
      </c>
      <c r="BG25" s="36">
        <f t="shared" si="3"/>
        <v>2</v>
      </c>
      <c r="BH25" s="36">
        <f t="shared" si="3"/>
        <v>7</v>
      </c>
      <c r="BI25" s="36">
        <f t="shared" si="3"/>
        <v>7</v>
      </c>
      <c r="BJ25" s="36">
        <f t="shared" si="3"/>
        <v>7</v>
      </c>
      <c r="BK25" s="36">
        <f t="shared" si="3"/>
        <v>4</v>
      </c>
      <c r="BL25" s="36">
        <f t="shared" si="3"/>
        <v>4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7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4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39</v>
      </c>
      <c r="L26" s="71">
        <f t="shared" ref="L26:BN26" si="4">ABS((L23-L24)-($D21-$D22))</f>
        <v>22</v>
      </c>
      <c r="M26" s="71">
        <f t="shared" si="4"/>
        <v>34</v>
      </c>
      <c r="N26" s="71">
        <f t="shared" si="4"/>
        <v>27</v>
      </c>
      <c r="O26" s="71">
        <f t="shared" si="4"/>
        <v>31</v>
      </c>
      <c r="P26" s="71">
        <f t="shared" si="4"/>
        <v>31</v>
      </c>
      <c r="Q26" s="71">
        <f t="shared" si="4"/>
        <v>45</v>
      </c>
      <c r="R26" s="71">
        <f t="shared" si="4"/>
        <v>31</v>
      </c>
      <c r="S26" s="71">
        <f t="shared" si="4"/>
        <v>17</v>
      </c>
      <c r="T26" s="71">
        <f t="shared" si="4"/>
        <v>31</v>
      </c>
      <c r="U26" s="71">
        <f t="shared" si="4"/>
        <v>39</v>
      </c>
      <c r="V26" s="71">
        <f t="shared" si="4"/>
        <v>53</v>
      </c>
      <c r="W26" s="71">
        <f t="shared" si="4"/>
        <v>23</v>
      </c>
      <c r="X26" s="71">
        <f t="shared" si="4"/>
        <v>20</v>
      </c>
      <c r="Y26" s="71">
        <f t="shared" si="4"/>
        <v>28</v>
      </c>
      <c r="Z26" s="71">
        <f t="shared" si="4"/>
        <v>31</v>
      </c>
      <c r="AA26" s="71">
        <f t="shared" si="4"/>
        <v>24</v>
      </c>
      <c r="AB26" s="71">
        <f t="shared" si="4"/>
        <v>28</v>
      </c>
      <c r="AC26" s="71">
        <f t="shared" si="4"/>
        <v>17</v>
      </c>
      <c r="AD26" s="71">
        <f t="shared" si="4"/>
        <v>45</v>
      </c>
      <c r="AE26" s="71">
        <f t="shared" si="4"/>
        <v>22</v>
      </c>
      <c r="AF26" s="71">
        <f t="shared" si="4"/>
        <v>13</v>
      </c>
      <c r="AG26" s="71">
        <f t="shared" si="4"/>
        <v>24</v>
      </c>
      <c r="AH26" s="71">
        <f t="shared" si="4"/>
        <v>27</v>
      </c>
      <c r="AI26" s="71">
        <f t="shared" si="4"/>
        <v>37</v>
      </c>
      <c r="AJ26" s="71">
        <f t="shared" si="4"/>
        <v>26</v>
      </c>
      <c r="AK26" s="71">
        <f t="shared" si="4"/>
        <v>31</v>
      </c>
      <c r="AL26" s="71">
        <f t="shared" si="4"/>
        <v>35</v>
      </c>
      <c r="AM26" s="71">
        <f t="shared" si="4"/>
        <v>24</v>
      </c>
      <c r="AN26" s="71">
        <f t="shared" si="4"/>
        <v>29</v>
      </c>
      <c r="AO26" s="71">
        <f t="shared" si="4"/>
        <v>21</v>
      </c>
      <c r="AP26" s="71">
        <f t="shared" si="4"/>
        <v>25</v>
      </c>
      <c r="AQ26" s="71">
        <f t="shared" si="4"/>
        <v>42</v>
      </c>
      <c r="AR26" s="71">
        <f t="shared" si="4"/>
        <v>42</v>
      </c>
      <c r="AS26" s="71">
        <f t="shared" si="4"/>
        <v>28</v>
      </c>
      <c r="AT26" s="71">
        <f t="shared" si="4"/>
        <v>30</v>
      </c>
      <c r="AU26" s="71">
        <f t="shared" si="4"/>
        <v>30</v>
      </c>
      <c r="AV26" s="71">
        <f t="shared" si="4"/>
        <v>25</v>
      </c>
      <c r="AW26" s="71">
        <f t="shared" si="4"/>
        <v>27</v>
      </c>
      <c r="AX26" s="71">
        <f t="shared" si="4"/>
        <v>4</v>
      </c>
      <c r="AY26" s="71">
        <f t="shared" si="4"/>
        <v>27</v>
      </c>
      <c r="AZ26" s="71">
        <f t="shared" si="4"/>
        <v>34</v>
      </c>
      <c r="BA26" s="71">
        <f t="shared" si="4"/>
        <v>3</v>
      </c>
      <c r="BB26" s="71">
        <f t="shared" si="4"/>
        <v>30</v>
      </c>
      <c r="BC26" s="71">
        <f t="shared" si="4"/>
        <v>33</v>
      </c>
      <c r="BD26" s="71">
        <f t="shared" si="4"/>
        <v>39</v>
      </c>
      <c r="BE26" s="71">
        <f t="shared" si="4"/>
        <v>24</v>
      </c>
      <c r="BF26" s="71">
        <f t="shared" si="4"/>
        <v>38</v>
      </c>
      <c r="BG26" s="71">
        <f t="shared" si="4"/>
        <v>83</v>
      </c>
      <c r="BH26" s="71">
        <f t="shared" si="4"/>
        <v>21</v>
      </c>
      <c r="BI26" s="71">
        <f t="shared" si="4"/>
        <v>33</v>
      </c>
      <c r="BJ26" s="71">
        <f t="shared" si="4"/>
        <v>24</v>
      </c>
      <c r="BK26" s="71">
        <f t="shared" si="4"/>
        <v>24</v>
      </c>
      <c r="BL26" s="71">
        <f t="shared" si="4"/>
        <v>17</v>
      </c>
      <c r="BM26" s="71">
        <f t="shared" si="4"/>
        <v>17</v>
      </c>
      <c r="BN26" s="71">
        <f t="shared" si="4"/>
        <v>35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</v>
      </c>
      <c r="L27" s="71">
        <f t="shared" ref="L27:BN27" si="5">ABS(($D21+$D22)-(L23+L24))</f>
        <v>24</v>
      </c>
      <c r="M27" s="71">
        <f t="shared" si="5"/>
        <v>20</v>
      </c>
      <c r="N27" s="71">
        <f t="shared" si="5"/>
        <v>21</v>
      </c>
      <c r="O27" s="71">
        <f t="shared" si="5"/>
        <v>37</v>
      </c>
      <c r="P27" s="71">
        <f t="shared" si="5"/>
        <v>25</v>
      </c>
      <c r="Q27" s="71">
        <f t="shared" si="5"/>
        <v>37</v>
      </c>
      <c r="R27" s="71">
        <f t="shared" si="5"/>
        <v>17</v>
      </c>
      <c r="S27" s="71">
        <f t="shared" si="5"/>
        <v>31</v>
      </c>
      <c r="T27" s="71">
        <f t="shared" si="5"/>
        <v>15</v>
      </c>
      <c r="U27" s="71">
        <f t="shared" si="5"/>
        <v>19</v>
      </c>
      <c r="V27" s="71">
        <f t="shared" si="5"/>
        <v>39</v>
      </c>
      <c r="W27" s="71">
        <f t="shared" si="5"/>
        <v>3</v>
      </c>
      <c r="X27" s="71">
        <f t="shared" si="5"/>
        <v>28</v>
      </c>
      <c r="Y27" s="71">
        <f t="shared" si="5"/>
        <v>26</v>
      </c>
      <c r="Z27" s="71">
        <f t="shared" si="5"/>
        <v>17</v>
      </c>
      <c r="AA27" s="71">
        <f t="shared" si="5"/>
        <v>38</v>
      </c>
      <c r="AB27" s="71">
        <f t="shared" si="5"/>
        <v>22</v>
      </c>
      <c r="AC27" s="71">
        <f t="shared" si="5"/>
        <v>17</v>
      </c>
      <c r="AD27" s="71">
        <f t="shared" si="5"/>
        <v>37</v>
      </c>
      <c r="AE27" s="71">
        <f t="shared" si="5"/>
        <v>10</v>
      </c>
      <c r="AF27" s="71">
        <f t="shared" si="5"/>
        <v>35</v>
      </c>
      <c r="AG27" s="71">
        <f t="shared" si="5"/>
        <v>4</v>
      </c>
      <c r="AH27" s="71">
        <f t="shared" si="5"/>
        <v>13</v>
      </c>
      <c r="AI27" s="71">
        <f t="shared" si="5"/>
        <v>11</v>
      </c>
      <c r="AJ27" s="71">
        <f t="shared" si="5"/>
        <v>16</v>
      </c>
      <c r="AK27" s="71">
        <f t="shared" si="5"/>
        <v>3</v>
      </c>
      <c r="AL27" s="71">
        <f t="shared" si="5"/>
        <v>29</v>
      </c>
      <c r="AM27" s="71">
        <f t="shared" si="5"/>
        <v>30</v>
      </c>
      <c r="AN27" s="71">
        <f t="shared" si="5"/>
        <v>21</v>
      </c>
      <c r="AO27" s="71">
        <f t="shared" si="5"/>
        <v>21</v>
      </c>
      <c r="AP27" s="71">
        <f t="shared" si="5"/>
        <v>31</v>
      </c>
      <c r="AQ27" s="71">
        <f t="shared" si="5"/>
        <v>34</v>
      </c>
      <c r="AR27" s="71">
        <f t="shared" si="5"/>
        <v>20</v>
      </c>
      <c r="AS27" s="71">
        <f t="shared" si="5"/>
        <v>22</v>
      </c>
      <c r="AT27" s="71">
        <f t="shared" si="5"/>
        <v>2</v>
      </c>
      <c r="AU27" s="71">
        <f t="shared" si="5"/>
        <v>18</v>
      </c>
      <c r="AV27" s="71">
        <f t="shared" si="5"/>
        <v>17</v>
      </c>
      <c r="AW27" s="71">
        <f t="shared" si="5"/>
        <v>21</v>
      </c>
      <c r="AX27" s="71">
        <f t="shared" si="5"/>
        <v>10</v>
      </c>
      <c r="AY27" s="71">
        <f t="shared" si="5"/>
        <v>13</v>
      </c>
      <c r="AZ27" s="71">
        <f t="shared" si="5"/>
        <v>8</v>
      </c>
      <c r="BA27" s="71">
        <f t="shared" si="5"/>
        <v>13</v>
      </c>
      <c r="BB27" s="71">
        <f t="shared" si="5"/>
        <v>10</v>
      </c>
      <c r="BC27" s="71">
        <f t="shared" si="5"/>
        <v>21</v>
      </c>
      <c r="BD27" s="71">
        <f t="shared" si="5"/>
        <v>31</v>
      </c>
      <c r="BE27" s="71">
        <f t="shared" si="5"/>
        <v>24</v>
      </c>
      <c r="BF27" s="71">
        <f t="shared" si="5"/>
        <v>72</v>
      </c>
      <c r="BG27" s="71">
        <f t="shared" si="5"/>
        <v>13</v>
      </c>
      <c r="BH27" s="71">
        <f t="shared" si="5"/>
        <v>15</v>
      </c>
      <c r="BI27" s="71">
        <f t="shared" si="5"/>
        <v>19</v>
      </c>
      <c r="BJ27" s="71">
        <f t="shared" si="5"/>
        <v>2</v>
      </c>
      <c r="BK27" s="71">
        <f t="shared" si="5"/>
        <v>16</v>
      </c>
      <c r="BL27" s="71">
        <f t="shared" si="5"/>
        <v>23</v>
      </c>
      <c r="BM27" s="71">
        <f t="shared" si="5"/>
        <v>23</v>
      </c>
      <c r="BN27" s="71">
        <f t="shared" si="5"/>
        <v>13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>
        <f t="shared" ca="1" si="6"/>
        <v>1</v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0.53749999999999998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5</v>
      </c>
      <c r="M29" s="71">
        <f t="shared" si="7"/>
        <v>4</v>
      </c>
      <c r="N29" s="71">
        <f t="shared" si="7"/>
        <v>6</v>
      </c>
      <c r="O29" s="71">
        <f t="shared" si="7"/>
        <v>2</v>
      </c>
      <c r="P29" s="71">
        <f t="shared" si="7"/>
        <v>3</v>
      </c>
      <c r="Q29" s="71">
        <f t="shared" si="7"/>
        <v>3</v>
      </c>
      <c r="R29" s="71">
        <f t="shared" si="7"/>
        <v>5</v>
      </c>
      <c r="S29" s="71">
        <f t="shared" si="7"/>
        <v>3</v>
      </c>
      <c r="T29" s="71">
        <f t="shared" si="7"/>
        <v>5</v>
      </c>
      <c r="U29" s="71">
        <f t="shared" si="7"/>
        <v>5</v>
      </c>
      <c r="V29" s="71">
        <f t="shared" si="7"/>
        <v>3</v>
      </c>
      <c r="W29" s="71">
        <f t="shared" si="7"/>
        <v>5</v>
      </c>
      <c r="X29" s="71">
        <f t="shared" si="7"/>
        <v>5</v>
      </c>
      <c r="Y29" s="71">
        <f t="shared" si="7"/>
        <v>4</v>
      </c>
      <c r="Z29" s="71">
        <f t="shared" si="7"/>
        <v>5</v>
      </c>
      <c r="AA29" s="71">
        <f t="shared" si="7"/>
        <v>6</v>
      </c>
      <c r="AB29" s="71">
        <f t="shared" si="7"/>
        <v>5</v>
      </c>
      <c r="AC29" s="71">
        <f t="shared" si="7"/>
        <v>5</v>
      </c>
      <c r="AD29" s="71">
        <f t="shared" si="7"/>
        <v>5</v>
      </c>
      <c r="AE29" s="71">
        <f t="shared" si="7"/>
        <v>2</v>
      </c>
      <c r="AF29" s="71">
        <f t="shared" si="7"/>
        <v>8</v>
      </c>
      <c r="AG29" s="71">
        <f t="shared" si="7"/>
        <v>5</v>
      </c>
      <c r="AH29" s="71">
        <f t="shared" si="7"/>
        <v>4</v>
      </c>
      <c r="AI29" s="71">
        <f t="shared" si="7"/>
        <v>4</v>
      </c>
      <c r="AJ29" s="71">
        <f t="shared" si="7"/>
        <v>6</v>
      </c>
      <c r="AK29" s="71">
        <f t="shared" si="7"/>
        <v>4</v>
      </c>
      <c r="AL29" s="71">
        <f t="shared" si="7"/>
        <v>4</v>
      </c>
      <c r="AM29" s="71">
        <f t="shared" si="7"/>
        <v>6</v>
      </c>
      <c r="AN29" s="71">
        <f t="shared" si="7"/>
        <v>4</v>
      </c>
      <c r="AO29" s="71">
        <f t="shared" si="7"/>
        <v>4</v>
      </c>
      <c r="AP29" s="71">
        <f t="shared" si="7"/>
        <v>4</v>
      </c>
      <c r="AQ29" s="71">
        <f t="shared" si="7"/>
        <v>5</v>
      </c>
      <c r="AR29" s="71">
        <f t="shared" si="7"/>
        <v>3</v>
      </c>
      <c r="AS29" s="71">
        <f t="shared" si="7"/>
        <v>7</v>
      </c>
      <c r="AT29" s="71">
        <f t="shared" si="7"/>
        <v>4</v>
      </c>
      <c r="AU29" s="71">
        <f t="shared" si="7"/>
        <v>6</v>
      </c>
      <c r="AV29" s="71">
        <f t="shared" si="7"/>
        <v>3</v>
      </c>
      <c r="AW29" s="71">
        <f t="shared" si="7"/>
        <v>5</v>
      </c>
      <c r="AX29" s="71">
        <f t="shared" si="7"/>
        <v>9</v>
      </c>
      <c r="AY29" s="71">
        <f t="shared" si="7"/>
        <v>5</v>
      </c>
      <c r="AZ29" s="71">
        <f t="shared" si="7"/>
        <v>3</v>
      </c>
      <c r="BA29" s="71">
        <f t="shared" si="7"/>
        <v>4</v>
      </c>
      <c r="BB29" s="71">
        <f t="shared" si="7"/>
        <v>5</v>
      </c>
      <c r="BC29" s="71">
        <f t="shared" si="7"/>
        <v>4</v>
      </c>
      <c r="BD29" s="71">
        <f t="shared" si="7"/>
        <v>7</v>
      </c>
      <c r="BE29" s="71">
        <f t="shared" si="7"/>
        <v>4</v>
      </c>
      <c r="BF29" s="71">
        <f t="shared" si="7"/>
        <v>5</v>
      </c>
      <c r="BG29" s="71">
        <f t="shared" si="7"/>
        <v>5</v>
      </c>
      <c r="BH29" s="71">
        <f t="shared" si="7"/>
        <v>6</v>
      </c>
      <c r="BI29" s="71">
        <f t="shared" si="7"/>
        <v>4</v>
      </c>
      <c r="BJ29" s="71">
        <f t="shared" si="7"/>
        <v>6</v>
      </c>
      <c r="BK29" s="71">
        <f t="shared" si="7"/>
        <v>5</v>
      </c>
      <c r="BL29" s="71">
        <f t="shared" si="7"/>
        <v>3</v>
      </c>
      <c r="BM29" s="71">
        <f t="shared" si="7"/>
        <v>4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21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5</v>
      </c>
      <c r="N30" s="73">
        <f t="shared" si="8"/>
        <v>3</v>
      </c>
      <c r="O30" s="73">
        <f t="shared" si="8"/>
        <v>3</v>
      </c>
      <c r="P30" s="73">
        <f t="shared" si="8"/>
        <v>6</v>
      </c>
      <c r="Q30" s="73">
        <f t="shared" si="8"/>
        <v>4</v>
      </c>
      <c r="R30" s="73">
        <f t="shared" si="8"/>
        <v>6</v>
      </c>
      <c r="S30" s="73">
        <f t="shared" si="8"/>
        <v>2</v>
      </c>
      <c r="T30" s="73">
        <f t="shared" si="8"/>
        <v>6</v>
      </c>
      <c r="U30" s="73">
        <f t="shared" si="8"/>
        <v>8</v>
      </c>
      <c r="V30" s="73">
        <f t="shared" si="8"/>
        <v>4</v>
      </c>
      <c r="W30" s="73">
        <f t="shared" si="8"/>
        <v>2</v>
      </c>
      <c r="X30" s="73">
        <f t="shared" si="8"/>
        <v>4</v>
      </c>
      <c r="Y30" s="73">
        <f t="shared" si="8"/>
        <v>3</v>
      </c>
      <c r="Z30" s="73">
        <f t="shared" si="8"/>
        <v>10</v>
      </c>
      <c r="AA30" s="73">
        <f t="shared" si="8"/>
        <v>1</v>
      </c>
      <c r="AB30" s="73">
        <f t="shared" si="8"/>
        <v>2</v>
      </c>
      <c r="AC30" s="73">
        <f t="shared" si="8"/>
        <v>4</v>
      </c>
      <c r="AD30" s="73">
        <f t="shared" si="8"/>
        <v>6</v>
      </c>
      <c r="AE30" s="73">
        <f t="shared" si="8"/>
        <v>3</v>
      </c>
      <c r="AF30" s="73">
        <f t="shared" si="8"/>
        <v>5</v>
      </c>
      <c r="AG30" s="73">
        <f t="shared" si="8"/>
        <v>2</v>
      </c>
      <c r="AH30" s="73">
        <f t="shared" si="8"/>
        <v>1</v>
      </c>
      <c r="AI30" s="73">
        <f t="shared" si="8"/>
        <v>3</v>
      </c>
      <c r="AJ30" s="73">
        <f t="shared" si="8"/>
        <v>5</v>
      </c>
      <c r="AK30" s="73">
        <f t="shared" si="8"/>
        <v>5</v>
      </c>
      <c r="AL30" s="73">
        <f t="shared" si="8"/>
        <v>5</v>
      </c>
      <c r="AM30" s="73">
        <f t="shared" si="8"/>
        <v>1</v>
      </c>
      <c r="AN30" s="73">
        <f t="shared" si="8"/>
        <v>5</v>
      </c>
      <c r="AO30" s="73">
        <f t="shared" si="8"/>
        <v>3</v>
      </c>
      <c r="AP30" s="73">
        <f t="shared" si="8"/>
        <v>5</v>
      </c>
      <c r="AQ30" s="73">
        <f t="shared" si="8"/>
        <v>8</v>
      </c>
      <c r="AR30" s="73">
        <f t="shared" si="8"/>
        <v>4</v>
      </c>
      <c r="AS30" s="73">
        <f t="shared" si="8"/>
        <v>4</v>
      </c>
      <c r="AT30" s="73">
        <f t="shared" si="8"/>
        <v>5</v>
      </c>
      <c r="AU30" s="73">
        <f t="shared" si="8"/>
        <v>3</v>
      </c>
      <c r="AV30" s="73">
        <f t="shared" si="8"/>
        <v>4</v>
      </c>
      <c r="AW30" s="73">
        <f t="shared" si="8"/>
        <v>2</v>
      </c>
      <c r="AX30" s="73">
        <f t="shared" si="8"/>
        <v>4</v>
      </c>
      <c r="AY30" s="73">
        <f t="shared" si="8"/>
        <v>2</v>
      </c>
      <c r="AZ30" s="73">
        <f t="shared" si="8"/>
        <v>6</v>
      </c>
      <c r="BA30" s="73">
        <f t="shared" si="8"/>
        <v>3</v>
      </c>
      <c r="BB30" s="73">
        <f t="shared" si="8"/>
        <v>4</v>
      </c>
      <c r="BC30" s="73">
        <f t="shared" si="8"/>
        <v>5</v>
      </c>
      <c r="BD30" s="73">
        <f t="shared" si="8"/>
        <v>4</v>
      </c>
      <c r="BE30" s="73">
        <f t="shared" si="8"/>
        <v>3</v>
      </c>
      <c r="BF30" s="73">
        <f t="shared" si="8"/>
        <v>6</v>
      </c>
      <c r="BG30" s="73">
        <f t="shared" si="8"/>
        <v>6</v>
      </c>
      <c r="BH30" s="73">
        <f t="shared" si="8"/>
        <v>5</v>
      </c>
      <c r="BI30" s="73">
        <f t="shared" si="8"/>
        <v>5</v>
      </c>
      <c r="BJ30" s="73">
        <f t="shared" si="8"/>
        <v>3</v>
      </c>
      <c r="BK30" s="73">
        <f t="shared" si="8"/>
        <v>4</v>
      </c>
      <c r="BL30" s="73">
        <f t="shared" si="8"/>
        <v>6</v>
      </c>
      <c r="BM30" s="73">
        <f t="shared" si="8"/>
        <v>3</v>
      </c>
      <c r="BN30" s="73">
        <f t="shared" si="8"/>
        <v>6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6</v>
      </c>
      <c r="O31" s="71">
        <f t="shared" ca="1" si="9"/>
        <v>4</v>
      </c>
      <c r="P31" s="71">
        <f t="shared" ca="1" si="9"/>
        <v>5</v>
      </c>
      <c r="Q31" s="71">
        <f t="shared" ca="1" si="9"/>
        <v>5</v>
      </c>
      <c r="R31" s="71">
        <f t="shared" ca="1" si="9"/>
        <v>7</v>
      </c>
      <c r="S31" s="71">
        <f t="shared" ca="1" si="9"/>
        <v>3</v>
      </c>
      <c r="T31" s="71">
        <f t="shared" ca="1" si="9"/>
        <v>7</v>
      </c>
      <c r="U31" s="71">
        <f t="shared" ca="1" si="9"/>
        <v>5</v>
      </c>
      <c r="V31" s="71">
        <f t="shared" ca="1" si="9"/>
        <v>5</v>
      </c>
      <c r="W31" s="71">
        <f t="shared" ca="1" si="9"/>
        <v>1</v>
      </c>
      <c r="X31" s="71">
        <f t="shared" ca="1" si="9"/>
        <v>3</v>
      </c>
      <c r="Y31" s="71">
        <f t="shared" ca="1" si="9"/>
        <v>2</v>
      </c>
      <c r="Z31" s="71">
        <f t="shared" ca="1" si="9"/>
        <v>7</v>
      </c>
      <c r="AA31" s="71">
        <f t="shared" ca="1" si="9"/>
        <v>4</v>
      </c>
      <c r="AB31" s="71">
        <f t="shared" ca="1" si="9"/>
        <v>3</v>
      </c>
      <c r="AC31" s="71">
        <f t="shared" ca="1" si="9"/>
        <v>5</v>
      </c>
      <c r="AD31" s="71">
        <f t="shared" ca="1" si="9"/>
        <v>7</v>
      </c>
      <c r="AE31" s="71">
        <f t="shared" ca="1" si="9"/>
        <v>4</v>
      </c>
      <c r="AF31" s="71">
        <f t="shared" ca="1" si="9"/>
        <v>4</v>
      </c>
      <c r="AG31" s="71">
        <f t="shared" ca="1" si="9"/>
        <v>1</v>
      </c>
      <c r="AH31" s="71">
        <f t="shared" ca="1" si="9"/>
        <v>2</v>
      </c>
      <c r="AI31" s="71">
        <f t="shared" ca="1" si="9"/>
        <v>6</v>
      </c>
      <c r="AJ31" s="71">
        <f t="shared" ca="1" si="9"/>
        <v>2</v>
      </c>
      <c r="AK31" s="71">
        <f t="shared" ca="1" si="9"/>
        <v>2</v>
      </c>
      <c r="AL31" s="71">
        <f t="shared" ca="1" si="9"/>
        <v>4</v>
      </c>
      <c r="AM31" s="71">
        <f t="shared" ca="1" si="9"/>
        <v>4</v>
      </c>
      <c r="AN31" s="71">
        <f t="shared" ca="1" si="9"/>
        <v>2</v>
      </c>
      <c r="AO31" s="71">
        <f t="shared" ca="1" si="9"/>
        <v>4</v>
      </c>
      <c r="AP31" s="71">
        <f t="shared" ca="1" si="9"/>
        <v>4</v>
      </c>
      <c r="AQ31" s="71">
        <f t="shared" ca="1" si="9"/>
        <v>7</v>
      </c>
      <c r="AR31" s="71">
        <f t="shared" ca="1" si="9"/>
        <v>5</v>
      </c>
      <c r="AS31" s="71">
        <f t="shared" ca="1" si="9"/>
        <v>5</v>
      </c>
      <c r="AT31" s="71">
        <f t="shared" ca="1" si="9"/>
        <v>2</v>
      </c>
      <c r="AU31" s="71">
        <f t="shared" ca="1" si="9"/>
        <v>4</v>
      </c>
      <c r="AV31" s="71">
        <f t="shared" ca="1" si="9"/>
        <v>1</v>
      </c>
      <c r="AW31" s="71">
        <f t="shared" ca="1" si="9"/>
        <v>3</v>
      </c>
      <c r="AX31" s="71">
        <f t="shared" ca="1" si="9"/>
        <v>5</v>
      </c>
      <c r="AY31" s="71">
        <f t="shared" ca="1" si="9"/>
        <v>3</v>
      </c>
      <c r="AZ31" s="71">
        <f t="shared" ca="1" si="9"/>
        <v>3</v>
      </c>
      <c r="BA31" s="71">
        <f t="shared" ca="1" si="9"/>
        <v>2</v>
      </c>
      <c r="BB31" s="71">
        <f t="shared" ca="1" si="9"/>
        <v>5</v>
      </c>
      <c r="BC31" s="71">
        <f t="shared" ca="1" si="9"/>
        <v>4</v>
      </c>
      <c r="BD31" s="71">
        <f t="shared" ca="1" si="9"/>
        <v>5</v>
      </c>
      <c r="BE31" s="71">
        <f t="shared" ca="1" si="9"/>
        <v>2</v>
      </c>
      <c r="BF31" s="71">
        <f t="shared" ca="1" si="9"/>
        <v>7</v>
      </c>
      <c r="BG31" s="71">
        <f t="shared" ca="1" si="9"/>
        <v>7</v>
      </c>
      <c r="BH31" s="71">
        <f t="shared" ca="1" si="9"/>
        <v>6</v>
      </c>
      <c r="BI31" s="71">
        <f t="shared" ca="1" si="9"/>
        <v>6</v>
      </c>
      <c r="BJ31" s="71">
        <f t="shared" ca="1" si="9"/>
        <v>2</v>
      </c>
      <c r="BK31" s="71">
        <f t="shared" ca="1" si="9"/>
        <v>3</v>
      </c>
      <c r="BL31" s="71">
        <f t="shared" ca="1" si="9"/>
        <v>5</v>
      </c>
      <c r="BM31" s="71">
        <f t="shared" ca="1" si="9"/>
        <v>2</v>
      </c>
      <c r="BN31" s="71">
        <f t="shared" ca="1" si="9"/>
        <v>7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79843996</v>
      </c>
      <c r="L36" s="32">
        <f t="shared" ref="L36:BN36" si="12">COUNTA(L23:L24)*((10000000*L25)+(1000000*(COUNTA(L21)*$E21+COUNTA(L22)*$E22))-(COUNTA($D$21:$D$22)*1000*L26)-(COUNTA($D$21:$D$22)*L27))</f>
        <v>121911904</v>
      </c>
      <c r="M36" s="32">
        <f t="shared" si="12"/>
        <v>59863920</v>
      </c>
      <c r="N36" s="32">
        <f t="shared" si="12"/>
        <v>101891916</v>
      </c>
      <c r="O36" s="32">
        <f t="shared" si="12"/>
        <v>99875852</v>
      </c>
      <c r="P36" s="32">
        <f t="shared" si="12"/>
        <v>119875900</v>
      </c>
      <c r="Q36" s="32">
        <f t="shared" si="12"/>
        <v>119819852</v>
      </c>
      <c r="R36" s="32">
        <f t="shared" si="12"/>
        <v>79875932</v>
      </c>
      <c r="S36" s="32">
        <f t="shared" si="12"/>
        <v>121931876</v>
      </c>
      <c r="T36" s="32">
        <f t="shared" si="12"/>
        <v>79875940</v>
      </c>
      <c r="U36" s="32">
        <f t="shared" si="12"/>
        <v>119843924</v>
      </c>
      <c r="V36" s="32">
        <f t="shared" si="12"/>
        <v>79787844</v>
      </c>
      <c r="W36" s="32">
        <f t="shared" si="12"/>
        <v>121907988</v>
      </c>
      <c r="X36" s="32">
        <f t="shared" si="12"/>
        <v>81919888</v>
      </c>
      <c r="Y36" s="32">
        <f t="shared" si="12"/>
        <v>141887896</v>
      </c>
      <c r="Z36" s="32">
        <f t="shared" si="12"/>
        <v>79875932</v>
      </c>
      <c r="AA36" s="32">
        <f t="shared" si="12"/>
        <v>101903848</v>
      </c>
      <c r="AB36" s="32">
        <f t="shared" si="12"/>
        <v>81887912</v>
      </c>
      <c r="AC36" s="32">
        <f t="shared" si="12"/>
        <v>121931932</v>
      </c>
      <c r="AD36" s="32">
        <f t="shared" si="12"/>
        <v>39819852</v>
      </c>
      <c r="AE36" s="32">
        <f t="shared" si="12"/>
        <v>101911960</v>
      </c>
      <c r="AF36" s="32">
        <f t="shared" si="12"/>
        <v>101947860</v>
      </c>
      <c r="AG36" s="32">
        <f t="shared" si="12"/>
        <v>121903984</v>
      </c>
      <c r="AH36" s="32">
        <f t="shared" si="12"/>
        <v>141891948</v>
      </c>
      <c r="AI36" s="32">
        <f t="shared" si="12"/>
        <v>59851956</v>
      </c>
      <c r="AJ36" s="32">
        <f t="shared" si="12"/>
        <v>141895936</v>
      </c>
      <c r="AK36" s="32">
        <f t="shared" si="12"/>
        <v>99875988</v>
      </c>
      <c r="AL36" s="32">
        <f t="shared" si="12"/>
        <v>99859884</v>
      </c>
      <c r="AM36" s="32">
        <f t="shared" si="12"/>
        <v>101903880</v>
      </c>
      <c r="AN36" s="32">
        <f t="shared" si="12"/>
        <v>139883916</v>
      </c>
      <c r="AO36" s="32">
        <f t="shared" si="12"/>
        <v>141915916</v>
      </c>
      <c r="AP36" s="32">
        <f t="shared" si="12"/>
        <v>141899876</v>
      </c>
      <c r="AQ36" s="32">
        <f t="shared" si="12"/>
        <v>79831864</v>
      </c>
      <c r="AR36" s="32">
        <f t="shared" si="12"/>
        <v>119831920</v>
      </c>
      <c r="AS36" s="32">
        <f t="shared" si="12"/>
        <v>161887912</v>
      </c>
      <c r="AT36" s="32">
        <f t="shared" si="12"/>
        <v>139879992</v>
      </c>
      <c r="AU36" s="32">
        <f t="shared" si="12"/>
        <v>99879928</v>
      </c>
      <c r="AV36" s="32">
        <f t="shared" si="12"/>
        <v>121899932</v>
      </c>
      <c r="AW36" s="32">
        <f t="shared" si="12"/>
        <v>161891916</v>
      </c>
      <c r="AX36" s="32">
        <f t="shared" si="12"/>
        <v>121983960</v>
      </c>
      <c r="AY36" s="32">
        <f t="shared" si="12"/>
        <v>121891948</v>
      </c>
      <c r="AZ36" s="32">
        <f t="shared" si="12"/>
        <v>119863968</v>
      </c>
      <c r="BA36" s="32">
        <f t="shared" si="12"/>
        <v>141987948</v>
      </c>
      <c r="BB36" s="32">
        <f t="shared" si="12"/>
        <v>119879960</v>
      </c>
      <c r="BC36" s="32">
        <f t="shared" si="12"/>
        <v>99867916</v>
      </c>
      <c r="BD36" s="32">
        <f t="shared" si="12"/>
        <v>79843876</v>
      </c>
      <c r="BE36" s="32">
        <f t="shared" si="12"/>
        <v>141903904</v>
      </c>
      <c r="BF36" s="32">
        <f t="shared" si="12"/>
        <v>0</v>
      </c>
      <c r="BG36" s="32">
        <f t="shared" si="12"/>
        <v>39667948</v>
      </c>
      <c r="BH36" s="32">
        <f t="shared" si="12"/>
        <v>141915940</v>
      </c>
      <c r="BI36" s="32">
        <f t="shared" si="12"/>
        <v>139867924</v>
      </c>
      <c r="BJ36" s="32">
        <f t="shared" si="12"/>
        <v>141903992</v>
      </c>
      <c r="BK36" s="32">
        <f t="shared" si="12"/>
        <v>81903936</v>
      </c>
      <c r="BL36" s="32">
        <f t="shared" si="12"/>
        <v>81931908</v>
      </c>
      <c r="BM36" s="32">
        <f t="shared" si="12"/>
        <v>141931908</v>
      </c>
      <c r="BN36" s="32">
        <f t="shared" si="12"/>
        <v>79859948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 x14ac:dyDescent="0.25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Brent;Holley, Jeremy Remote;Hucks, Jason;Inabinet, Greg;James, Larry C;Johnson, Robert J;Kandela, Marwan;Locklear,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02" priority="42" stopIfTrue="1" operator="equal">
      <formula>0</formula>
    </cfRule>
  </conditionalFormatting>
  <conditionalFormatting sqref="B12:C12 B14:C14 B16:C16 B18:C18 B20:C20 B22:C22 B24:C24 E24 H24:I24 B10:C10 B4:C4 B6:C6 B8:C8 AO24:BE24">
    <cfRule type="cellIs" dxfId="301" priority="41" stopIfTrue="1" operator="equal">
      <formula>0</formula>
    </cfRule>
  </conditionalFormatting>
  <conditionalFormatting sqref="D26:J28 K28:BE28">
    <cfRule type="cellIs" dxfId="300" priority="40" stopIfTrue="1" operator="equal">
      <formula>1</formula>
    </cfRule>
  </conditionalFormatting>
  <conditionalFormatting sqref="H3:I3 F23 H5:I5 H7:I7 H9:I9 H11:I11 H13:I13 H15:I15 H17:I17 H19:I19 H21:I21">
    <cfRule type="cellIs" dxfId="299" priority="39" stopIfTrue="1" operator="equal">
      <formula>0</formula>
    </cfRule>
  </conditionalFormatting>
  <conditionalFormatting sqref="H4:I4 F24 H6:I6 H8:I8 H10:I10 H12:I12 H14:I14 H16:I16 H18:I18 H20:I20 H22:I22">
    <cfRule type="cellIs" dxfId="298" priority="38" stopIfTrue="1" operator="equal">
      <formula>0</formula>
    </cfRule>
  </conditionalFormatting>
  <conditionalFormatting sqref="F3 F5 F7 F9 F11 F13 F15 F17 F19 F21">
    <cfRule type="cellIs" dxfId="297" priority="37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96" priority="36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95" priority="34" stopIfTrue="1">
      <formula>AND(COUNTA(J4)=1,$E4=1,SUM($E3:$E4)=1)</formula>
    </cfRule>
    <cfRule type="expression" dxfId="294" priority="35" stopIfTrue="1">
      <formula>AND(COUNTA(J4)=1,$E4=0,SUM($E3:$E4)=1)</formula>
    </cfRule>
  </conditionalFormatting>
  <conditionalFormatting sqref="J5:BE5 J7:BE7 J9:BE9 J11:BE11 J13:BE13 J15:BE15 J17:BE17 J19:BE19 J21:BE21 J3:BE3">
    <cfRule type="expression" dxfId="293" priority="32" stopIfTrue="1">
      <formula>AND(COUNTA(J3)=1,$E3=1,SUM($E3:$E4)=1)</formula>
    </cfRule>
    <cfRule type="expression" dxfId="292" priority="33" stopIfTrue="1">
      <formula>AND(COUNTA(J3)=1,$E3=0,SUM($E3:$E4)=1)</formula>
    </cfRule>
  </conditionalFormatting>
  <conditionalFormatting sqref="BF23:BN23">
    <cfRule type="cellIs" dxfId="291" priority="31" stopIfTrue="1" operator="equal">
      <formula>0</formula>
    </cfRule>
  </conditionalFormatting>
  <conditionalFormatting sqref="BF24:BN24">
    <cfRule type="cellIs" dxfId="290" priority="30" stopIfTrue="1" operator="equal">
      <formula>0</formula>
    </cfRule>
  </conditionalFormatting>
  <conditionalFormatting sqref="BF28:BN28">
    <cfRule type="cellIs" dxfId="289" priority="29" stopIfTrue="1" operator="equal">
      <formula>1</formula>
    </cfRule>
  </conditionalFormatting>
  <conditionalFormatting sqref="BF12:BN12 BF14:BN14 BF16:BN16 BF18:BN18 BF20:BN20 BF22:BN22 BF4:BN4 BF6:BN6 BF8:BN8 BF10:BN10">
    <cfRule type="expression" dxfId="288" priority="27" stopIfTrue="1">
      <formula>AND(COUNTA(BF4)=1,$E4=1,SUM($E3:$E4)=1)</formula>
    </cfRule>
    <cfRule type="expression" dxfId="287" priority="28" stopIfTrue="1">
      <formula>AND(COUNTA(BF4)=1,$E4=0,SUM($E3:$E4)=1)</formula>
    </cfRule>
  </conditionalFormatting>
  <conditionalFormatting sqref="BF11:BN11 BF13:BN13 BF15:BN15 BF19:BN19 BF21:BN21 BF3:BN3 BF5:BN5 BF7:BN7 BF9:BN9 BF17:BN17">
    <cfRule type="expression" dxfId="286" priority="25" stopIfTrue="1">
      <formula>AND(COUNTA(BF3)=1,$E3=1,SUM($E3:$E4)=1)</formula>
    </cfRule>
    <cfRule type="expression" dxfId="285" priority="26" stopIfTrue="1">
      <formula>AND(COUNTA(BF3)=1,$E3=0,SUM($E3:$E4)=1)</formula>
    </cfRule>
  </conditionalFormatting>
  <conditionalFormatting sqref="BF6 BF8 BF10 BF12 BF14 BF16 BF18 BF20 BF22 BF4">
    <cfRule type="expression" dxfId="284" priority="23" stopIfTrue="1">
      <formula>AND(COUNTA(BF4)=1,$E4=1,SUM($E3:$E4)=1)</formula>
    </cfRule>
    <cfRule type="expression" dxfId="283" priority="24" stopIfTrue="1">
      <formula>AND(COUNTA(BF4)=1,$E4=0,SUM($E3:$E4)=1)</formula>
    </cfRule>
  </conditionalFormatting>
  <conditionalFormatting sqref="BF11 BF13 BF15 BF19 BF21 BF3 BF5 BF7 BF9 BF17">
    <cfRule type="expression" dxfId="282" priority="21" stopIfTrue="1">
      <formula>AND(COUNTA(BF3)=1,$E3=1,SUM($E3:$E4)=1)</formula>
    </cfRule>
    <cfRule type="expression" dxfId="281" priority="22" stopIfTrue="1">
      <formula>AND(COUNTA(BF3)=1,$E3=0,SUM($E3:$E4)=1)</formula>
    </cfRule>
  </conditionalFormatting>
  <conditionalFormatting sqref="BF12">
    <cfRule type="expression" dxfId="280" priority="19" stopIfTrue="1">
      <formula>AND(COUNTA(BF12)=1,$E12=1,SUM($E12:$E13)=1)</formula>
    </cfRule>
    <cfRule type="expression" dxfId="279" priority="20" stopIfTrue="1">
      <formula>AND(COUNTA(BF12)=1,$E12=0,SUM($E12:$E13)=1)</formula>
    </cfRule>
  </conditionalFormatting>
  <conditionalFormatting sqref="BF12">
    <cfRule type="expression" dxfId="278" priority="17" stopIfTrue="1">
      <formula>AND(COUNTA(BF12)=1,$E12=1,SUM($E12:$E13)=1)</formula>
    </cfRule>
    <cfRule type="expression" dxfId="277" priority="18" stopIfTrue="1">
      <formula>AND(COUNTA(BF12)=1,$E12=0,SUM($E12:$E13)=1)</formula>
    </cfRule>
  </conditionalFormatting>
  <conditionalFormatting sqref="BF14">
    <cfRule type="expression" dxfId="276" priority="15" stopIfTrue="1">
      <formula>AND(COUNTA(BF14)=1,$E14=1,SUM($E14:$E15)=1)</formula>
    </cfRule>
    <cfRule type="expression" dxfId="275" priority="16" stopIfTrue="1">
      <formula>AND(COUNTA(BF14)=1,$E14=0,SUM($E14:$E15)=1)</formula>
    </cfRule>
  </conditionalFormatting>
  <conditionalFormatting sqref="BF14">
    <cfRule type="expression" dxfId="274" priority="13" stopIfTrue="1">
      <formula>AND(COUNTA(BF14)=1,$E14=1,SUM($E14:$E15)=1)</formula>
    </cfRule>
    <cfRule type="expression" dxfId="273" priority="14" stopIfTrue="1">
      <formula>AND(COUNTA(BF14)=1,$E14=0,SUM($E14:$E15)=1)</formula>
    </cfRule>
  </conditionalFormatting>
  <conditionalFormatting sqref="BF16">
    <cfRule type="expression" dxfId="272" priority="11" stopIfTrue="1">
      <formula>AND(COUNTA(BF16)=1,$E16=1,SUM($E16:$E17)=1)</formula>
    </cfRule>
    <cfRule type="expression" dxfId="271" priority="12" stopIfTrue="1">
      <formula>AND(COUNTA(BF16)=1,$E16=0,SUM($E16:$E17)=1)</formula>
    </cfRule>
  </conditionalFormatting>
  <conditionalFormatting sqref="BF16">
    <cfRule type="expression" dxfId="270" priority="9" stopIfTrue="1">
      <formula>AND(COUNTA(BF16)=1,$E16=1,SUM($E16:$E17)=1)</formula>
    </cfRule>
    <cfRule type="expression" dxfId="269" priority="10" stopIfTrue="1">
      <formula>AND(COUNTA(BF16)=1,$E16=0,SUM($E16:$E17)=1)</formula>
    </cfRule>
  </conditionalFormatting>
  <conditionalFormatting sqref="BF20">
    <cfRule type="expression" dxfId="268" priority="7" stopIfTrue="1">
      <formula>AND(COUNTA(BF20)=1,$E20=1,SUM($E20:$E21)=1)</formula>
    </cfRule>
    <cfRule type="expression" dxfId="267" priority="8" stopIfTrue="1">
      <formula>AND(COUNTA(BF20)=1,$E20=0,SUM($E20:$E21)=1)</formula>
    </cfRule>
  </conditionalFormatting>
  <conditionalFormatting sqref="BF20">
    <cfRule type="expression" dxfId="266" priority="5" stopIfTrue="1">
      <formula>AND(COUNTA(BF20)=1,$E20=1,SUM($E20:$E21)=1)</formula>
    </cfRule>
    <cfRule type="expression" dxfId="265" priority="6" stopIfTrue="1">
      <formula>AND(COUNTA(BF20)=1,$E20=0,SUM($E20:$E21)=1)</formula>
    </cfRule>
  </conditionalFormatting>
  <conditionalFormatting sqref="BF22">
    <cfRule type="expression" dxfId="264" priority="3" stopIfTrue="1">
      <formula>AND(COUNTA(BF22)=1,$E22=1,SUM($E22:$E23)=1)</formula>
    </cfRule>
    <cfRule type="expression" dxfId="263" priority="4" stopIfTrue="1">
      <formula>AND(COUNTA(BF22)=1,$E22=0,SUM($E22:$E23)=1)</formula>
    </cfRule>
  </conditionalFormatting>
  <conditionalFormatting sqref="BF22">
    <cfRule type="expression" dxfId="262" priority="1" stopIfTrue="1">
      <formula>AND(COUNTA(BF22)=1,$E22=1,SUM($E22:$E23)=1)</formula>
    </cfRule>
    <cfRule type="expression" dxfId="261" priority="2" stopIfTrue="1">
      <formula>AND(COUNTA(BF22)=1,$E22=0,SUM($E22:$E23)=1)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881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22860</xdr:colOff>
                    <xdr:row>1</xdr:row>
                    <xdr:rowOff>106680</xdr:rowOff>
                  </from>
                  <to>
                    <xdr:col>1</xdr:col>
                    <xdr:colOff>624840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1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22860</xdr:colOff>
                    <xdr:row>1</xdr:row>
                    <xdr:rowOff>381000</xdr:rowOff>
                  </from>
                  <to>
                    <xdr:col>1</xdr:col>
                    <xdr:colOff>624840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20" r:id="rId6" name="Button 4">
              <controlPr defaultSize="0" print="0" autoFill="0" autoPict="0" macro="[0]!grabSayings">
                <anchor moveWithCells="1" sizeWithCells="1">
                  <from>
                    <xdr:col>1</xdr:col>
                    <xdr:colOff>22860</xdr:colOff>
                    <xdr:row>1</xdr:row>
                    <xdr:rowOff>678180</xdr:rowOff>
                  </from>
                  <to>
                    <xdr:col>1</xdr:col>
                    <xdr:colOff>739140</xdr:colOff>
                    <xdr:row>1</xdr:row>
                    <xdr:rowOff>883920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N58"/>
  <sheetViews>
    <sheetView zoomScale="90" zoomScaleNormal="100" zoomScaleSheetLayoutView="100" workbookViewId="0">
      <selection activeCell="D6" sqref="D6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6" x14ac:dyDescent="0.25">
      <c r="B1" s="6"/>
      <c r="I1">
        <f>COUNTA(K1:BL1)</f>
        <v>0</v>
      </c>
      <c r="J1">
        <f>SUM(K1:BL1)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 x14ac:dyDescent="0.25">
      <c r="A3" s="59">
        <v>1</v>
      </c>
      <c r="B3" s="67" t="s">
        <v>264</v>
      </c>
      <c r="C3" s="65">
        <v>2.5</v>
      </c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40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312</v>
      </c>
      <c r="L3" s="69" t="s">
        <v>313</v>
      </c>
      <c r="M3" s="69" t="s">
        <v>312</v>
      </c>
      <c r="N3" s="69" t="s">
        <v>355</v>
      </c>
      <c r="O3" s="69" t="s">
        <v>371</v>
      </c>
      <c r="P3" s="69" t="s">
        <v>317</v>
      </c>
      <c r="Q3" s="69" t="s">
        <v>318</v>
      </c>
      <c r="R3" s="69" t="s">
        <v>322</v>
      </c>
      <c r="S3" s="69" t="s">
        <v>316</v>
      </c>
      <c r="T3" s="69" t="s">
        <v>331</v>
      </c>
      <c r="U3" s="69"/>
      <c r="V3" s="69" t="s">
        <v>313</v>
      </c>
      <c r="W3" s="69" t="s">
        <v>317</v>
      </c>
      <c r="X3" s="69"/>
      <c r="Y3" s="69"/>
      <c r="Z3" s="69"/>
      <c r="AA3" s="69"/>
      <c r="AB3" s="69" t="s">
        <v>317</v>
      </c>
      <c r="AC3" s="69" t="s">
        <v>316</v>
      </c>
      <c r="AD3" s="69" t="s">
        <v>317</v>
      </c>
      <c r="AE3" s="69"/>
      <c r="AF3" s="69" t="s">
        <v>355</v>
      </c>
      <c r="AG3" s="69" t="s">
        <v>354</v>
      </c>
      <c r="AH3" s="69" t="s">
        <v>319</v>
      </c>
      <c r="AI3" s="69" t="s">
        <v>319</v>
      </c>
      <c r="AJ3" s="69" t="s">
        <v>316</v>
      </c>
      <c r="AK3" s="69" t="s">
        <v>317</v>
      </c>
      <c r="AL3" s="69"/>
      <c r="AM3" s="69" t="s">
        <v>343</v>
      </c>
      <c r="AN3" s="69" t="s">
        <v>317</v>
      </c>
      <c r="AO3" s="69"/>
      <c r="AP3" s="69" t="s">
        <v>327</v>
      </c>
      <c r="AQ3" s="69"/>
      <c r="AR3" s="99" t="s">
        <v>317</v>
      </c>
      <c r="AS3" s="69"/>
      <c r="AT3" s="69" t="s">
        <v>334</v>
      </c>
      <c r="AU3" s="69" t="s">
        <v>312</v>
      </c>
      <c r="AV3" s="69" t="s">
        <v>317</v>
      </c>
      <c r="AW3" s="69" t="s">
        <v>431</v>
      </c>
      <c r="AX3" s="69"/>
      <c r="AY3" s="69" t="s">
        <v>366</v>
      </c>
      <c r="AZ3" s="69" t="s">
        <v>314</v>
      </c>
      <c r="BA3" s="69" t="s">
        <v>317</v>
      </c>
      <c r="BB3" s="69" t="s">
        <v>351</v>
      </c>
      <c r="BC3" s="69"/>
      <c r="BD3" s="69" t="s">
        <v>312</v>
      </c>
      <c r="BE3" s="69" t="s">
        <v>367</v>
      </c>
      <c r="BF3" s="69" t="s">
        <v>387</v>
      </c>
      <c r="BG3" s="69"/>
      <c r="BH3" s="69"/>
      <c r="BI3" s="69"/>
      <c r="BJ3" s="69" t="s">
        <v>321</v>
      </c>
      <c r="BK3" s="69" t="s">
        <v>317</v>
      </c>
      <c r="BL3" s="69"/>
      <c r="BM3" s="69" t="s">
        <v>388</v>
      </c>
      <c r="BN3" s="69" t="s">
        <v>312</v>
      </c>
    </row>
    <row r="4" spans="1:66" x14ac:dyDescent="0.25">
      <c r="A4" s="61" t="s">
        <v>3</v>
      </c>
      <c r="B4" s="68" t="s">
        <v>173</v>
      </c>
      <c r="C4" s="66"/>
      <c r="D4" s="64">
        <v>9</v>
      </c>
      <c r="E4" s="64">
        <f>IF(ISBLANK($D4),"0",IF(($D4-$D3)&gt;($C4-$C3),1,0))</f>
        <v>0</v>
      </c>
      <c r="F4" s="64">
        <f t="shared" ref="F4:F22" ca="1" si="1">COUNTA(INDIRECT("RC11:RC"&amp;11+playercnt-1,FALSE))</f>
        <v>16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311</v>
      </c>
      <c r="K4" s="70"/>
      <c r="L4" s="70"/>
      <c r="M4" s="70"/>
      <c r="N4" s="70"/>
      <c r="O4" s="70"/>
      <c r="P4" s="70"/>
      <c r="Q4" s="70"/>
      <c r="R4" s="70"/>
      <c r="S4" s="70"/>
      <c r="T4" s="70"/>
      <c r="U4" s="70" t="s">
        <v>313</v>
      </c>
      <c r="V4" s="70"/>
      <c r="W4" s="70"/>
      <c r="X4" s="70" t="s">
        <v>312</v>
      </c>
      <c r="Y4" s="70" t="s">
        <v>436</v>
      </c>
      <c r="Z4" s="70" t="s">
        <v>360</v>
      </c>
      <c r="AA4" s="70" t="s">
        <v>354</v>
      </c>
      <c r="AB4" s="70"/>
      <c r="AC4" s="70"/>
      <c r="AD4" s="70"/>
      <c r="AE4" s="70" t="s">
        <v>436</v>
      </c>
      <c r="AF4" s="70"/>
      <c r="AG4" s="70"/>
      <c r="AH4" s="70"/>
      <c r="AI4" s="70"/>
      <c r="AJ4" s="70"/>
      <c r="AK4" s="70"/>
      <c r="AL4" s="70" t="s">
        <v>347</v>
      </c>
      <c r="AM4" s="70"/>
      <c r="AN4" s="70"/>
      <c r="AO4" s="70" t="s">
        <v>317</v>
      </c>
      <c r="AP4" s="70"/>
      <c r="AQ4" s="70" t="s">
        <v>436</v>
      </c>
      <c r="AR4" s="70"/>
      <c r="AS4" s="70" t="s">
        <v>312</v>
      </c>
      <c r="AT4" s="70"/>
      <c r="AU4" s="70"/>
      <c r="AV4" s="70"/>
      <c r="AW4" s="70"/>
      <c r="AX4" s="70" t="s">
        <v>433</v>
      </c>
      <c r="AY4" s="70"/>
      <c r="AZ4" s="70"/>
      <c r="BA4" s="70"/>
      <c r="BB4" s="70"/>
      <c r="BC4" s="70" t="s">
        <v>436</v>
      </c>
      <c r="BD4" s="70"/>
      <c r="BE4" s="70"/>
      <c r="BF4" s="70"/>
      <c r="BG4" s="70" t="s">
        <v>329</v>
      </c>
      <c r="BH4" s="70" t="s">
        <v>313</v>
      </c>
      <c r="BI4" s="70" t="s">
        <v>434</v>
      </c>
      <c r="BJ4" s="70"/>
      <c r="BK4" s="70"/>
      <c r="BL4" s="70" t="s">
        <v>317</v>
      </c>
      <c r="BM4" s="70"/>
      <c r="BN4" s="70"/>
    </row>
    <row r="5" spans="1:66" x14ac:dyDescent="0.25">
      <c r="A5" s="59">
        <v>2</v>
      </c>
      <c r="B5" s="67" t="s">
        <v>169</v>
      </c>
      <c r="C5" s="65">
        <v>2.5</v>
      </c>
      <c r="D5" s="64">
        <v>14</v>
      </c>
      <c r="E5" s="64">
        <f>IF(ISBLANK($D5),"0",IF(($D6-$D5)&lt;($C6-$C5),1,0))</f>
        <v>0</v>
      </c>
      <c r="F5" s="64">
        <f t="shared" ca="1" si="1"/>
        <v>44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311</v>
      </c>
      <c r="K5" s="69" t="s">
        <v>312</v>
      </c>
      <c r="L5" s="69" t="s">
        <v>313</v>
      </c>
      <c r="M5" s="69" t="s">
        <v>312</v>
      </c>
      <c r="N5" s="69" t="s">
        <v>355</v>
      </c>
      <c r="O5" s="69"/>
      <c r="P5" s="69" t="s">
        <v>317</v>
      </c>
      <c r="Q5" s="69" t="s">
        <v>318</v>
      </c>
      <c r="R5" s="69" t="s">
        <v>350</v>
      </c>
      <c r="S5" s="69"/>
      <c r="T5" s="69" t="s">
        <v>327</v>
      </c>
      <c r="U5" s="69"/>
      <c r="V5" s="69"/>
      <c r="W5" s="69" t="s">
        <v>317</v>
      </c>
      <c r="X5" s="69" t="s">
        <v>312</v>
      </c>
      <c r="Y5" s="69"/>
      <c r="Z5" s="69"/>
      <c r="AA5" s="69" t="s">
        <v>354</v>
      </c>
      <c r="AB5" s="69" t="s">
        <v>317</v>
      </c>
      <c r="AC5" s="69" t="s">
        <v>320</v>
      </c>
      <c r="AD5" s="69" t="s">
        <v>317</v>
      </c>
      <c r="AE5" s="69"/>
      <c r="AF5" s="69" t="s">
        <v>355</v>
      </c>
      <c r="AG5" s="69" t="s">
        <v>380</v>
      </c>
      <c r="AH5" s="69" t="s">
        <v>324</v>
      </c>
      <c r="AI5" s="69" t="s">
        <v>324</v>
      </c>
      <c r="AJ5" s="69" t="s">
        <v>353</v>
      </c>
      <c r="AK5" s="69" t="s">
        <v>317</v>
      </c>
      <c r="AL5" s="69" t="s">
        <v>347</v>
      </c>
      <c r="AM5" s="69" t="s">
        <v>311</v>
      </c>
      <c r="AN5" s="69" t="s">
        <v>317</v>
      </c>
      <c r="AO5" s="69" t="s">
        <v>317</v>
      </c>
      <c r="AP5" s="69" t="s">
        <v>343</v>
      </c>
      <c r="AQ5" s="69" t="s">
        <v>354</v>
      </c>
      <c r="AR5" s="99"/>
      <c r="AS5" s="69" t="s">
        <v>312</v>
      </c>
      <c r="AT5" s="69"/>
      <c r="AU5" s="69" t="s">
        <v>312</v>
      </c>
      <c r="AV5" s="69" t="s">
        <v>317</v>
      </c>
      <c r="AW5" s="69" t="s">
        <v>331</v>
      </c>
      <c r="AX5" s="69" t="s">
        <v>433</v>
      </c>
      <c r="AY5" s="69" t="s">
        <v>366</v>
      </c>
      <c r="AZ5" s="69" t="s">
        <v>335</v>
      </c>
      <c r="BA5" s="69"/>
      <c r="BB5" s="69" t="s">
        <v>323</v>
      </c>
      <c r="BC5" s="69" t="s">
        <v>357</v>
      </c>
      <c r="BD5" s="69" t="s">
        <v>312</v>
      </c>
      <c r="BE5" s="69" t="s">
        <v>367</v>
      </c>
      <c r="BF5" s="69" t="s">
        <v>387</v>
      </c>
      <c r="BG5" s="69"/>
      <c r="BH5" s="69"/>
      <c r="BI5" s="69" t="s">
        <v>311</v>
      </c>
      <c r="BJ5" s="69" t="s">
        <v>321</v>
      </c>
      <c r="BK5" s="69" t="s">
        <v>317</v>
      </c>
      <c r="BL5" s="69" t="s">
        <v>317</v>
      </c>
      <c r="BM5" s="69" t="s">
        <v>388</v>
      </c>
      <c r="BN5" s="69" t="s">
        <v>312</v>
      </c>
    </row>
    <row r="6" spans="1:66" x14ac:dyDescent="0.25">
      <c r="A6" s="61" t="s">
        <v>3</v>
      </c>
      <c r="B6" s="68" t="s">
        <v>157</v>
      </c>
      <c r="C6" s="66"/>
      <c r="D6" s="64">
        <v>12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 t="s">
        <v>314</v>
      </c>
      <c r="P6" s="70"/>
      <c r="Q6" s="70"/>
      <c r="R6" s="70"/>
      <c r="S6" s="70" t="s">
        <v>320</v>
      </c>
      <c r="T6" s="70"/>
      <c r="U6" s="70" t="s">
        <v>313</v>
      </c>
      <c r="V6" s="70" t="s">
        <v>313</v>
      </c>
      <c r="W6" s="70"/>
      <c r="X6" s="70"/>
      <c r="Y6" s="70" t="s">
        <v>312</v>
      </c>
      <c r="Z6" s="70" t="s">
        <v>347</v>
      </c>
      <c r="AA6" s="70"/>
      <c r="AB6" s="70"/>
      <c r="AC6" s="70"/>
      <c r="AD6" s="70"/>
      <c r="AE6" s="70" t="s">
        <v>355</v>
      </c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 t="s">
        <v>317</v>
      </c>
      <c r="AS6" s="70"/>
      <c r="AT6" s="70" t="s">
        <v>334</v>
      </c>
      <c r="AU6" s="70"/>
      <c r="AV6" s="70"/>
      <c r="AW6" s="70"/>
      <c r="AX6" s="70"/>
      <c r="AY6" s="70"/>
      <c r="AZ6" s="70"/>
      <c r="BA6" s="70" t="s">
        <v>317</v>
      </c>
      <c r="BB6" s="70"/>
      <c r="BC6" s="70"/>
      <c r="BD6" s="70"/>
      <c r="BE6" s="70"/>
      <c r="BF6" s="70"/>
      <c r="BG6" s="70" t="s">
        <v>347</v>
      </c>
      <c r="BH6" s="70" t="s">
        <v>313</v>
      </c>
      <c r="BI6" s="70"/>
      <c r="BJ6" s="70"/>
      <c r="BK6" s="70"/>
      <c r="BL6" s="70"/>
      <c r="BM6" s="70"/>
      <c r="BN6" s="70"/>
    </row>
    <row r="7" spans="1:66" x14ac:dyDescent="0.25">
      <c r="A7" s="59">
        <v>3</v>
      </c>
      <c r="B7" s="67" t="s">
        <v>166</v>
      </c>
      <c r="C7" s="65">
        <v>7.5</v>
      </c>
      <c r="D7" s="64">
        <v>38</v>
      </c>
      <c r="E7" s="64">
        <f>IF(ISBLANK($D7),"0",IF(($D8-$D7)&lt;($C8-$C7),1,0))</f>
        <v>1</v>
      </c>
      <c r="F7" s="64">
        <f t="shared" ca="1" si="1"/>
        <v>35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/>
      <c r="L7" s="69" t="s">
        <v>313</v>
      </c>
      <c r="M7" s="69" t="s">
        <v>312</v>
      </c>
      <c r="N7" s="69" t="s">
        <v>355</v>
      </c>
      <c r="O7" s="69" t="s">
        <v>322</v>
      </c>
      <c r="P7" s="69"/>
      <c r="Q7" s="69" t="s">
        <v>318</v>
      </c>
      <c r="R7" s="69" t="s">
        <v>341</v>
      </c>
      <c r="S7" s="69" t="s">
        <v>323</v>
      </c>
      <c r="T7" s="69"/>
      <c r="U7" s="69"/>
      <c r="V7" s="69" t="s">
        <v>313</v>
      </c>
      <c r="W7" s="69" t="s">
        <v>317</v>
      </c>
      <c r="X7" s="69" t="s">
        <v>312</v>
      </c>
      <c r="Y7" s="69" t="s">
        <v>312</v>
      </c>
      <c r="Z7" s="69"/>
      <c r="AA7" s="69"/>
      <c r="AB7" s="69" t="s">
        <v>317</v>
      </c>
      <c r="AC7" s="69" t="s">
        <v>323</v>
      </c>
      <c r="AD7" s="69" t="s">
        <v>317</v>
      </c>
      <c r="AE7" s="69"/>
      <c r="AF7" s="69" t="s">
        <v>355</v>
      </c>
      <c r="AG7" s="69" t="s">
        <v>361</v>
      </c>
      <c r="AH7" s="69" t="s">
        <v>361</v>
      </c>
      <c r="AI7" s="69" t="s">
        <v>327</v>
      </c>
      <c r="AJ7" s="69" t="s">
        <v>328</v>
      </c>
      <c r="AK7" s="69"/>
      <c r="AL7" s="69" t="s">
        <v>347</v>
      </c>
      <c r="AM7" s="69"/>
      <c r="AN7" s="69" t="s">
        <v>317</v>
      </c>
      <c r="AO7" s="69" t="s">
        <v>317</v>
      </c>
      <c r="AP7" s="69" t="s">
        <v>338</v>
      </c>
      <c r="AQ7" s="69"/>
      <c r="AR7" s="99"/>
      <c r="AS7" s="69"/>
      <c r="AT7" s="69"/>
      <c r="AU7" s="69" t="s">
        <v>312</v>
      </c>
      <c r="AV7" s="69"/>
      <c r="AW7" s="69" t="s">
        <v>335</v>
      </c>
      <c r="AX7" s="69"/>
      <c r="AY7" s="69" t="s">
        <v>366</v>
      </c>
      <c r="AZ7" s="69"/>
      <c r="BA7" s="69" t="s">
        <v>317</v>
      </c>
      <c r="BB7" s="69" t="s">
        <v>350</v>
      </c>
      <c r="BC7" s="69" t="s">
        <v>357</v>
      </c>
      <c r="BD7" s="69"/>
      <c r="BE7" s="69"/>
      <c r="BF7" s="69"/>
      <c r="BG7" s="69"/>
      <c r="BH7" s="69"/>
      <c r="BI7" s="69" t="s">
        <v>311</v>
      </c>
      <c r="BJ7" s="69" t="s">
        <v>321</v>
      </c>
      <c r="BK7" s="69" t="s">
        <v>317</v>
      </c>
      <c r="BL7" s="69" t="s">
        <v>317</v>
      </c>
      <c r="BM7" s="69" t="s">
        <v>388</v>
      </c>
      <c r="BN7" s="69" t="s">
        <v>312</v>
      </c>
    </row>
    <row r="8" spans="1:66" x14ac:dyDescent="0.25">
      <c r="A8" s="61" t="s">
        <v>3</v>
      </c>
      <c r="B8" s="68" t="s">
        <v>209</v>
      </c>
      <c r="C8" s="66"/>
      <c r="D8" s="64">
        <v>26</v>
      </c>
      <c r="E8" s="64">
        <f>IF(ISBLANK($D8),"0",IF(($D8-$D7)&gt;($C8-$C7),1,0))</f>
        <v>0</v>
      </c>
      <c r="F8" s="64">
        <f t="shared" ca="1" si="1"/>
        <v>21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311</v>
      </c>
      <c r="K8" s="70" t="s">
        <v>312</v>
      </c>
      <c r="L8" s="70"/>
      <c r="M8" s="70"/>
      <c r="N8" s="70"/>
      <c r="O8" s="70"/>
      <c r="P8" s="70" t="s">
        <v>317</v>
      </c>
      <c r="Q8" s="70"/>
      <c r="R8" s="70"/>
      <c r="S8" s="70"/>
      <c r="T8" s="70" t="s">
        <v>347</v>
      </c>
      <c r="U8" s="70" t="s">
        <v>313</v>
      </c>
      <c r="V8" s="70"/>
      <c r="W8" s="70"/>
      <c r="X8" s="70"/>
      <c r="Y8" s="70"/>
      <c r="Z8" s="70" t="s">
        <v>387</v>
      </c>
      <c r="AA8" s="70" t="s">
        <v>354</v>
      </c>
      <c r="AB8" s="70"/>
      <c r="AC8" s="70"/>
      <c r="AD8" s="70"/>
      <c r="AE8" s="70" t="s">
        <v>355</v>
      </c>
      <c r="AF8" s="70"/>
      <c r="AG8" s="70"/>
      <c r="AH8" s="70"/>
      <c r="AI8" s="70"/>
      <c r="AJ8" s="70"/>
      <c r="AK8" s="70" t="s">
        <v>317</v>
      </c>
      <c r="AL8" s="70"/>
      <c r="AM8" s="70" t="s">
        <v>334</v>
      </c>
      <c r="AN8" s="70"/>
      <c r="AO8" s="70"/>
      <c r="AP8" s="70"/>
      <c r="AQ8" s="70" t="s">
        <v>354</v>
      </c>
      <c r="AR8" s="70" t="s">
        <v>317</v>
      </c>
      <c r="AS8" s="70" t="s">
        <v>312</v>
      </c>
      <c r="AT8" s="70" t="s">
        <v>334</v>
      </c>
      <c r="AU8" s="70"/>
      <c r="AV8" s="70" t="s">
        <v>317</v>
      </c>
      <c r="AW8" s="70"/>
      <c r="AX8" s="70" t="s">
        <v>332</v>
      </c>
      <c r="AY8" s="70"/>
      <c r="AZ8" s="70" t="s">
        <v>375</v>
      </c>
      <c r="BA8" s="70"/>
      <c r="BB8" s="70"/>
      <c r="BC8" s="70"/>
      <c r="BD8" s="70" t="s">
        <v>312</v>
      </c>
      <c r="BE8" s="70" t="s">
        <v>367</v>
      </c>
      <c r="BF8" s="70" t="s">
        <v>387</v>
      </c>
      <c r="BG8" s="70" t="s">
        <v>319</v>
      </c>
      <c r="BH8" s="70" t="s">
        <v>313</v>
      </c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67" t="s">
        <v>177</v>
      </c>
      <c r="C9" s="65"/>
      <c r="D9" s="81">
        <v>30</v>
      </c>
      <c r="E9" s="64">
        <f>IF(ISBLANK($D9),"0",IF(($D10-$D9)&lt;($C10-$C9),1,0))</f>
        <v>1</v>
      </c>
      <c r="F9" s="64">
        <f t="shared" ca="1" si="1"/>
        <v>15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/>
      <c r="L9" s="69" t="s">
        <v>313</v>
      </c>
      <c r="M9" s="69"/>
      <c r="N9" s="69"/>
      <c r="O9" s="69"/>
      <c r="P9" s="69"/>
      <c r="Q9" s="69"/>
      <c r="R9" s="69"/>
      <c r="S9" s="69"/>
      <c r="T9" s="69" t="s">
        <v>334</v>
      </c>
      <c r="U9" s="69" t="s">
        <v>313</v>
      </c>
      <c r="V9" s="69"/>
      <c r="W9" s="69" t="s">
        <v>317</v>
      </c>
      <c r="X9" s="69" t="s">
        <v>312</v>
      </c>
      <c r="Y9" s="69"/>
      <c r="Z9" s="69" t="s">
        <v>322</v>
      </c>
      <c r="AA9" s="69"/>
      <c r="AB9" s="69" t="s">
        <v>317</v>
      </c>
      <c r="AC9" s="69"/>
      <c r="AD9" s="69"/>
      <c r="AE9" s="69"/>
      <c r="AF9" s="69" t="s">
        <v>355</v>
      </c>
      <c r="AG9" s="69"/>
      <c r="AH9" s="69"/>
      <c r="AI9" s="69"/>
      <c r="AJ9" s="69"/>
      <c r="AK9" s="69"/>
      <c r="AL9" s="69"/>
      <c r="AM9" s="69" t="s">
        <v>323</v>
      </c>
      <c r="AN9" s="69"/>
      <c r="AO9" s="69"/>
      <c r="AP9" s="69"/>
      <c r="AQ9" s="69" t="s">
        <v>354</v>
      </c>
      <c r="AR9" s="99"/>
      <c r="AS9" s="69" t="s">
        <v>312</v>
      </c>
      <c r="AT9" s="69" t="s">
        <v>334</v>
      </c>
      <c r="AU9" s="69"/>
      <c r="AV9" s="69"/>
      <c r="AW9" s="69"/>
      <c r="AX9" s="69"/>
      <c r="AY9" s="69"/>
      <c r="AZ9" s="69" t="s">
        <v>377</v>
      </c>
      <c r="BA9" s="69"/>
      <c r="BB9" s="69" t="s">
        <v>375</v>
      </c>
      <c r="BC9" s="69"/>
      <c r="BD9" s="69"/>
      <c r="BE9" s="69"/>
      <c r="BF9" s="69" t="s">
        <v>387</v>
      </c>
      <c r="BG9" s="69"/>
      <c r="BH9" s="69"/>
      <c r="BI9" s="69"/>
      <c r="BJ9" s="69"/>
      <c r="BK9" s="69"/>
      <c r="BL9" s="69"/>
      <c r="BM9" s="69"/>
      <c r="BN9" s="69"/>
    </row>
    <row r="10" spans="1:66" x14ac:dyDescent="0.25">
      <c r="A10" s="61" t="s">
        <v>3</v>
      </c>
      <c r="B10" s="68" t="s">
        <v>184</v>
      </c>
      <c r="C10" s="66">
        <v>2.5</v>
      </c>
      <c r="D10" s="64">
        <v>24</v>
      </c>
      <c r="E10" s="64">
        <f>IF(ISBLANK($D10),"0",IF(($D10-$D9)&gt;($C10-$C9),1,0))</f>
        <v>0</v>
      </c>
      <c r="F10" s="64">
        <f t="shared" ca="1" si="1"/>
        <v>41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311</v>
      </c>
      <c r="K10" s="70" t="s">
        <v>312</v>
      </c>
      <c r="L10" s="70"/>
      <c r="M10" s="70" t="s">
        <v>312</v>
      </c>
      <c r="N10" s="70" t="s">
        <v>355</v>
      </c>
      <c r="O10" s="70" t="s">
        <v>364</v>
      </c>
      <c r="P10" s="70" t="s">
        <v>317</v>
      </c>
      <c r="Q10" s="70" t="s">
        <v>318</v>
      </c>
      <c r="R10" s="70" t="s">
        <v>340</v>
      </c>
      <c r="S10" s="70" t="s">
        <v>350</v>
      </c>
      <c r="T10" s="70"/>
      <c r="U10" s="70"/>
      <c r="V10" s="70" t="s">
        <v>313</v>
      </c>
      <c r="W10" s="70"/>
      <c r="X10" s="70"/>
      <c r="Y10" s="70" t="s">
        <v>312</v>
      </c>
      <c r="Z10" s="70"/>
      <c r="AA10" s="70" t="s">
        <v>354</v>
      </c>
      <c r="AB10" s="70"/>
      <c r="AC10" s="70" t="s">
        <v>368</v>
      </c>
      <c r="AD10" s="70" t="s">
        <v>317</v>
      </c>
      <c r="AE10" s="70" t="s">
        <v>355</v>
      </c>
      <c r="AF10" s="70"/>
      <c r="AG10" s="70" t="s">
        <v>320</v>
      </c>
      <c r="AH10" s="70" t="s">
        <v>320</v>
      </c>
      <c r="AI10" s="70" t="s">
        <v>335</v>
      </c>
      <c r="AJ10" s="70" t="s">
        <v>332</v>
      </c>
      <c r="AK10" s="70" t="s">
        <v>317</v>
      </c>
      <c r="AL10" s="70" t="s">
        <v>347</v>
      </c>
      <c r="AM10" s="70"/>
      <c r="AN10" s="70" t="s">
        <v>317</v>
      </c>
      <c r="AO10" s="70" t="s">
        <v>317</v>
      </c>
      <c r="AP10" s="70" t="s">
        <v>338</v>
      </c>
      <c r="AQ10" s="70"/>
      <c r="AR10" s="70" t="s">
        <v>317</v>
      </c>
      <c r="AS10" s="70"/>
      <c r="AT10" s="70"/>
      <c r="AU10" s="70" t="s">
        <v>312</v>
      </c>
      <c r="AV10" s="70" t="s">
        <v>317</v>
      </c>
      <c r="AW10" s="70" t="s">
        <v>325</v>
      </c>
      <c r="AX10" s="70" t="s">
        <v>323</v>
      </c>
      <c r="AY10" s="70" t="s">
        <v>366</v>
      </c>
      <c r="AZ10" s="70"/>
      <c r="BA10" s="70" t="s">
        <v>317</v>
      </c>
      <c r="BB10" s="70"/>
      <c r="BC10" s="70" t="s">
        <v>357</v>
      </c>
      <c r="BD10" s="70" t="s">
        <v>312</v>
      </c>
      <c r="BE10" s="70" t="s">
        <v>367</v>
      </c>
      <c r="BF10" s="70"/>
      <c r="BG10" s="70" t="s">
        <v>315</v>
      </c>
      <c r="BH10" s="70" t="s">
        <v>313</v>
      </c>
      <c r="BI10" s="70" t="s">
        <v>435</v>
      </c>
      <c r="BJ10" s="70" t="s">
        <v>321</v>
      </c>
      <c r="BK10" s="70" t="s">
        <v>317</v>
      </c>
      <c r="BL10" s="70" t="s">
        <v>317</v>
      </c>
      <c r="BM10" s="70" t="s">
        <v>388</v>
      </c>
      <c r="BN10" s="70" t="s">
        <v>312</v>
      </c>
    </row>
    <row r="11" spans="1:66" x14ac:dyDescent="0.25">
      <c r="A11" s="59">
        <v>5</v>
      </c>
      <c r="B11" s="67" t="s">
        <v>224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25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/>
      <c r="L11" s="69"/>
      <c r="M11" s="69" t="s">
        <v>312</v>
      </c>
      <c r="N11" s="69" t="s">
        <v>355</v>
      </c>
      <c r="O11" s="69"/>
      <c r="P11" s="69" t="s">
        <v>317</v>
      </c>
      <c r="Q11" s="69"/>
      <c r="R11" s="69"/>
      <c r="S11" s="69" t="s">
        <v>334</v>
      </c>
      <c r="T11" s="69" t="s">
        <v>322</v>
      </c>
      <c r="U11" s="69" t="s">
        <v>313</v>
      </c>
      <c r="V11" s="69"/>
      <c r="W11" s="69" t="s">
        <v>317</v>
      </c>
      <c r="X11" s="69"/>
      <c r="Y11" s="69"/>
      <c r="Z11" s="69" t="s">
        <v>361</v>
      </c>
      <c r="AA11" s="69" t="s">
        <v>354</v>
      </c>
      <c r="AB11" s="69"/>
      <c r="AC11" s="69" t="s">
        <v>311</v>
      </c>
      <c r="AD11" s="69"/>
      <c r="AE11" s="69"/>
      <c r="AF11" s="69"/>
      <c r="AG11" s="69"/>
      <c r="AH11" s="69"/>
      <c r="AI11" s="69"/>
      <c r="AJ11" s="69"/>
      <c r="AK11" s="69"/>
      <c r="AL11" s="69"/>
      <c r="AM11" s="69" t="s">
        <v>416</v>
      </c>
      <c r="AN11" s="69" t="s">
        <v>317</v>
      </c>
      <c r="AO11" s="69"/>
      <c r="AP11" s="69"/>
      <c r="AQ11" s="69"/>
      <c r="AR11" s="69" t="s">
        <v>317</v>
      </c>
      <c r="AS11" s="69" t="s">
        <v>312</v>
      </c>
      <c r="AT11" s="69" t="s">
        <v>334</v>
      </c>
      <c r="AU11" s="69" t="s">
        <v>312</v>
      </c>
      <c r="AV11" s="69"/>
      <c r="AW11" s="69" t="s">
        <v>322</v>
      </c>
      <c r="AX11" s="69"/>
      <c r="AY11" s="69" t="s">
        <v>366</v>
      </c>
      <c r="AZ11" s="69" t="s">
        <v>348</v>
      </c>
      <c r="BA11" s="69"/>
      <c r="BB11" s="69"/>
      <c r="BC11" s="69" t="s">
        <v>357</v>
      </c>
      <c r="BD11" s="69"/>
      <c r="BE11" s="69" t="s">
        <v>367</v>
      </c>
      <c r="BF11" s="69" t="s">
        <v>387</v>
      </c>
      <c r="BG11" s="69" t="s">
        <v>333</v>
      </c>
      <c r="BH11" s="69"/>
      <c r="BI11" s="69"/>
      <c r="BJ11" s="69"/>
      <c r="BK11" s="69" t="s">
        <v>317</v>
      </c>
      <c r="BL11" s="69" t="s">
        <v>317</v>
      </c>
      <c r="BM11" s="69"/>
      <c r="BN11" s="69"/>
    </row>
    <row r="12" spans="1:66" x14ac:dyDescent="0.25">
      <c r="A12" s="61" t="s">
        <v>3</v>
      </c>
      <c r="B12" s="68" t="s">
        <v>218</v>
      </c>
      <c r="C12" s="66">
        <v>3.5</v>
      </c>
      <c r="D12" s="64">
        <v>7</v>
      </c>
      <c r="E12" s="64">
        <f>IF(ISBLANK($D12),"0",IF(($D12-$D11)&gt;($C12-$C11),1,0))</f>
        <v>0</v>
      </c>
      <c r="F12" s="64">
        <f t="shared" ca="1" si="1"/>
        <v>31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311</v>
      </c>
      <c r="K12" s="70" t="s">
        <v>312</v>
      </c>
      <c r="L12" s="70" t="s">
        <v>313</v>
      </c>
      <c r="M12" s="70"/>
      <c r="N12" s="70"/>
      <c r="O12" s="70" t="s">
        <v>326</v>
      </c>
      <c r="P12" s="70"/>
      <c r="Q12" s="70" t="s">
        <v>318</v>
      </c>
      <c r="R12" s="70" t="s">
        <v>348</v>
      </c>
      <c r="S12" s="70"/>
      <c r="T12" s="70"/>
      <c r="U12" s="70"/>
      <c r="V12" s="70" t="s">
        <v>313</v>
      </c>
      <c r="W12" s="70"/>
      <c r="X12" s="70" t="s">
        <v>312</v>
      </c>
      <c r="Y12" s="70" t="s">
        <v>312</v>
      </c>
      <c r="Z12" s="70"/>
      <c r="AA12" s="70"/>
      <c r="AB12" s="70" t="s">
        <v>317</v>
      </c>
      <c r="AC12" s="70"/>
      <c r="AD12" s="70" t="s">
        <v>317</v>
      </c>
      <c r="AE12" s="70" t="s">
        <v>355</v>
      </c>
      <c r="AF12" s="70" t="s">
        <v>355</v>
      </c>
      <c r="AG12" s="70" t="s">
        <v>397</v>
      </c>
      <c r="AH12" s="70" t="s">
        <v>350</v>
      </c>
      <c r="AI12" s="70" t="s">
        <v>342</v>
      </c>
      <c r="AJ12" s="70" t="s">
        <v>347</v>
      </c>
      <c r="AK12" s="70" t="s">
        <v>317</v>
      </c>
      <c r="AL12" s="70" t="s">
        <v>347</v>
      </c>
      <c r="AM12" s="70"/>
      <c r="AN12" s="70"/>
      <c r="AO12" s="70" t="s">
        <v>317</v>
      </c>
      <c r="AP12" s="70" t="s">
        <v>347</v>
      </c>
      <c r="AQ12" s="70" t="s">
        <v>354</v>
      </c>
      <c r="AR12" s="100"/>
      <c r="AS12" s="70"/>
      <c r="AT12" s="70"/>
      <c r="AU12" s="70"/>
      <c r="AV12" s="70" t="s">
        <v>317</v>
      </c>
      <c r="AW12" s="70"/>
      <c r="AX12" s="70" t="s">
        <v>341</v>
      </c>
      <c r="AY12" s="70"/>
      <c r="AZ12" s="70"/>
      <c r="BA12" s="70" t="s">
        <v>317</v>
      </c>
      <c r="BB12" s="70" t="s">
        <v>377</v>
      </c>
      <c r="BC12" s="70"/>
      <c r="BD12" s="70" t="s">
        <v>312</v>
      </c>
      <c r="BE12" s="70"/>
      <c r="BF12" s="70"/>
      <c r="BG12" s="70"/>
      <c r="BH12" s="70" t="s">
        <v>313</v>
      </c>
      <c r="BI12" s="70" t="s">
        <v>321</v>
      </c>
      <c r="BJ12" s="70" t="s">
        <v>321</v>
      </c>
      <c r="BK12" s="70"/>
      <c r="BL12" s="70"/>
      <c r="BM12" s="70" t="s">
        <v>388</v>
      </c>
      <c r="BN12" s="70" t="s">
        <v>312</v>
      </c>
    </row>
    <row r="13" spans="1:66" x14ac:dyDescent="0.25">
      <c r="A13" s="59">
        <v>6</v>
      </c>
      <c r="B13" s="67" t="s">
        <v>268</v>
      </c>
      <c r="C13" s="65">
        <v>2.5</v>
      </c>
      <c r="D13" s="64">
        <v>6</v>
      </c>
      <c r="E13" s="64">
        <f>IF(ISBLANK($D13),"0",IF(($D14-$D13)&lt;($C14-$C13),1,0))</f>
        <v>0</v>
      </c>
      <c r="F13" s="64">
        <f t="shared" ca="1" si="1"/>
        <v>26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 t="s">
        <v>312</v>
      </c>
      <c r="L13" s="69"/>
      <c r="M13" s="69" t="s">
        <v>312</v>
      </c>
      <c r="N13" s="69"/>
      <c r="O13" s="69" t="s">
        <v>371</v>
      </c>
      <c r="P13" s="69"/>
      <c r="Q13" s="69"/>
      <c r="R13" s="69"/>
      <c r="S13" s="69"/>
      <c r="T13" s="69" t="s">
        <v>338</v>
      </c>
      <c r="U13" s="69"/>
      <c r="V13" s="69"/>
      <c r="W13" s="69" t="s">
        <v>317</v>
      </c>
      <c r="X13" s="69" t="s">
        <v>312</v>
      </c>
      <c r="Y13" s="69"/>
      <c r="Z13" s="69"/>
      <c r="AA13" s="69" t="s">
        <v>354</v>
      </c>
      <c r="AB13" s="69"/>
      <c r="AC13" s="69"/>
      <c r="AD13" s="69"/>
      <c r="AE13" s="69"/>
      <c r="AF13" s="69" t="s">
        <v>355</v>
      </c>
      <c r="AG13" s="69" t="s">
        <v>364</v>
      </c>
      <c r="AH13" s="69"/>
      <c r="AI13" s="69" t="s">
        <v>338</v>
      </c>
      <c r="AJ13" s="69" t="s">
        <v>329</v>
      </c>
      <c r="AK13" s="69" t="s">
        <v>317</v>
      </c>
      <c r="AL13" s="69"/>
      <c r="AM13" s="69"/>
      <c r="AN13" s="69" t="s">
        <v>317</v>
      </c>
      <c r="AO13" s="69"/>
      <c r="AP13" s="69"/>
      <c r="AQ13" s="69" t="s">
        <v>354</v>
      </c>
      <c r="AR13" s="99"/>
      <c r="AS13" s="69"/>
      <c r="AT13" s="69"/>
      <c r="AU13" s="69" t="s">
        <v>312</v>
      </c>
      <c r="AV13" s="69" t="s">
        <v>317</v>
      </c>
      <c r="AW13" s="69" t="s">
        <v>335</v>
      </c>
      <c r="AX13" s="69" t="s">
        <v>375</v>
      </c>
      <c r="AY13" s="69"/>
      <c r="AZ13" s="69" t="s">
        <v>323</v>
      </c>
      <c r="BA13" s="69" t="s">
        <v>317</v>
      </c>
      <c r="BB13" s="69" t="s">
        <v>314</v>
      </c>
      <c r="BC13" s="69" t="s">
        <v>357</v>
      </c>
      <c r="BD13" s="69"/>
      <c r="BE13" s="69"/>
      <c r="BF13" s="69"/>
      <c r="BG13" s="69" t="s">
        <v>314</v>
      </c>
      <c r="BH13" s="69" t="s">
        <v>313</v>
      </c>
      <c r="BI13" s="69"/>
      <c r="BJ13" s="69"/>
      <c r="BK13" s="69"/>
      <c r="BL13" s="69" t="s">
        <v>317</v>
      </c>
      <c r="BM13" s="69"/>
      <c r="BN13" s="69" t="s">
        <v>312</v>
      </c>
    </row>
    <row r="14" spans="1:66" x14ac:dyDescent="0.25">
      <c r="A14" s="61" t="s">
        <v>3</v>
      </c>
      <c r="B14" s="68" t="s">
        <v>171</v>
      </c>
      <c r="C14" s="66"/>
      <c r="D14" s="64">
        <v>17</v>
      </c>
      <c r="E14" s="64">
        <f>IF(ISBLANK($D14),"0",IF(($D14-$D13)&gt;($C14-$C13),1,0))</f>
        <v>1</v>
      </c>
      <c r="F14" s="64">
        <f t="shared" ca="1" si="1"/>
        <v>30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311</v>
      </c>
      <c r="K14" s="70"/>
      <c r="L14" s="70" t="s">
        <v>313</v>
      </c>
      <c r="M14" s="70"/>
      <c r="N14" s="70" t="s">
        <v>355</v>
      </c>
      <c r="O14" s="70"/>
      <c r="P14" s="70" t="s">
        <v>317</v>
      </c>
      <c r="Q14" s="70" t="s">
        <v>427</v>
      </c>
      <c r="R14" s="70" t="s">
        <v>348</v>
      </c>
      <c r="S14" s="70" t="s">
        <v>320</v>
      </c>
      <c r="T14" s="70"/>
      <c r="U14" s="70" t="s">
        <v>313</v>
      </c>
      <c r="V14" s="70" t="s">
        <v>313</v>
      </c>
      <c r="W14" s="70"/>
      <c r="X14" s="70"/>
      <c r="Y14" s="70" t="s">
        <v>312</v>
      </c>
      <c r="Z14" s="70" t="s">
        <v>333</v>
      </c>
      <c r="AA14" s="70"/>
      <c r="AB14" s="70" t="s">
        <v>317</v>
      </c>
      <c r="AC14" s="70" t="s">
        <v>329</v>
      </c>
      <c r="AD14" s="70" t="s">
        <v>317</v>
      </c>
      <c r="AE14" s="70" t="s">
        <v>355</v>
      </c>
      <c r="AF14" s="70"/>
      <c r="AG14" s="70"/>
      <c r="AH14" s="70" t="s">
        <v>315</v>
      </c>
      <c r="AI14" s="70"/>
      <c r="AJ14" s="70"/>
      <c r="AK14" s="70"/>
      <c r="AL14" s="70" t="s">
        <v>347</v>
      </c>
      <c r="AM14" s="70" t="s">
        <v>377</v>
      </c>
      <c r="AN14" s="70"/>
      <c r="AO14" s="70" t="s">
        <v>317</v>
      </c>
      <c r="AP14" s="70" t="s">
        <v>315</v>
      </c>
      <c r="AQ14" s="70"/>
      <c r="AR14" s="70" t="s">
        <v>317</v>
      </c>
      <c r="AS14" s="70" t="s">
        <v>312</v>
      </c>
      <c r="AT14" s="70" t="s">
        <v>334</v>
      </c>
      <c r="AU14" s="70"/>
      <c r="AV14" s="70"/>
      <c r="AW14" s="70"/>
      <c r="AX14" s="70"/>
      <c r="AY14" s="70" t="s">
        <v>366</v>
      </c>
      <c r="AZ14" s="70"/>
      <c r="BA14" s="70"/>
      <c r="BB14" s="70"/>
      <c r="BC14" s="70"/>
      <c r="BD14" s="70" t="s">
        <v>312</v>
      </c>
      <c r="BE14" s="70" t="s">
        <v>367</v>
      </c>
      <c r="BF14" s="70" t="s">
        <v>387</v>
      </c>
      <c r="BG14" s="70"/>
      <c r="BH14" s="70"/>
      <c r="BI14" s="70" t="s">
        <v>316</v>
      </c>
      <c r="BJ14" s="70" t="s">
        <v>321</v>
      </c>
      <c r="BK14" s="70" t="s">
        <v>317</v>
      </c>
      <c r="BL14" s="70"/>
      <c r="BM14" s="70" t="s">
        <v>388</v>
      </c>
      <c r="BN14" s="70"/>
    </row>
    <row r="15" spans="1:66" x14ac:dyDescent="0.25">
      <c r="A15" s="59">
        <v>7</v>
      </c>
      <c r="B15" s="67" t="s">
        <v>175</v>
      </c>
      <c r="C15" s="65">
        <v>8.5</v>
      </c>
      <c r="D15" s="64">
        <v>56</v>
      </c>
      <c r="E15" s="64">
        <f>IF(ISBLANK($D15),"0",IF(($D16-$D15)&lt;($C16-$C15),1,0))</f>
        <v>1</v>
      </c>
      <c r="F15" s="64">
        <f t="shared" ca="1" si="1"/>
        <v>44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311</v>
      </c>
      <c r="K15" s="69" t="s">
        <v>312</v>
      </c>
      <c r="L15" s="69" t="s">
        <v>313</v>
      </c>
      <c r="M15" s="69" t="s">
        <v>312</v>
      </c>
      <c r="N15" s="69" t="s">
        <v>355</v>
      </c>
      <c r="O15" s="69" t="s">
        <v>371</v>
      </c>
      <c r="P15" s="69" t="s">
        <v>317</v>
      </c>
      <c r="Q15" s="69"/>
      <c r="R15" s="69" t="s">
        <v>349</v>
      </c>
      <c r="S15" s="69" t="s">
        <v>341</v>
      </c>
      <c r="T15" s="69" t="s">
        <v>329</v>
      </c>
      <c r="U15" s="69"/>
      <c r="V15" s="69"/>
      <c r="W15" s="69" t="s">
        <v>317</v>
      </c>
      <c r="X15" s="69" t="s">
        <v>312</v>
      </c>
      <c r="Y15" s="69" t="s">
        <v>312</v>
      </c>
      <c r="Z15" s="69"/>
      <c r="AA15" s="69"/>
      <c r="AB15" s="69" t="s">
        <v>317</v>
      </c>
      <c r="AC15" s="69" t="s">
        <v>430</v>
      </c>
      <c r="AD15" s="69" t="s">
        <v>317</v>
      </c>
      <c r="AE15" s="69"/>
      <c r="AF15" s="69" t="s">
        <v>355</v>
      </c>
      <c r="AG15" s="69" t="s">
        <v>311</v>
      </c>
      <c r="AH15" s="69" t="s">
        <v>324</v>
      </c>
      <c r="AI15" s="69" t="s">
        <v>323</v>
      </c>
      <c r="AJ15" s="69" t="s">
        <v>351</v>
      </c>
      <c r="AK15" s="69" t="s">
        <v>317</v>
      </c>
      <c r="AL15" s="69" t="s">
        <v>347</v>
      </c>
      <c r="AM15" s="69" t="s">
        <v>333</v>
      </c>
      <c r="AN15" s="69" t="s">
        <v>317</v>
      </c>
      <c r="AO15" s="69"/>
      <c r="AP15" s="69" t="s">
        <v>322</v>
      </c>
      <c r="AQ15" s="69"/>
      <c r="AR15" s="69" t="s">
        <v>317</v>
      </c>
      <c r="AS15" s="69"/>
      <c r="AT15" s="69" t="s">
        <v>334</v>
      </c>
      <c r="AU15" s="69" t="s">
        <v>312</v>
      </c>
      <c r="AV15" s="69" t="s">
        <v>317</v>
      </c>
      <c r="AW15" s="69" t="s">
        <v>325</v>
      </c>
      <c r="AX15" s="69"/>
      <c r="AY15" s="69" t="s">
        <v>366</v>
      </c>
      <c r="AZ15" s="69" t="s">
        <v>325</v>
      </c>
      <c r="BA15" s="69" t="s">
        <v>317</v>
      </c>
      <c r="BB15" s="69" t="s">
        <v>320</v>
      </c>
      <c r="BC15" s="69" t="s">
        <v>357</v>
      </c>
      <c r="BD15" s="69"/>
      <c r="BE15" s="69" t="s">
        <v>367</v>
      </c>
      <c r="BF15" s="69" t="s">
        <v>387</v>
      </c>
      <c r="BG15" s="69"/>
      <c r="BH15" s="69" t="s">
        <v>313</v>
      </c>
      <c r="BI15" s="69" t="s">
        <v>320</v>
      </c>
      <c r="BJ15" s="69" t="s">
        <v>321</v>
      </c>
      <c r="BK15" s="69" t="s">
        <v>317</v>
      </c>
      <c r="BL15" s="69" t="s">
        <v>317</v>
      </c>
      <c r="BM15" s="69" t="s">
        <v>388</v>
      </c>
      <c r="BN15" s="69" t="s">
        <v>312</v>
      </c>
    </row>
    <row r="16" spans="1:66" x14ac:dyDescent="0.25">
      <c r="A16" s="61" t="s">
        <v>3</v>
      </c>
      <c r="B16" s="68" t="s">
        <v>201</v>
      </c>
      <c r="C16" s="66"/>
      <c r="D16" s="64">
        <v>45</v>
      </c>
      <c r="E16" s="64">
        <f>IF(ISBLANK($D16),"0",IF(($D16-$D15)&gt;($C16-$C15),1,0))</f>
        <v>0</v>
      </c>
      <c r="F16" s="64">
        <f t="shared" ca="1" si="1"/>
        <v>12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/>
      <c r="L16" s="70"/>
      <c r="M16" s="70"/>
      <c r="N16" s="70"/>
      <c r="O16" s="70"/>
      <c r="P16" s="70"/>
      <c r="Q16" s="70" t="s">
        <v>318</v>
      </c>
      <c r="R16" s="70"/>
      <c r="S16" s="70"/>
      <c r="T16" s="70"/>
      <c r="U16" s="70" t="s">
        <v>313</v>
      </c>
      <c r="V16" s="70" t="s">
        <v>313</v>
      </c>
      <c r="W16" s="70"/>
      <c r="X16" s="70"/>
      <c r="Y16" s="70"/>
      <c r="Z16" s="70" t="s">
        <v>322</v>
      </c>
      <c r="AA16" s="70" t="s">
        <v>354</v>
      </c>
      <c r="AB16" s="70"/>
      <c r="AC16" s="70"/>
      <c r="AD16" s="70"/>
      <c r="AE16" s="70" t="s">
        <v>355</v>
      </c>
      <c r="AF16" s="70"/>
      <c r="AG16" s="70"/>
      <c r="AH16" s="70"/>
      <c r="AI16" s="70"/>
      <c r="AJ16" s="70"/>
      <c r="AK16" s="70"/>
      <c r="AL16" s="70"/>
      <c r="AM16" s="70"/>
      <c r="AN16" s="70"/>
      <c r="AO16" s="70" t="s">
        <v>317</v>
      </c>
      <c r="AP16" s="70"/>
      <c r="AQ16" s="70" t="s">
        <v>354</v>
      </c>
      <c r="AR16" s="100"/>
      <c r="AS16" s="70" t="s">
        <v>312</v>
      </c>
      <c r="AT16" s="70"/>
      <c r="AU16" s="70"/>
      <c r="AV16" s="70"/>
      <c r="AW16" s="70"/>
      <c r="AX16" s="70" t="s">
        <v>335</v>
      </c>
      <c r="AY16" s="70"/>
      <c r="AZ16" s="70"/>
      <c r="BA16" s="70"/>
      <c r="BB16" s="70"/>
      <c r="BC16" s="70"/>
      <c r="BD16" s="70" t="s">
        <v>312</v>
      </c>
      <c r="BE16" s="70"/>
      <c r="BF16" s="70"/>
      <c r="BG16" s="70" t="s">
        <v>331</v>
      </c>
      <c r="BH16" s="70"/>
      <c r="BI16" s="70"/>
      <c r="BJ16" s="70"/>
      <c r="BK16" s="70"/>
      <c r="BL16" s="70"/>
      <c r="BM16" s="70"/>
      <c r="BN16" s="70"/>
    </row>
    <row r="17" spans="1:66" x14ac:dyDescent="0.25">
      <c r="A17" s="59">
        <v>8</v>
      </c>
      <c r="B17" s="67" t="s">
        <v>170</v>
      </c>
      <c r="C17" s="65"/>
      <c r="D17" s="64">
        <v>41</v>
      </c>
      <c r="E17" s="64">
        <f>IF(ISBLANK($D17),"0",IF(($D18-$D17)&lt;($C18-$C17),1,0))</f>
        <v>1</v>
      </c>
      <c r="F17" s="64">
        <f t="shared" ca="1" si="1"/>
        <v>27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 t="s">
        <v>311</v>
      </c>
      <c r="K17" s="69"/>
      <c r="L17" s="69" t="s">
        <v>313</v>
      </c>
      <c r="M17" s="69" t="s">
        <v>312</v>
      </c>
      <c r="N17" s="69"/>
      <c r="O17" s="69"/>
      <c r="P17" s="69" t="s">
        <v>317</v>
      </c>
      <c r="Q17" s="69"/>
      <c r="R17" s="69" t="s">
        <v>335</v>
      </c>
      <c r="S17" s="69" t="s">
        <v>342</v>
      </c>
      <c r="T17" s="69"/>
      <c r="U17" s="69"/>
      <c r="V17" s="69" t="s">
        <v>313</v>
      </c>
      <c r="W17" s="69" t="s">
        <v>317</v>
      </c>
      <c r="X17" s="69" t="s">
        <v>312</v>
      </c>
      <c r="Y17" s="69" t="s">
        <v>312</v>
      </c>
      <c r="Z17" s="69" t="s">
        <v>328</v>
      </c>
      <c r="AA17" s="69" t="s">
        <v>354</v>
      </c>
      <c r="AB17" s="69"/>
      <c r="AC17" s="69" t="s">
        <v>333</v>
      </c>
      <c r="AD17" s="69"/>
      <c r="AE17" s="69"/>
      <c r="AF17" s="69"/>
      <c r="AG17" s="69" t="s">
        <v>360</v>
      </c>
      <c r="AH17" s="69" t="s">
        <v>321</v>
      </c>
      <c r="AI17" s="69"/>
      <c r="AJ17" s="69"/>
      <c r="AK17" s="69" t="s">
        <v>317</v>
      </c>
      <c r="AL17" s="69" t="s">
        <v>347</v>
      </c>
      <c r="AM17" s="69"/>
      <c r="AN17" s="69"/>
      <c r="AO17" s="69"/>
      <c r="AP17" s="69"/>
      <c r="AQ17" s="69"/>
      <c r="AR17" s="99"/>
      <c r="AS17" s="69"/>
      <c r="AT17" s="69"/>
      <c r="AU17" s="69" t="s">
        <v>312</v>
      </c>
      <c r="AV17" s="69"/>
      <c r="AW17" s="69" t="s">
        <v>375</v>
      </c>
      <c r="AX17" s="69" t="s">
        <v>323</v>
      </c>
      <c r="AY17" s="69" t="s">
        <v>366</v>
      </c>
      <c r="AZ17" s="69"/>
      <c r="BA17" s="69"/>
      <c r="BB17" s="69" t="s">
        <v>319</v>
      </c>
      <c r="BC17" s="69"/>
      <c r="BD17" s="69" t="s">
        <v>312</v>
      </c>
      <c r="BE17" s="69" t="s">
        <v>367</v>
      </c>
      <c r="BF17" s="69" t="s">
        <v>387</v>
      </c>
      <c r="BG17" s="69" t="s">
        <v>343</v>
      </c>
      <c r="BH17" s="69"/>
      <c r="BI17" s="69" t="s">
        <v>361</v>
      </c>
      <c r="BJ17" s="69"/>
      <c r="BK17" s="69"/>
      <c r="BL17" s="69"/>
      <c r="BM17" s="69"/>
      <c r="BN17" s="69" t="s">
        <v>312</v>
      </c>
    </row>
    <row r="18" spans="1:66" x14ac:dyDescent="0.25">
      <c r="A18" s="61" t="s">
        <v>3</v>
      </c>
      <c r="B18" s="68" t="s">
        <v>211</v>
      </c>
      <c r="C18" s="66">
        <v>3.5</v>
      </c>
      <c r="D18" s="64">
        <v>34</v>
      </c>
      <c r="E18" s="64">
        <f>IF(ISBLANK($D18),"0",IF(($D18-$D17)&gt;($C18-$C17),1,0))</f>
        <v>0</v>
      </c>
      <c r="F18" s="64">
        <f t="shared" ca="1" si="1"/>
        <v>29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312</v>
      </c>
      <c r="L18" s="70"/>
      <c r="M18" s="70"/>
      <c r="N18" s="70" t="s">
        <v>355</v>
      </c>
      <c r="O18" s="70" t="s">
        <v>326</v>
      </c>
      <c r="P18" s="70"/>
      <c r="Q18" s="70" t="s">
        <v>318</v>
      </c>
      <c r="R18" s="70"/>
      <c r="S18" s="70"/>
      <c r="T18" s="70" t="s">
        <v>328</v>
      </c>
      <c r="U18" s="70" t="s">
        <v>313</v>
      </c>
      <c r="V18" s="70"/>
      <c r="W18" s="70"/>
      <c r="X18" s="70"/>
      <c r="Y18" s="70"/>
      <c r="Z18" s="70"/>
      <c r="AA18" s="70"/>
      <c r="AB18" s="70" t="s">
        <v>317</v>
      </c>
      <c r="AC18" s="70"/>
      <c r="AD18" s="70" t="s">
        <v>317</v>
      </c>
      <c r="AE18" s="70" t="s">
        <v>355</v>
      </c>
      <c r="AF18" s="70" t="s">
        <v>355</v>
      </c>
      <c r="AG18" s="70"/>
      <c r="AH18" s="70"/>
      <c r="AI18" s="70" t="s">
        <v>335</v>
      </c>
      <c r="AJ18" s="70" t="s">
        <v>343</v>
      </c>
      <c r="AK18" s="70"/>
      <c r="AL18" s="70"/>
      <c r="AM18" s="70" t="s">
        <v>352</v>
      </c>
      <c r="AN18" s="70" t="s">
        <v>317</v>
      </c>
      <c r="AO18" s="70" t="s">
        <v>317</v>
      </c>
      <c r="AP18" s="70" t="s">
        <v>329</v>
      </c>
      <c r="AQ18" s="70" t="s">
        <v>354</v>
      </c>
      <c r="AR18" s="70" t="s">
        <v>317</v>
      </c>
      <c r="AS18" s="70" t="s">
        <v>312</v>
      </c>
      <c r="AT18" s="70" t="s">
        <v>334</v>
      </c>
      <c r="AU18" s="70"/>
      <c r="AV18" s="70" t="s">
        <v>317</v>
      </c>
      <c r="AW18" s="70"/>
      <c r="AX18" s="70"/>
      <c r="AY18" s="70"/>
      <c r="AZ18" s="70" t="s">
        <v>322</v>
      </c>
      <c r="BA18" s="70" t="s">
        <v>317</v>
      </c>
      <c r="BB18" s="70"/>
      <c r="BC18" s="70" t="s">
        <v>357</v>
      </c>
      <c r="BD18" s="70"/>
      <c r="BE18" s="70"/>
      <c r="BF18" s="70"/>
      <c r="BG18" s="70"/>
      <c r="BH18" s="70" t="s">
        <v>313</v>
      </c>
      <c r="BI18" s="70"/>
      <c r="BJ18" s="70" t="s">
        <v>321</v>
      </c>
      <c r="BK18" s="70" t="s">
        <v>317</v>
      </c>
      <c r="BL18" s="70" t="s">
        <v>317</v>
      </c>
      <c r="BM18" s="70" t="s">
        <v>388</v>
      </c>
      <c r="BN18" s="70"/>
    </row>
    <row r="19" spans="1:66" x14ac:dyDescent="0.25">
      <c r="A19" s="59">
        <v>9</v>
      </c>
      <c r="B19" s="67" t="s">
        <v>223</v>
      </c>
      <c r="C19" s="65"/>
      <c r="D19" s="64">
        <v>31</v>
      </c>
      <c r="E19" s="64">
        <f>IF(ISBLANK($D19),"0",IF(($D20-$D19)&lt;($C20-$C19),1,0))</f>
        <v>0</v>
      </c>
      <c r="F19" s="64">
        <f t="shared" ca="1" si="1"/>
        <v>21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 t="s">
        <v>312</v>
      </c>
      <c r="N19" s="69"/>
      <c r="O19" s="69"/>
      <c r="P19" s="69" t="s">
        <v>317</v>
      </c>
      <c r="Q19" s="69"/>
      <c r="R19" s="69" t="s">
        <v>325</v>
      </c>
      <c r="S19" s="69"/>
      <c r="T19" s="69"/>
      <c r="U19" s="69"/>
      <c r="V19" s="69" t="s">
        <v>313</v>
      </c>
      <c r="W19" s="69"/>
      <c r="X19" s="69" t="s">
        <v>312</v>
      </c>
      <c r="Y19" s="69"/>
      <c r="Z19" s="69" t="s">
        <v>429</v>
      </c>
      <c r="AA19" s="69"/>
      <c r="AB19" s="69" t="s">
        <v>317</v>
      </c>
      <c r="AC19" s="69"/>
      <c r="AD19" s="69"/>
      <c r="AE19" s="69"/>
      <c r="AF19" s="69" t="s">
        <v>355</v>
      </c>
      <c r="AG19" s="69" t="s">
        <v>323</v>
      </c>
      <c r="AH19" s="69"/>
      <c r="AI19" s="69"/>
      <c r="AJ19" s="69"/>
      <c r="AK19" s="69" t="s">
        <v>317</v>
      </c>
      <c r="AL19" s="69"/>
      <c r="AM19" s="69"/>
      <c r="AN19" s="69"/>
      <c r="AO19" s="69" t="s">
        <v>317</v>
      </c>
      <c r="AP19" s="69"/>
      <c r="AQ19" s="69"/>
      <c r="AR19" s="69"/>
      <c r="AS19" s="69" t="s">
        <v>312</v>
      </c>
      <c r="AT19" s="69"/>
      <c r="AU19" s="69"/>
      <c r="AV19" s="69"/>
      <c r="AW19" s="69" t="s">
        <v>320</v>
      </c>
      <c r="AX19" s="69" t="s">
        <v>433</v>
      </c>
      <c r="AY19" s="69" t="s">
        <v>366</v>
      </c>
      <c r="AZ19" s="69" t="s">
        <v>340</v>
      </c>
      <c r="BA19" s="69"/>
      <c r="BB19" s="69" t="s">
        <v>324</v>
      </c>
      <c r="BC19" s="69"/>
      <c r="BD19" s="69"/>
      <c r="BE19" s="69" t="s">
        <v>367</v>
      </c>
      <c r="BF19" s="69"/>
      <c r="BG19" s="69"/>
      <c r="BH19" s="69"/>
      <c r="BI19" s="69" t="s">
        <v>361</v>
      </c>
      <c r="BJ19" s="69"/>
      <c r="BK19" s="69" t="s">
        <v>317</v>
      </c>
      <c r="BL19" s="69"/>
      <c r="BM19" s="69"/>
      <c r="BN19" s="69" t="s">
        <v>312</v>
      </c>
    </row>
    <row r="20" spans="1:66" x14ac:dyDescent="0.25">
      <c r="A20" s="61" t="s">
        <v>3</v>
      </c>
      <c r="B20" s="68" t="s">
        <v>220</v>
      </c>
      <c r="C20" s="66">
        <v>6.5</v>
      </c>
      <c r="D20" s="64">
        <v>41</v>
      </c>
      <c r="E20" s="64">
        <f>IF(ISBLANK($D20),"0",IF(($D20-$D19)&gt;($C20-$C19),1,0))</f>
        <v>1</v>
      </c>
      <c r="F20" s="64">
        <f t="shared" ca="1" si="1"/>
        <v>35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311</v>
      </c>
      <c r="K20" s="70" t="s">
        <v>312</v>
      </c>
      <c r="L20" s="70" t="s">
        <v>313</v>
      </c>
      <c r="M20" s="70"/>
      <c r="N20" s="70" t="s">
        <v>355</v>
      </c>
      <c r="O20" s="70" t="s">
        <v>371</v>
      </c>
      <c r="P20" s="70"/>
      <c r="Q20" s="70" t="s">
        <v>318</v>
      </c>
      <c r="R20" s="70"/>
      <c r="S20" s="70" t="s">
        <v>311</v>
      </c>
      <c r="T20" s="70" t="s">
        <v>347</v>
      </c>
      <c r="U20" s="70" t="s">
        <v>313</v>
      </c>
      <c r="V20" s="70"/>
      <c r="W20" s="70" t="s">
        <v>317</v>
      </c>
      <c r="X20" s="70"/>
      <c r="Y20" s="70" t="s">
        <v>312</v>
      </c>
      <c r="Z20" s="70"/>
      <c r="AA20" s="70" t="s">
        <v>354</v>
      </c>
      <c r="AB20" s="70"/>
      <c r="AC20" s="70" t="s">
        <v>375</v>
      </c>
      <c r="AD20" s="70" t="s">
        <v>317</v>
      </c>
      <c r="AE20" s="70" t="s">
        <v>355</v>
      </c>
      <c r="AF20" s="70"/>
      <c r="AG20" s="70"/>
      <c r="AH20" s="70" t="s">
        <v>325</v>
      </c>
      <c r="AI20" s="70" t="s">
        <v>325</v>
      </c>
      <c r="AJ20" s="70" t="s">
        <v>347</v>
      </c>
      <c r="AK20" s="70"/>
      <c r="AL20" s="70" t="s">
        <v>347</v>
      </c>
      <c r="AM20" s="70" t="s">
        <v>408</v>
      </c>
      <c r="AN20" s="70" t="s">
        <v>317</v>
      </c>
      <c r="AO20" s="70"/>
      <c r="AP20" s="70" t="s">
        <v>343</v>
      </c>
      <c r="AQ20" s="70" t="s">
        <v>354</v>
      </c>
      <c r="AR20" s="100" t="s">
        <v>317</v>
      </c>
      <c r="AS20" s="70"/>
      <c r="AT20" s="70" t="s">
        <v>334</v>
      </c>
      <c r="AU20" s="70" t="s">
        <v>312</v>
      </c>
      <c r="AV20" s="70" t="s">
        <v>317</v>
      </c>
      <c r="AW20" s="70"/>
      <c r="AX20" s="70"/>
      <c r="AY20" s="70"/>
      <c r="AZ20" s="70"/>
      <c r="BA20" s="70" t="s">
        <v>317</v>
      </c>
      <c r="BB20" s="70"/>
      <c r="BC20" s="70" t="s">
        <v>357</v>
      </c>
      <c r="BD20" s="70" t="s">
        <v>312</v>
      </c>
      <c r="BE20" s="70"/>
      <c r="BF20" s="70" t="s">
        <v>387</v>
      </c>
      <c r="BG20" s="70" t="s">
        <v>319</v>
      </c>
      <c r="BH20" s="70" t="s">
        <v>313</v>
      </c>
      <c r="BI20" s="70"/>
      <c r="BJ20" s="70" t="s">
        <v>321</v>
      </c>
      <c r="BK20" s="70"/>
      <c r="BL20" s="70" t="s">
        <v>317</v>
      </c>
      <c r="BM20" s="70" t="s">
        <v>388</v>
      </c>
      <c r="BN20" s="70"/>
    </row>
    <row r="21" spans="1:66" x14ac:dyDescent="0.25">
      <c r="A21" s="59">
        <v>10</v>
      </c>
      <c r="B21" s="67" t="s">
        <v>182</v>
      </c>
      <c r="C21" s="65"/>
      <c r="D21" s="64">
        <v>14</v>
      </c>
      <c r="E21" s="64">
        <f>IF(ISBLANK($D21),"0",IF(($D22-$D21)&lt;($C22-$C21),1,0))</f>
        <v>0</v>
      </c>
      <c r="F21" s="64">
        <f t="shared" ca="1" si="1"/>
        <v>25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311</v>
      </c>
      <c r="K21" s="69" t="s">
        <v>312</v>
      </c>
      <c r="L21" s="69"/>
      <c r="M21" s="69"/>
      <c r="N21" s="69"/>
      <c r="O21" s="69" t="s">
        <v>371</v>
      </c>
      <c r="P21" s="69" t="s">
        <v>317</v>
      </c>
      <c r="Q21" s="69"/>
      <c r="R21" s="69" t="s">
        <v>348</v>
      </c>
      <c r="S21" s="69"/>
      <c r="T21" s="69" t="s">
        <v>428</v>
      </c>
      <c r="U21" s="69"/>
      <c r="V21" s="69"/>
      <c r="W21" s="69"/>
      <c r="X21" s="69" t="s">
        <v>312</v>
      </c>
      <c r="Y21" s="69" t="s">
        <v>436</v>
      </c>
      <c r="Z21" s="69" t="s">
        <v>382</v>
      </c>
      <c r="AA21" s="69"/>
      <c r="AB21" s="69" t="s">
        <v>317</v>
      </c>
      <c r="AC21" s="69" t="s">
        <v>350</v>
      </c>
      <c r="AD21" s="69" t="s">
        <v>317</v>
      </c>
      <c r="AE21" s="69"/>
      <c r="AF21" s="69"/>
      <c r="AG21" s="69"/>
      <c r="AH21" s="69"/>
      <c r="AI21" s="69" t="s">
        <v>326</v>
      </c>
      <c r="AJ21" s="69" t="s">
        <v>326</v>
      </c>
      <c r="AK21" s="69"/>
      <c r="AL21" s="69" t="s">
        <v>347</v>
      </c>
      <c r="AM21" s="69"/>
      <c r="AN21" s="69"/>
      <c r="AO21" s="69" t="s">
        <v>317</v>
      </c>
      <c r="AP21" s="69"/>
      <c r="AQ21" s="69" t="s">
        <v>436</v>
      </c>
      <c r="AR21" s="99"/>
      <c r="AS21" s="69"/>
      <c r="AT21" s="69" t="s">
        <v>334</v>
      </c>
      <c r="AU21" s="69" t="s">
        <v>312</v>
      </c>
      <c r="AV21" s="69"/>
      <c r="AW21" s="69"/>
      <c r="AX21" s="69"/>
      <c r="AY21" s="69" t="s">
        <v>366</v>
      </c>
      <c r="AZ21" s="69"/>
      <c r="BA21" s="69" t="s">
        <v>317</v>
      </c>
      <c r="BB21" s="69"/>
      <c r="BC21" s="69"/>
      <c r="BD21" s="69" t="s">
        <v>312</v>
      </c>
      <c r="BE21" s="69"/>
      <c r="BF21" s="69"/>
      <c r="BG21" s="69" t="s">
        <v>322</v>
      </c>
      <c r="BH21" s="69"/>
      <c r="BI21" s="69" t="s">
        <v>326</v>
      </c>
      <c r="BJ21" s="69" t="s">
        <v>321</v>
      </c>
      <c r="BK21" s="69"/>
      <c r="BL21" s="69"/>
      <c r="BM21" s="69"/>
      <c r="BN21" s="69" t="s">
        <v>312</v>
      </c>
    </row>
    <row r="22" spans="1:66" x14ac:dyDescent="0.25">
      <c r="A22" s="61" t="s">
        <v>3</v>
      </c>
      <c r="B22" s="68" t="s">
        <v>221</v>
      </c>
      <c r="C22" s="66">
        <v>1.5</v>
      </c>
      <c r="D22" s="64">
        <v>28</v>
      </c>
      <c r="E22" s="64">
        <f>IF(ISBLANK($D22),"0",IF(($D22-$D21)&gt;($C22-$C21),1,0))</f>
        <v>1</v>
      </c>
      <c r="F22" s="64">
        <f t="shared" ca="1" si="1"/>
        <v>31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/>
      <c r="L22" s="70" t="s">
        <v>313</v>
      </c>
      <c r="M22" s="70" t="s">
        <v>312</v>
      </c>
      <c r="N22" s="70" t="s">
        <v>355</v>
      </c>
      <c r="O22" s="70"/>
      <c r="P22" s="70"/>
      <c r="Q22" s="70" t="s">
        <v>318</v>
      </c>
      <c r="R22" s="70"/>
      <c r="S22" s="70" t="s">
        <v>326</v>
      </c>
      <c r="T22" s="70"/>
      <c r="U22" s="70" t="s">
        <v>313</v>
      </c>
      <c r="V22" s="70" t="s">
        <v>313</v>
      </c>
      <c r="W22" s="70" t="s">
        <v>317</v>
      </c>
      <c r="X22" s="70"/>
      <c r="Y22" s="70"/>
      <c r="Z22" s="70"/>
      <c r="AA22" s="70" t="s">
        <v>354</v>
      </c>
      <c r="AB22" s="70"/>
      <c r="AC22" s="70"/>
      <c r="AD22" s="70"/>
      <c r="AE22" s="70" t="s">
        <v>355</v>
      </c>
      <c r="AF22" s="70" t="s">
        <v>355</v>
      </c>
      <c r="AG22" s="70" t="s">
        <v>341</v>
      </c>
      <c r="AH22" s="70" t="s">
        <v>326</v>
      </c>
      <c r="AI22" s="70"/>
      <c r="AJ22" s="70"/>
      <c r="AK22" s="70" t="s">
        <v>317</v>
      </c>
      <c r="AL22" s="70"/>
      <c r="AM22" s="70" t="s">
        <v>408</v>
      </c>
      <c r="AN22" s="70" t="s">
        <v>317</v>
      </c>
      <c r="AO22" s="70"/>
      <c r="AP22" s="70" t="s">
        <v>319</v>
      </c>
      <c r="AQ22" s="70"/>
      <c r="AR22" s="70" t="s">
        <v>317</v>
      </c>
      <c r="AS22" s="70" t="s">
        <v>312</v>
      </c>
      <c r="AT22" s="70"/>
      <c r="AU22" s="70"/>
      <c r="AV22" s="70" t="s">
        <v>317</v>
      </c>
      <c r="AW22" s="70" t="s">
        <v>432</v>
      </c>
      <c r="AX22" s="70" t="s">
        <v>433</v>
      </c>
      <c r="AY22" s="70"/>
      <c r="AZ22" s="70" t="s">
        <v>317</v>
      </c>
      <c r="BA22" s="70"/>
      <c r="BB22" s="70" t="s">
        <v>321</v>
      </c>
      <c r="BC22" s="70" t="s">
        <v>436</v>
      </c>
      <c r="BD22" s="70"/>
      <c r="BE22" s="70" t="s">
        <v>367</v>
      </c>
      <c r="BF22" s="70" t="s">
        <v>387</v>
      </c>
      <c r="BG22" s="70"/>
      <c r="BH22" s="70" t="s">
        <v>313</v>
      </c>
      <c r="BI22" s="70"/>
      <c r="BJ22" s="70"/>
      <c r="BK22" s="70" t="s">
        <v>317</v>
      </c>
      <c r="BL22" s="70" t="s">
        <v>317</v>
      </c>
      <c r="BM22" s="70" t="s">
        <v>388</v>
      </c>
      <c r="BN22" s="70"/>
    </row>
    <row r="23" spans="1:66" x14ac:dyDescent="0.25">
      <c r="A23" s="59"/>
      <c r="B23" s="67" t="str">
        <f>B21&amp; " - score"</f>
        <v>Michigan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17857168</v>
      </c>
      <c r="G23" s="59"/>
      <c r="H23" s="59"/>
      <c r="I23" s="60"/>
      <c r="J23" s="78">
        <v>35</v>
      </c>
      <c r="K23" s="78">
        <v>28</v>
      </c>
      <c r="L23" s="78">
        <v>14</v>
      </c>
      <c r="M23" s="78">
        <v>21</v>
      </c>
      <c r="N23" s="80">
        <v>21</v>
      </c>
      <c r="O23" s="78">
        <v>24</v>
      </c>
      <c r="P23" s="78">
        <v>36</v>
      </c>
      <c r="Q23" s="78">
        <v>17</v>
      </c>
      <c r="R23" s="78">
        <v>24</v>
      </c>
      <c r="S23" s="78">
        <v>27</v>
      </c>
      <c r="T23" s="78">
        <v>999999999</v>
      </c>
      <c r="U23" s="78">
        <v>19</v>
      </c>
      <c r="V23" s="78">
        <v>56</v>
      </c>
      <c r="W23" s="78">
        <v>21</v>
      </c>
      <c r="X23" s="78">
        <v>28</v>
      </c>
      <c r="Y23" s="78">
        <v>28</v>
      </c>
      <c r="Z23" s="78">
        <v>22</v>
      </c>
      <c r="AA23" s="78">
        <v>17</v>
      </c>
      <c r="AB23" s="78">
        <v>28</v>
      </c>
      <c r="AC23" s="78">
        <v>31</v>
      </c>
      <c r="AD23" s="78">
        <v>31</v>
      </c>
      <c r="AE23" s="78">
        <v>17</v>
      </c>
      <c r="AF23" s="78">
        <v>21</v>
      </c>
      <c r="AG23" s="78">
        <v>31</v>
      </c>
      <c r="AH23" s="78">
        <v>21</v>
      </c>
      <c r="AI23" s="78">
        <v>31</v>
      </c>
      <c r="AJ23" s="78">
        <v>34</v>
      </c>
      <c r="AK23" s="78">
        <v>21</v>
      </c>
      <c r="AL23" s="78">
        <v>27</v>
      </c>
      <c r="AM23" s="78">
        <v>21</v>
      </c>
      <c r="AN23" s="78">
        <v>24</v>
      </c>
      <c r="AO23" s="78">
        <v>35</v>
      </c>
      <c r="AP23" s="78">
        <v>13</v>
      </c>
      <c r="AQ23" s="78">
        <v>28</v>
      </c>
      <c r="AR23" s="78">
        <v>14</v>
      </c>
      <c r="AS23" s="78">
        <v>20</v>
      </c>
      <c r="AT23" s="78">
        <v>31</v>
      </c>
      <c r="AU23" s="78">
        <v>24</v>
      </c>
      <c r="AV23" s="78">
        <v>27</v>
      </c>
      <c r="AW23" s="78">
        <v>20</v>
      </c>
      <c r="AX23" s="78">
        <v>24</v>
      </c>
      <c r="AY23" s="78">
        <v>23</v>
      </c>
      <c r="AZ23" s="78">
        <v>14</v>
      </c>
      <c r="BA23" s="78">
        <v>42</v>
      </c>
      <c r="BB23" s="78">
        <v>43</v>
      </c>
      <c r="BC23" s="78">
        <v>25</v>
      </c>
      <c r="BD23" s="78">
        <v>21</v>
      </c>
      <c r="BE23" s="78">
        <v>21</v>
      </c>
      <c r="BF23" s="78">
        <v>30</v>
      </c>
      <c r="BG23" s="78">
        <v>28</v>
      </c>
      <c r="BH23" s="78">
        <v>7</v>
      </c>
      <c r="BI23" s="78">
        <v>34</v>
      </c>
      <c r="BJ23" s="78">
        <v>41</v>
      </c>
      <c r="BK23" s="78">
        <v>24</v>
      </c>
      <c r="BL23" s="78">
        <v>15</v>
      </c>
      <c r="BM23" s="78">
        <v>27</v>
      </c>
      <c r="BN23" s="78">
        <v>30</v>
      </c>
    </row>
    <row r="24" spans="1:66" x14ac:dyDescent="0.25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29</v>
      </c>
      <c r="K24" s="79">
        <v>24</v>
      </c>
      <c r="L24" s="79">
        <v>31</v>
      </c>
      <c r="M24" s="79">
        <v>24</v>
      </c>
      <c r="N24" s="79">
        <v>24</v>
      </c>
      <c r="O24" s="79">
        <v>14</v>
      </c>
      <c r="P24" s="79">
        <v>27</v>
      </c>
      <c r="Q24" s="79">
        <v>21</v>
      </c>
      <c r="R24" s="79">
        <v>21</v>
      </c>
      <c r="S24" s="79">
        <v>35</v>
      </c>
      <c r="T24" s="79">
        <v>0</v>
      </c>
      <c r="U24" s="79">
        <v>62</v>
      </c>
      <c r="V24" s="79">
        <v>64</v>
      </c>
      <c r="W24" s="79">
        <v>24</v>
      </c>
      <c r="X24" s="79">
        <v>20</v>
      </c>
      <c r="Y24" s="79">
        <v>21</v>
      </c>
      <c r="Z24" s="79">
        <v>20</v>
      </c>
      <c r="AA24" s="79">
        <v>24</v>
      </c>
      <c r="AB24" s="79">
        <v>24</v>
      </c>
      <c r="AC24" s="79">
        <v>26</v>
      </c>
      <c r="AD24" s="79">
        <v>21</v>
      </c>
      <c r="AE24" s="79">
        <v>24</v>
      </c>
      <c r="AF24" s="79">
        <v>24</v>
      </c>
      <c r="AG24" s="79">
        <v>34</v>
      </c>
      <c r="AH24" s="79">
        <v>24</v>
      </c>
      <c r="AI24" s="79">
        <v>27</v>
      </c>
      <c r="AJ24" s="79">
        <v>24</v>
      </c>
      <c r="AK24" s="79">
        <v>31</v>
      </c>
      <c r="AL24" s="79">
        <v>20</v>
      </c>
      <c r="AM24" s="79">
        <v>24</v>
      </c>
      <c r="AN24" s="79">
        <v>28</v>
      </c>
      <c r="AO24" s="79">
        <v>24</v>
      </c>
      <c r="AP24" s="79">
        <v>23</v>
      </c>
      <c r="AQ24" s="79">
        <v>17</v>
      </c>
      <c r="AR24" s="79">
        <v>21</v>
      </c>
      <c r="AS24" s="79">
        <v>23</v>
      </c>
      <c r="AT24" s="79">
        <v>21</v>
      </c>
      <c r="AU24" s="79">
        <v>21</v>
      </c>
      <c r="AV24" s="79">
        <v>30</v>
      </c>
      <c r="AW24" s="79">
        <v>27</v>
      </c>
      <c r="AX24" s="79">
        <v>35</v>
      </c>
      <c r="AY24" s="79">
        <v>17</v>
      </c>
      <c r="AZ24" s="79">
        <v>31</v>
      </c>
      <c r="BA24" s="79">
        <v>35</v>
      </c>
      <c r="BB24" s="79">
        <v>64</v>
      </c>
      <c r="BC24" s="79">
        <v>27</v>
      </c>
      <c r="BD24" s="79">
        <v>17</v>
      </c>
      <c r="BE24" s="79">
        <v>24</v>
      </c>
      <c r="BF24" s="79">
        <v>36</v>
      </c>
      <c r="BG24" s="79">
        <v>27</v>
      </c>
      <c r="BH24" s="79">
        <v>43</v>
      </c>
      <c r="BI24" s="79">
        <v>19</v>
      </c>
      <c r="BJ24" s="79">
        <v>38</v>
      </c>
      <c r="BK24" s="79">
        <v>27</v>
      </c>
      <c r="BL24" s="79">
        <v>24</v>
      </c>
      <c r="BM24" s="79">
        <v>30</v>
      </c>
      <c r="BN24" s="79">
        <v>27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8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5</v>
      </c>
      <c r="Q25" s="36">
        <f t="shared" si="3"/>
        <v>5</v>
      </c>
      <c r="R25" s="36">
        <f t="shared" si="3"/>
        <v>5</v>
      </c>
      <c r="S25" s="36">
        <f t="shared" si="3"/>
        <v>9</v>
      </c>
      <c r="T25" s="36">
        <f t="shared" si="3"/>
        <v>5</v>
      </c>
      <c r="U25" s="36">
        <f t="shared" si="3"/>
        <v>6</v>
      </c>
      <c r="V25" s="36">
        <f t="shared" si="3"/>
        <v>6</v>
      </c>
      <c r="W25" s="36">
        <f t="shared" si="3"/>
        <v>8</v>
      </c>
      <c r="X25" s="36">
        <f t="shared" si="3"/>
        <v>4</v>
      </c>
      <c r="Y25" s="36">
        <f t="shared" si="3"/>
        <v>6</v>
      </c>
      <c r="Z25" s="36">
        <f t="shared" si="3"/>
        <v>5</v>
      </c>
      <c r="AA25" s="36">
        <f t="shared" si="3"/>
        <v>4</v>
      </c>
      <c r="AB25" s="36">
        <f t="shared" si="3"/>
        <v>5</v>
      </c>
      <c r="AC25" s="36">
        <f t="shared" si="3"/>
        <v>7</v>
      </c>
      <c r="AD25" s="36">
        <f t="shared" si="3"/>
        <v>5</v>
      </c>
      <c r="AE25" s="36">
        <f t="shared" si="3"/>
        <v>4</v>
      </c>
      <c r="AF25" s="36">
        <f t="shared" si="3"/>
        <v>5</v>
      </c>
      <c r="AG25" s="36">
        <f t="shared" si="3"/>
        <v>5</v>
      </c>
      <c r="AH25" s="36">
        <f t="shared" si="3"/>
        <v>7</v>
      </c>
      <c r="AI25" s="36">
        <f t="shared" si="3"/>
        <v>4</v>
      </c>
      <c r="AJ25" s="36">
        <f t="shared" si="3"/>
        <v>4</v>
      </c>
      <c r="AK25" s="36">
        <f t="shared" si="3"/>
        <v>4</v>
      </c>
      <c r="AL25" s="36">
        <f t="shared" si="3"/>
        <v>5</v>
      </c>
      <c r="AM25" s="36">
        <f t="shared" si="3"/>
        <v>7</v>
      </c>
      <c r="AN25" s="36">
        <f t="shared" si="3"/>
        <v>6</v>
      </c>
      <c r="AO25" s="36">
        <f t="shared" si="3"/>
        <v>2</v>
      </c>
      <c r="AP25" s="36">
        <f t="shared" si="3"/>
        <v>6</v>
      </c>
      <c r="AQ25" s="36">
        <f t="shared" si="3"/>
        <v>2</v>
      </c>
      <c r="AR25" s="36">
        <f t="shared" si="3"/>
        <v>7</v>
      </c>
      <c r="AS25" s="36">
        <f t="shared" si="3"/>
        <v>4</v>
      </c>
      <c r="AT25" s="36">
        <f t="shared" si="3"/>
        <v>7</v>
      </c>
      <c r="AU25" s="36">
        <f t="shared" si="3"/>
        <v>6</v>
      </c>
      <c r="AV25" s="36">
        <f t="shared" si="3"/>
        <v>4</v>
      </c>
      <c r="AW25" s="36">
        <f t="shared" si="3"/>
        <v>6</v>
      </c>
      <c r="AX25" s="36">
        <f t="shared" si="3"/>
        <v>2</v>
      </c>
      <c r="AY25" s="36">
        <f t="shared" si="3"/>
        <v>6</v>
      </c>
      <c r="AZ25" s="36">
        <f t="shared" si="3"/>
        <v>5</v>
      </c>
      <c r="BA25" s="36">
        <f t="shared" si="3"/>
        <v>5</v>
      </c>
      <c r="BB25" s="36">
        <f t="shared" si="3"/>
        <v>6</v>
      </c>
      <c r="BC25" s="36">
        <f t="shared" si="3"/>
        <v>5</v>
      </c>
      <c r="BD25" s="36">
        <f t="shared" si="3"/>
        <v>4</v>
      </c>
      <c r="BE25" s="36">
        <f t="shared" si="3"/>
        <v>6</v>
      </c>
      <c r="BF25" s="36">
        <f t="shared" si="3"/>
        <v>8</v>
      </c>
      <c r="BG25" s="36">
        <f t="shared" si="3"/>
        <v>4</v>
      </c>
      <c r="BH25" s="36">
        <f t="shared" si="3"/>
        <v>4</v>
      </c>
      <c r="BI25" s="36">
        <f t="shared" si="3"/>
        <v>4</v>
      </c>
      <c r="BJ25" s="36">
        <f t="shared" si="3"/>
        <v>5</v>
      </c>
      <c r="BK25" s="36">
        <f t="shared" si="3"/>
        <v>6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4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18</v>
      </c>
      <c r="L26" s="71">
        <f t="shared" ref="L26:BN26" si="4">ABS((L23-L24)-($D21-$D22))</f>
        <v>3</v>
      </c>
      <c r="M26" s="71">
        <f t="shared" si="4"/>
        <v>11</v>
      </c>
      <c r="N26" s="71">
        <f t="shared" si="4"/>
        <v>11</v>
      </c>
      <c r="O26" s="71">
        <f t="shared" si="4"/>
        <v>24</v>
      </c>
      <c r="P26" s="71">
        <f t="shared" si="4"/>
        <v>23</v>
      </c>
      <c r="Q26" s="71">
        <f t="shared" si="4"/>
        <v>10</v>
      </c>
      <c r="R26" s="71">
        <f t="shared" si="4"/>
        <v>17</v>
      </c>
      <c r="S26" s="71">
        <f t="shared" si="4"/>
        <v>6</v>
      </c>
      <c r="T26" s="71">
        <f t="shared" si="4"/>
        <v>1000000013</v>
      </c>
      <c r="U26" s="71">
        <f t="shared" si="4"/>
        <v>29</v>
      </c>
      <c r="V26" s="71">
        <f t="shared" si="4"/>
        <v>6</v>
      </c>
      <c r="W26" s="71">
        <f t="shared" si="4"/>
        <v>11</v>
      </c>
      <c r="X26" s="71">
        <f t="shared" si="4"/>
        <v>22</v>
      </c>
      <c r="Y26" s="71">
        <f t="shared" si="4"/>
        <v>21</v>
      </c>
      <c r="Z26" s="71">
        <f t="shared" si="4"/>
        <v>16</v>
      </c>
      <c r="AA26" s="71">
        <f t="shared" si="4"/>
        <v>7</v>
      </c>
      <c r="AB26" s="71">
        <f t="shared" si="4"/>
        <v>18</v>
      </c>
      <c r="AC26" s="71">
        <f t="shared" si="4"/>
        <v>19</v>
      </c>
      <c r="AD26" s="71">
        <f t="shared" si="4"/>
        <v>24</v>
      </c>
      <c r="AE26" s="71">
        <f t="shared" si="4"/>
        <v>7</v>
      </c>
      <c r="AF26" s="71">
        <f t="shared" si="4"/>
        <v>11</v>
      </c>
      <c r="AG26" s="71">
        <f t="shared" si="4"/>
        <v>11</v>
      </c>
      <c r="AH26" s="71">
        <f t="shared" si="4"/>
        <v>11</v>
      </c>
      <c r="AI26" s="71">
        <f t="shared" si="4"/>
        <v>18</v>
      </c>
      <c r="AJ26" s="71">
        <f t="shared" si="4"/>
        <v>24</v>
      </c>
      <c r="AK26" s="71">
        <f t="shared" si="4"/>
        <v>4</v>
      </c>
      <c r="AL26" s="71">
        <f t="shared" si="4"/>
        <v>21</v>
      </c>
      <c r="AM26" s="71">
        <f t="shared" si="4"/>
        <v>11</v>
      </c>
      <c r="AN26" s="71">
        <f t="shared" si="4"/>
        <v>10</v>
      </c>
      <c r="AO26" s="71">
        <f t="shared" si="4"/>
        <v>25</v>
      </c>
      <c r="AP26" s="71">
        <f t="shared" si="4"/>
        <v>4</v>
      </c>
      <c r="AQ26" s="71">
        <f t="shared" si="4"/>
        <v>25</v>
      </c>
      <c r="AR26" s="71">
        <f t="shared" si="4"/>
        <v>7</v>
      </c>
      <c r="AS26" s="71">
        <f t="shared" si="4"/>
        <v>11</v>
      </c>
      <c r="AT26" s="71">
        <f t="shared" si="4"/>
        <v>24</v>
      </c>
      <c r="AU26" s="71">
        <f t="shared" si="4"/>
        <v>17</v>
      </c>
      <c r="AV26" s="71">
        <f t="shared" si="4"/>
        <v>11</v>
      </c>
      <c r="AW26" s="71">
        <f t="shared" si="4"/>
        <v>7</v>
      </c>
      <c r="AX26" s="71">
        <f t="shared" si="4"/>
        <v>3</v>
      </c>
      <c r="AY26" s="71">
        <f t="shared" si="4"/>
        <v>20</v>
      </c>
      <c r="AZ26" s="71">
        <f t="shared" si="4"/>
        <v>3</v>
      </c>
      <c r="BA26" s="71">
        <f t="shared" si="4"/>
        <v>21</v>
      </c>
      <c r="BB26" s="71">
        <f t="shared" si="4"/>
        <v>7</v>
      </c>
      <c r="BC26" s="71">
        <f t="shared" si="4"/>
        <v>12</v>
      </c>
      <c r="BD26" s="71">
        <f t="shared" si="4"/>
        <v>18</v>
      </c>
      <c r="BE26" s="71">
        <f t="shared" si="4"/>
        <v>11</v>
      </c>
      <c r="BF26" s="71">
        <f t="shared" si="4"/>
        <v>8</v>
      </c>
      <c r="BG26" s="71">
        <f t="shared" si="4"/>
        <v>15</v>
      </c>
      <c r="BH26" s="71">
        <f t="shared" si="4"/>
        <v>22</v>
      </c>
      <c r="BI26" s="71">
        <f t="shared" si="4"/>
        <v>29</v>
      </c>
      <c r="BJ26" s="71">
        <f t="shared" si="4"/>
        <v>17</v>
      </c>
      <c r="BK26" s="71">
        <f t="shared" si="4"/>
        <v>11</v>
      </c>
      <c r="BL26" s="71">
        <f t="shared" si="4"/>
        <v>5</v>
      </c>
      <c r="BM26" s="71">
        <f t="shared" si="4"/>
        <v>11</v>
      </c>
      <c r="BN26" s="71">
        <f t="shared" si="4"/>
        <v>17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N27" si="5">ABS(($D21+$D22)-(L23+L24))</f>
        <v>3</v>
      </c>
      <c r="M27" s="71">
        <f t="shared" si="5"/>
        <v>3</v>
      </c>
      <c r="N27" s="71">
        <f t="shared" si="5"/>
        <v>3</v>
      </c>
      <c r="O27" s="71">
        <f t="shared" si="5"/>
        <v>4</v>
      </c>
      <c r="P27" s="71">
        <f t="shared" si="5"/>
        <v>21</v>
      </c>
      <c r="Q27" s="71">
        <f t="shared" si="5"/>
        <v>4</v>
      </c>
      <c r="R27" s="71">
        <f t="shared" si="5"/>
        <v>3</v>
      </c>
      <c r="S27" s="71">
        <f t="shared" si="5"/>
        <v>20</v>
      </c>
      <c r="T27" s="71">
        <f t="shared" si="5"/>
        <v>999999957</v>
      </c>
      <c r="U27" s="71">
        <f t="shared" si="5"/>
        <v>39</v>
      </c>
      <c r="V27" s="71">
        <f t="shared" si="5"/>
        <v>78</v>
      </c>
      <c r="W27" s="71">
        <f t="shared" si="5"/>
        <v>3</v>
      </c>
      <c r="X27" s="71">
        <f t="shared" si="5"/>
        <v>6</v>
      </c>
      <c r="Y27" s="71">
        <f t="shared" si="5"/>
        <v>7</v>
      </c>
      <c r="Z27" s="71">
        <f t="shared" si="5"/>
        <v>0</v>
      </c>
      <c r="AA27" s="71">
        <f t="shared" si="5"/>
        <v>1</v>
      </c>
      <c r="AB27" s="71">
        <f t="shared" si="5"/>
        <v>10</v>
      </c>
      <c r="AC27" s="71">
        <f t="shared" si="5"/>
        <v>15</v>
      </c>
      <c r="AD27" s="71">
        <f t="shared" si="5"/>
        <v>10</v>
      </c>
      <c r="AE27" s="71">
        <f t="shared" si="5"/>
        <v>1</v>
      </c>
      <c r="AF27" s="71">
        <f t="shared" si="5"/>
        <v>3</v>
      </c>
      <c r="AG27" s="71">
        <f t="shared" si="5"/>
        <v>23</v>
      </c>
      <c r="AH27" s="71">
        <f t="shared" si="5"/>
        <v>3</v>
      </c>
      <c r="AI27" s="71">
        <f t="shared" si="5"/>
        <v>16</v>
      </c>
      <c r="AJ27" s="71">
        <f t="shared" si="5"/>
        <v>16</v>
      </c>
      <c r="AK27" s="71">
        <f t="shared" si="5"/>
        <v>10</v>
      </c>
      <c r="AL27" s="71">
        <f t="shared" si="5"/>
        <v>5</v>
      </c>
      <c r="AM27" s="71">
        <f t="shared" si="5"/>
        <v>3</v>
      </c>
      <c r="AN27" s="71">
        <f t="shared" si="5"/>
        <v>10</v>
      </c>
      <c r="AO27" s="71">
        <f t="shared" si="5"/>
        <v>17</v>
      </c>
      <c r="AP27" s="71">
        <f t="shared" si="5"/>
        <v>6</v>
      </c>
      <c r="AQ27" s="71">
        <f t="shared" si="5"/>
        <v>3</v>
      </c>
      <c r="AR27" s="71">
        <f t="shared" si="5"/>
        <v>7</v>
      </c>
      <c r="AS27" s="71">
        <f t="shared" si="5"/>
        <v>1</v>
      </c>
      <c r="AT27" s="71">
        <f t="shared" si="5"/>
        <v>10</v>
      </c>
      <c r="AU27" s="71">
        <f t="shared" si="5"/>
        <v>3</v>
      </c>
      <c r="AV27" s="71">
        <f t="shared" si="5"/>
        <v>15</v>
      </c>
      <c r="AW27" s="71">
        <f t="shared" si="5"/>
        <v>5</v>
      </c>
      <c r="AX27" s="71">
        <f t="shared" si="5"/>
        <v>17</v>
      </c>
      <c r="AY27" s="71">
        <f t="shared" si="5"/>
        <v>2</v>
      </c>
      <c r="AZ27" s="71">
        <f t="shared" si="5"/>
        <v>3</v>
      </c>
      <c r="BA27" s="71">
        <f t="shared" si="5"/>
        <v>35</v>
      </c>
      <c r="BB27" s="71">
        <f t="shared" si="5"/>
        <v>65</v>
      </c>
      <c r="BC27" s="71">
        <f t="shared" si="5"/>
        <v>10</v>
      </c>
      <c r="BD27" s="71">
        <f t="shared" si="5"/>
        <v>4</v>
      </c>
      <c r="BE27" s="71">
        <f t="shared" si="5"/>
        <v>3</v>
      </c>
      <c r="BF27" s="71">
        <f t="shared" si="5"/>
        <v>24</v>
      </c>
      <c r="BG27" s="71">
        <f t="shared" si="5"/>
        <v>13</v>
      </c>
      <c r="BH27" s="71">
        <f t="shared" si="5"/>
        <v>8</v>
      </c>
      <c r="BI27" s="71">
        <f t="shared" si="5"/>
        <v>11</v>
      </c>
      <c r="BJ27" s="71">
        <f t="shared" si="5"/>
        <v>37</v>
      </c>
      <c r="BK27" s="71">
        <f t="shared" si="5"/>
        <v>9</v>
      </c>
      <c r="BL27" s="71">
        <f t="shared" si="5"/>
        <v>3</v>
      </c>
      <c r="BM27" s="71">
        <f t="shared" si="5"/>
        <v>15</v>
      </c>
      <c r="BN27" s="71">
        <f t="shared" si="5"/>
        <v>15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>
        <f t="shared" ca="1" si="6"/>
        <v>1</v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0.52500000000000002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6</v>
      </c>
      <c r="M29" s="71">
        <f t="shared" si="7"/>
        <v>8</v>
      </c>
      <c r="N29" s="71">
        <f t="shared" si="7"/>
        <v>5</v>
      </c>
      <c r="O29" s="71">
        <f t="shared" si="7"/>
        <v>5</v>
      </c>
      <c r="P29" s="71">
        <f t="shared" si="7"/>
        <v>7</v>
      </c>
      <c r="Q29" s="71">
        <f t="shared" si="7"/>
        <v>3</v>
      </c>
      <c r="R29" s="71">
        <f t="shared" si="7"/>
        <v>7</v>
      </c>
      <c r="S29" s="71">
        <f t="shared" si="7"/>
        <v>5</v>
      </c>
      <c r="T29" s="71">
        <f t="shared" si="7"/>
        <v>7</v>
      </c>
      <c r="U29" s="71">
        <f t="shared" si="7"/>
        <v>2</v>
      </c>
      <c r="V29" s="71">
        <f t="shared" si="7"/>
        <v>4</v>
      </c>
      <c r="W29" s="71">
        <f t="shared" si="7"/>
        <v>8</v>
      </c>
      <c r="X29" s="71">
        <f t="shared" si="7"/>
        <v>8</v>
      </c>
      <c r="Y29" s="71">
        <f t="shared" si="7"/>
        <v>4</v>
      </c>
      <c r="Z29" s="71">
        <f t="shared" si="7"/>
        <v>5</v>
      </c>
      <c r="AA29" s="71">
        <f t="shared" si="7"/>
        <v>4</v>
      </c>
      <c r="AB29" s="71">
        <f t="shared" si="7"/>
        <v>7</v>
      </c>
      <c r="AC29" s="71">
        <f t="shared" si="7"/>
        <v>7</v>
      </c>
      <c r="AD29" s="71">
        <f t="shared" si="7"/>
        <v>5</v>
      </c>
      <c r="AE29" s="71">
        <f t="shared" si="7"/>
        <v>0</v>
      </c>
      <c r="AF29" s="71">
        <f t="shared" si="7"/>
        <v>7</v>
      </c>
      <c r="AG29" s="71">
        <f t="shared" si="7"/>
        <v>7</v>
      </c>
      <c r="AH29" s="71">
        <f t="shared" si="7"/>
        <v>5</v>
      </c>
      <c r="AI29" s="71">
        <f t="shared" si="7"/>
        <v>6</v>
      </c>
      <c r="AJ29" s="71">
        <f t="shared" si="7"/>
        <v>6</v>
      </c>
      <c r="AK29" s="71">
        <f t="shared" si="7"/>
        <v>6</v>
      </c>
      <c r="AL29" s="71">
        <f t="shared" si="7"/>
        <v>5</v>
      </c>
      <c r="AM29" s="71">
        <f t="shared" si="7"/>
        <v>5</v>
      </c>
      <c r="AN29" s="71">
        <f t="shared" si="7"/>
        <v>6</v>
      </c>
      <c r="AO29" s="71">
        <f t="shared" si="7"/>
        <v>4</v>
      </c>
      <c r="AP29" s="71">
        <f t="shared" si="7"/>
        <v>4</v>
      </c>
      <c r="AQ29" s="71">
        <f t="shared" si="7"/>
        <v>4</v>
      </c>
      <c r="AR29" s="71">
        <f t="shared" si="7"/>
        <v>3</v>
      </c>
      <c r="AS29" s="71">
        <f t="shared" si="7"/>
        <v>4</v>
      </c>
      <c r="AT29" s="71">
        <f t="shared" si="7"/>
        <v>5</v>
      </c>
      <c r="AU29" s="71">
        <f t="shared" si="7"/>
        <v>8</v>
      </c>
      <c r="AV29" s="71">
        <f t="shared" si="7"/>
        <v>4</v>
      </c>
      <c r="AW29" s="71">
        <f t="shared" si="7"/>
        <v>8</v>
      </c>
      <c r="AX29" s="71">
        <f t="shared" si="7"/>
        <v>4</v>
      </c>
      <c r="AY29" s="71">
        <f t="shared" si="7"/>
        <v>8</v>
      </c>
      <c r="AZ29" s="71">
        <f t="shared" si="7"/>
        <v>7</v>
      </c>
      <c r="BA29" s="71">
        <f t="shared" si="7"/>
        <v>5</v>
      </c>
      <c r="BB29" s="71">
        <f t="shared" si="7"/>
        <v>8</v>
      </c>
      <c r="BC29" s="71">
        <f t="shared" si="7"/>
        <v>5</v>
      </c>
      <c r="BD29" s="71">
        <f t="shared" si="7"/>
        <v>4</v>
      </c>
      <c r="BE29" s="71">
        <f t="shared" si="7"/>
        <v>6</v>
      </c>
      <c r="BF29" s="71">
        <f t="shared" si="7"/>
        <v>6</v>
      </c>
      <c r="BG29" s="71">
        <f t="shared" si="7"/>
        <v>4</v>
      </c>
      <c r="BH29" s="71">
        <f t="shared" si="7"/>
        <v>2</v>
      </c>
      <c r="BI29" s="71">
        <f t="shared" si="7"/>
        <v>6</v>
      </c>
      <c r="BJ29" s="71">
        <f t="shared" si="7"/>
        <v>5</v>
      </c>
      <c r="BK29" s="71">
        <f t="shared" si="7"/>
        <v>6</v>
      </c>
      <c r="BL29" s="71">
        <f t="shared" si="7"/>
        <v>5</v>
      </c>
      <c r="BM29" s="71">
        <f t="shared" si="7"/>
        <v>4</v>
      </c>
      <c r="BN29" s="71">
        <f t="shared" si="7"/>
        <v>8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14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2</v>
      </c>
      <c r="O30" s="73">
        <f t="shared" si="8"/>
        <v>2</v>
      </c>
      <c r="P30" s="73">
        <f t="shared" si="8"/>
        <v>6</v>
      </c>
      <c r="Q30" s="73">
        <f t="shared" si="8"/>
        <v>2</v>
      </c>
      <c r="R30" s="73">
        <f t="shared" si="8"/>
        <v>4</v>
      </c>
      <c r="S30" s="73">
        <f t="shared" si="8"/>
        <v>4</v>
      </c>
      <c r="T30" s="73">
        <f t="shared" si="8"/>
        <v>4</v>
      </c>
      <c r="U30" s="73">
        <f t="shared" si="8"/>
        <v>7</v>
      </c>
      <c r="V30" s="73">
        <f t="shared" si="8"/>
        <v>5</v>
      </c>
      <c r="W30" s="73">
        <f t="shared" si="8"/>
        <v>3</v>
      </c>
      <c r="X30" s="73">
        <f t="shared" si="8"/>
        <v>5</v>
      </c>
      <c r="Y30" s="73">
        <f t="shared" si="8"/>
        <v>5</v>
      </c>
      <c r="Z30" s="73">
        <f t="shared" si="8"/>
        <v>10</v>
      </c>
      <c r="AA30" s="73">
        <f t="shared" si="8"/>
        <v>5</v>
      </c>
      <c r="AB30" s="73">
        <f t="shared" si="8"/>
        <v>4</v>
      </c>
      <c r="AC30" s="73">
        <f t="shared" si="8"/>
        <v>4</v>
      </c>
      <c r="AD30" s="73">
        <f t="shared" si="8"/>
        <v>2</v>
      </c>
      <c r="AE30" s="73">
        <f t="shared" si="8"/>
        <v>5</v>
      </c>
      <c r="AF30" s="73">
        <f t="shared" si="8"/>
        <v>2</v>
      </c>
      <c r="AG30" s="73">
        <f t="shared" si="8"/>
        <v>2</v>
      </c>
      <c r="AH30" s="73">
        <f t="shared" si="8"/>
        <v>2</v>
      </c>
      <c r="AI30" s="73">
        <f t="shared" si="8"/>
        <v>1</v>
      </c>
      <c r="AJ30" s="73">
        <f t="shared" si="8"/>
        <v>1</v>
      </c>
      <c r="AK30" s="73">
        <f t="shared" si="8"/>
        <v>3</v>
      </c>
      <c r="AL30" s="73">
        <f t="shared" si="8"/>
        <v>4</v>
      </c>
      <c r="AM30" s="73">
        <f t="shared" si="8"/>
        <v>4</v>
      </c>
      <c r="AN30" s="73">
        <f t="shared" si="8"/>
        <v>1</v>
      </c>
      <c r="AO30" s="73">
        <f t="shared" si="8"/>
        <v>5</v>
      </c>
      <c r="AP30" s="73">
        <f t="shared" si="8"/>
        <v>1</v>
      </c>
      <c r="AQ30" s="73">
        <f t="shared" si="8"/>
        <v>5</v>
      </c>
      <c r="AR30" s="73">
        <f t="shared" si="8"/>
        <v>4</v>
      </c>
      <c r="AS30" s="73">
        <f t="shared" si="8"/>
        <v>7</v>
      </c>
      <c r="AT30" s="73">
        <f t="shared" si="8"/>
        <v>6</v>
      </c>
      <c r="AU30" s="73">
        <f t="shared" si="8"/>
        <v>3</v>
      </c>
      <c r="AV30" s="73">
        <f t="shared" si="8"/>
        <v>1</v>
      </c>
      <c r="AW30" s="73">
        <f t="shared" si="8"/>
        <v>3</v>
      </c>
      <c r="AX30" s="73">
        <f t="shared" si="8"/>
        <v>5</v>
      </c>
      <c r="AY30" s="73">
        <f t="shared" si="8"/>
        <v>5</v>
      </c>
      <c r="AZ30" s="73">
        <f t="shared" si="8"/>
        <v>4</v>
      </c>
      <c r="BA30" s="73">
        <f t="shared" si="8"/>
        <v>2</v>
      </c>
      <c r="BB30" s="73">
        <f t="shared" si="8"/>
        <v>3</v>
      </c>
      <c r="BC30" s="73">
        <f t="shared" si="8"/>
        <v>2</v>
      </c>
      <c r="BD30" s="73">
        <f t="shared" si="8"/>
        <v>5</v>
      </c>
      <c r="BE30" s="73">
        <f t="shared" si="8"/>
        <v>5</v>
      </c>
      <c r="BF30" s="73">
        <f t="shared" si="8"/>
        <v>5</v>
      </c>
      <c r="BG30" s="73">
        <f t="shared" si="8"/>
        <v>7</v>
      </c>
      <c r="BH30" s="73">
        <f t="shared" si="8"/>
        <v>3</v>
      </c>
      <c r="BI30" s="73">
        <f t="shared" si="8"/>
        <v>5</v>
      </c>
      <c r="BJ30" s="73">
        <f t="shared" si="8"/>
        <v>2</v>
      </c>
      <c r="BK30" s="73">
        <f t="shared" si="8"/>
        <v>3</v>
      </c>
      <c r="BL30" s="73">
        <f t="shared" si="8"/>
        <v>2</v>
      </c>
      <c r="BM30" s="73">
        <f t="shared" si="8"/>
        <v>1</v>
      </c>
      <c r="BN30" s="73">
        <f t="shared" si="8"/>
        <v>3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1</v>
      </c>
      <c r="O31" s="71">
        <f t="shared" ca="1" si="9"/>
        <v>3</v>
      </c>
      <c r="P31" s="71">
        <f t="shared" ca="1" si="9"/>
        <v>5</v>
      </c>
      <c r="Q31" s="71">
        <f t="shared" ca="1" si="9"/>
        <v>1</v>
      </c>
      <c r="R31" s="71">
        <f t="shared" ca="1" si="9"/>
        <v>3</v>
      </c>
      <c r="S31" s="71">
        <f t="shared" ca="1" si="9"/>
        <v>3</v>
      </c>
      <c r="T31" s="71">
        <f t="shared" ca="1" si="9"/>
        <v>5</v>
      </c>
      <c r="U31" s="71">
        <f t="shared" ca="1" si="9"/>
        <v>6</v>
      </c>
      <c r="V31" s="71">
        <f t="shared" ca="1" si="9"/>
        <v>4</v>
      </c>
      <c r="W31" s="71">
        <f t="shared" ca="1" si="9"/>
        <v>4</v>
      </c>
      <c r="X31" s="71">
        <f t="shared" ca="1" si="9"/>
        <v>6</v>
      </c>
      <c r="Y31" s="71">
        <f t="shared" ca="1" si="9"/>
        <v>4</v>
      </c>
      <c r="Z31" s="71">
        <f t="shared" ca="1" si="9"/>
        <v>9</v>
      </c>
      <c r="AA31" s="71">
        <f t="shared" ca="1" si="9"/>
        <v>6</v>
      </c>
      <c r="AB31" s="71">
        <f t="shared" ca="1" si="9"/>
        <v>3</v>
      </c>
      <c r="AC31" s="71">
        <f t="shared" ca="1" si="9"/>
        <v>3</v>
      </c>
      <c r="AD31" s="71">
        <f t="shared" ca="1" si="9"/>
        <v>1</v>
      </c>
      <c r="AE31" s="71">
        <f t="shared" ca="1" si="9"/>
        <v>4</v>
      </c>
      <c r="AF31" s="71">
        <f t="shared" ca="1" si="9"/>
        <v>3</v>
      </c>
      <c r="AG31" s="71">
        <f t="shared" ca="1" si="9"/>
        <v>3</v>
      </c>
      <c r="AH31" s="71">
        <f t="shared" ca="1" si="9"/>
        <v>1</v>
      </c>
      <c r="AI31" s="71">
        <f t="shared" ca="1" si="9"/>
        <v>2</v>
      </c>
      <c r="AJ31" s="71">
        <f t="shared" ca="1" si="9"/>
        <v>2</v>
      </c>
      <c r="AK31" s="71">
        <f t="shared" ca="1" si="9"/>
        <v>4</v>
      </c>
      <c r="AL31" s="71">
        <f t="shared" ca="1" si="9"/>
        <v>3</v>
      </c>
      <c r="AM31" s="71">
        <f t="shared" ca="1" si="9"/>
        <v>3</v>
      </c>
      <c r="AN31" s="71">
        <f t="shared" ca="1" si="9"/>
        <v>2</v>
      </c>
      <c r="AO31" s="71">
        <f t="shared" ca="1" si="9"/>
        <v>4</v>
      </c>
      <c r="AP31" s="71">
        <f t="shared" ca="1" si="9"/>
        <v>0</v>
      </c>
      <c r="AQ31" s="71">
        <f t="shared" ca="1" si="9"/>
        <v>6</v>
      </c>
      <c r="AR31" s="71">
        <f t="shared" ca="1" si="9"/>
        <v>3</v>
      </c>
      <c r="AS31" s="71">
        <f t="shared" ca="1" si="9"/>
        <v>6</v>
      </c>
      <c r="AT31" s="71">
        <f t="shared" ca="1" si="9"/>
        <v>5</v>
      </c>
      <c r="AU31" s="71">
        <f t="shared" ca="1" si="9"/>
        <v>4</v>
      </c>
      <c r="AV31" s="71">
        <f t="shared" ca="1" si="9"/>
        <v>2</v>
      </c>
      <c r="AW31" s="71">
        <f t="shared" ca="1" si="9"/>
        <v>4</v>
      </c>
      <c r="AX31" s="71">
        <f t="shared" ca="1" si="9"/>
        <v>6</v>
      </c>
      <c r="AY31" s="71">
        <f t="shared" ca="1" si="9"/>
        <v>4</v>
      </c>
      <c r="AZ31" s="71">
        <f t="shared" ca="1" si="9"/>
        <v>5</v>
      </c>
      <c r="BA31" s="71">
        <f t="shared" ca="1" si="9"/>
        <v>3</v>
      </c>
      <c r="BB31" s="71">
        <f t="shared" ca="1" si="9"/>
        <v>4</v>
      </c>
      <c r="BC31" s="71">
        <f t="shared" ca="1" si="9"/>
        <v>3</v>
      </c>
      <c r="BD31" s="71">
        <f t="shared" ca="1" si="9"/>
        <v>4</v>
      </c>
      <c r="BE31" s="71">
        <f t="shared" ca="1" si="9"/>
        <v>4</v>
      </c>
      <c r="BF31" s="71">
        <f t="shared" ca="1" si="9"/>
        <v>4</v>
      </c>
      <c r="BG31" s="71">
        <f t="shared" ca="1" si="9"/>
        <v>8</v>
      </c>
      <c r="BH31" s="71">
        <f t="shared" ca="1" si="9"/>
        <v>4</v>
      </c>
      <c r="BI31" s="71">
        <f t="shared" ca="1" si="9"/>
        <v>4</v>
      </c>
      <c r="BJ31" s="71">
        <f t="shared" ca="1" si="9"/>
        <v>1</v>
      </c>
      <c r="BK31" s="71">
        <f t="shared" ca="1" si="9"/>
        <v>2</v>
      </c>
      <c r="BL31" s="71">
        <f t="shared" ca="1" si="9"/>
        <v>3</v>
      </c>
      <c r="BM31" s="71">
        <f t="shared" ca="1" si="9"/>
        <v>0</v>
      </c>
      <c r="BN31" s="71">
        <f t="shared" ca="1" si="9"/>
        <v>4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59927960</v>
      </c>
      <c r="L36" s="32">
        <f t="shared" ref="L36:BN36" si="12">COUNTA(L23:L24)*((10000000*L25)+(1000000*(COUNTA(L21)*$E21+COUNTA(L22)*$E22))-(COUNTA($D$21:$D$22)*1000*L26)-(COUNTA($D$21:$D$22)*L27))</f>
        <v>161987988</v>
      </c>
      <c r="M36" s="32">
        <f t="shared" si="12"/>
        <v>121955988</v>
      </c>
      <c r="N36" s="32">
        <f t="shared" si="12"/>
        <v>141955988</v>
      </c>
      <c r="O36" s="32">
        <f t="shared" si="12"/>
        <v>99903984</v>
      </c>
      <c r="P36" s="32">
        <f t="shared" si="12"/>
        <v>99907916</v>
      </c>
      <c r="Q36" s="32">
        <f t="shared" si="12"/>
        <v>101959984</v>
      </c>
      <c r="R36" s="32">
        <f t="shared" si="12"/>
        <v>99931988</v>
      </c>
      <c r="S36" s="32">
        <f t="shared" si="12"/>
        <v>181975920</v>
      </c>
      <c r="T36" s="32">
        <f t="shared" si="12"/>
        <v>-4003900051828</v>
      </c>
      <c r="U36" s="32">
        <f t="shared" si="12"/>
        <v>121883844</v>
      </c>
      <c r="V36" s="32">
        <f t="shared" si="12"/>
        <v>121975688</v>
      </c>
      <c r="W36" s="32">
        <f t="shared" si="12"/>
        <v>161955988</v>
      </c>
      <c r="X36" s="32">
        <f t="shared" si="12"/>
        <v>79911976</v>
      </c>
      <c r="Y36" s="32">
        <f t="shared" si="12"/>
        <v>119915972</v>
      </c>
      <c r="Z36" s="32">
        <f t="shared" si="12"/>
        <v>99936000</v>
      </c>
      <c r="AA36" s="32">
        <f t="shared" si="12"/>
        <v>81971996</v>
      </c>
      <c r="AB36" s="32">
        <f t="shared" si="12"/>
        <v>99927960</v>
      </c>
      <c r="AC36" s="32">
        <f t="shared" si="12"/>
        <v>139923940</v>
      </c>
      <c r="AD36" s="32">
        <f t="shared" si="12"/>
        <v>99903960</v>
      </c>
      <c r="AE36" s="32">
        <f t="shared" si="12"/>
        <v>81971996</v>
      </c>
      <c r="AF36" s="32">
        <f t="shared" si="12"/>
        <v>101955988</v>
      </c>
      <c r="AG36" s="32">
        <f t="shared" si="12"/>
        <v>101955908</v>
      </c>
      <c r="AH36" s="32">
        <f t="shared" si="12"/>
        <v>141955988</v>
      </c>
      <c r="AI36" s="32">
        <f t="shared" si="12"/>
        <v>79927936</v>
      </c>
      <c r="AJ36" s="32">
        <f t="shared" si="12"/>
        <v>79903936</v>
      </c>
      <c r="AK36" s="32">
        <f t="shared" si="12"/>
        <v>81983960</v>
      </c>
      <c r="AL36" s="32">
        <f t="shared" si="12"/>
        <v>99915980</v>
      </c>
      <c r="AM36" s="32">
        <f t="shared" si="12"/>
        <v>141955988</v>
      </c>
      <c r="AN36" s="32">
        <f t="shared" si="12"/>
        <v>121959960</v>
      </c>
      <c r="AO36" s="32">
        <f t="shared" si="12"/>
        <v>39899932</v>
      </c>
      <c r="AP36" s="32">
        <f t="shared" si="12"/>
        <v>121983976</v>
      </c>
      <c r="AQ36" s="32">
        <f t="shared" si="12"/>
        <v>39899988</v>
      </c>
      <c r="AR36" s="32">
        <f t="shared" si="12"/>
        <v>141971972</v>
      </c>
      <c r="AS36" s="32">
        <f t="shared" si="12"/>
        <v>81955996</v>
      </c>
      <c r="AT36" s="32">
        <f t="shared" si="12"/>
        <v>139903960</v>
      </c>
      <c r="AU36" s="32">
        <f t="shared" si="12"/>
        <v>119931988</v>
      </c>
      <c r="AV36" s="32">
        <f t="shared" si="12"/>
        <v>81955940</v>
      </c>
      <c r="AW36" s="32">
        <f t="shared" si="12"/>
        <v>121971980</v>
      </c>
      <c r="AX36" s="32">
        <f t="shared" si="12"/>
        <v>41987932</v>
      </c>
      <c r="AY36" s="32">
        <f t="shared" si="12"/>
        <v>119919992</v>
      </c>
      <c r="AZ36" s="32">
        <f t="shared" si="12"/>
        <v>101987988</v>
      </c>
      <c r="BA36" s="32">
        <f t="shared" si="12"/>
        <v>99915860</v>
      </c>
      <c r="BB36" s="32">
        <f t="shared" si="12"/>
        <v>121971740</v>
      </c>
      <c r="BC36" s="32">
        <f t="shared" si="12"/>
        <v>101951960</v>
      </c>
      <c r="BD36" s="32">
        <f t="shared" si="12"/>
        <v>79927984</v>
      </c>
      <c r="BE36" s="32">
        <f t="shared" si="12"/>
        <v>121955988</v>
      </c>
      <c r="BF36" s="32">
        <f t="shared" si="12"/>
        <v>161967904</v>
      </c>
      <c r="BG36" s="32">
        <f t="shared" si="12"/>
        <v>79939948</v>
      </c>
      <c r="BH36" s="32">
        <f t="shared" si="12"/>
        <v>81911968</v>
      </c>
      <c r="BI36" s="32">
        <f t="shared" si="12"/>
        <v>79883956</v>
      </c>
      <c r="BJ36" s="32">
        <f t="shared" si="12"/>
        <v>99931852</v>
      </c>
      <c r="BK36" s="32">
        <f t="shared" si="12"/>
        <v>121955964</v>
      </c>
      <c r="BL36" s="32">
        <f t="shared" si="12"/>
        <v>101979988</v>
      </c>
      <c r="BM36" s="32">
        <f t="shared" si="12"/>
        <v>121955940</v>
      </c>
      <c r="BN36" s="32">
        <f t="shared" si="12"/>
        <v>79931940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 x14ac:dyDescent="0.25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Brent;Holley, Jeremy Remote;Hucks, Jason;Inabinet, Greg;James, Larry C;Johnson, Robert J;Kandela, Marwan;Locklear,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60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259" priority="17" stopIfTrue="1" operator="equal">
      <formula>0</formula>
    </cfRule>
  </conditionalFormatting>
  <conditionalFormatting sqref="D26:J28 K28:BE28">
    <cfRule type="cellIs" dxfId="258" priority="16" stopIfTrue="1" operator="equal">
      <formula>1</formula>
    </cfRule>
  </conditionalFormatting>
  <conditionalFormatting sqref="H3:I3 F23 H5:I5 H7:I7 H9:I9 H11:I11 H13:I13 H15:I15 H17:I17 H19:I19 H21:I21">
    <cfRule type="cellIs" dxfId="257" priority="15" stopIfTrue="1" operator="equal">
      <formula>0</formula>
    </cfRule>
  </conditionalFormatting>
  <conditionalFormatting sqref="H4:I4 F24 H6:I6 H8:I8 H10:I10 H12:I12 H14:I14 H16:I16 H18:I18 H20:I20 H22:I22">
    <cfRule type="cellIs" dxfId="256" priority="14" stopIfTrue="1" operator="equal">
      <formula>0</formula>
    </cfRule>
  </conditionalFormatting>
  <conditionalFormatting sqref="F3 F5 F7 F9 F11 F13 F15 F17 F19 F21">
    <cfRule type="cellIs" dxfId="25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54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53" priority="10" stopIfTrue="1">
      <formula>AND(COUNTA(J4)=1,$E4=1,SUM($E3:$E4)=1)</formula>
    </cfRule>
    <cfRule type="expression" dxfId="252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251" priority="8" stopIfTrue="1">
      <formula>AND(COUNTA(J3)=1,$E3=1,SUM($E3:$E4)=1)</formula>
    </cfRule>
    <cfRule type="expression" dxfId="250" priority="9" stopIfTrue="1">
      <formula>AND(COUNTA(J3)=1,$E3=0,SUM($E3:$E4)=1)</formula>
    </cfRule>
  </conditionalFormatting>
  <conditionalFormatting sqref="BF23:BN23">
    <cfRule type="cellIs" dxfId="249" priority="7" stopIfTrue="1" operator="equal">
      <formula>0</formula>
    </cfRule>
  </conditionalFormatting>
  <conditionalFormatting sqref="BF24:BN24">
    <cfRule type="cellIs" dxfId="248" priority="6" stopIfTrue="1" operator="equal">
      <formula>0</formula>
    </cfRule>
  </conditionalFormatting>
  <conditionalFormatting sqref="BF28:BN28">
    <cfRule type="cellIs" dxfId="24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46" priority="3" stopIfTrue="1">
      <formula>AND(COUNTA(BF4)=1,$E4=1,SUM($E3:$E4)=1)</formula>
    </cfRule>
    <cfRule type="expression" dxfId="24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44" priority="1" stopIfTrue="1">
      <formula>AND(COUNTA(BF3)=1,$E3=1,SUM($E3:$E4)=1)</formula>
    </cfRule>
    <cfRule type="expression" dxfId="24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4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22860</xdr:colOff>
                    <xdr:row>1</xdr:row>
                    <xdr:rowOff>106680</xdr:rowOff>
                  </from>
                  <to>
                    <xdr:col>1</xdr:col>
                    <xdr:colOff>624840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4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22860</xdr:colOff>
                    <xdr:row>1</xdr:row>
                    <xdr:rowOff>381000</xdr:rowOff>
                  </from>
                  <to>
                    <xdr:col>1</xdr:col>
                    <xdr:colOff>624840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44" r:id="rId6" name="Button 4">
              <controlPr defaultSize="0" print="0" autoFill="0" autoPict="0" macro="[0]!grabSayings">
                <anchor moveWithCells="1" sizeWithCells="1">
                  <from>
                    <xdr:col>1</xdr:col>
                    <xdr:colOff>22860</xdr:colOff>
                    <xdr:row>1</xdr:row>
                    <xdr:rowOff>678180</xdr:rowOff>
                  </from>
                  <to>
                    <xdr:col>1</xdr:col>
                    <xdr:colOff>739140</xdr:colOff>
                    <xdr:row>1</xdr:row>
                    <xdr:rowOff>883920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N58"/>
  <sheetViews>
    <sheetView zoomScale="90" zoomScaleNormal="100" zoomScaleSheetLayoutView="100" workbookViewId="0">
      <selection activeCell="A29" sqref="A29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6" x14ac:dyDescent="0.25">
      <c r="B1" s="6"/>
      <c r="I1">
        <f>COUNTA(K1:BL1)</f>
        <v>0</v>
      </c>
      <c r="J1">
        <f>SUM(K1:BL1)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 x14ac:dyDescent="0.25">
      <c r="A3" s="59">
        <v>1</v>
      </c>
      <c r="B3" s="67" t="s">
        <v>212</v>
      </c>
      <c r="C3" s="65"/>
      <c r="D3" s="64">
        <v>37</v>
      </c>
      <c r="E3" s="64">
        <f>IF(ISBLANK($D3),"0",IF(($D4-$D3)&lt;($C4-$C3),1,0))</f>
        <v>1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311</v>
      </c>
      <c r="K3" s="69"/>
      <c r="L3" s="69"/>
      <c r="M3" s="69" t="s">
        <v>312</v>
      </c>
      <c r="N3" s="69" t="s">
        <v>355</v>
      </c>
      <c r="O3" s="69"/>
      <c r="P3" s="69"/>
      <c r="Q3" s="69"/>
      <c r="R3" s="69" t="s">
        <v>322</v>
      </c>
      <c r="S3" s="69" t="s">
        <v>316</v>
      </c>
      <c r="T3" s="69" t="s">
        <v>314</v>
      </c>
      <c r="U3" s="69"/>
      <c r="V3" s="69"/>
      <c r="W3" s="69"/>
      <c r="X3" s="69" t="s">
        <v>312</v>
      </c>
      <c r="Y3" s="69" t="s">
        <v>317</v>
      </c>
      <c r="Z3" s="69" t="s">
        <v>317</v>
      </c>
      <c r="AA3" s="69"/>
      <c r="AB3" s="69"/>
      <c r="AC3" s="69"/>
      <c r="AD3" s="69"/>
      <c r="AE3" s="69"/>
      <c r="AF3" s="69"/>
      <c r="AG3" s="69"/>
      <c r="AH3" s="69"/>
      <c r="AI3" s="69"/>
      <c r="AJ3" s="69" t="s">
        <v>314</v>
      </c>
      <c r="AK3" s="69" t="s">
        <v>317</v>
      </c>
      <c r="AL3" s="69" t="s">
        <v>347</v>
      </c>
      <c r="AM3" s="69" t="s">
        <v>333</v>
      </c>
      <c r="AN3" s="69"/>
      <c r="AO3" s="69" t="s">
        <v>317</v>
      </c>
      <c r="AP3" s="69"/>
      <c r="AQ3" s="69"/>
      <c r="AR3" s="99"/>
      <c r="AS3" s="69" t="s">
        <v>312</v>
      </c>
      <c r="AT3" s="69"/>
      <c r="AU3" s="69" t="s">
        <v>312</v>
      </c>
      <c r="AV3" s="69"/>
      <c r="AW3" s="69" t="s">
        <v>332</v>
      </c>
      <c r="AX3" s="69"/>
      <c r="AY3" s="69"/>
      <c r="AZ3" s="69" t="s">
        <v>315</v>
      </c>
      <c r="BA3" s="69"/>
      <c r="BB3" s="69" t="s">
        <v>319</v>
      </c>
      <c r="BC3" s="69" t="s">
        <v>357</v>
      </c>
      <c r="BD3" s="69"/>
      <c r="BE3" s="69"/>
      <c r="BF3" s="69" t="s">
        <v>368</v>
      </c>
      <c r="BG3" s="69" t="s">
        <v>408</v>
      </c>
      <c r="BH3" s="69" t="s">
        <v>317</v>
      </c>
      <c r="BI3" s="69" t="s">
        <v>445</v>
      </c>
      <c r="BJ3" s="69"/>
      <c r="BK3" s="69"/>
      <c r="BL3" s="69"/>
      <c r="BM3" s="69"/>
      <c r="BN3" s="69"/>
    </row>
    <row r="4" spans="1:66" x14ac:dyDescent="0.25">
      <c r="A4" s="61" t="s">
        <v>3</v>
      </c>
      <c r="B4" s="68" t="s">
        <v>186</v>
      </c>
      <c r="C4" s="66">
        <v>2.5</v>
      </c>
      <c r="D4" s="64">
        <v>34</v>
      </c>
      <c r="E4" s="64">
        <f>IF(ISBLANK($D4),"0",IF(($D4-$D3)&gt;($C4-$C3),1,0))</f>
        <v>0</v>
      </c>
      <c r="F4" s="64">
        <f t="shared" ref="F4:F22" ca="1" si="1">COUNTA(INDIRECT("RC11:RC"&amp;11+playercnt-1,FALSE))</f>
        <v>33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312</v>
      </c>
      <c r="L4" s="70" t="s">
        <v>313</v>
      </c>
      <c r="M4" s="70"/>
      <c r="N4" s="70"/>
      <c r="O4" s="70" t="s">
        <v>371</v>
      </c>
      <c r="P4" s="70" t="s">
        <v>317</v>
      </c>
      <c r="Q4" s="70" t="s">
        <v>347</v>
      </c>
      <c r="R4" s="70"/>
      <c r="S4" s="70"/>
      <c r="T4" s="70"/>
      <c r="U4" s="70" t="s">
        <v>367</v>
      </c>
      <c r="V4" s="70" t="s">
        <v>332</v>
      </c>
      <c r="W4" s="70" t="s">
        <v>317</v>
      </c>
      <c r="X4" s="70"/>
      <c r="Y4" s="70"/>
      <c r="Z4" s="70"/>
      <c r="AA4" s="70" t="s">
        <v>354</v>
      </c>
      <c r="AB4" s="70" t="s">
        <v>317</v>
      </c>
      <c r="AC4" s="70" t="s">
        <v>317</v>
      </c>
      <c r="AD4" s="70" t="s">
        <v>317</v>
      </c>
      <c r="AE4" s="70" t="s">
        <v>360</v>
      </c>
      <c r="AF4" s="70" t="s">
        <v>355</v>
      </c>
      <c r="AG4" s="70" t="s">
        <v>361</v>
      </c>
      <c r="AH4" s="70" t="s">
        <v>331</v>
      </c>
      <c r="AI4" s="70" t="s">
        <v>357</v>
      </c>
      <c r="AJ4" s="70"/>
      <c r="AK4" s="70"/>
      <c r="AL4" s="70"/>
      <c r="AM4" s="70"/>
      <c r="AN4" s="70" t="s">
        <v>317</v>
      </c>
      <c r="AO4" s="70"/>
      <c r="AP4" s="70" t="s">
        <v>329</v>
      </c>
      <c r="AQ4" s="70" t="s">
        <v>354</v>
      </c>
      <c r="AR4" s="70" t="s">
        <v>317</v>
      </c>
      <c r="AS4" s="70"/>
      <c r="AT4" s="70" t="s">
        <v>334</v>
      </c>
      <c r="AU4" s="70"/>
      <c r="AV4" s="70" t="s">
        <v>317</v>
      </c>
      <c r="AW4" s="70"/>
      <c r="AX4" s="70" t="s">
        <v>420</v>
      </c>
      <c r="AY4" s="100" t="s">
        <v>366</v>
      </c>
      <c r="AZ4" s="70"/>
      <c r="BA4" s="70" t="s">
        <v>317</v>
      </c>
      <c r="BB4" s="70"/>
      <c r="BC4" s="70"/>
      <c r="BD4" s="70" t="s">
        <v>352</v>
      </c>
      <c r="BE4" s="70" t="s">
        <v>367</v>
      </c>
      <c r="BF4" s="70"/>
      <c r="BG4" s="70"/>
      <c r="BH4" s="70"/>
      <c r="BI4" s="70"/>
      <c r="BJ4" s="100" t="s">
        <v>315</v>
      </c>
      <c r="BK4" s="70" t="s">
        <v>350</v>
      </c>
      <c r="BL4" s="70" t="s">
        <v>317</v>
      </c>
      <c r="BM4" s="70" t="s">
        <v>388</v>
      </c>
      <c r="BN4" s="70" t="s">
        <v>312</v>
      </c>
    </row>
    <row r="5" spans="1:66" x14ac:dyDescent="0.25">
      <c r="A5" s="59">
        <v>2</v>
      </c>
      <c r="B5" s="67" t="s">
        <v>166</v>
      </c>
      <c r="C5" s="65">
        <v>7.5</v>
      </c>
      <c r="D5" s="64">
        <v>45</v>
      </c>
      <c r="E5" s="64">
        <f>IF(ISBLANK($D5),"0",IF(($D6-$D5)&lt;($C6-$C5),1,0))</f>
        <v>1</v>
      </c>
      <c r="F5" s="64">
        <f t="shared" ca="1" si="1"/>
        <v>40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311</v>
      </c>
      <c r="K5" s="69"/>
      <c r="L5" s="69" t="s">
        <v>313</v>
      </c>
      <c r="M5" s="69" t="s">
        <v>312</v>
      </c>
      <c r="N5" s="69" t="s">
        <v>355</v>
      </c>
      <c r="O5" s="69" t="s">
        <v>371</v>
      </c>
      <c r="P5" s="69"/>
      <c r="Q5" s="69" t="s">
        <v>349</v>
      </c>
      <c r="R5" s="69" t="s">
        <v>323</v>
      </c>
      <c r="S5" s="69" t="s">
        <v>320</v>
      </c>
      <c r="T5" s="69"/>
      <c r="U5" s="69"/>
      <c r="V5" s="69" t="s">
        <v>324</v>
      </c>
      <c r="W5" s="69" t="s">
        <v>317</v>
      </c>
      <c r="X5" s="69" t="s">
        <v>312</v>
      </c>
      <c r="Y5" s="69" t="s">
        <v>317</v>
      </c>
      <c r="Z5" s="69"/>
      <c r="AA5" s="69" t="s">
        <v>354</v>
      </c>
      <c r="AB5" s="69" t="s">
        <v>317</v>
      </c>
      <c r="AC5" s="69"/>
      <c r="AD5" s="69" t="s">
        <v>317</v>
      </c>
      <c r="AE5" s="69" t="s">
        <v>347</v>
      </c>
      <c r="AF5" s="69" t="s">
        <v>355</v>
      </c>
      <c r="AG5" s="69" t="s">
        <v>323</v>
      </c>
      <c r="AH5" s="69"/>
      <c r="AI5" s="69" t="s">
        <v>344</v>
      </c>
      <c r="AJ5" s="69"/>
      <c r="AK5" s="69"/>
      <c r="AL5" s="69" t="s">
        <v>347</v>
      </c>
      <c r="AM5" s="69" t="s">
        <v>325</v>
      </c>
      <c r="AN5" s="69" t="s">
        <v>317</v>
      </c>
      <c r="AO5" s="69" t="s">
        <v>317</v>
      </c>
      <c r="AP5" s="69" t="s">
        <v>347</v>
      </c>
      <c r="AQ5" s="69"/>
      <c r="AR5" s="99" t="s">
        <v>317</v>
      </c>
      <c r="AS5" s="69"/>
      <c r="AT5" s="69"/>
      <c r="AU5" s="69" t="s">
        <v>312</v>
      </c>
      <c r="AV5" s="69" t="s">
        <v>317</v>
      </c>
      <c r="AW5" s="69" t="s">
        <v>320</v>
      </c>
      <c r="AX5" s="69"/>
      <c r="AY5" s="69" t="s">
        <v>366</v>
      </c>
      <c r="AZ5" s="69" t="s">
        <v>325</v>
      </c>
      <c r="BA5" s="69" t="s">
        <v>317</v>
      </c>
      <c r="BB5" s="69" t="s">
        <v>324</v>
      </c>
      <c r="BC5" s="69" t="s">
        <v>357</v>
      </c>
      <c r="BD5" s="69"/>
      <c r="BE5" s="69" t="s">
        <v>367</v>
      </c>
      <c r="BF5" s="69" t="s">
        <v>368</v>
      </c>
      <c r="BG5" s="69" t="s">
        <v>408</v>
      </c>
      <c r="BH5" s="69"/>
      <c r="BI5" s="69"/>
      <c r="BJ5" s="99" t="s">
        <v>315</v>
      </c>
      <c r="BK5" s="69" t="s">
        <v>350</v>
      </c>
      <c r="BL5" s="69" t="s">
        <v>317</v>
      </c>
      <c r="BM5" s="69" t="s">
        <v>388</v>
      </c>
      <c r="BN5" s="69" t="s">
        <v>312</v>
      </c>
    </row>
    <row r="6" spans="1:66" x14ac:dyDescent="0.25">
      <c r="A6" s="61" t="s">
        <v>3</v>
      </c>
      <c r="B6" s="68" t="s">
        <v>206</v>
      </c>
      <c r="C6" s="66"/>
      <c r="D6" s="64">
        <v>24</v>
      </c>
      <c r="E6" s="64">
        <f>IF(ISBLANK($D6),"0",IF(($D6-$D5)&gt;($C6-$C5),1,0))</f>
        <v>0</v>
      </c>
      <c r="F6" s="64">
        <f t="shared" ca="1" si="1"/>
        <v>16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312</v>
      </c>
      <c r="L6" s="70"/>
      <c r="M6" s="70"/>
      <c r="N6" s="70"/>
      <c r="O6" s="70"/>
      <c r="P6" s="70" t="s">
        <v>317</v>
      </c>
      <c r="Q6" s="70"/>
      <c r="R6" s="70"/>
      <c r="S6" s="70"/>
      <c r="T6" s="70" t="s">
        <v>333</v>
      </c>
      <c r="U6" s="70" t="s">
        <v>357</v>
      </c>
      <c r="V6" s="70"/>
      <c r="W6" s="70"/>
      <c r="X6" s="70"/>
      <c r="Y6" s="70"/>
      <c r="Z6" s="70" t="s">
        <v>317</v>
      </c>
      <c r="AA6" s="70"/>
      <c r="AB6" s="70"/>
      <c r="AC6" s="70" t="s">
        <v>317</v>
      </c>
      <c r="AD6" s="70"/>
      <c r="AE6" s="70"/>
      <c r="AF6" s="70"/>
      <c r="AG6" s="70"/>
      <c r="AH6" s="70" t="s">
        <v>323</v>
      </c>
      <c r="AI6" s="70"/>
      <c r="AJ6" s="70" t="s">
        <v>314</v>
      </c>
      <c r="AK6" s="70" t="s">
        <v>317</v>
      </c>
      <c r="AL6" s="70"/>
      <c r="AM6" s="70"/>
      <c r="AN6" s="70"/>
      <c r="AO6" s="70"/>
      <c r="AP6" s="70"/>
      <c r="AQ6" s="70" t="s">
        <v>354</v>
      </c>
      <c r="AR6" s="70"/>
      <c r="AS6" s="70" t="s">
        <v>312</v>
      </c>
      <c r="AT6" s="70" t="s">
        <v>334</v>
      </c>
      <c r="AU6" s="70"/>
      <c r="AV6" s="70"/>
      <c r="AW6" s="70"/>
      <c r="AX6" s="70" t="s">
        <v>443</v>
      </c>
      <c r="AY6" s="70"/>
      <c r="AZ6" s="70"/>
      <c r="BA6" s="70"/>
      <c r="BB6" s="70"/>
      <c r="BC6" s="70"/>
      <c r="BD6" s="70" t="s">
        <v>351</v>
      </c>
      <c r="BE6" s="70"/>
      <c r="BF6" s="70"/>
      <c r="BG6" s="70"/>
      <c r="BH6" s="70" t="s">
        <v>317</v>
      </c>
      <c r="BI6" s="70" t="s">
        <v>446</v>
      </c>
      <c r="BJ6" s="70"/>
      <c r="BK6" s="70"/>
      <c r="BL6" s="70"/>
      <c r="BM6" s="70"/>
      <c r="BN6" s="70"/>
    </row>
    <row r="7" spans="1:66" x14ac:dyDescent="0.25">
      <c r="A7" s="59">
        <v>3</v>
      </c>
      <c r="B7" s="67" t="s">
        <v>218</v>
      </c>
      <c r="C7" s="65">
        <v>5.5</v>
      </c>
      <c r="D7" s="64">
        <v>14</v>
      </c>
      <c r="E7" s="64">
        <f>IF(ISBLANK($D7),"0",IF(($D8-$D7)&lt;($C8-$C7),1,0))</f>
        <v>0</v>
      </c>
      <c r="F7" s="64">
        <f t="shared" ca="1" si="1"/>
        <v>36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311</v>
      </c>
      <c r="K7" s="69"/>
      <c r="L7" s="69" t="s">
        <v>313</v>
      </c>
      <c r="M7" s="69" t="s">
        <v>312</v>
      </c>
      <c r="N7" s="69" t="s">
        <v>355</v>
      </c>
      <c r="O7" s="69" t="s">
        <v>371</v>
      </c>
      <c r="P7" s="69" t="s">
        <v>317</v>
      </c>
      <c r="Q7" s="69" t="s">
        <v>349</v>
      </c>
      <c r="R7" s="69" t="s">
        <v>336</v>
      </c>
      <c r="S7" s="69" t="s">
        <v>323</v>
      </c>
      <c r="T7" s="69" t="s">
        <v>329</v>
      </c>
      <c r="U7" s="69"/>
      <c r="V7" s="69" t="s">
        <v>335</v>
      </c>
      <c r="W7" s="69"/>
      <c r="X7" s="69" t="s">
        <v>312</v>
      </c>
      <c r="Y7" s="69" t="s">
        <v>317</v>
      </c>
      <c r="Z7" s="69"/>
      <c r="AA7" s="69" t="s">
        <v>354</v>
      </c>
      <c r="AB7" s="69" t="s">
        <v>317</v>
      </c>
      <c r="AC7" s="69"/>
      <c r="AD7" s="69"/>
      <c r="AE7" s="69" t="s">
        <v>387</v>
      </c>
      <c r="AF7" s="69" t="s">
        <v>355</v>
      </c>
      <c r="AG7" s="69" t="s">
        <v>350</v>
      </c>
      <c r="AH7" s="69"/>
      <c r="AI7" s="69" t="s">
        <v>379</v>
      </c>
      <c r="AJ7" s="69" t="s">
        <v>314</v>
      </c>
      <c r="AK7" s="69"/>
      <c r="AL7" s="69"/>
      <c r="AM7" s="69" t="s">
        <v>320</v>
      </c>
      <c r="AN7" s="69"/>
      <c r="AO7" s="69" t="s">
        <v>317</v>
      </c>
      <c r="AP7" s="69" t="s">
        <v>351</v>
      </c>
      <c r="AQ7" s="69"/>
      <c r="AR7" s="99" t="s">
        <v>317</v>
      </c>
      <c r="AS7" s="69"/>
      <c r="AT7" s="69" t="s">
        <v>334</v>
      </c>
      <c r="AU7" s="69" t="s">
        <v>312</v>
      </c>
      <c r="AV7" s="69" t="s">
        <v>317</v>
      </c>
      <c r="AW7" s="69" t="s">
        <v>350</v>
      </c>
      <c r="AX7" s="69" t="s">
        <v>338</v>
      </c>
      <c r="AY7" s="69" t="s">
        <v>366</v>
      </c>
      <c r="AZ7" s="69" t="s">
        <v>350</v>
      </c>
      <c r="BA7" s="69" t="s">
        <v>317</v>
      </c>
      <c r="BB7" s="69"/>
      <c r="BC7" s="69"/>
      <c r="BD7" s="69"/>
      <c r="BE7" s="69" t="s">
        <v>367</v>
      </c>
      <c r="BF7" s="69"/>
      <c r="BG7" s="69"/>
      <c r="BH7" s="69"/>
      <c r="BI7" s="69" t="s">
        <v>447</v>
      </c>
      <c r="BJ7" s="99" t="s">
        <v>315</v>
      </c>
      <c r="BK7" s="69" t="s">
        <v>350</v>
      </c>
      <c r="BL7" s="69"/>
      <c r="BM7" s="69" t="s">
        <v>388</v>
      </c>
      <c r="BN7" s="69"/>
    </row>
    <row r="8" spans="1:66" x14ac:dyDescent="0.25">
      <c r="A8" s="61" t="s">
        <v>3</v>
      </c>
      <c r="B8" s="68" t="s">
        <v>226</v>
      </c>
      <c r="C8" s="66"/>
      <c r="D8" s="64">
        <v>21</v>
      </c>
      <c r="E8" s="64">
        <f>IF(ISBLANK($D8),"0",IF(($D8-$D7)&gt;($C8-$C7),1,0))</f>
        <v>1</v>
      </c>
      <c r="F8" s="64">
        <f t="shared" ca="1" si="1"/>
        <v>20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312</v>
      </c>
      <c r="L8" s="70"/>
      <c r="M8" s="70"/>
      <c r="N8" s="70"/>
      <c r="O8" s="70"/>
      <c r="P8" s="70"/>
      <c r="Q8" s="70"/>
      <c r="R8" s="70"/>
      <c r="S8" s="70"/>
      <c r="T8" s="70"/>
      <c r="U8" s="70" t="s">
        <v>337</v>
      </c>
      <c r="V8" s="70"/>
      <c r="W8" s="70" t="s">
        <v>317</v>
      </c>
      <c r="X8" s="70"/>
      <c r="Y8" s="70"/>
      <c r="Z8" s="70" t="s">
        <v>317</v>
      </c>
      <c r="AA8" s="70"/>
      <c r="AB8" s="70"/>
      <c r="AC8" s="70" t="s">
        <v>317</v>
      </c>
      <c r="AD8" s="70" t="s">
        <v>317</v>
      </c>
      <c r="AE8" s="70"/>
      <c r="AF8" s="70"/>
      <c r="AG8" s="70"/>
      <c r="AH8" s="70" t="s">
        <v>350</v>
      </c>
      <c r="AI8" s="70"/>
      <c r="AJ8" s="70"/>
      <c r="AK8" s="70" t="s">
        <v>317</v>
      </c>
      <c r="AL8" s="70" t="s">
        <v>347</v>
      </c>
      <c r="AM8" s="70"/>
      <c r="AN8" s="70" t="s">
        <v>317</v>
      </c>
      <c r="AO8" s="70"/>
      <c r="AP8" s="70"/>
      <c r="AQ8" s="70" t="s">
        <v>354</v>
      </c>
      <c r="AR8" s="70"/>
      <c r="AS8" s="70" t="s">
        <v>312</v>
      </c>
      <c r="AT8" s="70"/>
      <c r="AU8" s="70"/>
      <c r="AV8" s="70"/>
      <c r="AW8" s="70"/>
      <c r="AX8" s="70"/>
      <c r="AY8" s="70"/>
      <c r="AZ8" s="70"/>
      <c r="BA8" s="70"/>
      <c r="BB8" s="70" t="s">
        <v>314</v>
      </c>
      <c r="BC8" s="70" t="s">
        <v>357</v>
      </c>
      <c r="BD8" s="70" t="s">
        <v>343</v>
      </c>
      <c r="BE8" s="70"/>
      <c r="BF8" s="70" t="s">
        <v>368</v>
      </c>
      <c r="BG8" s="70" t="s">
        <v>408</v>
      </c>
      <c r="BH8" s="70" t="s">
        <v>312</v>
      </c>
      <c r="BI8" s="70"/>
      <c r="BJ8" s="70"/>
      <c r="BK8" s="70"/>
      <c r="BL8" s="70" t="s">
        <v>317</v>
      </c>
      <c r="BM8" s="70"/>
      <c r="BN8" s="70" t="s">
        <v>408</v>
      </c>
    </row>
    <row r="9" spans="1:66" x14ac:dyDescent="0.25">
      <c r="A9" s="59">
        <v>4</v>
      </c>
      <c r="B9" s="67" t="s">
        <v>158</v>
      </c>
      <c r="C9" s="65"/>
      <c r="D9" s="81">
        <v>7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 t="s">
        <v>312</v>
      </c>
      <c r="L9" s="69" t="s">
        <v>313</v>
      </c>
      <c r="M9" s="69" t="s">
        <v>312</v>
      </c>
      <c r="N9" s="69"/>
      <c r="O9" s="69" t="s">
        <v>371</v>
      </c>
      <c r="P9" s="69" t="s">
        <v>317</v>
      </c>
      <c r="Q9" s="69" t="s">
        <v>351</v>
      </c>
      <c r="R9" s="69" t="s">
        <v>336</v>
      </c>
      <c r="S9" s="69" t="s">
        <v>350</v>
      </c>
      <c r="T9" s="69"/>
      <c r="U9" s="69" t="s">
        <v>438</v>
      </c>
      <c r="V9" s="69" t="s">
        <v>325</v>
      </c>
      <c r="W9" s="69" t="s">
        <v>317</v>
      </c>
      <c r="X9" s="69" t="s">
        <v>312</v>
      </c>
      <c r="Y9" s="69" t="s">
        <v>317</v>
      </c>
      <c r="Z9" s="69"/>
      <c r="AA9" s="69" t="s">
        <v>354</v>
      </c>
      <c r="AB9" s="69" t="s">
        <v>317</v>
      </c>
      <c r="AC9" s="69" t="s">
        <v>317</v>
      </c>
      <c r="AD9" s="69" t="s">
        <v>317</v>
      </c>
      <c r="AE9" s="69"/>
      <c r="AF9" s="69" t="s">
        <v>355</v>
      </c>
      <c r="AG9" s="69"/>
      <c r="AH9" s="69" t="s">
        <v>339</v>
      </c>
      <c r="AI9" s="69" t="s">
        <v>337</v>
      </c>
      <c r="AJ9" s="69" t="s">
        <v>314</v>
      </c>
      <c r="AK9" s="69" t="s">
        <v>317</v>
      </c>
      <c r="AL9" s="69" t="s">
        <v>347</v>
      </c>
      <c r="AM9" s="69" t="s">
        <v>336</v>
      </c>
      <c r="AN9" s="69"/>
      <c r="AO9" s="69" t="s">
        <v>317</v>
      </c>
      <c r="AP9" s="69" t="s">
        <v>352</v>
      </c>
      <c r="AQ9" s="69"/>
      <c r="AR9" s="99" t="s">
        <v>317</v>
      </c>
      <c r="AS9" s="69"/>
      <c r="AT9" s="69"/>
      <c r="AU9" s="69" t="s">
        <v>312</v>
      </c>
      <c r="AV9" s="69" t="s">
        <v>317</v>
      </c>
      <c r="AW9" s="69"/>
      <c r="AX9" s="69" t="s">
        <v>340</v>
      </c>
      <c r="AY9" s="69" t="s">
        <v>366</v>
      </c>
      <c r="AZ9" s="69" t="s">
        <v>338</v>
      </c>
      <c r="BA9" s="69" t="s">
        <v>317</v>
      </c>
      <c r="BB9" s="69"/>
      <c r="BC9" s="69" t="s">
        <v>357</v>
      </c>
      <c r="BD9" s="69"/>
      <c r="BE9" s="69" t="s">
        <v>367</v>
      </c>
      <c r="BF9" s="69"/>
      <c r="BG9" s="69"/>
      <c r="BH9" s="69"/>
      <c r="BI9" s="69" t="s">
        <v>327</v>
      </c>
      <c r="BJ9" s="99" t="s">
        <v>315</v>
      </c>
      <c r="BK9" s="69"/>
      <c r="BL9" s="69"/>
      <c r="BM9" s="69" t="s">
        <v>388</v>
      </c>
      <c r="BN9" s="69" t="s">
        <v>408</v>
      </c>
    </row>
    <row r="10" spans="1:66" x14ac:dyDescent="0.25">
      <c r="A10" s="61" t="s">
        <v>3</v>
      </c>
      <c r="B10" s="68" t="s">
        <v>177</v>
      </c>
      <c r="C10" s="66">
        <v>3.5</v>
      </c>
      <c r="D10" s="64">
        <v>24</v>
      </c>
      <c r="E10" s="64">
        <f>IF(ISBLANK($D10),"0",IF(($D10-$D9)&gt;($C10-$C9),1,0))</f>
        <v>1</v>
      </c>
      <c r="F10" s="64">
        <f t="shared" ca="1" si="1"/>
        <v>17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311</v>
      </c>
      <c r="K10" s="70"/>
      <c r="L10" s="70"/>
      <c r="M10" s="70"/>
      <c r="N10" s="70" t="s">
        <v>355</v>
      </c>
      <c r="O10" s="70"/>
      <c r="P10" s="70"/>
      <c r="Q10" s="70"/>
      <c r="R10" s="70"/>
      <c r="S10" s="70"/>
      <c r="T10" s="70" t="s">
        <v>328</v>
      </c>
      <c r="U10" s="70"/>
      <c r="V10" s="70"/>
      <c r="W10" s="70"/>
      <c r="X10" s="70"/>
      <c r="Y10" s="70"/>
      <c r="Z10" s="70" t="s">
        <v>317</v>
      </c>
      <c r="AA10" s="70"/>
      <c r="AB10" s="70"/>
      <c r="AC10" s="70"/>
      <c r="AD10" s="70"/>
      <c r="AE10" s="70" t="s">
        <v>333</v>
      </c>
      <c r="AF10" s="70"/>
      <c r="AG10" s="70" t="s">
        <v>350</v>
      </c>
      <c r="AH10" s="70"/>
      <c r="AI10" s="70"/>
      <c r="AJ10" s="70"/>
      <c r="AK10" s="70"/>
      <c r="AL10" s="70"/>
      <c r="AM10" s="70"/>
      <c r="AN10" s="70" t="s">
        <v>317</v>
      </c>
      <c r="AO10" s="70"/>
      <c r="AP10" s="70"/>
      <c r="AQ10" s="70" t="s">
        <v>354</v>
      </c>
      <c r="AR10" s="70"/>
      <c r="AS10" s="70" t="s">
        <v>312</v>
      </c>
      <c r="AT10" s="70" t="s">
        <v>334</v>
      </c>
      <c r="AU10" s="70"/>
      <c r="AV10" s="70"/>
      <c r="AW10" s="70" t="s">
        <v>331</v>
      </c>
      <c r="AX10" s="70"/>
      <c r="AY10" s="70"/>
      <c r="AZ10" s="70"/>
      <c r="BA10" s="70"/>
      <c r="BB10" s="70" t="s">
        <v>324</v>
      </c>
      <c r="BC10" s="70"/>
      <c r="BD10" s="70" t="s">
        <v>338</v>
      </c>
      <c r="BE10" s="70"/>
      <c r="BF10" s="70" t="s">
        <v>368</v>
      </c>
      <c r="BG10" s="70" t="s">
        <v>408</v>
      </c>
      <c r="BH10" s="70" t="s">
        <v>317</v>
      </c>
      <c r="BI10" s="70"/>
      <c r="BJ10" s="70"/>
      <c r="BK10" s="70" t="s">
        <v>350</v>
      </c>
      <c r="BL10" s="70" t="s">
        <v>317</v>
      </c>
      <c r="BM10" s="70"/>
      <c r="BN10" s="70"/>
    </row>
    <row r="11" spans="1:66" x14ac:dyDescent="0.25">
      <c r="A11" s="59">
        <v>5</v>
      </c>
      <c r="B11" s="67" t="s">
        <v>225</v>
      </c>
      <c r="C11" s="65">
        <v>4.5</v>
      </c>
      <c r="D11" s="64">
        <v>34</v>
      </c>
      <c r="E11" s="64">
        <f>IF(ISBLANK($D11),"0",IF(($D12-$D11)&lt;($C12-$C11),1,0))</f>
        <v>1</v>
      </c>
      <c r="F11" s="64">
        <f t="shared" ca="1" si="1"/>
        <v>43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311</v>
      </c>
      <c r="K11" s="69" t="s">
        <v>312</v>
      </c>
      <c r="L11" s="69" t="s">
        <v>313</v>
      </c>
      <c r="M11" s="69" t="s">
        <v>312</v>
      </c>
      <c r="N11" s="69"/>
      <c r="O11" s="69" t="s">
        <v>371</v>
      </c>
      <c r="P11" s="69"/>
      <c r="Q11" s="69"/>
      <c r="R11" s="69" t="s">
        <v>346</v>
      </c>
      <c r="S11" s="69" t="s">
        <v>327</v>
      </c>
      <c r="T11" s="69" t="s">
        <v>334</v>
      </c>
      <c r="U11" s="69" t="s">
        <v>379</v>
      </c>
      <c r="V11" s="69" t="s">
        <v>348</v>
      </c>
      <c r="W11" s="69" t="s">
        <v>317</v>
      </c>
      <c r="X11" s="69" t="s">
        <v>312</v>
      </c>
      <c r="Y11" s="69" t="s">
        <v>317</v>
      </c>
      <c r="Z11" s="69" t="s">
        <v>317</v>
      </c>
      <c r="AA11" s="69" t="s">
        <v>354</v>
      </c>
      <c r="AB11" s="69"/>
      <c r="AC11" s="69" t="s">
        <v>317</v>
      </c>
      <c r="AD11" s="69" t="s">
        <v>317</v>
      </c>
      <c r="AE11" s="69" t="s">
        <v>329</v>
      </c>
      <c r="AF11" s="69"/>
      <c r="AG11" s="69" t="s">
        <v>440</v>
      </c>
      <c r="AH11" s="69" t="s">
        <v>335</v>
      </c>
      <c r="AI11" s="69" t="s">
        <v>380</v>
      </c>
      <c r="AJ11" s="69" t="s">
        <v>314</v>
      </c>
      <c r="AK11" s="69" t="s">
        <v>317</v>
      </c>
      <c r="AL11" s="69" t="s">
        <v>347</v>
      </c>
      <c r="AM11" s="69" t="s">
        <v>324</v>
      </c>
      <c r="AN11" s="69" t="s">
        <v>317</v>
      </c>
      <c r="AO11" s="69" t="s">
        <v>317</v>
      </c>
      <c r="AP11" s="69" t="s">
        <v>333</v>
      </c>
      <c r="AQ11" s="69"/>
      <c r="AR11" s="69" t="s">
        <v>317</v>
      </c>
      <c r="AS11" s="69" t="s">
        <v>312</v>
      </c>
      <c r="AT11" s="69" t="s">
        <v>334</v>
      </c>
      <c r="AU11" s="69"/>
      <c r="AV11" s="69" t="s">
        <v>317</v>
      </c>
      <c r="AW11" s="69" t="s">
        <v>320</v>
      </c>
      <c r="AX11" s="69" t="s">
        <v>325</v>
      </c>
      <c r="AY11" s="69" t="s">
        <v>366</v>
      </c>
      <c r="AZ11" s="69" t="s">
        <v>339</v>
      </c>
      <c r="BA11" s="69" t="s">
        <v>317</v>
      </c>
      <c r="BB11" s="69" t="s">
        <v>341</v>
      </c>
      <c r="BC11" s="69" t="s">
        <v>357</v>
      </c>
      <c r="BD11" s="69"/>
      <c r="BE11" s="69" t="s">
        <v>367</v>
      </c>
      <c r="BF11" s="69" t="s">
        <v>368</v>
      </c>
      <c r="BG11" s="69"/>
      <c r="BH11" s="69"/>
      <c r="BI11" s="69"/>
      <c r="BJ11" s="69"/>
      <c r="BK11" s="69" t="s">
        <v>350</v>
      </c>
      <c r="BL11" s="69"/>
      <c r="BM11" s="69" t="s">
        <v>388</v>
      </c>
      <c r="BN11" s="69" t="s">
        <v>312</v>
      </c>
    </row>
    <row r="12" spans="1:66" x14ac:dyDescent="0.25">
      <c r="A12" s="61" t="s">
        <v>3</v>
      </c>
      <c r="B12" s="68" t="s">
        <v>223</v>
      </c>
      <c r="C12" s="66"/>
      <c r="D12" s="64">
        <v>24</v>
      </c>
      <c r="E12" s="64">
        <f>IF(ISBLANK($D12),"0",IF(($D12-$D11)&gt;($C12-$C11),1,0))</f>
        <v>0</v>
      </c>
      <c r="F12" s="64">
        <f t="shared" ca="1" si="1"/>
        <v>13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355</v>
      </c>
      <c r="O12" s="70"/>
      <c r="P12" s="70" t="s">
        <v>317</v>
      </c>
      <c r="Q12" s="70" t="s">
        <v>340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 t="s">
        <v>317</v>
      </c>
      <c r="AC12" s="70"/>
      <c r="AD12" s="70"/>
      <c r="AE12" s="70"/>
      <c r="AF12" s="70" t="s">
        <v>355</v>
      </c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 t="s">
        <v>354</v>
      </c>
      <c r="AR12" s="100"/>
      <c r="AS12" s="70"/>
      <c r="AT12" s="70"/>
      <c r="AU12" s="70" t="s">
        <v>312</v>
      </c>
      <c r="AV12" s="70"/>
      <c r="AW12" s="70"/>
      <c r="AX12" s="70"/>
      <c r="AY12" s="70"/>
      <c r="AZ12" s="70"/>
      <c r="BA12" s="70"/>
      <c r="BB12" s="70"/>
      <c r="BC12" s="70"/>
      <c r="BD12" s="70" t="s">
        <v>334</v>
      </c>
      <c r="BE12" s="70"/>
      <c r="BF12" s="70"/>
      <c r="BG12" s="70" t="s">
        <v>408</v>
      </c>
      <c r="BH12" s="70" t="s">
        <v>317</v>
      </c>
      <c r="BI12" s="70" t="s">
        <v>321</v>
      </c>
      <c r="BJ12" s="100" t="s">
        <v>315</v>
      </c>
      <c r="BK12" s="70"/>
      <c r="BL12" s="70" t="s">
        <v>317</v>
      </c>
      <c r="BM12" s="70"/>
      <c r="BN12" s="70"/>
    </row>
    <row r="13" spans="1:66" x14ac:dyDescent="0.25">
      <c r="A13" s="59">
        <v>6</v>
      </c>
      <c r="B13" s="67" t="s">
        <v>264</v>
      </c>
      <c r="C13" s="65"/>
      <c r="D13" s="64">
        <v>31</v>
      </c>
      <c r="E13" s="64">
        <f>IF(ISBLANK($D13),"0",IF(($D14-$D13)&lt;($C14-$C13),1,0))</f>
        <v>1</v>
      </c>
      <c r="F13" s="64">
        <f t="shared" ca="1" si="1"/>
        <v>26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311</v>
      </c>
      <c r="K13" s="69" t="s">
        <v>312</v>
      </c>
      <c r="L13" s="69"/>
      <c r="M13" s="69"/>
      <c r="N13" s="69" t="s">
        <v>355</v>
      </c>
      <c r="O13" s="69"/>
      <c r="P13" s="69"/>
      <c r="Q13" s="69"/>
      <c r="R13" s="69" t="s">
        <v>337</v>
      </c>
      <c r="S13" s="69" t="s">
        <v>320</v>
      </c>
      <c r="T13" s="69" t="s">
        <v>327</v>
      </c>
      <c r="U13" s="69" t="s">
        <v>316</v>
      </c>
      <c r="V13" s="69"/>
      <c r="W13" s="69"/>
      <c r="X13" s="69"/>
      <c r="Y13" s="69"/>
      <c r="Z13" s="69"/>
      <c r="AA13" s="69"/>
      <c r="AB13" s="69"/>
      <c r="AC13" s="69"/>
      <c r="AD13" s="69" t="s">
        <v>317</v>
      </c>
      <c r="AE13" s="69"/>
      <c r="AF13" s="69"/>
      <c r="AG13" s="69" t="s">
        <v>322</v>
      </c>
      <c r="AH13" s="69"/>
      <c r="AI13" s="69"/>
      <c r="AJ13" s="69"/>
      <c r="AK13" s="69" t="s">
        <v>317</v>
      </c>
      <c r="AL13" s="69" t="s">
        <v>347</v>
      </c>
      <c r="AM13" s="69"/>
      <c r="AN13" s="69" t="s">
        <v>317</v>
      </c>
      <c r="AO13" s="69"/>
      <c r="AP13" s="69" t="s">
        <v>360</v>
      </c>
      <c r="AQ13" s="69"/>
      <c r="AR13" s="99"/>
      <c r="AS13" s="69" t="s">
        <v>312</v>
      </c>
      <c r="AT13" s="69" t="s">
        <v>334</v>
      </c>
      <c r="AU13" s="69" t="s">
        <v>312</v>
      </c>
      <c r="AV13" s="69" t="s">
        <v>317</v>
      </c>
      <c r="AW13" s="69" t="s">
        <v>349</v>
      </c>
      <c r="AX13" s="69" t="s">
        <v>375</v>
      </c>
      <c r="AY13" s="69"/>
      <c r="AZ13" s="69" t="s">
        <v>360</v>
      </c>
      <c r="BA13" s="69"/>
      <c r="BB13" s="69" t="s">
        <v>320</v>
      </c>
      <c r="BC13" s="69" t="s">
        <v>357</v>
      </c>
      <c r="BD13" s="69"/>
      <c r="BE13" s="69" t="s">
        <v>367</v>
      </c>
      <c r="BF13" s="69" t="s">
        <v>368</v>
      </c>
      <c r="BG13" s="69"/>
      <c r="BH13" s="69"/>
      <c r="BI13" s="69" t="s">
        <v>320</v>
      </c>
      <c r="BJ13" s="69"/>
      <c r="BK13" s="69" t="s">
        <v>350</v>
      </c>
      <c r="BL13" s="69"/>
      <c r="BM13" s="69"/>
      <c r="BN13" s="69" t="s">
        <v>408</v>
      </c>
    </row>
    <row r="14" spans="1:66" x14ac:dyDescent="0.25">
      <c r="A14" s="61" t="s">
        <v>3</v>
      </c>
      <c r="B14" s="68" t="s">
        <v>159</v>
      </c>
      <c r="C14" s="66">
        <v>7.5</v>
      </c>
      <c r="D14" s="64">
        <v>17</v>
      </c>
      <c r="E14" s="64">
        <f>IF(ISBLANK($D14),"0",IF(($D14-$D13)&gt;($C14-$C13),1,0))</f>
        <v>0</v>
      </c>
      <c r="F14" s="64">
        <f t="shared" ca="1" si="1"/>
        <v>30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 t="s">
        <v>313</v>
      </c>
      <c r="M14" s="70" t="s">
        <v>312</v>
      </c>
      <c r="N14" s="70"/>
      <c r="O14" s="70" t="s">
        <v>371</v>
      </c>
      <c r="P14" s="70" t="s">
        <v>317</v>
      </c>
      <c r="Q14" s="70" t="s">
        <v>342</v>
      </c>
      <c r="R14" s="70"/>
      <c r="S14" s="70"/>
      <c r="T14" s="70"/>
      <c r="U14" s="70"/>
      <c r="V14" s="70" t="s">
        <v>334</v>
      </c>
      <c r="W14" s="70" t="s">
        <v>317</v>
      </c>
      <c r="X14" s="70" t="s">
        <v>312</v>
      </c>
      <c r="Y14" s="70" t="s">
        <v>317</v>
      </c>
      <c r="Z14" s="70" t="s">
        <v>317</v>
      </c>
      <c r="AA14" s="70" t="s">
        <v>354</v>
      </c>
      <c r="AB14" s="70" t="s">
        <v>317</v>
      </c>
      <c r="AC14" s="70" t="s">
        <v>317</v>
      </c>
      <c r="AD14" s="70"/>
      <c r="AE14" s="70" t="s">
        <v>343</v>
      </c>
      <c r="AF14" s="70" t="s">
        <v>355</v>
      </c>
      <c r="AG14" s="70"/>
      <c r="AH14" s="70" t="s">
        <v>325</v>
      </c>
      <c r="AI14" s="70" t="s">
        <v>381</v>
      </c>
      <c r="AJ14" s="70" t="s">
        <v>314</v>
      </c>
      <c r="AK14" s="70"/>
      <c r="AL14" s="70"/>
      <c r="AM14" s="70" t="s">
        <v>341</v>
      </c>
      <c r="AN14" s="70"/>
      <c r="AO14" s="70" t="s">
        <v>317</v>
      </c>
      <c r="AP14" s="70"/>
      <c r="AQ14" s="70" t="s">
        <v>354</v>
      </c>
      <c r="AR14" s="70" t="s">
        <v>317</v>
      </c>
      <c r="AS14" s="70"/>
      <c r="AT14" s="70"/>
      <c r="AU14" s="70"/>
      <c r="AV14" s="70"/>
      <c r="AW14" s="70"/>
      <c r="AX14" s="70"/>
      <c r="AY14" s="70" t="s">
        <v>366</v>
      </c>
      <c r="AZ14" s="70"/>
      <c r="BA14" s="70" t="s">
        <v>317</v>
      </c>
      <c r="BB14" s="70"/>
      <c r="BC14" s="70"/>
      <c r="BD14" s="70" t="s">
        <v>329</v>
      </c>
      <c r="BE14" s="70"/>
      <c r="BF14" s="70"/>
      <c r="BG14" s="70" t="s">
        <v>408</v>
      </c>
      <c r="BH14" s="70" t="s">
        <v>312</v>
      </c>
      <c r="BI14" s="70"/>
      <c r="BJ14" s="100" t="s">
        <v>315</v>
      </c>
      <c r="BK14" s="70"/>
      <c r="BL14" s="70" t="s">
        <v>317</v>
      </c>
      <c r="BM14" s="70" t="s">
        <v>388</v>
      </c>
      <c r="BN14" s="70"/>
    </row>
    <row r="15" spans="1:66" x14ac:dyDescent="0.25">
      <c r="A15" s="59">
        <v>7</v>
      </c>
      <c r="B15" s="67" t="s">
        <v>227</v>
      </c>
      <c r="C15" s="65">
        <v>8.5</v>
      </c>
      <c r="D15" s="64">
        <v>31</v>
      </c>
      <c r="E15" s="64">
        <f>IF(ISBLANK($D15),"0",IF(($D16-$D15)&lt;($C16-$C15),1,0))</f>
        <v>0</v>
      </c>
      <c r="F15" s="64">
        <f t="shared" ca="1" si="1"/>
        <v>32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311</v>
      </c>
      <c r="K15" s="69"/>
      <c r="L15" s="69"/>
      <c r="M15" s="69" t="s">
        <v>312</v>
      </c>
      <c r="N15" s="69"/>
      <c r="O15" s="69" t="s">
        <v>371</v>
      </c>
      <c r="P15" s="69"/>
      <c r="Q15" s="69"/>
      <c r="R15" s="69" t="s">
        <v>338</v>
      </c>
      <c r="S15" s="69"/>
      <c r="T15" s="69"/>
      <c r="U15" s="69" t="s">
        <v>335</v>
      </c>
      <c r="V15" s="69" t="s">
        <v>324</v>
      </c>
      <c r="W15" s="69" t="s">
        <v>317</v>
      </c>
      <c r="X15" s="69" t="s">
        <v>312</v>
      </c>
      <c r="Y15" s="69" t="s">
        <v>317</v>
      </c>
      <c r="Z15" s="69" t="s">
        <v>317</v>
      </c>
      <c r="AA15" s="69"/>
      <c r="AB15" s="69" t="s">
        <v>317</v>
      </c>
      <c r="AC15" s="69" t="s">
        <v>317</v>
      </c>
      <c r="AD15" s="69" t="s">
        <v>317</v>
      </c>
      <c r="AE15" s="69" t="s">
        <v>334</v>
      </c>
      <c r="AF15" s="69" t="s">
        <v>355</v>
      </c>
      <c r="AG15" s="69"/>
      <c r="AH15" s="69"/>
      <c r="AI15" s="69" t="s">
        <v>382</v>
      </c>
      <c r="AJ15" s="69"/>
      <c r="AK15" s="69" t="s">
        <v>317</v>
      </c>
      <c r="AL15" s="69"/>
      <c r="AM15" s="69" t="s">
        <v>320</v>
      </c>
      <c r="AN15" s="69" t="s">
        <v>317</v>
      </c>
      <c r="AO15" s="69"/>
      <c r="AP15" s="69"/>
      <c r="AQ15" s="69" t="s">
        <v>354</v>
      </c>
      <c r="AR15" s="69"/>
      <c r="AS15" s="69"/>
      <c r="AT15" s="69" t="s">
        <v>334</v>
      </c>
      <c r="AU15" s="69" t="s">
        <v>312</v>
      </c>
      <c r="AV15" s="69" t="s">
        <v>317</v>
      </c>
      <c r="AW15" s="69"/>
      <c r="AX15" s="69"/>
      <c r="AY15" s="69" t="s">
        <v>366</v>
      </c>
      <c r="AZ15" s="69"/>
      <c r="BA15" s="69" t="s">
        <v>317</v>
      </c>
      <c r="BB15" s="69" t="s">
        <v>361</v>
      </c>
      <c r="BC15" s="69" t="s">
        <v>357</v>
      </c>
      <c r="BD15" s="69"/>
      <c r="BE15" s="69"/>
      <c r="BF15" s="69" t="s">
        <v>368</v>
      </c>
      <c r="BG15" s="69"/>
      <c r="BH15" s="69"/>
      <c r="BI15" s="69"/>
      <c r="BJ15" s="99" t="s">
        <v>315</v>
      </c>
      <c r="BK15" s="69" t="s">
        <v>350</v>
      </c>
      <c r="BL15" s="69" t="s">
        <v>317</v>
      </c>
      <c r="BM15" s="69" t="s">
        <v>388</v>
      </c>
      <c r="BN15" s="69" t="s">
        <v>312</v>
      </c>
    </row>
    <row r="16" spans="1:66" x14ac:dyDescent="0.25">
      <c r="A16" s="61" t="s">
        <v>3</v>
      </c>
      <c r="B16" s="68" t="s">
        <v>221</v>
      </c>
      <c r="C16" s="66"/>
      <c r="D16" s="64">
        <v>37</v>
      </c>
      <c r="E16" s="64">
        <f>IF(ISBLANK($D16),"0",IF(($D16-$D15)&gt;($C16-$C15),1,0))</f>
        <v>1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 t="s">
        <v>312</v>
      </c>
      <c r="L16" s="70" t="s">
        <v>313</v>
      </c>
      <c r="M16" s="70"/>
      <c r="N16" s="70" t="s">
        <v>355</v>
      </c>
      <c r="O16" s="70"/>
      <c r="P16" s="70" t="s">
        <v>317</v>
      </c>
      <c r="Q16" s="70" t="s">
        <v>351</v>
      </c>
      <c r="R16" s="70"/>
      <c r="S16" s="70" t="s">
        <v>320</v>
      </c>
      <c r="T16" s="70" t="s">
        <v>347</v>
      </c>
      <c r="U16" s="70"/>
      <c r="V16" s="70"/>
      <c r="W16" s="70"/>
      <c r="X16" s="70"/>
      <c r="Y16" s="70"/>
      <c r="Z16" s="70"/>
      <c r="AA16" s="70" t="s">
        <v>354</v>
      </c>
      <c r="AB16" s="70"/>
      <c r="AC16" s="70"/>
      <c r="AD16" s="70"/>
      <c r="AE16" s="70"/>
      <c r="AF16" s="70"/>
      <c r="AG16" s="70" t="s">
        <v>323</v>
      </c>
      <c r="AH16" s="70" t="s">
        <v>311</v>
      </c>
      <c r="AI16" s="70"/>
      <c r="AJ16" s="70" t="s">
        <v>314</v>
      </c>
      <c r="AK16" s="70"/>
      <c r="AL16" s="70" t="s">
        <v>347</v>
      </c>
      <c r="AM16" s="70"/>
      <c r="AN16" s="70"/>
      <c r="AO16" s="70" t="s">
        <v>317</v>
      </c>
      <c r="AP16" s="70" t="s">
        <v>361</v>
      </c>
      <c r="AQ16" s="70"/>
      <c r="AR16" s="100" t="s">
        <v>317</v>
      </c>
      <c r="AS16" s="70" t="s">
        <v>312</v>
      </c>
      <c r="AT16" s="70"/>
      <c r="AU16" s="70"/>
      <c r="AV16" s="70"/>
      <c r="AW16" s="70" t="s">
        <v>349</v>
      </c>
      <c r="AX16" s="70" t="s">
        <v>377</v>
      </c>
      <c r="AY16" s="70"/>
      <c r="AZ16" s="70" t="s">
        <v>350</v>
      </c>
      <c r="BA16" s="70"/>
      <c r="BB16" s="70"/>
      <c r="BC16" s="70"/>
      <c r="BD16" s="70" t="s">
        <v>328</v>
      </c>
      <c r="BE16" s="70" t="s">
        <v>367</v>
      </c>
      <c r="BF16" s="70"/>
      <c r="BG16" s="70" t="s">
        <v>408</v>
      </c>
      <c r="BH16" s="70" t="s">
        <v>312</v>
      </c>
      <c r="BI16" s="70" t="s">
        <v>320</v>
      </c>
      <c r="BJ16" s="70"/>
      <c r="BK16" s="70"/>
      <c r="BL16" s="70"/>
      <c r="BM16" s="70"/>
      <c r="BN16" s="70"/>
    </row>
    <row r="17" spans="1:66" x14ac:dyDescent="0.25">
      <c r="A17" s="59">
        <v>8</v>
      </c>
      <c r="B17" s="67" t="s">
        <v>238</v>
      </c>
      <c r="C17" s="65"/>
      <c r="D17" s="64">
        <v>21</v>
      </c>
      <c r="E17" s="64">
        <f>IF(ISBLANK($D17),"0",IF(($D18-$D17)&lt;($C18-$C17),1,0))</f>
        <v>0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/>
      <c r="L17" s="69" t="s">
        <v>313</v>
      </c>
      <c r="M17" s="69" t="s">
        <v>312</v>
      </c>
      <c r="N17" s="69"/>
      <c r="O17" s="69"/>
      <c r="P17" s="69"/>
      <c r="Q17" s="69"/>
      <c r="R17" s="69"/>
      <c r="S17" s="69"/>
      <c r="T17" s="69" t="s">
        <v>319</v>
      </c>
      <c r="U17" s="69" t="s">
        <v>349</v>
      </c>
      <c r="V17" s="69"/>
      <c r="W17" s="69"/>
      <c r="X17" s="69"/>
      <c r="Y17" s="69"/>
      <c r="Z17" s="69" t="s">
        <v>317</v>
      </c>
      <c r="AA17" s="69"/>
      <c r="AB17" s="69"/>
      <c r="AC17" s="69"/>
      <c r="AD17" s="69" t="s">
        <v>317</v>
      </c>
      <c r="AE17" s="69"/>
      <c r="AF17" s="69"/>
      <c r="AG17" s="69"/>
      <c r="AH17" s="69"/>
      <c r="AI17" s="69"/>
      <c r="AJ17" s="69"/>
      <c r="AK17" s="69" t="s">
        <v>317</v>
      </c>
      <c r="AL17" s="69"/>
      <c r="AM17" s="69"/>
      <c r="AN17" s="69"/>
      <c r="AO17" s="69" t="s">
        <v>317</v>
      </c>
      <c r="AP17" s="69"/>
      <c r="AQ17" s="69" t="s">
        <v>354</v>
      </c>
      <c r="AR17" s="99"/>
      <c r="AS17" s="69"/>
      <c r="AT17" s="69"/>
      <c r="AU17" s="69"/>
      <c r="AV17" s="69"/>
      <c r="AW17" s="69"/>
      <c r="AX17" s="69" t="s">
        <v>320</v>
      </c>
      <c r="AY17" s="69"/>
      <c r="AZ17" s="69"/>
      <c r="BA17" s="69"/>
      <c r="BB17" s="69"/>
      <c r="BC17" s="69"/>
      <c r="BD17" s="69" t="s">
        <v>387</v>
      </c>
      <c r="BE17" s="69"/>
      <c r="BF17" s="69"/>
      <c r="BG17" s="69"/>
      <c r="BH17" s="69"/>
      <c r="BI17" s="69"/>
      <c r="BJ17" s="69"/>
      <c r="BK17" s="69"/>
      <c r="BL17" s="69"/>
      <c r="BM17" s="69" t="s">
        <v>388</v>
      </c>
      <c r="BN17" s="69"/>
    </row>
    <row r="18" spans="1:66" x14ac:dyDescent="0.25">
      <c r="A18" s="61" t="s">
        <v>3</v>
      </c>
      <c r="B18" s="68" t="s">
        <v>180</v>
      </c>
      <c r="C18" s="66">
        <v>8.5</v>
      </c>
      <c r="D18" s="64">
        <v>44</v>
      </c>
      <c r="E18" s="64">
        <f>IF(ISBLANK($D18),"0",IF(($D18-$D17)&gt;($C18-$C17),1,0))</f>
        <v>1</v>
      </c>
      <c r="F18" s="64">
        <f t="shared" ca="1" si="1"/>
        <v>44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311</v>
      </c>
      <c r="K18" s="70" t="s">
        <v>312</v>
      </c>
      <c r="L18" s="70"/>
      <c r="M18" s="70"/>
      <c r="N18" s="70" t="s">
        <v>355</v>
      </c>
      <c r="O18" s="70" t="s">
        <v>371</v>
      </c>
      <c r="P18" s="70" t="s">
        <v>317</v>
      </c>
      <c r="Q18" s="70" t="s">
        <v>323</v>
      </c>
      <c r="R18" s="70" t="s">
        <v>341</v>
      </c>
      <c r="S18" s="70" t="s">
        <v>349</v>
      </c>
      <c r="T18" s="70"/>
      <c r="U18" s="70"/>
      <c r="V18" s="70" t="s">
        <v>387</v>
      </c>
      <c r="W18" s="70" t="s">
        <v>317</v>
      </c>
      <c r="X18" s="70" t="s">
        <v>312</v>
      </c>
      <c r="Y18" s="70" t="s">
        <v>317</v>
      </c>
      <c r="Z18" s="70"/>
      <c r="AA18" s="70" t="s">
        <v>354</v>
      </c>
      <c r="AB18" s="70" t="s">
        <v>317</v>
      </c>
      <c r="AC18" s="70" t="s">
        <v>317</v>
      </c>
      <c r="AD18" s="70"/>
      <c r="AE18" s="70" t="s">
        <v>328</v>
      </c>
      <c r="AF18" s="70" t="s">
        <v>355</v>
      </c>
      <c r="AG18" s="70" t="s">
        <v>336</v>
      </c>
      <c r="AH18" s="70" t="s">
        <v>359</v>
      </c>
      <c r="AI18" s="70" t="s">
        <v>383</v>
      </c>
      <c r="AJ18" s="70" t="s">
        <v>314</v>
      </c>
      <c r="AK18" s="70"/>
      <c r="AL18" s="70" t="s">
        <v>347</v>
      </c>
      <c r="AM18" s="70" t="s">
        <v>321</v>
      </c>
      <c r="AN18" s="70" t="s">
        <v>317</v>
      </c>
      <c r="AO18" s="70"/>
      <c r="AP18" s="70" t="s">
        <v>347</v>
      </c>
      <c r="AQ18" s="70"/>
      <c r="AR18" s="70" t="s">
        <v>317</v>
      </c>
      <c r="AS18" s="70" t="s">
        <v>312</v>
      </c>
      <c r="AT18" s="70" t="s">
        <v>334</v>
      </c>
      <c r="AU18" s="70" t="s">
        <v>312</v>
      </c>
      <c r="AV18" s="70" t="s">
        <v>317</v>
      </c>
      <c r="AW18" s="70" t="s">
        <v>354</v>
      </c>
      <c r="AX18" s="70"/>
      <c r="AY18" s="70" t="s">
        <v>366</v>
      </c>
      <c r="AZ18" s="70" t="s">
        <v>341</v>
      </c>
      <c r="BA18" s="70" t="s">
        <v>317</v>
      </c>
      <c r="BB18" s="70" t="s">
        <v>323</v>
      </c>
      <c r="BC18" s="70" t="s">
        <v>357</v>
      </c>
      <c r="BD18" s="70"/>
      <c r="BE18" s="70" t="s">
        <v>367</v>
      </c>
      <c r="BF18" s="70" t="s">
        <v>368</v>
      </c>
      <c r="BG18" s="70" t="s">
        <v>408</v>
      </c>
      <c r="BH18" s="70" t="s">
        <v>317</v>
      </c>
      <c r="BI18" s="70" t="s">
        <v>339</v>
      </c>
      <c r="BJ18" s="100" t="s">
        <v>315</v>
      </c>
      <c r="BK18" s="70" t="s">
        <v>350</v>
      </c>
      <c r="BL18" s="70" t="s">
        <v>317</v>
      </c>
      <c r="BM18" s="70"/>
      <c r="BN18" s="70" t="s">
        <v>312</v>
      </c>
    </row>
    <row r="19" spans="1:66" x14ac:dyDescent="0.25">
      <c r="A19" s="59">
        <v>9</v>
      </c>
      <c r="B19" s="67" t="s">
        <v>171</v>
      </c>
      <c r="C19" s="65"/>
      <c r="D19" s="64">
        <v>10</v>
      </c>
      <c r="E19" s="64">
        <f>IF(ISBLANK($D19),"0",IF(($D20-$D19)&lt;($C20-$C19),1,0))</f>
        <v>0</v>
      </c>
      <c r="F19" s="64">
        <f t="shared" ca="1" si="1"/>
        <v>44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312</v>
      </c>
      <c r="L19" s="69" t="s">
        <v>313</v>
      </c>
      <c r="M19" s="69" t="s">
        <v>312</v>
      </c>
      <c r="N19" s="69" t="s">
        <v>355</v>
      </c>
      <c r="O19" s="69" t="s">
        <v>371</v>
      </c>
      <c r="P19" s="69" t="s">
        <v>317</v>
      </c>
      <c r="Q19" s="69"/>
      <c r="R19" s="69" t="s">
        <v>320</v>
      </c>
      <c r="S19" s="69" t="s">
        <v>311</v>
      </c>
      <c r="T19" s="69" t="s">
        <v>347</v>
      </c>
      <c r="U19" s="69" t="s">
        <v>335</v>
      </c>
      <c r="V19" s="69" t="s">
        <v>334</v>
      </c>
      <c r="W19" s="69"/>
      <c r="X19" s="69" t="s">
        <v>312</v>
      </c>
      <c r="Y19" s="69"/>
      <c r="Z19" s="69"/>
      <c r="AA19" s="69" t="s">
        <v>354</v>
      </c>
      <c r="AB19" s="69" t="s">
        <v>317</v>
      </c>
      <c r="AC19" s="69" t="s">
        <v>317</v>
      </c>
      <c r="AD19" s="69" t="s">
        <v>317</v>
      </c>
      <c r="AE19" s="69"/>
      <c r="AF19" s="69"/>
      <c r="AG19" s="69" t="s">
        <v>336</v>
      </c>
      <c r="AH19" s="69"/>
      <c r="AI19" s="69" t="s">
        <v>345</v>
      </c>
      <c r="AJ19" s="69" t="s">
        <v>314</v>
      </c>
      <c r="AK19" s="69" t="s">
        <v>317</v>
      </c>
      <c r="AL19" s="69" t="s">
        <v>347</v>
      </c>
      <c r="AM19" s="69" t="s">
        <v>335</v>
      </c>
      <c r="AN19" s="69" t="s">
        <v>317</v>
      </c>
      <c r="AO19" s="69" t="s">
        <v>317</v>
      </c>
      <c r="AP19" s="69" t="s">
        <v>314</v>
      </c>
      <c r="AQ19" s="69" t="s">
        <v>354</v>
      </c>
      <c r="AR19" s="69" t="s">
        <v>317</v>
      </c>
      <c r="AS19" s="69" t="s">
        <v>312</v>
      </c>
      <c r="AT19" s="69" t="s">
        <v>334</v>
      </c>
      <c r="AU19" s="69" t="s">
        <v>312</v>
      </c>
      <c r="AV19" s="69" t="s">
        <v>317</v>
      </c>
      <c r="AW19" s="69" t="s">
        <v>344</v>
      </c>
      <c r="AX19" s="69" t="s">
        <v>341</v>
      </c>
      <c r="AY19" s="69" t="s">
        <v>366</v>
      </c>
      <c r="AZ19" s="69" t="s">
        <v>332</v>
      </c>
      <c r="BA19" s="69" t="s">
        <v>317</v>
      </c>
      <c r="BB19" s="69"/>
      <c r="BC19" s="69" t="s">
        <v>357</v>
      </c>
      <c r="BD19" s="69"/>
      <c r="BE19" s="69" t="s">
        <v>367</v>
      </c>
      <c r="BF19" s="69" t="s">
        <v>368</v>
      </c>
      <c r="BG19" s="69"/>
      <c r="BH19" s="69" t="s">
        <v>317</v>
      </c>
      <c r="BI19" s="69" t="s">
        <v>330</v>
      </c>
      <c r="BJ19" s="69"/>
      <c r="BK19" s="69" t="s">
        <v>350</v>
      </c>
      <c r="BL19" s="69"/>
      <c r="BM19" s="69" t="s">
        <v>388</v>
      </c>
      <c r="BN19" s="69" t="s">
        <v>312</v>
      </c>
    </row>
    <row r="20" spans="1:66" x14ac:dyDescent="0.25">
      <c r="A20" s="61" t="s">
        <v>3</v>
      </c>
      <c r="B20" s="68" t="s">
        <v>156</v>
      </c>
      <c r="C20" s="66">
        <v>22.5</v>
      </c>
      <c r="D20" s="64">
        <v>45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311</v>
      </c>
      <c r="K20" s="70"/>
      <c r="L20" s="70"/>
      <c r="M20" s="70"/>
      <c r="N20" s="70"/>
      <c r="O20" s="70"/>
      <c r="P20" s="70"/>
      <c r="Q20" s="70" t="s">
        <v>339</v>
      </c>
      <c r="R20" s="70"/>
      <c r="S20" s="70"/>
      <c r="T20" s="70"/>
      <c r="U20" s="70"/>
      <c r="V20" s="70"/>
      <c r="W20" s="70" t="s">
        <v>317</v>
      </c>
      <c r="X20" s="70"/>
      <c r="Y20" s="70" t="s">
        <v>317</v>
      </c>
      <c r="Z20" s="70" t="s">
        <v>317</v>
      </c>
      <c r="AA20" s="70"/>
      <c r="AB20" s="70"/>
      <c r="AC20" s="70"/>
      <c r="AD20" s="70"/>
      <c r="AE20" s="70" t="s">
        <v>322</v>
      </c>
      <c r="AF20" s="70" t="s">
        <v>355</v>
      </c>
      <c r="AG20" s="70"/>
      <c r="AH20" s="70" t="s">
        <v>327</v>
      </c>
      <c r="AI20" s="70"/>
      <c r="AJ20" s="70"/>
      <c r="AK20" s="70"/>
      <c r="AL20" s="70"/>
      <c r="AM20" s="70"/>
      <c r="AN20" s="70"/>
      <c r="AO20" s="70"/>
      <c r="AP20" s="70"/>
      <c r="AQ20" s="70"/>
      <c r="AR20" s="100"/>
      <c r="AS20" s="70"/>
      <c r="AT20" s="70"/>
      <c r="AU20" s="70"/>
      <c r="AV20" s="70"/>
      <c r="AW20" s="70"/>
      <c r="AX20" s="70"/>
      <c r="AY20" s="70"/>
      <c r="AZ20" s="70"/>
      <c r="BA20" s="70"/>
      <c r="BB20" s="70" t="s">
        <v>350</v>
      </c>
      <c r="BC20" s="70"/>
      <c r="BD20" s="70" t="s">
        <v>319</v>
      </c>
      <c r="BE20" s="70"/>
      <c r="BF20" s="70"/>
      <c r="BG20" s="70" t="s">
        <v>408</v>
      </c>
      <c r="BH20" s="70"/>
      <c r="BI20" s="70"/>
      <c r="BJ20" s="100" t="s">
        <v>315</v>
      </c>
      <c r="BK20" s="70"/>
      <c r="BL20" s="70" t="s">
        <v>317</v>
      </c>
      <c r="BM20" s="70"/>
      <c r="BN20" s="70"/>
    </row>
    <row r="21" spans="1:66" x14ac:dyDescent="0.25">
      <c r="A21" s="59">
        <v>10</v>
      </c>
      <c r="B21" s="67" t="s">
        <v>184</v>
      </c>
      <c r="C21" s="65"/>
      <c r="D21" s="64">
        <v>38</v>
      </c>
      <c r="E21" s="64">
        <f>IF(ISBLANK($D21),"0",IF(($D22-$D21)&lt;($C22-$C21),1,0))</f>
        <v>0</v>
      </c>
      <c r="F21" s="64">
        <f t="shared" ca="1" si="1"/>
        <v>18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355</v>
      </c>
      <c r="O21" s="69" t="s">
        <v>371</v>
      </c>
      <c r="P21" s="69"/>
      <c r="Q21" s="69" t="s">
        <v>320</v>
      </c>
      <c r="R21" s="69" t="s">
        <v>437</v>
      </c>
      <c r="S21" s="69"/>
      <c r="T21" s="69" t="s">
        <v>380</v>
      </c>
      <c r="U21" s="69" t="s">
        <v>325</v>
      </c>
      <c r="V21" s="69"/>
      <c r="W21" s="69"/>
      <c r="X21" s="69"/>
      <c r="Y21" s="69"/>
      <c r="Z21" s="69"/>
      <c r="AA21" s="69" t="s">
        <v>354</v>
      </c>
      <c r="AB21" s="69"/>
      <c r="AC21" s="69" t="s">
        <v>317</v>
      </c>
      <c r="AD21" s="69"/>
      <c r="AE21" s="69"/>
      <c r="AF21" s="69" t="s">
        <v>355</v>
      </c>
      <c r="AG21" s="69"/>
      <c r="AH21" s="69"/>
      <c r="AI21" s="69"/>
      <c r="AJ21" s="69"/>
      <c r="AK21" s="69" t="s">
        <v>317</v>
      </c>
      <c r="AL21" s="69"/>
      <c r="AM21" s="69"/>
      <c r="AN21" s="69"/>
      <c r="AO21" s="69" t="s">
        <v>317</v>
      </c>
      <c r="AP21" s="69"/>
      <c r="AQ21" s="69"/>
      <c r="AR21" s="99"/>
      <c r="AS21" s="69" t="s">
        <v>312</v>
      </c>
      <c r="AT21" s="69"/>
      <c r="AU21" s="69"/>
      <c r="AV21" s="69" t="s">
        <v>317</v>
      </c>
      <c r="AW21" s="69"/>
      <c r="AX21" s="69" t="s">
        <v>311</v>
      </c>
      <c r="AY21" s="69"/>
      <c r="AZ21" s="69"/>
      <c r="BA21" s="69"/>
      <c r="BB21" s="69"/>
      <c r="BC21" s="69"/>
      <c r="BD21" s="69"/>
      <c r="BE21" s="69"/>
      <c r="BF21" s="69"/>
      <c r="BG21" s="69" t="s">
        <v>408</v>
      </c>
      <c r="BH21" s="69" t="s">
        <v>317</v>
      </c>
      <c r="BI21" s="69"/>
      <c r="BJ21" s="99" t="s">
        <v>315</v>
      </c>
      <c r="BK21" s="69" t="s">
        <v>350</v>
      </c>
      <c r="BL21" s="69"/>
      <c r="BM21" s="69"/>
      <c r="BN21" s="69"/>
    </row>
    <row r="22" spans="1:66" x14ac:dyDescent="0.25">
      <c r="A22" s="61" t="s">
        <v>3</v>
      </c>
      <c r="B22" s="68" t="s">
        <v>175</v>
      </c>
      <c r="C22" s="66">
        <v>10.5</v>
      </c>
      <c r="D22" s="64">
        <v>59</v>
      </c>
      <c r="E22" s="64">
        <f>IF(ISBLANK($D22),"0",IF(($D22-$D21)&gt;($C22-$C21),1,0))</f>
        <v>1</v>
      </c>
      <c r="F22" s="64">
        <f t="shared" ca="1" si="1"/>
        <v>38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 t="s">
        <v>311</v>
      </c>
      <c r="K22" s="70" t="s">
        <v>312</v>
      </c>
      <c r="L22" s="70" t="s">
        <v>313</v>
      </c>
      <c r="M22" s="70" t="s">
        <v>312</v>
      </c>
      <c r="N22" s="70"/>
      <c r="O22" s="70"/>
      <c r="P22" s="70" t="s">
        <v>317</v>
      </c>
      <c r="Q22" s="70"/>
      <c r="R22" s="70"/>
      <c r="S22" s="70" t="s">
        <v>326</v>
      </c>
      <c r="T22" s="70"/>
      <c r="U22" s="70"/>
      <c r="V22" s="70" t="s">
        <v>326</v>
      </c>
      <c r="W22" s="70" t="s">
        <v>317</v>
      </c>
      <c r="X22" s="70" t="s">
        <v>312</v>
      </c>
      <c r="Y22" s="70" t="s">
        <v>317</v>
      </c>
      <c r="Z22" s="70" t="s">
        <v>317</v>
      </c>
      <c r="AA22" s="70"/>
      <c r="AB22" s="70" t="s">
        <v>317</v>
      </c>
      <c r="AC22" s="70"/>
      <c r="AD22" s="70" t="s">
        <v>317</v>
      </c>
      <c r="AE22" s="70" t="s">
        <v>439</v>
      </c>
      <c r="AF22" s="70"/>
      <c r="AG22" s="70" t="s">
        <v>346</v>
      </c>
      <c r="AH22" s="70" t="s">
        <v>441</v>
      </c>
      <c r="AI22" s="70" t="s">
        <v>442</v>
      </c>
      <c r="AJ22" s="70" t="s">
        <v>314</v>
      </c>
      <c r="AK22" s="70"/>
      <c r="AL22" s="70" t="s">
        <v>347</v>
      </c>
      <c r="AM22" s="70" t="s">
        <v>325</v>
      </c>
      <c r="AN22" s="70" t="s">
        <v>317</v>
      </c>
      <c r="AO22" s="70"/>
      <c r="AP22" s="70" t="s">
        <v>316</v>
      </c>
      <c r="AQ22" s="70" t="s">
        <v>354</v>
      </c>
      <c r="AR22" s="70" t="s">
        <v>317</v>
      </c>
      <c r="AS22" s="70"/>
      <c r="AT22" s="70" t="s">
        <v>334</v>
      </c>
      <c r="AU22" s="70" t="s">
        <v>312</v>
      </c>
      <c r="AV22" s="70"/>
      <c r="AW22" s="70" t="s">
        <v>357</v>
      </c>
      <c r="AX22" s="70"/>
      <c r="AY22" s="70" t="s">
        <v>366</v>
      </c>
      <c r="AZ22" s="70" t="s">
        <v>336</v>
      </c>
      <c r="BA22" s="70" t="s">
        <v>317</v>
      </c>
      <c r="BB22" s="70" t="s">
        <v>444</v>
      </c>
      <c r="BC22" s="70" t="s">
        <v>357</v>
      </c>
      <c r="BD22" s="70" t="s">
        <v>343</v>
      </c>
      <c r="BE22" s="70" t="s">
        <v>367</v>
      </c>
      <c r="BF22" s="70" t="s">
        <v>368</v>
      </c>
      <c r="BG22" s="70"/>
      <c r="BH22" s="70"/>
      <c r="BI22" s="70" t="s">
        <v>406</v>
      </c>
      <c r="BJ22" s="70"/>
      <c r="BK22" s="70"/>
      <c r="BL22" s="70" t="s">
        <v>317</v>
      </c>
      <c r="BM22" s="70" t="s">
        <v>388</v>
      </c>
      <c r="BN22" s="70" t="s">
        <v>312</v>
      </c>
    </row>
    <row r="23" spans="1:66" x14ac:dyDescent="0.25">
      <c r="A23" s="59"/>
      <c r="B23" s="67" t="str">
        <f>B21&amp; " - score"</f>
        <v>North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21</v>
      </c>
      <c r="G23" s="59"/>
      <c r="H23" s="59"/>
      <c r="I23" s="60"/>
      <c r="J23" s="78">
        <v>21</v>
      </c>
      <c r="K23" s="78">
        <v>28</v>
      </c>
      <c r="L23" s="78">
        <v>17</v>
      </c>
      <c r="M23" s="78">
        <v>21</v>
      </c>
      <c r="N23" s="80">
        <v>21</v>
      </c>
      <c r="O23" s="78">
        <v>14</v>
      </c>
      <c r="P23" s="78">
        <v>17</v>
      </c>
      <c r="Q23" s="78">
        <v>49</v>
      </c>
      <c r="R23" s="78">
        <v>24</v>
      </c>
      <c r="S23" s="78">
        <v>23</v>
      </c>
      <c r="T23" s="78">
        <v>13</v>
      </c>
      <c r="U23" s="78">
        <v>28</v>
      </c>
      <c r="V23" s="78">
        <v>21</v>
      </c>
      <c r="W23" s="78">
        <v>10</v>
      </c>
      <c r="X23" s="78">
        <v>24</v>
      </c>
      <c r="Y23" s="78">
        <v>28</v>
      </c>
      <c r="Z23" s="78">
        <v>28</v>
      </c>
      <c r="AA23" s="78">
        <v>10</v>
      </c>
      <c r="AB23" s="78">
        <v>21</v>
      </c>
      <c r="AC23" s="78">
        <v>27</v>
      </c>
      <c r="AD23" s="78">
        <v>20</v>
      </c>
      <c r="AE23" s="78">
        <v>11</v>
      </c>
      <c r="AF23" s="78">
        <v>14</v>
      </c>
      <c r="AG23" s="78">
        <v>28</v>
      </c>
      <c r="AH23" s="78">
        <v>24</v>
      </c>
      <c r="AI23" s="78">
        <v>20</v>
      </c>
      <c r="AJ23" s="78">
        <v>13</v>
      </c>
      <c r="AK23" s="78">
        <v>21</v>
      </c>
      <c r="AL23" s="78">
        <v>10</v>
      </c>
      <c r="AM23" s="78">
        <v>21</v>
      </c>
      <c r="AN23" s="78">
        <v>27</v>
      </c>
      <c r="AO23" s="78">
        <v>38</v>
      </c>
      <c r="AP23" s="78">
        <v>20</v>
      </c>
      <c r="AQ23" s="78">
        <v>17</v>
      </c>
      <c r="AR23" s="78">
        <v>7</v>
      </c>
      <c r="AS23" s="78">
        <v>28</v>
      </c>
      <c r="AT23" s="78">
        <v>17</v>
      </c>
      <c r="AU23" s="78">
        <v>21</v>
      </c>
      <c r="AV23" s="78">
        <v>18</v>
      </c>
      <c r="AW23" s="78">
        <v>20</v>
      </c>
      <c r="AX23" s="78">
        <v>35</v>
      </c>
      <c r="AY23" s="78">
        <v>17</v>
      </c>
      <c r="AZ23" s="78">
        <v>17</v>
      </c>
      <c r="BA23" s="78">
        <v>21</v>
      </c>
      <c r="BB23" s="78">
        <v>56</v>
      </c>
      <c r="BC23" s="78">
        <v>14</v>
      </c>
      <c r="BD23" s="78">
        <v>14</v>
      </c>
      <c r="BE23" s="78">
        <v>17</v>
      </c>
      <c r="BF23" s="78">
        <v>24</v>
      </c>
      <c r="BG23" s="78">
        <v>28</v>
      </c>
      <c r="BH23" s="78">
        <v>23</v>
      </c>
      <c r="BI23" s="78">
        <v>21</v>
      </c>
      <c r="BJ23" s="78">
        <v>0</v>
      </c>
      <c r="BK23" s="78">
        <v>20</v>
      </c>
      <c r="BL23" s="78">
        <v>14</v>
      </c>
      <c r="BM23" s="78">
        <v>24</v>
      </c>
      <c r="BN23" s="78">
        <v>17</v>
      </c>
    </row>
    <row r="24" spans="1:66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39</v>
      </c>
      <c r="K24" s="79">
        <v>42</v>
      </c>
      <c r="L24" s="79">
        <v>51</v>
      </c>
      <c r="M24" s="79">
        <v>34</v>
      </c>
      <c r="N24" s="79">
        <v>31</v>
      </c>
      <c r="O24" s="79">
        <v>24</v>
      </c>
      <c r="P24" s="79">
        <v>32</v>
      </c>
      <c r="Q24" s="79">
        <v>35</v>
      </c>
      <c r="R24" s="79">
        <v>28</v>
      </c>
      <c r="S24" s="79">
        <v>35</v>
      </c>
      <c r="T24" s="79">
        <v>20</v>
      </c>
      <c r="U24" s="79">
        <v>35</v>
      </c>
      <c r="V24" s="79">
        <v>35</v>
      </c>
      <c r="W24" s="79">
        <v>27</v>
      </c>
      <c r="X24" s="79">
        <v>38</v>
      </c>
      <c r="Y24" s="79">
        <v>42</v>
      </c>
      <c r="Z24" s="79">
        <v>42</v>
      </c>
      <c r="AA24" s="79">
        <v>17</v>
      </c>
      <c r="AB24" s="79">
        <v>35</v>
      </c>
      <c r="AC24" s="79">
        <v>31</v>
      </c>
      <c r="AD24" s="79">
        <v>31</v>
      </c>
      <c r="AE24" s="79">
        <v>45</v>
      </c>
      <c r="AF24" s="79">
        <v>21</v>
      </c>
      <c r="AG24" s="79">
        <v>42</v>
      </c>
      <c r="AH24" s="79">
        <v>35</v>
      </c>
      <c r="AI24" s="79">
        <v>34</v>
      </c>
      <c r="AJ24" s="79">
        <v>33</v>
      </c>
      <c r="AK24" s="79">
        <v>31</v>
      </c>
      <c r="AL24" s="79">
        <v>27</v>
      </c>
      <c r="AM24" s="79">
        <v>38</v>
      </c>
      <c r="AN24" s="79">
        <v>42</v>
      </c>
      <c r="AO24" s="79">
        <v>17</v>
      </c>
      <c r="AP24" s="79">
        <v>35</v>
      </c>
      <c r="AQ24" s="79">
        <v>35</v>
      </c>
      <c r="AR24" s="79">
        <v>21</v>
      </c>
      <c r="AS24" s="79">
        <v>35</v>
      </c>
      <c r="AT24" s="79">
        <v>33</v>
      </c>
      <c r="AU24" s="79">
        <v>35</v>
      </c>
      <c r="AV24" s="79">
        <v>24</v>
      </c>
      <c r="AW24" s="79">
        <v>34</v>
      </c>
      <c r="AX24" s="79">
        <v>24</v>
      </c>
      <c r="AY24" s="79">
        <v>35</v>
      </c>
      <c r="AZ24" s="79">
        <v>35</v>
      </c>
      <c r="BA24" s="79">
        <v>35</v>
      </c>
      <c r="BB24" s="79">
        <v>49</v>
      </c>
      <c r="BC24" s="79">
        <v>27</v>
      </c>
      <c r="BD24" s="79">
        <v>28</v>
      </c>
      <c r="BE24" s="79">
        <v>38</v>
      </c>
      <c r="BF24" s="79">
        <v>35</v>
      </c>
      <c r="BG24" s="79">
        <v>27</v>
      </c>
      <c r="BH24" s="79">
        <v>29</v>
      </c>
      <c r="BI24" s="79">
        <v>42</v>
      </c>
      <c r="BJ24" s="79">
        <v>0</v>
      </c>
      <c r="BK24" s="79">
        <v>28</v>
      </c>
      <c r="BL24" s="79">
        <v>34</v>
      </c>
      <c r="BM24" s="79">
        <v>35</v>
      </c>
      <c r="BN24" s="79">
        <v>35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8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3</v>
      </c>
      <c r="P25" s="36">
        <f t="shared" si="3"/>
        <v>3</v>
      </c>
      <c r="Q25" s="36">
        <f t="shared" si="3"/>
        <v>4</v>
      </c>
      <c r="R25" s="36">
        <f t="shared" si="3"/>
        <v>5</v>
      </c>
      <c r="S25" s="36">
        <f t="shared" si="3"/>
        <v>7</v>
      </c>
      <c r="T25" s="36">
        <f t="shared" si="3"/>
        <v>5</v>
      </c>
      <c r="U25" s="36">
        <f t="shared" si="3"/>
        <v>3</v>
      </c>
      <c r="V25" s="36">
        <f t="shared" si="3"/>
        <v>4</v>
      </c>
      <c r="W25" s="36">
        <f t="shared" si="3"/>
        <v>6</v>
      </c>
      <c r="X25" s="36">
        <f t="shared" si="3"/>
        <v>5</v>
      </c>
      <c r="Y25" s="36">
        <f t="shared" si="3"/>
        <v>6</v>
      </c>
      <c r="Z25" s="36">
        <f t="shared" si="3"/>
        <v>6</v>
      </c>
      <c r="AA25" s="36">
        <f t="shared" si="3"/>
        <v>4</v>
      </c>
      <c r="AB25" s="36">
        <f t="shared" si="3"/>
        <v>3</v>
      </c>
      <c r="AC25" s="36">
        <f t="shared" si="3"/>
        <v>3</v>
      </c>
      <c r="AD25" s="36">
        <f t="shared" si="3"/>
        <v>5</v>
      </c>
      <c r="AE25" s="36">
        <f t="shared" si="3"/>
        <v>6</v>
      </c>
      <c r="AF25" s="36">
        <f t="shared" si="3"/>
        <v>3</v>
      </c>
      <c r="AG25" s="36">
        <f t="shared" si="3"/>
        <v>7</v>
      </c>
      <c r="AH25" s="36">
        <f t="shared" si="3"/>
        <v>6</v>
      </c>
      <c r="AI25" s="36">
        <f t="shared" si="3"/>
        <v>4</v>
      </c>
      <c r="AJ25" s="36">
        <f t="shared" si="3"/>
        <v>5</v>
      </c>
      <c r="AK25" s="36">
        <f t="shared" si="3"/>
        <v>4</v>
      </c>
      <c r="AL25" s="36">
        <f t="shared" si="3"/>
        <v>8</v>
      </c>
      <c r="AM25" s="36">
        <f t="shared" si="3"/>
        <v>5</v>
      </c>
      <c r="AN25" s="36">
        <f t="shared" si="3"/>
        <v>7</v>
      </c>
      <c r="AO25" s="36">
        <f t="shared" si="3"/>
        <v>4</v>
      </c>
      <c r="AP25" s="36">
        <f t="shared" si="3"/>
        <v>6</v>
      </c>
      <c r="AQ25" s="36">
        <f t="shared" si="3"/>
        <v>3</v>
      </c>
      <c r="AR25" s="36">
        <f t="shared" si="3"/>
        <v>5</v>
      </c>
      <c r="AS25" s="36">
        <f t="shared" si="3"/>
        <v>7</v>
      </c>
      <c r="AT25" s="36">
        <f t="shared" si="3"/>
        <v>5</v>
      </c>
      <c r="AU25" s="36">
        <f t="shared" si="3"/>
        <v>5</v>
      </c>
      <c r="AV25" s="36">
        <f t="shared" si="3"/>
        <v>4</v>
      </c>
      <c r="AW25" s="36">
        <f t="shared" si="3"/>
        <v>8</v>
      </c>
      <c r="AX25" s="36">
        <f t="shared" si="3"/>
        <v>3</v>
      </c>
      <c r="AY25" s="36">
        <f t="shared" si="3"/>
        <v>4</v>
      </c>
      <c r="AZ25" s="36">
        <f t="shared" si="3"/>
        <v>7</v>
      </c>
      <c r="BA25" s="36">
        <f t="shared" si="3"/>
        <v>4</v>
      </c>
      <c r="BB25" s="36">
        <f t="shared" si="3"/>
        <v>9</v>
      </c>
      <c r="BC25" s="36">
        <f t="shared" si="3"/>
        <v>7</v>
      </c>
      <c r="BD25" s="36">
        <f t="shared" si="3"/>
        <v>5</v>
      </c>
      <c r="BE25" s="36">
        <f t="shared" si="3"/>
        <v>6</v>
      </c>
      <c r="BF25" s="36">
        <f t="shared" si="3"/>
        <v>8</v>
      </c>
      <c r="BG25" s="36">
        <f t="shared" si="3"/>
        <v>7</v>
      </c>
      <c r="BH25" s="36">
        <f t="shared" si="3"/>
        <v>5</v>
      </c>
      <c r="BI25" s="36">
        <f t="shared" si="3"/>
        <v>5</v>
      </c>
      <c r="BJ25" s="36">
        <f t="shared" si="3"/>
        <v>3</v>
      </c>
      <c r="BK25" s="36">
        <f t="shared" si="3"/>
        <v>5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3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6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7</v>
      </c>
      <c r="L26" s="71">
        <f t="shared" ref="L26:BN26" si="4">ABS((L23-L24)-($D21-$D22))</f>
        <v>13</v>
      </c>
      <c r="M26" s="71">
        <f t="shared" si="4"/>
        <v>8</v>
      </c>
      <c r="N26" s="71">
        <f t="shared" si="4"/>
        <v>11</v>
      </c>
      <c r="O26" s="71">
        <f t="shared" si="4"/>
        <v>11</v>
      </c>
      <c r="P26" s="71">
        <f t="shared" si="4"/>
        <v>6</v>
      </c>
      <c r="Q26" s="71">
        <f t="shared" si="4"/>
        <v>35</v>
      </c>
      <c r="R26" s="71">
        <f t="shared" si="4"/>
        <v>17</v>
      </c>
      <c r="S26" s="71">
        <f t="shared" si="4"/>
        <v>9</v>
      </c>
      <c r="T26" s="71">
        <f t="shared" si="4"/>
        <v>14</v>
      </c>
      <c r="U26" s="71">
        <f t="shared" si="4"/>
        <v>14</v>
      </c>
      <c r="V26" s="71">
        <f t="shared" si="4"/>
        <v>7</v>
      </c>
      <c r="W26" s="71">
        <f t="shared" si="4"/>
        <v>4</v>
      </c>
      <c r="X26" s="71">
        <f t="shared" si="4"/>
        <v>7</v>
      </c>
      <c r="Y26" s="71">
        <f t="shared" si="4"/>
        <v>7</v>
      </c>
      <c r="Z26" s="71">
        <f t="shared" si="4"/>
        <v>7</v>
      </c>
      <c r="AA26" s="71">
        <f t="shared" si="4"/>
        <v>14</v>
      </c>
      <c r="AB26" s="71">
        <f t="shared" si="4"/>
        <v>7</v>
      </c>
      <c r="AC26" s="71">
        <f t="shared" si="4"/>
        <v>17</v>
      </c>
      <c r="AD26" s="71">
        <f t="shared" si="4"/>
        <v>10</v>
      </c>
      <c r="AE26" s="71">
        <f t="shared" si="4"/>
        <v>13</v>
      </c>
      <c r="AF26" s="71">
        <f t="shared" si="4"/>
        <v>14</v>
      </c>
      <c r="AG26" s="71">
        <f t="shared" si="4"/>
        <v>7</v>
      </c>
      <c r="AH26" s="71">
        <f t="shared" si="4"/>
        <v>10</v>
      </c>
      <c r="AI26" s="71">
        <f t="shared" si="4"/>
        <v>7</v>
      </c>
      <c r="AJ26" s="71">
        <f t="shared" si="4"/>
        <v>1</v>
      </c>
      <c r="AK26" s="71">
        <f t="shared" si="4"/>
        <v>11</v>
      </c>
      <c r="AL26" s="71">
        <f t="shared" si="4"/>
        <v>4</v>
      </c>
      <c r="AM26" s="71">
        <f t="shared" si="4"/>
        <v>4</v>
      </c>
      <c r="AN26" s="71">
        <f t="shared" si="4"/>
        <v>6</v>
      </c>
      <c r="AO26" s="71">
        <f t="shared" si="4"/>
        <v>42</v>
      </c>
      <c r="AP26" s="71">
        <f t="shared" si="4"/>
        <v>6</v>
      </c>
      <c r="AQ26" s="71">
        <f t="shared" si="4"/>
        <v>3</v>
      </c>
      <c r="AR26" s="71">
        <f t="shared" si="4"/>
        <v>7</v>
      </c>
      <c r="AS26" s="71">
        <f t="shared" si="4"/>
        <v>14</v>
      </c>
      <c r="AT26" s="71">
        <f t="shared" si="4"/>
        <v>5</v>
      </c>
      <c r="AU26" s="71">
        <f t="shared" si="4"/>
        <v>7</v>
      </c>
      <c r="AV26" s="71">
        <f t="shared" si="4"/>
        <v>15</v>
      </c>
      <c r="AW26" s="71">
        <f t="shared" si="4"/>
        <v>7</v>
      </c>
      <c r="AX26" s="71">
        <f t="shared" si="4"/>
        <v>32</v>
      </c>
      <c r="AY26" s="71">
        <f t="shared" si="4"/>
        <v>3</v>
      </c>
      <c r="AZ26" s="71">
        <f t="shared" si="4"/>
        <v>3</v>
      </c>
      <c r="BA26" s="71">
        <f t="shared" si="4"/>
        <v>7</v>
      </c>
      <c r="BB26" s="71">
        <f t="shared" si="4"/>
        <v>28</v>
      </c>
      <c r="BC26" s="71">
        <f t="shared" si="4"/>
        <v>8</v>
      </c>
      <c r="BD26" s="71">
        <f t="shared" si="4"/>
        <v>7</v>
      </c>
      <c r="BE26" s="71">
        <f t="shared" si="4"/>
        <v>0</v>
      </c>
      <c r="BF26" s="71">
        <f t="shared" si="4"/>
        <v>10</v>
      </c>
      <c r="BG26" s="71">
        <f t="shared" si="4"/>
        <v>22</v>
      </c>
      <c r="BH26" s="71">
        <f t="shared" si="4"/>
        <v>15</v>
      </c>
      <c r="BI26" s="71">
        <f t="shared" si="4"/>
        <v>0</v>
      </c>
      <c r="BJ26" s="71">
        <f t="shared" si="4"/>
        <v>21</v>
      </c>
      <c r="BK26" s="71">
        <f t="shared" si="4"/>
        <v>13</v>
      </c>
      <c r="BL26" s="71">
        <f t="shared" si="4"/>
        <v>1</v>
      </c>
      <c r="BM26" s="71">
        <f t="shared" si="4"/>
        <v>10</v>
      </c>
      <c r="BN26" s="71">
        <f t="shared" si="4"/>
        <v>3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27</v>
      </c>
      <c r="L27" s="71">
        <f t="shared" ref="L27:BN27" si="5">ABS(($D21+$D22)-(L23+L24))</f>
        <v>29</v>
      </c>
      <c r="M27" s="71">
        <f t="shared" si="5"/>
        <v>42</v>
      </c>
      <c r="N27" s="71">
        <f t="shared" si="5"/>
        <v>45</v>
      </c>
      <c r="O27" s="71">
        <f t="shared" si="5"/>
        <v>59</v>
      </c>
      <c r="P27" s="71">
        <f t="shared" si="5"/>
        <v>48</v>
      </c>
      <c r="Q27" s="71">
        <f t="shared" si="5"/>
        <v>13</v>
      </c>
      <c r="R27" s="71">
        <f t="shared" si="5"/>
        <v>45</v>
      </c>
      <c r="S27" s="71">
        <f t="shared" si="5"/>
        <v>39</v>
      </c>
      <c r="T27" s="71">
        <f t="shared" si="5"/>
        <v>64</v>
      </c>
      <c r="U27" s="71">
        <f t="shared" si="5"/>
        <v>34</v>
      </c>
      <c r="V27" s="71">
        <f t="shared" si="5"/>
        <v>41</v>
      </c>
      <c r="W27" s="71">
        <f t="shared" si="5"/>
        <v>60</v>
      </c>
      <c r="X27" s="71">
        <f t="shared" si="5"/>
        <v>35</v>
      </c>
      <c r="Y27" s="71">
        <f t="shared" si="5"/>
        <v>27</v>
      </c>
      <c r="Z27" s="71">
        <f t="shared" si="5"/>
        <v>27</v>
      </c>
      <c r="AA27" s="71">
        <f t="shared" si="5"/>
        <v>70</v>
      </c>
      <c r="AB27" s="71">
        <f t="shared" si="5"/>
        <v>41</v>
      </c>
      <c r="AC27" s="71">
        <f t="shared" si="5"/>
        <v>39</v>
      </c>
      <c r="AD27" s="71">
        <f t="shared" si="5"/>
        <v>46</v>
      </c>
      <c r="AE27" s="71">
        <f t="shared" si="5"/>
        <v>41</v>
      </c>
      <c r="AF27" s="71">
        <f t="shared" si="5"/>
        <v>62</v>
      </c>
      <c r="AG27" s="71">
        <f t="shared" si="5"/>
        <v>27</v>
      </c>
      <c r="AH27" s="71">
        <f t="shared" si="5"/>
        <v>38</v>
      </c>
      <c r="AI27" s="71">
        <f t="shared" si="5"/>
        <v>43</v>
      </c>
      <c r="AJ27" s="71">
        <f t="shared" si="5"/>
        <v>51</v>
      </c>
      <c r="AK27" s="71">
        <f t="shared" si="5"/>
        <v>45</v>
      </c>
      <c r="AL27" s="71">
        <f t="shared" si="5"/>
        <v>60</v>
      </c>
      <c r="AM27" s="71">
        <f t="shared" si="5"/>
        <v>38</v>
      </c>
      <c r="AN27" s="71">
        <f t="shared" si="5"/>
        <v>28</v>
      </c>
      <c r="AO27" s="71">
        <f t="shared" si="5"/>
        <v>42</v>
      </c>
      <c r="AP27" s="71">
        <f t="shared" si="5"/>
        <v>42</v>
      </c>
      <c r="AQ27" s="71">
        <f t="shared" si="5"/>
        <v>45</v>
      </c>
      <c r="AR27" s="71">
        <f t="shared" si="5"/>
        <v>69</v>
      </c>
      <c r="AS27" s="71">
        <f t="shared" si="5"/>
        <v>34</v>
      </c>
      <c r="AT27" s="71">
        <f t="shared" si="5"/>
        <v>47</v>
      </c>
      <c r="AU27" s="71">
        <f t="shared" si="5"/>
        <v>41</v>
      </c>
      <c r="AV27" s="71">
        <f t="shared" si="5"/>
        <v>55</v>
      </c>
      <c r="AW27" s="71">
        <f t="shared" si="5"/>
        <v>43</v>
      </c>
      <c r="AX27" s="71">
        <f t="shared" si="5"/>
        <v>38</v>
      </c>
      <c r="AY27" s="71">
        <f t="shared" si="5"/>
        <v>45</v>
      </c>
      <c r="AZ27" s="71">
        <f t="shared" si="5"/>
        <v>45</v>
      </c>
      <c r="BA27" s="71">
        <f t="shared" si="5"/>
        <v>41</v>
      </c>
      <c r="BB27" s="71">
        <f t="shared" si="5"/>
        <v>8</v>
      </c>
      <c r="BC27" s="71">
        <f t="shared" si="5"/>
        <v>56</v>
      </c>
      <c r="BD27" s="71">
        <f t="shared" si="5"/>
        <v>55</v>
      </c>
      <c r="BE27" s="71">
        <f t="shared" si="5"/>
        <v>42</v>
      </c>
      <c r="BF27" s="71">
        <f t="shared" si="5"/>
        <v>38</v>
      </c>
      <c r="BG27" s="71">
        <f t="shared" si="5"/>
        <v>42</v>
      </c>
      <c r="BH27" s="71">
        <f t="shared" si="5"/>
        <v>45</v>
      </c>
      <c r="BI27" s="71">
        <f t="shared" si="5"/>
        <v>34</v>
      </c>
      <c r="BJ27" s="71">
        <f t="shared" si="5"/>
        <v>97</v>
      </c>
      <c r="BK27" s="71">
        <f t="shared" si="5"/>
        <v>49</v>
      </c>
      <c r="BL27" s="71">
        <f t="shared" si="5"/>
        <v>49</v>
      </c>
      <c r="BM27" s="71">
        <f t="shared" si="5"/>
        <v>38</v>
      </c>
      <c r="BN27" s="71">
        <f t="shared" si="5"/>
        <v>45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>
        <f t="shared" ca="1" si="6"/>
        <v>1</v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0.51249999999999996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6</v>
      </c>
      <c r="M29" s="71">
        <f t="shared" si="7"/>
        <v>8</v>
      </c>
      <c r="N29" s="71">
        <f t="shared" si="7"/>
        <v>6</v>
      </c>
      <c r="O29" s="71">
        <f t="shared" si="7"/>
        <v>7</v>
      </c>
      <c r="P29" s="71">
        <f t="shared" si="7"/>
        <v>3</v>
      </c>
      <c r="Q29" s="71">
        <f t="shared" si="7"/>
        <v>4</v>
      </c>
      <c r="R29" s="71">
        <f t="shared" si="7"/>
        <v>9</v>
      </c>
      <c r="S29" s="71">
        <f t="shared" si="7"/>
        <v>7</v>
      </c>
      <c r="T29" s="71">
        <f t="shared" si="7"/>
        <v>7</v>
      </c>
      <c r="U29" s="71">
        <f t="shared" si="7"/>
        <v>7</v>
      </c>
      <c r="V29" s="71">
        <f t="shared" si="7"/>
        <v>6</v>
      </c>
      <c r="W29" s="71">
        <f t="shared" si="7"/>
        <v>4</v>
      </c>
      <c r="X29" s="71">
        <f t="shared" si="7"/>
        <v>7</v>
      </c>
      <c r="Y29" s="71">
        <f t="shared" si="7"/>
        <v>6</v>
      </c>
      <c r="Z29" s="71">
        <f t="shared" si="7"/>
        <v>4</v>
      </c>
      <c r="AA29" s="71">
        <f t="shared" si="7"/>
        <v>6</v>
      </c>
      <c r="AB29" s="71">
        <f t="shared" si="7"/>
        <v>5</v>
      </c>
      <c r="AC29" s="71">
        <f t="shared" si="7"/>
        <v>5</v>
      </c>
      <c r="AD29" s="71">
        <f t="shared" si="7"/>
        <v>7</v>
      </c>
      <c r="AE29" s="71">
        <f t="shared" si="7"/>
        <v>4</v>
      </c>
      <c r="AF29" s="71">
        <f t="shared" si="7"/>
        <v>5</v>
      </c>
      <c r="AG29" s="71">
        <f t="shared" si="7"/>
        <v>5</v>
      </c>
      <c r="AH29" s="71">
        <f t="shared" si="7"/>
        <v>2</v>
      </c>
      <c r="AI29" s="71">
        <f t="shared" si="7"/>
        <v>6</v>
      </c>
      <c r="AJ29" s="71">
        <f t="shared" si="7"/>
        <v>5</v>
      </c>
      <c r="AK29" s="71">
        <f t="shared" si="7"/>
        <v>8</v>
      </c>
      <c r="AL29" s="71">
        <f t="shared" si="7"/>
        <v>6</v>
      </c>
      <c r="AM29" s="71">
        <f t="shared" si="7"/>
        <v>7</v>
      </c>
      <c r="AN29" s="71">
        <f t="shared" si="7"/>
        <v>5</v>
      </c>
      <c r="AO29" s="71">
        <f t="shared" si="7"/>
        <v>8</v>
      </c>
      <c r="AP29" s="71">
        <f t="shared" si="7"/>
        <v>6</v>
      </c>
      <c r="AQ29" s="71">
        <f t="shared" si="7"/>
        <v>3</v>
      </c>
      <c r="AR29" s="71">
        <f t="shared" si="7"/>
        <v>5</v>
      </c>
      <c r="AS29" s="71">
        <f t="shared" si="7"/>
        <v>5</v>
      </c>
      <c r="AT29" s="71">
        <f t="shared" si="7"/>
        <v>5</v>
      </c>
      <c r="AU29" s="71">
        <f t="shared" si="7"/>
        <v>7</v>
      </c>
      <c r="AV29" s="71">
        <f t="shared" si="7"/>
        <v>8</v>
      </c>
      <c r="AW29" s="71">
        <f t="shared" si="7"/>
        <v>6</v>
      </c>
      <c r="AX29" s="71">
        <f t="shared" si="7"/>
        <v>7</v>
      </c>
      <c r="AY29" s="71">
        <f t="shared" si="7"/>
        <v>6</v>
      </c>
      <c r="AZ29" s="71">
        <f t="shared" si="7"/>
        <v>7</v>
      </c>
      <c r="BA29" s="71">
        <f t="shared" si="7"/>
        <v>6</v>
      </c>
      <c r="BB29" s="71">
        <f t="shared" si="7"/>
        <v>5</v>
      </c>
      <c r="BC29" s="71">
        <f t="shared" si="7"/>
        <v>7</v>
      </c>
      <c r="BD29" s="71">
        <f t="shared" si="7"/>
        <v>1</v>
      </c>
      <c r="BE29" s="71">
        <f t="shared" si="7"/>
        <v>6</v>
      </c>
      <c r="BF29" s="71">
        <f t="shared" si="7"/>
        <v>6</v>
      </c>
      <c r="BG29" s="71">
        <f t="shared" si="7"/>
        <v>3</v>
      </c>
      <c r="BH29" s="71">
        <f t="shared" si="7"/>
        <v>3</v>
      </c>
      <c r="BI29" s="71">
        <f t="shared" si="7"/>
        <v>5</v>
      </c>
      <c r="BJ29" s="71">
        <f t="shared" si="7"/>
        <v>5</v>
      </c>
      <c r="BK29" s="71">
        <f t="shared" si="7"/>
        <v>7</v>
      </c>
      <c r="BL29" s="71">
        <f t="shared" si="7"/>
        <v>2</v>
      </c>
      <c r="BM29" s="71">
        <f t="shared" si="7"/>
        <v>7</v>
      </c>
      <c r="BN29" s="71">
        <f t="shared" si="7"/>
        <v>6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6</v>
      </c>
      <c r="O30" s="73">
        <f t="shared" si="8"/>
        <v>3</v>
      </c>
      <c r="P30" s="73">
        <f t="shared" si="8"/>
        <v>5</v>
      </c>
      <c r="Q30" s="73">
        <f t="shared" si="8"/>
        <v>4</v>
      </c>
      <c r="R30" s="73">
        <f t="shared" si="8"/>
        <v>5</v>
      </c>
      <c r="S30" s="73">
        <f t="shared" si="8"/>
        <v>5</v>
      </c>
      <c r="T30" s="73">
        <f t="shared" si="8"/>
        <v>7</v>
      </c>
      <c r="U30" s="73">
        <f t="shared" si="8"/>
        <v>7</v>
      </c>
      <c r="V30" s="73">
        <f t="shared" si="8"/>
        <v>2</v>
      </c>
      <c r="W30" s="73">
        <f t="shared" si="8"/>
        <v>2</v>
      </c>
      <c r="X30" s="73">
        <f t="shared" si="8"/>
        <v>3</v>
      </c>
      <c r="Y30" s="73">
        <f t="shared" si="8"/>
        <v>2</v>
      </c>
      <c r="Z30" s="73">
        <f t="shared" si="8"/>
        <v>4</v>
      </c>
      <c r="AA30" s="73">
        <f t="shared" si="8"/>
        <v>4</v>
      </c>
      <c r="AB30" s="73">
        <f t="shared" si="8"/>
        <v>3</v>
      </c>
      <c r="AC30" s="73">
        <f t="shared" si="8"/>
        <v>5</v>
      </c>
      <c r="AD30" s="73">
        <f t="shared" si="8"/>
        <v>5</v>
      </c>
      <c r="AE30" s="73">
        <f t="shared" si="8"/>
        <v>0</v>
      </c>
      <c r="AF30" s="73">
        <f t="shared" si="8"/>
        <v>3</v>
      </c>
      <c r="AG30" s="73">
        <f t="shared" si="8"/>
        <v>3</v>
      </c>
      <c r="AH30" s="73">
        <f t="shared" si="8"/>
        <v>4</v>
      </c>
      <c r="AI30" s="73">
        <f t="shared" si="8"/>
        <v>2</v>
      </c>
      <c r="AJ30" s="73">
        <f t="shared" si="8"/>
        <v>5</v>
      </c>
      <c r="AK30" s="73">
        <f t="shared" si="8"/>
        <v>8</v>
      </c>
      <c r="AL30" s="73">
        <f t="shared" si="8"/>
        <v>6</v>
      </c>
      <c r="AM30" s="73">
        <f t="shared" si="8"/>
        <v>3</v>
      </c>
      <c r="AN30" s="73">
        <f t="shared" si="8"/>
        <v>3</v>
      </c>
      <c r="AO30" s="73">
        <f t="shared" si="8"/>
        <v>6</v>
      </c>
      <c r="AP30" s="73">
        <f t="shared" si="8"/>
        <v>4</v>
      </c>
      <c r="AQ30" s="73">
        <f t="shared" si="8"/>
        <v>5</v>
      </c>
      <c r="AR30" s="73">
        <f t="shared" si="8"/>
        <v>3</v>
      </c>
      <c r="AS30" s="73">
        <f t="shared" si="8"/>
        <v>7</v>
      </c>
      <c r="AT30" s="73">
        <f t="shared" si="8"/>
        <v>3</v>
      </c>
      <c r="AU30" s="73">
        <f t="shared" si="8"/>
        <v>5</v>
      </c>
      <c r="AV30" s="73">
        <f t="shared" si="8"/>
        <v>4</v>
      </c>
      <c r="AW30" s="73">
        <f t="shared" si="8"/>
        <v>4</v>
      </c>
      <c r="AX30" s="73">
        <f t="shared" si="8"/>
        <v>7</v>
      </c>
      <c r="AY30" s="73">
        <f t="shared" si="8"/>
        <v>2</v>
      </c>
      <c r="AZ30" s="73">
        <f t="shared" si="8"/>
        <v>5</v>
      </c>
      <c r="BA30" s="73">
        <f t="shared" si="8"/>
        <v>2</v>
      </c>
      <c r="BB30" s="73">
        <f t="shared" si="8"/>
        <v>3</v>
      </c>
      <c r="BC30" s="73">
        <f t="shared" si="8"/>
        <v>5</v>
      </c>
      <c r="BD30" s="73">
        <f t="shared" si="8"/>
        <v>5</v>
      </c>
      <c r="BE30" s="73">
        <f t="shared" si="8"/>
        <v>4</v>
      </c>
      <c r="BF30" s="73">
        <f t="shared" si="8"/>
        <v>4</v>
      </c>
      <c r="BG30" s="73">
        <f t="shared" si="8"/>
        <v>5</v>
      </c>
      <c r="BH30" s="73">
        <f t="shared" si="8"/>
        <v>7</v>
      </c>
      <c r="BI30" s="73">
        <f t="shared" si="8"/>
        <v>7</v>
      </c>
      <c r="BJ30" s="73">
        <f t="shared" si="8"/>
        <v>3</v>
      </c>
      <c r="BK30" s="73">
        <f t="shared" si="8"/>
        <v>3</v>
      </c>
      <c r="BL30" s="73">
        <f t="shared" si="8"/>
        <v>2</v>
      </c>
      <c r="BM30" s="73">
        <f t="shared" si="8"/>
        <v>3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6</v>
      </c>
      <c r="O31" s="71">
        <f t="shared" ca="1" si="9"/>
        <v>1</v>
      </c>
      <c r="P31" s="71">
        <f t="shared" ca="1" si="9"/>
        <v>3</v>
      </c>
      <c r="Q31" s="71">
        <f t="shared" ca="1" si="9"/>
        <v>4</v>
      </c>
      <c r="R31" s="71">
        <f t="shared" ca="1" si="9"/>
        <v>3</v>
      </c>
      <c r="S31" s="71">
        <f t="shared" ca="1" si="9"/>
        <v>3</v>
      </c>
      <c r="T31" s="71">
        <f t="shared" ca="1" si="9"/>
        <v>7</v>
      </c>
      <c r="U31" s="71">
        <f t="shared" ca="1" si="9"/>
        <v>5</v>
      </c>
      <c r="V31" s="71">
        <f t="shared" ca="1" si="9"/>
        <v>0</v>
      </c>
      <c r="W31" s="71">
        <f t="shared" ca="1" si="9"/>
        <v>2</v>
      </c>
      <c r="X31" s="71">
        <f t="shared" ca="1" si="9"/>
        <v>1</v>
      </c>
      <c r="Y31" s="71">
        <f t="shared" ca="1" si="9"/>
        <v>2</v>
      </c>
      <c r="Z31" s="71">
        <f t="shared" ca="1" si="9"/>
        <v>6</v>
      </c>
      <c r="AA31" s="71">
        <f t="shared" ca="1" si="9"/>
        <v>2</v>
      </c>
      <c r="AB31" s="71">
        <f t="shared" ca="1" si="9"/>
        <v>1</v>
      </c>
      <c r="AC31" s="71">
        <f t="shared" ca="1" si="9"/>
        <v>3</v>
      </c>
      <c r="AD31" s="71">
        <f t="shared" ca="1" si="9"/>
        <v>3</v>
      </c>
      <c r="AE31" s="71">
        <f t="shared" ca="1" si="9"/>
        <v>2</v>
      </c>
      <c r="AF31" s="71">
        <f t="shared" ca="1" si="9"/>
        <v>3</v>
      </c>
      <c r="AG31" s="71">
        <f t="shared" ca="1" si="9"/>
        <v>3</v>
      </c>
      <c r="AH31" s="71">
        <f t="shared" ca="1" si="9"/>
        <v>4</v>
      </c>
      <c r="AI31" s="71">
        <f t="shared" ca="1" si="9"/>
        <v>0</v>
      </c>
      <c r="AJ31" s="71">
        <f t="shared" ca="1" si="9"/>
        <v>3</v>
      </c>
      <c r="AK31" s="71">
        <f t="shared" ca="1" si="9"/>
        <v>6</v>
      </c>
      <c r="AL31" s="71">
        <f t="shared" ca="1" si="9"/>
        <v>4</v>
      </c>
      <c r="AM31" s="71">
        <f t="shared" ca="1" si="9"/>
        <v>1</v>
      </c>
      <c r="AN31" s="71">
        <f t="shared" ca="1" si="9"/>
        <v>3</v>
      </c>
      <c r="AO31" s="71">
        <f t="shared" ca="1" si="9"/>
        <v>4</v>
      </c>
      <c r="AP31" s="71">
        <f t="shared" ca="1" si="9"/>
        <v>2</v>
      </c>
      <c r="AQ31" s="71">
        <f t="shared" ca="1" si="9"/>
        <v>5</v>
      </c>
      <c r="AR31" s="71">
        <f t="shared" ca="1" si="9"/>
        <v>1</v>
      </c>
      <c r="AS31" s="71">
        <f t="shared" ca="1" si="9"/>
        <v>7</v>
      </c>
      <c r="AT31" s="71">
        <f t="shared" ca="1" si="9"/>
        <v>3</v>
      </c>
      <c r="AU31" s="71">
        <f t="shared" ca="1" si="9"/>
        <v>3</v>
      </c>
      <c r="AV31" s="71">
        <f t="shared" ca="1" si="9"/>
        <v>2</v>
      </c>
      <c r="AW31" s="71">
        <f t="shared" ca="1" si="9"/>
        <v>4</v>
      </c>
      <c r="AX31" s="71">
        <f t="shared" ca="1" si="9"/>
        <v>5</v>
      </c>
      <c r="AY31" s="71">
        <f t="shared" ca="1" si="9"/>
        <v>0</v>
      </c>
      <c r="AZ31" s="71">
        <f t="shared" ca="1" si="9"/>
        <v>3</v>
      </c>
      <c r="BA31" s="71">
        <f t="shared" ca="1" si="9"/>
        <v>0</v>
      </c>
      <c r="BB31" s="71">
        <f t="shared" ca="1" si="9"/>
        <v>5</v>
      </c>
      <c r="BC31" s="71">
        <f t="shared" ca="1" si="9"/>
        <v>3</v>
      </c>
      <c r="BD31" s="71">
        <f t="shared" ca="1" si="9"/>
        <v>7</v>
      </c>
      <c r="BE31" s="71">
        <f t="shared" ca="1" si="9"/>
        <v>2</v>
      </c>
      <c r="BF31" s="71">
        <f t="shared" ca="1" si="9"/>
        <v>4</v>
      </c>
      <c r="BG31" s="71">
        <f t="shared" ca="1" si="9"/>
        <v>7</v>
      </c>
      <c r="BH31" s="71">
        <f t="shared" ca="1" si="9"/>
        <v>7</v>
      </c>
      <c r="BI31" s="71">
        <f t="shared" ca="1" si="9"/>
        <v>5</v>
      </c>
      <c r="BJ31" s="71">
        <f t="shared" ca="1" si="9"/>
        <v>3</v>
      </c>
      <c r="BK31" s="71">
        <f t="shared" ca="1" si="9"/>
        <v>3</v>
      </c>
      <c r="BL31" s="71">
        <f t="shared" ca="1" si="9"/>
        <v>4</v>
      </c>
      <c r="BM31" s="71">
        <f t="shared" ca="1" si="9"/>
        <v>1</v>
      </c>
      <c r="BN31" s="71">
        <f t="shared" ca="1" si="9"/>
        <v>2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121971892</v>
      </c>
      <c r="L36" s="32">
        <f t="shared" ref="L36:BN36" si="12">COUNTA(L23:L24)*((10000000*L25)+(1000000*(COUNTA(L21)*$E21+COUNTA(L22)*$E22))-(COUNTA($D$21:$D$22)*1000*L26)-(COUNTA($D$21:$D$22)*L27))</f>
        <v>81947884</v>
      </c>
      <c r="M36" s="32">
        <f t="shared" si="12"/>
        <v>81967832</v>
      </c>
      <c r="N36" s="32">
        <f t="shared" si="12"/>
        <v>119955820</v>
      </c>
      <c r="O36" s="32">
        <f t="shared" si="12"/>
        <v>59955764</v>
      </c>
      <c r="P36" s="32">
        <f t="shared" si="12"/>
        <v>61975808</v>
      </c>
      <c r="Q36" s="32">
        <f t="shared" si="12"/>
        <v>79859948</v>
      </c>
      <c r="R36" s="32">
        <f t="shared" si="12"/>
        <v>99931820</v>
      </c>
      <c r="S36" s="32">
        <f t="shared" si="12"/>
        <v>141963844</v>
      </c>
      <c r="T36" s="32">
        <f t="shared" si="12"/>
        <v>99943744</v>
      </c>
      <c r="U36" s="32">
        <f t="shared" si="12"/>
        <v>59943864</v>
      </c>
      <c r="V36" s="32">
        <f t="shared" si="12"/>
        <v>81971836</v>
      </c>
      <c r="W36" s="32">
        <f t="shared" si="12"/>
        <v>121983760</v>
      </c>
      <c r="X36" s="32">
        <f t="shared" si="12"/>
        <v>101971860</v>
      </c>
      <c r="Y36" s="32">
        <f t="shared" si="12"/>
        <v>121971892</v>
      </c>
      <c r="Z36" s="32">
        <f t="shared" si="12"/>
        <v>121971892</v>
      </c>
      <c r="AA36" s="32">
        <f t="shared" si="12"/>
        <v>79943720</v>
      </c>
      <c r="AB36" s="32">
        <f t="shared" si="12"/>
        <v>61971836</v>
      </c>
      <c r="AC36" s="32">
        <f t="shared" si="12"/>
        <v>59931844</v>
      </c>
      <c r="AD36" s="32">
        <f t="shared" si="12"/>
        <v>101959816</v>
      </c>
      <c r="AE36" s="32">
        <f t="shared" si="12"/>
        <v>121947836</v>
      </c>
      <c r="AF36" s="32">
        <f t="shared" si="12"/>
        <v>59943752</v>
      </c>
      <c r="AG36" s="32">
        <f t="shared" si="12"/>
        <v>141971892</v>
      </c>
      <c r="AH36" s="32">
        <f t="shared" si="12"/>
        <v>121959848</v>
      </c>
      <c r="AI36" s="32">
        <f t="shared" si="12"/>
        <v>81971828</v>
      </c>
      <c r="AJ36" s="32">
        <f t="shared" si="12"/>
        <v>101995796</v>
      </c>
      <c r="AK36" s="32">
        <f t="shared" si="12"/>
        <v>79955820</v>
      </c>
      <c r="AL36" s="32">
        <f t="shared" si="12"/>
        <v>161983760</v>
      </c>
      <c r="AM36" s="32">
        <f t="shared" si="12"/>
        <v>101983848</v>
      </c>
      <c r="AN36" s="32">
        <f t="shared" si="12"/>
        <v>141975888</v>
      </c>
      <c r="AO36" s="32">
        <f t="shared" si="12"/>
        <v>79831832</v>
      </c>
      <c r="AP36" s="32">
        <f t="shared" si="12"/>
        <v>121975832</v>
      </c>
      <c r="AQ36" s="32">
        <f t="shared" si="12"/>
        <v>61987820</v>
      </c>
      <c r="AR36" s="32">
        <f t="shared" si="12"/>
        <v>101971724</v>
      </c>
      <c r="AS36" s="32">
        <f t="shared" si="12"/>
        <v>139943864</v>
      </c>
      <c r="AT36" s="32">
        <f t="shared" si="12"/>
        <v>101979812</v>
      </c>
      <c r="AU36" s="32">
        <f t="shared" si="12"/>
        <v>101971836</v>
      </c>
      <c r="AV36" s="32">
        <f t="shared" si="12"/>
        <v>79939780</v>
      </c>
      <c r="AW36" s="32">
        <f t="shared" si="12"/>
        <v>161971828</v>
      </c>
      <c r="AX36" s="32">
        <f t="shared" si="12"/>
        <v>59871848</v>
      </c>
      <c r="AY36" s="32">
        <f t="shared" si="12"/>
        <v>81987820</v>
      </c>
      <c r="AZ36" s="32">
        <f t="shared" si="12"/>
        <v>141987820</v>
      </c>
      <c r="BA36" s="32">
        <f t="shared" si="12"/>
        <v>81971836</v>
      </c>
      <c r="BB36" s="32">
        <f t="shared" si="12"/>
        <v>181887968</v>
      </c>
      <c r="BC36" s="32">
        <f t="shared" si="12"/>
        <v>141967776</v>
      </c>
      <c r="BD36" s="32">
        <f t="shared" si="12"/>
        <v>101971780</v>
      </c>
      <c r="BE36" s="32">
        <f t="shared" si="12"/>
        <v>121999832</v>
      </c>
      <c r="BF36" s="32">
        <f t="shared" si="12"/>
        <v>161959848</v>
      </c>
      <c r="BG36" s="32">
        <f t="shared" si="12"/>
        <v>139911832</v>
      </c>
      <c r="BH36" s="32">
        <f t="shared" si="12"/>
        <v>99939820</v>
      </c>
      <c r="BI36" s="32">
        <f t="shared" si="12"/>
        <v>101999864</v>
      </c>
      <c r="BJ36" s="32">
        <f t="shared" si="12"/>
        <v>59915612</v>
      </c>
      <c r="BK36" s="32">
        <f t="shared" si="12"/>
        <v>99947804</v>
      </c>
      <c r="BL36" s="32">
        <f t="shared" si="12"/>
        <v>121995804</v>
      </c>
      <c r="BM36" s="32">
        <f t="shared" si="12"/>
        <v>61959848</v>
      </c>
      <c r="BN36" s="32">
        <f t="shared" si="12"/>
        <v>121987820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 x14ac:dyDescent="0.25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Brent;Holley, Jeremy Remote;Hucks, Jason;Inabinet, Greg;James, Larry C;Johnson, Robert J;Kandela, Marwan;Locklear,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42" priority="22" stopIfTrue="1" operator="equal">
      <formula>0</formula>
    </cfRule>
  </conditionalFormatting>
  <conditionalFormatting sqref="B12:C12 B14:C14 B16:C16 B18:C18 B20:C20 B22:C22 B24:C24 E24 H24:I24 B10:C10 B4:C4 B6:C6 B8:C8 AO24:BE24">
    <cfRule type="cellIs" dxfId="241" priority="21" stopIfTrue="1" operator="equal">
      <formula>0</formula>
    </cfRule>
  </conditionalFormatting>
  <conditionalFormatting sqref="D26:J28 K28:BE28">
    <cfRule type="cellIs" dxfId="240" priority="20" stopIfTrue="1" operator="equal">
      <formula>1</formula>
    </cfRule>
  </conditionalFormatting>
  <conditionalFormatting sqref="H3:I3 F23 H5:I5 H7:I7 H9:I9 H11:I11 H13:I13 H15:I15 H17:I17 H19:I19 H21:I21">
    <cfRule type="cellIs" dxfId="239" priority="19" stopIfTrue="1" operator="equal">
      <formula>0</formula>
    </cfRule>
  </conditionalFormatting>
  <conditionalFormatting sqref="H4:I4 F24 H6:I6 H8:I8 H10:I10 H12:I12 H14:I14 H16:I16 H18:I18 H20:I20 H22:I22">
    <cfRule type="cellIs" dxfId="238" priority="18" stopIfTrue="1" operator="equal">
      <formula>0</formula>
    </cfRule>
  </conditionalFormatting>
  <conditionalFormatting sqref="F3 F5 F7 F9 F11 F13 F15 F17 F19 F21">
    <cfRule type="cellIs" dxfId="237" priority="17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6" priority="16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35" priority="14" stopIfTrue="1">
      <formula>AND(COUNTA(J4)=1,$E4=1,SUM($E3:$E4)=1)</formula>
    </cfRule>
    <cfRule type="expression" dxfId="234" priority="15" stopIfTrue="1">
      <formula>AND(COUNTA(J4)=1,$E4=0,SUM($E3:$E4)=1)</formula>
    </cfRule>
  </conditionalFormatting>
  <conditionalFormatting sqref="J5:BE5 J7:BE7 J9:BE9 J11:BE11 J13:BE13 J15:BE15 J17:BE17 J19:BE19 J21:BE21 J3:BE3">
    <cfRule type="expression" dxfId="233" priority="12" stopIfTrue="1">
      <formula>AND(COUNTA(J3)=1,$E3=1,SUM($E3:$E4)=1)</formula>
    </cfRule>
    <cfRule type="expression" dxfId="232" priority="13" stopIfTrue="1">
      <formula>AND(COUNTA(J3)=1,$E3=0,SUM($E3:$E4)=1)</formula>
    </cfRule>
  </conditionalFormatting>
  <conditionalFormatting sqref="BF23:BN23">
    <cfRule type="cellIs" dxfId="231" priority="11" stopIfTrue="1" operator="equal">
      <formula>0</formula>
    </cfRule>
  </conditionalFormatting>
  <conditionalFormatting sqref="BF24:BN24">
    <cfRule type="cellIs" dxfId="230" priority="10" stopIfTrue="1" operator="equal">
      <formula>0</formula>
    </cfRule>
  </conditionalFormatting>
  <conditionalFormatting sqref="BF28:BN28">
    <cfRule type="cellIs" dxfId="229" priority="9" stopIfTrue="1" operator="equal">
      <formula>1</formula>
    </cfRule>
  </conditionalFormatting>
  <conditionalFormatting sqref="BF12:BN12 BF14:BN14 BF16:BN16 BF18:BN18 BF20:BN20 BF22:BN22 BF4:BN4 BF6:BN6 BF8:BN8 BF10:BN10">
    <cfRule type="expression" dxfId="228" priority="7" stopIfTrue="1">
      <formula>AND(COUNTA(BF4)=1,$E4=1,SUM($E3:$E4)=1)</formula>
    </cfRule>
    <cfRule type="expression" dxfId="227" priority="8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6" priority="5" stopIfTrue="1">
      <formula>AND(COUNTA(BF3)=1,$E3=1,SUM($E3:$E4)=1)</formula>
    </cfRule>
    <cfRule type="expression" dxfId="225" priority="6" stopIfTrue="1">
      <formula>AND(COUNTA(BF3)=1,$E3=0,SUM($E3:$E4)=1)</formula>
    </cfRule>
  </conditionalFormatting>
  <conditionalFormatting sqref="BJ6 BJ8 BJ10 BJ12 BJ14 BJ16 BJ18 BJ20 BJ22 BJ4">
    <cfRule type="expression" dxfId="224" priority="3" stopIfTrue="1">
      <formula>AND(COUNTA(BJ4)=1,$E4=1,SUM($E3:$E4)=1)</formula>
    </cfRule>
    <cfRule type="expression" dxfId="223" priority="4" stopIfTrue="1">
      <formula>AND(COUNTA(BJ4)=1,$E4=0,SUM($E3:$E4)=1)</formula>
    </cfRule>
  </conditionalFormatting>
  <conditionalFormatting sqref="BJ5 BJ7 BJ9 BJ11 BJ13 BJ15 BJ17 BJ19 BJ21 BJ3">
    <cfRule type="expression" dxfId="222" priority="1" stopIfTrue="1">
      <formula>AND(COUNTA(BJ3)=1,$E3=1,SUM($E3:$E4)=1)</formula>
    </cfRule>
    <cfRule type="expression" dxfId="221" priority="2" stopIfTrue="1">
      <formula>AND(COUNTA(BJ3)=1,$E3=0,SUM($E3:$E4)=1)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08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22860</xdr:colOff>
                    <xdr:row>1</xdr:row>
                    <xdr:rowOff>106680</xdr:rowOff>
                  </from>
                  <to>
                    <xdr:col>1</xdr:col>
                    <xdr:colOff>624840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22860</xdr:colOff>
                    <xdr:row>1</xdr:row>
                    <xdr:rowOff>381000</xdr:rowOff>
                  </from>
                  <to>
                    <xdr:col>1</xdr:col>
                    <xdr:colOff>624840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8" r:id="rId6" name="Button 4">
              <controlPr defaultSize="0" print="0" autoFill="0" autoPict="0" macro="[0]!grabSayings">
                <anchor moveWithCells="1" sizeWithCells="1">
                  <from>
                    <xdr:col>1</xdr:col>
                    <xdr:colOff>22860</xdr:colOff>
                    <xdr:row>1</xdr:row>
                    <xdr:rowOff>678180</xdr:rowOff>
                  </from>
                  <to>
                    <xdr:col>1</xdr:col>
                    <xdr:colOff>739140</xdr:colOff>
                    <xdr:row>1</xdr:row>
                    <xdr:rowOff>883920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N58"/>
  <sheetViews>
    <sheetView zoomScale="80" zoomScaleNormal="80" zoomScaleSheetLayoutView="100" workbookViewId="0">
      <selection activeCell="L41" sqref="L41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6" x14ac:dyDescent="0.25">
      <c r="B1" s="6"/>
      <c r="I1">
        <f>COUNTA(K1:BL1)</f>
        <v>0</v>
      </c>
      <c r="J1">
        <f>SUM(K1:BL1)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 x14ac:dyDescent="0.25">
      <c r="A3" s="59">
        <v>1</v>
      </c>
      <c r="B3" s="67" t="s">
        <v>227</v>
      </c>
      <c r="C3" s="65">
        <v>7.5</v>
      </c>
      <c r="D3" s="64">
        <v>29</v>
      </c>
      <c r="E3" s="64">
        <f>IF(ISBLANK($D3),"0",IF(($D4-$D3)&lt;($C4-$C3),1,0))</f>
        <v>0</v>
      </c>
      <c r="F3" s="64">
        <f ca="1">COUNTA(INDIRECT("RC11:RC"&amp;11+playercnt-1,FALSE))</f>
        <v>44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312</v>
      </c>
      <c r="L3" s="69" t="s">
        <v>313</v>
      </c>
      <c r="M3" s="69" t="s">
        <v>312</v>
      </c>
      <c r="N3" s="69" t="s">
        <v>355</v>
      </c>
      <c r="O3" s="69" t="s">
        <v>371</v>
      </c>
      <c r="P3" s="69"/>
      <c r="Q3" s="69" t="s">
        <v>318</v>
      </c>
      <c r="R3" s="69" t="s">
        <v>343</v>
      </c>
      <c r="S3" s="69" t="s">
        <v>322</v>
      </c>
      <c r="T3" s="69" t="s">
        <v>312</v>
      </c>
      <c r="U3" s="69" t="s">
        <v>319</v>
      </c>
      <c r="V3" s="69" t="s">
        <v>316</v>
      </c>
      <c r="W3" s="69" t="s">
        <v>317</v>
      </c>
      <c r="X3" s="69" t="s">
        <v>312</v>
      </c>
      <c r="Y3" s="69" t="s">
        <v>317</v>
      </c>
      <c r="Z3" s="69" t="s">
        <v>317</v>
      </c>
      <c r="AA3" s="69" t="s">
        <v>354</v>
      </c>
      <c r="AB3" s="69" t="s">
        <v>317</v>
      </c>
      <c r="AC3" s="69" t="s">
        <v>334</v>
      </c>
      <c r="AD3" s="69" t="s">
        <v>317</v>
      </c>
      <c r="AE3" s="69" t="s">
        <v>355</v>
      </c>
      <c r="AF3" s="69" t="s">
        <v>355</v>
      </c>
      <c r="AG3" s="69"/>
      <c r="AH3" s="69" t="s">
        <v>457</v>
      </c>
      <c r="AI3" s="69" t="s">
        <v>338</v>
      </c>
      <c r="AJ3" s="69" t="s">
        <v>314</v>
      </c>
      <c r="AK3" s="69" t="s">
        <v>317</v>
      </c>
      <c r="AL3" s="69"/>
      <c r="AM3" s="69" t="s">
        <v>322</v>
      </c>
      <c r="AN3" s="69"/>
      <c r="AO3" s="69" t="s">
        <v>317</v>
      </c>
      <c r="AP3" s="69"/>
      <c r="AQ3" s="99" t="s">
        <v>463</v>
      </c>
      <c r="AR3" s="99" t="s">
        <v>317</v>
      </c>
      <c r="AS3" s="69"/>
      <c r="AT3" s="69"/>
      <c r="AU3" s="69"/>
      <c r="AV3" s="69" t="s">
        <v>317</v>
      </c>
      <c r="AW3" s="69"/>
      <c r="AX3" s="69" t="s">
        <v>459</v>
      </c>
      <c r="AY3" s="69" t="s">
        <v>366</v>
      </c>
      <c r="AZ3" s="69" t="s">
        <v>357</v>
      </c>
      <c r="BA3" s="69" t="s">
        <v>317</v>
      </c>
      <c r="BB3" s="69" t="s">
        <v>317</v>
      </c>
      <c r="BC3" s="69" t="s">
        <v>357</v>
      </c>
      <c r="BD3" s="69" t="s">
        <v>312</v>
      </c>
      <c r="BE3" s="69" t="s">
        <v>367</v>
      </c>
      <c r="BF3" s="69" t="s">
        <v>314</v>
      </c>
      <c r="BG3" s="69"/>
      <c r="BH3" s="69"/>
      <c r="BI3" s="69" t="s">
        <v>452</v>
      </c>
      <c r="BJ3" s="99" t="s">
        <v>463</v>
      </c>
      <c r="BK3" s="69" t="s">
        <v>437</v>
      </c>
      <c r="BL3" s="69"/>
      <c r="BM3" s="69" t="s">
        <v>388</v>
      </c>
      <c r="BN3" s="69" t="s">
        <v>312</v>
      </c>
    </row>
    <row r="4" spans="1:66" x14ac:dyDescent="0.25">
      <c r="A4" s="61" t="s">
        <v>3</v>
      </c>
      <c r="B4" s="68" t="s">
        <v>224</v>
      </c>
      <c r="C4" s="66"/>
      <c r="D4" s="64">
        <v>33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311</v>
      </c>
      <c r="K4" s="70"/>
      <c r="L4" s="70"/>
      <c r="M4" s="70"/>
      <c r="N4" s="70"/>
      <c r="O4" s="70"/>
      <c r="P4" s="70" t="s">
        <v>317</v>
      </c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 t="s">
        <v>344</v>
      </c>
      <c r="AH4" s="70"/>
      <c r="AI4" s="70"/>
      <c r="AJ4" s="70"/>
      <c r="AK4" s="70"/>
      <c r="AL4" s="70" t="s">
        <v>347</v>
      </c>
      <c r="AM4" s="70"/>
      <c r="AN4" s="70" t="s">
        <v>317</v>
      </c>
      <c r="AO4" s="70"/>
      <c r="AP4" s="70" t="s">
        <v>315</v>
      </c>
      <c r="AQ4" s="70"/>
      <c r="AR4" s="70"/>
      <c r="AS4" s="70" t="s">
        <v>333</v>
      </c>
      <c r="AT4" s="70" t="s">
        <v>334</v>
      </c>
      <c r="AU4" s="70" t="s">
        <v>312</v>
      </c>
      <c r="AV4" s="70"/>
      <c r="AW4" s="70" t="s">
        <v>351</v>
      </c>
      <c r="AX4" s="70"/>
      <c r="AY4" s="70"/>
      <c r="AZ4" s="70"/>
      <c r="BA4" s="70"/>
      <c r="BB4" s="70"/>
      <c r="BC4" s="70"/>
      <c r="BD4" s="70"/>
      <c r="BE4" s="70"/>
      <c r="BF4" s="70"/>
      <c r="BG4" s="70" t="s">
        <v>451</v>
      </c>
      <c r="BH4" s="70" t="s">
        <v>317</v>
      </c>
      <c r="BI4" s="70"/>
      <c r="BJ4" s="70"/>
      <c r="BK4" s="70"/>
      <c r="BL4" s="70" t="s">
        <v>327</v>
      </c>
      <c r="BM4" s="70"/>
      <c r="BN4" s="70"/>
    </row>
    <row r="5" spans="1:66" x14ac:dyDescent="0.25">
      <c r="A5" s="59">
        <v>2</v>
      </c>
      <c r="B5" s="67" t="s">
        <v>175</v>
      </c>
      <c r="C5" s="65">
        <v>4.5</v>
      </c>
      <c r="D5" s="64">
        <v>17</v>
      </c>
      <c r="E5" s="64">
        <f>IF(ISBLANK($D5),"0",IF(($D6-$D5)&lt;($C6-$C5),1,0))</f>
        <v>0</v>
      </c>
      <c r="F5" s="64">
        <f t="shared" ca="1" si="1"/>
        <v>40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311</v>
      </c>
      <c r="K5" s="69"/>
      <c r="L5" s="69" t="s">
        <v>313</v>
      </c>
      <c r="M5" s="69" t="s">
        <v>312</v>
      </c>
      <c r="N5" s="69"/>
      <c r="O5" s="69" t="s">
        <v>371</v>
      </c>
      <c r="P5" s="69" t="s">
        <v>317</v>
      </c>
      <c r="Q5" s="69" t="s">
        <v>318</v>
      </c>
      <c r="R5" s="69" t="s">
        <v>325</v>
      </c>
      <c r="S5" s="69" t="s">
        <v>321</v>
      </c>
      <c r="T5" s="69" t="s">
        <v>312</v>
      </c>
      <c r="U5" s="69"/>
      <c r="V5" s="69"/>
      <c r="W5" s="69" t="s">
        <v>317</v>
      </c>
      <c r="X5" s="69" t="s">
        <v>312</v>
      </c>
      <c r="Y5" s="69" t="s">
        <v>317</v>
      </c>
      <c r="Z5" s="69" t="s">
        <v>317</v>
      </c>
      <c r="AA5" s="69" t="s">
        <v>354</v>
      </c>
      <c r="AB5" s="69" t="s">
        <v>317</v>
      </c>
      <c r="AC5" s="69"/>
      <c r="AD5" s="69"/>
      <c r="AE5" s="69" t="s">
        <v>355</v>
      </c>
      <c r="AF5" s="69"/>
      <c r="AG5" s="69" t="s">
        <v>379</v>
      </c>
      <c r="AH5" s="69" t="s">
        <v>458</v>
      </c>
      <c r="AI5" s="69" t="s">
        <v>324</v>
      </c>
      <c r="AJ5" s="69" t="s">
        <v>314</v>
      </c>
      <c r="AK5" s="69" t="s">
        <v>317</v>
      </c>
      <c r="AL5" s="69" t="s">
        <v>347</v>
      </c>
      <c r="AM5" s="69" t="s">
        <v>321</v>
      </c>
      <c r="AN5" s="69" t="s">
        <v>317</v>
      </c>
      <c r="AO5" s="69" t="s">
        <v>317</v>
      </c>
      <c r="AP5" s="69" t="s">
        <v>324</v>
      </c>
      <c r="AQ5" s="69"/>
      <c r="AR5" s="99" t="s">
        <v>317</v>
      </c>
      <c r="AS5" s="69" t="s">
        <v>351</v>
      </c>
      <c r="AT5" s="69" t="s">
        <v>334</v>
      </c>
      <c r="AU5" s="69" t="s">
        <v>312</v>
      </c>
      <c r="AV5" s="69"/>
      <c r="AW5" s="69" t="s">
        <v>341</v>
      </c>
      <c r="AX5" s="69"/>
      <c r="AY5" s="69" t="s">
        <v>366</v>
      </c>
      <c r="AZ5" s="69" t="s">
        <v>356</v>
      </c>
      <c r="BA5" s="69" t="s">
        <v>317</v>
      </c>
      <c r="BB5" s="69" t="s">
        <v>317</v>
      </c>
      <c r="BC5" s="69" t="s">
        <v>357</v>
      </c>
      <c r="BD5" s="69"/>
      <c r="BE5" s="69"/>
      <c r="BF5" s="69" t="s">
        <v>322</v>
      </c>
      <c r="BG5" s="69"/>
      <c r="BH5" s="69"/>
      <c r="BI5" s="69" t="s">
        <v>341</v>
      </c>
      <c r="BJ5" s="69"/>
      <c r="BK5" s="69" t="s">
        <v>437</v>
      </c>
      <c r="BL5" s="69"/>
      <c r="BM5" s="69" t="s">
        <v>388</v>
      </c>
      <c r="BN5" s="69" t="s">
        <v>312</v>
      </c>
    </row>
    <row r="6" spans="1:66" x14ac:dyDescent="0.25">
      <c r="A6" s="61" t="s">
        <v>3</v>
      </c>
      <c r="B6" s="68" t="s">
        <v>158</v>
      </c>
      <c r="C6" s="66"/>
      <c r="D6" s="64">
        <v>31</v>
      </c>
      <c r="E6" s="64">
        <f>IF(ISBLANK($D6),"0",IF(($D6-$D5)&gt;($C6-$C5),1,0))</f>
        <v>1</v>
      </c>
      <c r="F6" s="64">
        <f t="shared" ca="1" si="1"/>
        <v>16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312</v>
      </c>
      <c r="L6" s="70"/>
      <c r="M6" s="70"/>
      <c r="N6" s="70" t="s">
        <v>355</v>
      </c>
      <c r="O6" s="70"/>
      <c r="P6" s="70"/>
      <c r="Q6" s="70"/>
      <c r="R6" s="70"/>
      <c r="S6" s="70"/>
      <c r="T6" s="70"/>
      <c r="U6" s="70" t="s">
        <v>320</v>
      </c>
      <c r="V6" s="70" t="s">
        <v>320</v>
      </c>
      <c r="W6" s="70"/>
      <c r="X6" s="70"/>
      <c r="Y6" s="70"/>
      <c r="Z6" s="70"/>
      <c r="AA6" s="70"/>
      <c r="AB6" s="70"/>
      <c r="AC6" s="70" t="s">
        <v>341</v>
      </c>
      <c r="AD6" s="70" t="s">
        <v>317</v>
      </c>
      <c r="AE6" s="70"/>
      <c r="AF6" s="70" t="s">
        <v>355</v>
      </c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99" t="s">
        <v>463</v>
      </c>
      <c r="AR6" s="70"/>
      <c r="AS6" s="70"/>
      <c r="AT6" s="70"/>
      <c r="AU6" s="70"/>
      <c r="AV6" s="70" t="s">
        <v>317</v>
      </c>
      <c r="AW6" s="70"/>
      <c r="AX6" s="70" t="s">
        <v>435</v>
      </c>
      <c r="AY6" s="70"/>
      <c r="AZ6" s="70"/>
      <c r="BA6" s="70"/>
      <c r="BB6" s="70"/>
      <c r="BC6" s="70"/>
      <c r="BD6" s="70" t="s">
        <v>312</v>
      </c>
      <c r="BE6" s="70" t="s">
        <v>367</v>
      </c>
      <c r="BF6" s="70"/>
      <c r="BG6" s="70" t="s">
        <v>451</v>
      </c>
      <c r="BH6" s="70" t="s">
        <v>317</v>
      </c>
      <c r="BI6" s="70"/>
      <c r="BJ6" s="99" t="s">
        <v>463</v>
      </c>
      <c r="BK6" s="70"/>
      <c r="BL6" s="70" t="s">
        <v>347</v>
      </c>
      <c r="BM6" s="70"/>
      <c r="BN6" s="70"/>
    </row>
    <row r="7" spans="1:66" x14ac:dyDescent="0.25">
      <c r="A7" s="59">
        <v>3</v>
      </c>
      <c r="B7" s="67" t="s">
        <v>221</v>
      </c>
      <c r="C7" s="65"/>
      <c r="D7" s="64">
        <v>3</v>
      </c>
      <c r="E7" s="64">
        <f>IF(ISBLANK($D7),"0",IF(($D8-$D7)&lt;($C8-$C7),1,0))</f>
        <v>0</v>
      </c>
      <c r="F7" s="64">
        <f t="shared" ca="1" si="1"/>
        <v>42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311</v>
      </c>
      <c r="K7" s="69"/>
      <c r="L7" s="69"/>
      <c r="M7" s="69" t="s">
        <v>312</v>
      </c>
      <c r="N7" s="69" t="s">
        <v>355</v>
      </c>
      <c r="O7" s="69" t="s">
        <v>371</v>
      </c>
      <c r="P7" s="69" t="s">
        <v>317</v>
      </c>
      <c r="Q7" s="69" t="s">
        <v>318</v>
      </c>
      <c r="R7" s="69" t="s">
        <v>334</v>
      </c>
      <c r="S7" s="69" t="s">
        <v>323</v>
      </c>
      <c r="T7" s="69"/>
      <c r="U7" s="69" t="s">
        <v>320</v>
      </c>
      <c r="V7" s="69"/>
      <c r="W7" s="69"/>
      <c r="X7" s="69" t="s">
        <v>312</v>
      </c>
      <c r="Y7" s="69" t="s">
        <v>317</v>
      </c>
      <c r="Z7" s="69" t="s">
        <v>317</v>
      </c>
      <c r="AA7" s="69" t="s">
        <v>354</v>
      </c>
      <c r="AB7" s="69"/>
      <c r="AC7" s="69" t="s">
        <v>324</v>
      </c>
      <c r="AD7" s="69" t="s">
        <v>317</v>
      </c>
      <c r="AE7" s="69" t="s">
        <v>355</v>
      </c>
      <c r="AF7" s="69"/>
      <c r="AG7" s="69" t="s">
        <v>331</v>
      </c>
      <c r="AH7" s="69" t="s">
        <v>315</v>
      </c>
      <c r="AI7" s="69" t="s">
        <v>340</v>
      </c>
      <c r="AJ7" s="69" t="s">
        <v>314</v>
      </c>
      <c r="AK7" s="69" t="s">
        <v>317</v>
      </c>
      <c r="AL7" s="69" t="s">
        <v>347</v>
      </c>
      <c r="AM7" s="69"/>
      <c r="AN7" s="69" t="s">
        <v>317</v>
      </c>
      <c r="AO7" s="69" t="s">
        <v>317</v>
      </c>
      <c r="AP7" s="69"/>
      <c r="AQ7" s="99" t="s">
        <v>463</v>
      </c>
      <c r="AR7" s="99" t="s">
        <v>317</v>
      </c>
      <c r="AS7" s="69" t="s">
        <v>314</v>
      </c>
      <c r="AT7" s="69"/>
      <c r="AU7" s="69" t="s">
        <v>312</v>
      </c>
      <c r="AV7" s="69" t="s">
        <v>317</v>
      </c>
      <c r="AW7" s="69" t="s">
        <v>340</v>
      </c>
      <c r="AX7" s="69" t="s">
        <v>394</v>
      </c>
      <c r="AY7" s="69" t="s">
        <v>366</v>
      </c>
      <c r="AZ7" s="69" t="s">
        <v>356</v>
      </c>
      <c r="BA7" s="69"/>
      <c r="BB7" s="69" t="s">
        <v>317</v>
      </c>
      <c r="BC7" s="69" t="s">
        <v>357</v>
      </c>
      <c r="BD7" s="69" t="s">
        <v>312</v>
      </c>
      <c r="BE7" s="69" t="s">
        <v>367</v>
      </c>
      <c r="BF7" s="69"/>
      <c r="BG7" s="69" t="s">
        <v>451</v>
      </c>
      <c r="BH7" s="69"/>
      <c r="BI7" s="69" t="s">
        <v>453</v>
      </c>
      <c r="BJ7" s="99" t="s">
        <v>463</v>
      </c>
      <c r="BK7" s="69" t="s">
        <v>437</v>
      </c>
      <c r="BL7" s="69"/>
      <c r="BM7" s="69" t="s">
        <v>388</v>
      </c>
      <c r="BN7" s="69" t="s">
        <v>408</v>
      </c>
    </row>
    <row r="8" spans="1:66" x14ac:dyDescent="0.25">
      <c r="A8" s="61" t="s">
        <v>3</v>
      </c>
      <c r="B8" s="68" t="s">
        <v>207</v>
      </c>
      <c r="C8" s="66">
        <v>4.5</v>
      </c>
      <c r="D8" s="64">
        <v>24</v>
      </c>
      <c r="E8" s="64">
        <f>IF(ISBLANK($D8),"0",IF(($D8-$D7)&gt;($C8-$C7),1,0))</f>
        <v>1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312</v>
      </c>
      <c r="L8" s="70" t="s">
        <v>313</v>
      </c>
      <c r="M8" s="70"/>
      <c r="N8" s="70"/>
      <c r="O8" s="70"/>
      <c r="P8" s="70"/>
      <c r="Q8" s="70"/>
      <c r="R8" s="70"/>
      <c r="S8" s="70"/>
      <c r="T8" s="70" t="s">
        <v>312</v>
      </c>
      <c r="U8" s="70"/>
      <c r="V8" s="70" t="s">
        <v>323</v>
      </c>
      <c r="W8" s="70" t="s">
        <v>317</v>
      </c>
      <c r="X8" s="70"/>
      <c r="Y8" s="70"/>
      <c r="Z8" s="70"/>
      <c r="AA8" s="70"/>
      <c r="AB8" s="70" t="s">
        <v>317</v>
      </c>
      <c r="AC8" s="70"/>
      <c r="AD8" s="70"/>
      <c r="AE8" s="70"/>
      <c r="AF8" s="70" t="s">
        <v>355</v>
      </c>
      <c r="AG8" s="70"/>
      <c r="AH8" s="70"/>
      <c r="AI8" s="70"/>
      <c r="AJ8" s="70"/>
      <c r="AK8" s="70"/>
      <c r="AL8" s="70"/>
      <c r="AM8" s="70" t="s">
        <v>323</v>
      </c>
      <c r="AN8" s="70"/>
      <c r="AO8" s="70"/>
      <c r="AP8" s="70" t="s">
        <v>343</v>
      </c>
      <c r="AQ8" s="70"/>
      <c r="AR8" s="70"/>
      <c r="AS8" s="70"/>
      <c r="AT8" s="70" t="s">
        <v>334</v>
      </c>
      <c r="AU8" s="70"/>
      <c r="AV8" s="70"/>
      <c r="AW8" s="70"/>
      <c r="AX8" s="70"/>
      <c r="AY8" s="70"/>
      <c r="AZ8" s="70"/>
      <c r="BA8" s="70" t="s">
        <v>317</v>
      </c>
      <c r="BB8" s="70"/>
      <c r="BC8" s="70"/>
      <c r="BD8" s="70"/>
      <c r="BE8" s="70"/>
      <c r="BF8" s="70" t="s">
        <v>364</v>
      </c>
      <c r="BG8" s="70"/>
      <c r="BH8" s="70" t="s">
        <v>317</v>
      </c>
      <c r="BI8" s="70"/>
      <c r="BJ8" s="70"/>
      <c r="BK8" s="70"/>
      <c r="BL8" s="70" t="s">
        <v>361</v>
      </c>
      <c r="BM8" s="70"/>
      <c r="BN8" s="70"/>
    </row>
    <row r="9" spans="1:66" x14ac:dyDescent="0.25">
      <c r="A9" s="59">
        <v>4</v>
      </c>
      <c r="B9" s="67" t="s">
        <v>178</v>
      </c>
      <c r="C9" s="65">
        <v>14.5</v>
      </c>
      <c r="D9" s="81">
        <v>58</v>
      </c>
      <c r="E9" s="64">
        <f>IF(ISBLANK($D9),"0",IF(($D10-$D9)&lt;($C10-$C9),1,0))</f>
        <v>1</v>
      </c>
      <c r="F9" s="64">
        <f t="shared" ca="1" si="1"/>
        <v>27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 t="s">
        <v>312</v>
      </c>
      <c r="L9" s="69"/>
      <c r="M9" s="69" t="s">
        <v>312</v>
      </c>
      <c r="N9" s="69" t="s">
        <v>355</v>
      </c>
      <c r="O9" s="69" t="s">
        <v>371</v>
      </c>
      <c r="P9" s="69"/>
      <c r="Q9" s="69"/>
      <c r="R9" s="69"/>
      <c r="S9" s="69"/>
      <c r="T9" s="69" t="s">
        <v>312</v>
      </c>
      <c r="U9" s="69" t="s">
        <v>397</v>
      </c>
      <c r="V9" s="69" t="s">
        <v>350</v>
      </c>
      <c r="W9" s="69"/>
      <c r="X9" s="69"/>
      <c r="Y9" s="69"/>
      <c r="Z9" s="69"/>
      <c r="AA9" s="69"/>
      <c r="AB9" s="69" t="s">
        <v>317</v>
      </c>
      <c r="AC9" s="69" t="s">
        <v>416</v>
      </c>
      <c r="AD9" s="69" t="s">
        <v>317</v>
      </c>
      <c r="AE9" s="69" t="s">
        <v>355</v>
      </c>
      <c r="AF9" s="69" t="s">
        <v>355</v>
      </c>
      <c r="AG9" s="69" t="s">
        <v>335</v>
      </c>
      <c r="AH9" s="69"/>
      <c r="AI9" s="69" t="s">
        <v>325</v>
      </c>
      <c r="AJ9" s="69" t="s">
        <v>314</v>
      </c>
      <c r="AK9" s="69" t="s">
        <v>317</v>
      </c>
      <c r="AL9" s="69"/>
      <c r="AM9" s="69" t="s">
        <v>350</v>
      </c>
      <c r="AN9" s="69"/>
      <c r="AO9" s="69" t="s">
        <v>317</v>
      </c>
      <c r="AP9" s="69"/>
      <c r="AQ9" s="69"/>
      <c r="AR9" s="99" t="s">
        <v>317</v>
      </c>
      <c r="AS9" s="69"/>
      <c r="AT9" s="69" t="s">
        <v>334</v>
      </c>
      <c r="AU9" s="69" t="s">
        <v>312</v>
      </c>
      <c r="AV9" s="69"/>
      <c r="AW9" s="69"/>
      <c r="AX9" s="69"/>
      <c r="AY9" s="69"/>
      <c r="AZ9" s="69" t="s">
        <v>412</v>
      </c>
      <c r="BA9" s="69"/>
      <c r="BB9" s="69" t="s">
        <v>317</v>
      </c>
      <c r="BC9" s="69"/>
      <c r="BD9" s="69"/>
      <c r="BE9" s="69"/>
      <c r="BF9" s="69"/>
      <c r="BG9" s="69" t="s">
        <v>451</v>
      </c>
      <c r="BH9" s="69"/>
      <c r="BI9" s="69"/>
      <c r="BJ9" s="69"/>
      <c r="BK9" s="69" t="s">
        <v>437</v>
      </c>
      <c r="BL9" s="69" t="s">
        <v>361</v>
      </c>
      <c r="BM9" s="69" t="s">
        <v>388</v>
      </c>
      <c r="BN9" s="69"/>
    </row>
    <row r="10" spans="1:66" x14ac:dyDescent="0.25">
      <c r="A10" s="61" t="s">
        <v>3</v>
      </c>
      <c r="B10" s="68" t="s">
        <v>170</v>
      </c>
      <c r="C10" s="66"/>
      <c r="D10" s="64">
        <v>17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311</v>
      </c>
      <c r="K10" s="70"/>
      <c r="L10" s="70" t="s">
        <v>313</v>
      </c>
      <c r="M10" s="70"/>
      <c r="N10" s="70"/>
      <c r="O10" s="70"/>
      <c r="P10" s="70" t="s">
        <v>317</v>
      </c>
      <c r="Q10" s="70" t="s">
        <v>318</v>
      </c>
      <c r="R10" s="70" t="s">
        <v>377</v>
      </c>
      <c r="S10" s="70" t="s">
        <v>350</v>
      </c>
      <c r="T10" s="70"/>
      <c r="U10" s="70"/>
      <c r="V10" s="70"/>
      <c r="W10" s="70" t="s">
        <v>317</v>
      </c>
      <c r="X10" s="70" t="s">
        <v>312</v>
      </c>
      <c r="Y10" s="70" t="s">
        <v>317</v>
      </c>
      <c r="Z10" s="70" t="s">
        <v>317</v>
      </c>
      <c r="AA10" s="70" t="s">
        <v>354</v>
      </c>
      <c r="AB10" s="70"/>
      <c r="AC10" s="70"/>
      <c r="AD10" s="70"/>
      <c r="AE10" s="70"/>
      <c r="AF10" s="70"/>
      <c r="AG10" s="70"/>
      <c r="AH10" s="70" t="s">
        <v>328</v>
      </c>
      <c r="AI10" s="70"/>
      <c r="AJ10" s="70"/>
      <c r="AK10" s="70"/>
      <c r="AL10" s="70" t="s">
        <v>347</v>
      </c>
      <c r="AM10" s="70"/>
      <c r="AN10" s="70" t="s">
        <v>317</v>
      </c>
      <c r="AO10" s="70"/>
      <c r="AP10" s="70" t="s">
        <v>327</v>
      </c>
      <c r="AQ10" s="99" t="s">
        <v>463</v>
      </c>
      <c r="AR10" s="70"/>
      <c r="AS10" s="70" t="s">
        <v>352</v>
      </c>
      <c r="AT10" s="70"/>
      <c r="AU10" s="70"/>
      <c r="AV10" s="70" t="s">
        <v>317</v>
      </c>
      <c r="AW10" s="70" t="s">
        <v>311</v>
      </c>
      <c r="AX10" s="70" t="s">
        <v>460</v>
      </c>
      <c r="AY10" s="70" t="s">
        <v>366</v>
      </c>
      <c r="AZ10" s="70"/>
      <c r="BA10" s="70" t="s">
        <v>317</v>
      </c>
      <c r="BB10" s="70"/>
      <c r="BC10" s="70" t="s">
        <v>357</v>
      </c>
      <c r="BD10" s="70" t="s">
        <v>312</v>
      </c>
      <c r="BE10" s="70" t="s">
        <v>367</v>
      </c>
      <c r="BF10" s="70" t="s">
        <v>329</v>
      </c>
      <c r="BG10" s="70"/>
      <c r="BH10" s="70" t="s">
        <v>312</v>
      </c>
      <c r="BI10" s="70" t="s">
        <v>320</v>
      </c>
      <c r="BJ10" s="99" t="s">
        <v>463</v>
      </c>
      <c r="BK10" s="70"/>
      <c r="BL10" s="70"/>
      <c r="BM10" s="70"/>
      <c r="BN10" s="70" t="s">
        <v>312</v>
      </c>
    </row>
    <row r="11" spans="1:66" x14ac:dyDescent="0.25">
      <c r="A11" s="59">
        <v>5</v>
      </c>
      <c r="B11" s="67" t="s">
        <v>217</v>
      </c>
      <c r="C11" s="65">
        <v>6.5</v>
      </c>
      <c r="D11" s="64">
        <v>41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312</v>
      </c>
      <c r="L11" s="69" t="s">
        <v>313</v>
      </c>
      <c r="M11" s="69"/>
      <c r="N11" s="69" t="s">
        <v>355</v>
      </c>
      <c r="O11" s="69" t="s">
        <v>371</v>
      </c>
      <c r="P11" s="69"/>
      <c r="Q11" s="69"/>
      <c r="R11" s="69"/>
      <c r="S11" s="69" t="s">
        <v>448</v>
      </c>
      <c r="T11" s="69"/>
      <c r="U11" s="69" t="s">
        <v>347</v>
      </c>
      <c r="V11" s="69" t="s">
        <v>364</v>
      </c>
      <c r="W11" s="69" t="s">
        <v>317</v>
      </c>
      <c r="X11" s="69" t="s">
        <v>312</v>
      </c>
      <c r="Y11" s="69" t="s">
        <v>317</v>
      </c>
      <c r="Z11" s="69"/>
      <c r="AA11" s="69" t="s">
        <v>354</v>
      </c>
      <c r="AB11" s="69" t="s">
        <v>317</v>
      </c>
      <c r="AC11" s="69" t="s">
        <v>325</v>
      </c>
      <c r="AD11" s="69"/>
      <c r="AE11" s="69" t="s">
        <v>355</v>
      </c>
      <c r="AF11" s="69" t="s">
        <v>355</v>
      </c>
      <c r="AG11" s="69" t="s">
        <v>349</v>
      </c>
      <c r="AH11" s="69" t="s">
        <v>360</v>
      </c>
      <c r="AI11" s="69" t="s">
        <v>397</v>
      </c>
      <c r="AJ11" s="69" t="s">
        <v>314</v>
      </c>
      <c r="AK11" s="69" t="s">
        <v>317</v>
      </c>
      <c r="AL11" s="69" t="s">
        <v>347</v>
      </c>
      <c r="AM11" s="69" t="s">
        <v>315</v>
      </c>
      <c r="AN11" s="69" t="s">
        <v>317</v>
      </c>
      <c r="AO11" s="69" t="s">
        <v>317</v>
      </c>
      <c r="AP11" s="69" t="s">
        <v>320</v>
      </c>
      <c r="AQ11" s="69"/>
      <c r="AR11" s="69" t="s">
        <v>317</v>
      </c>
      <c r="AS11" s="69"/>
      <c r="AT11" s="69" t="s">
        <v>334</v>
      </c>
      <c r="AU11" s="69" t="s">
        <v>312</v>
      </c>
      <c r="AV11" s="69" t="s">
        <v>317</v>
      </c>
      <c r="AW11" s="69" t="s">
        <v>377</v>
      </c>
      <c r="AX11" s="69"/>
      <c r="AY11" s="69" t="s">
        <v>366</v>
      </c>
      <c r="AZ11" s="69" t="s">
        <v>450</v>
      </c>
      <c r="BA11" s="69"/>
      <c r="BB11" s="69" t="s">
        <v>317</v>
      </c>
      <c r="BC11" s="69" t="s">
        <v>357</v>
      </c>
      <c r="BD11" s="69"/>
      <c r="BE11" s="69"/>
      <c r="BF11" s="69" t="s">
        <v>364</v>
      </c>
      <c r="BG11" s="69" t="s">
        <v>451</v>
      </c>
      <c r="BH11" s="69"/>
      <c r="BI11" s="69"/>
      <c r="BJ11" s="69"/>
      <c r="BK11" s="69" t="s">
        <v>437</v>
      </c>
      <c r="BL11" s="69"/>
      <c r="BM11" s="69" t="s">
        <v>388</v>
      </c>
      <c r="BN11" s="69" t="s">
        <v>408</v>
      </c>
    </row>
    <row r="12" spans="1:66" x14ac:dyDescent="0.25">
      <c r="A12" s="61" t="s">
        <v>3</v>
      </c>
      <c r="B12" s="68" t="s">
        <v>216</v>
      </c>
      <c r="C12" s="66"/>
      <c r="D12" s="64">
        <v>31</v>
      </c>
      <c r="E12" s="64">
        <f>IF(ISBLANK($D12),"0",IF(($D12-$D11)&gt;($C12-$C11),1,0))</f>
        <v>0</v>
      </c>
      <c r="F12" s="64">
        <f t="shared" ca="1" si="1"/>
        <v>17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311</v>
      </c>
      <c r="K12" s="70"/>
      <c r="L12" s="70"/>
      <c r="M12" s="70" t="s">
        <v>312</v>
      </c>
      <c r="N12" s="70"/>
      <c r="O12" s="70"/>
      <c r="P12" s="70" t="s">
        <v>317</v>
      </c>
      <c r="Q12" s="70" t="s">
        <v>318</v>
      </c>
      <c r="R12" s="70" t="s">
        <v>320</v>
      </c>
      <c r="S12" s="70"/>
      <c r="T12" s="70" t="s">
        <v>312</v>
      </c>
      <c r="U12" s="70"/>
      <c r="V12" s="70"/>
      <c r="W12" s="70"/>
      <c r="X12" s="70"/>
      <c r="Y12" s="70"/>
      <c r="Z12" s="70" t="s">
        <v>317</v>
      </c>
      <c r="AA12" s="70"/>
      <c r="AB12" s="70"/>
      <c r="AC12" s="70"/>
      <c r="AD12" s="70" t="s">
        <v>317</v>
      </c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99" t="s">
        <v>463</v>
      </c>
      <c r="AR12" s="100"/>
      <c r="AS12" s="70" t="s">
        <v>329</v>
      </c>
      <c r="AT12" s="70"/>
      <c r="AU12" s="70"/>
      <c r="AV12" s="70"/>
      <c r="AW12" s="70"/>
      <c r="AX12" s="70" t="s">
        <v>461</v>
      </c>
      <c r="AY12" s="70"/>
      <c r="AZ12" s="70"/>
      <c r="BA12" s="70" t="s">
        <v>317</v>
      </c>
      <c r="BB12" s="70"/>
      <c r="BC12" s="70"/>
      <c r="BD12" s="70" t="s">
        <v>312</v>
      </c>
      <c r="BE12" s="70" t="s">
        <v>367</v>
      </c>
      <c r="BF12" s="70"/>
      <c r="BG12" s="70"/>
      <c r="BH12" s="70" t="s">
        <v>317</v>
      </c>
      <c r="BI12" s="70" t="s">
        <v>454</v>
      </c>
      <c r="BJ12" s="99" t="s">
        <v>463</v>
      </c>
      <c r="BK12" s="70"/>
      <c r="BL12" s="70" t="s">
        <v>333</v>
      </c>
      <c r="BM12" s="70"/>
      <c r="BN12" s="70"/>
    </row>
    <row r="13" spans="1:66" x14ac:dyDescent="0.25">
      <c r="A13" s="59">
        <v>6</v>
      </c>
      <c r="B13" s="67" t="s">
        <v>218</v>
      </c>
      <c r="C13" s="65"/>
      <c r="D13" s="64">
        <v>7</v>
      </c>
      <c r="E13" s="64">
        <f>IF(ISBLANK($D13),"0",IF(($D14-$D13)&lt;($C14-$C13),1,0))</f>
        <v>1</v>
      </c>
      <c r="F13" s="64">
        <f t="shared" ca="1" si="1"/>
        <v>18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/>
      <c r="L13" s="69"/>
      <c r="M13" s="69" t="s">
        <v>312</v>
      </c>
      <c r="N13" s="69" t="s">
        <v>355</v>
      </c>
      <c r="O13" s="69" t="s">
        <v>371</v>
      </c>
      <c r="P13" s="69" t="s">
        <v>317</v>
      </c>
      <c r="Q13" s="69"/>
      <c r="R13" s="69" t="s">
        <v>351</v>
      </c>
      <c r="S13" s="69"/>
      <c r="T13" s="69"/>
      <c r="U13" s="69"/>
      <c r="V13" s="69" t="s">
        <v>334</v>
      </c>
      <c r="W13" s="69"/>
      <c r="X13" s="69" t="s">
        <v>312</v>
      </c>
      <c r="Y13" s="69"/>
      <c r="Z13" s="69"/>
      <c r="AA13" s="69"/>
      <c r="AB13" s="69"/>
      <c r="AC13" s="69"/>
      <c r="AD13" s="69" t="s">
        <v>317</v>
      </c>
      <c r="AE13" s="69"/>
      <c r="AF13" s="69" t="s">
        <v>355</v>
      </c>
      <c r="AG13" s="69"/>
      <c r="AH13" s="69" t="s">
        <v>328</v>
      </c>
      <c r="AI13" s="69"/>
      <c r="AJ13" s="69"/>
      <c r="AK13" s="69"/>
      <c r="AL13" s="69"/>
      <c r="AM13" s="69"/>
      <c r="AN13" s="69"/>
      <c r="AO13" s="69" t="s">
        <v>317</v>
      </c>
      <c r="AP13" s="69"/>
      <c r="AQ13" s="69"/>
      <c r="AR13" s="99"/>
      <c r="AS13" s="69"/>
      <c r="AT13" s="69"/>
      <c r="AU13" s="69" t="s">
        <v>312</v>
      </c>
      <c r="AV13" s="69"/>
      <c r="AW13" s="69" t="s">
        <v>333</v>
      </c>
      <c r="AX13" s="69" t="s">
        <v>344</v>
      </c>
      <c r="AY13" s="69"/>
      <c r="AZ13" s="69"/>
      <c r="BA13" s="69" t="s">
        <v>317</v>
      </c>
      <c r="BB13" s="69" t="s">
        <v>317</v>
      </c>
      <c r="BC13" s="69"/>
      <c r="BD13" s="69" t="s">
        <v>312</v>
      </c>
      <c r="BE13" s="69"/>
      <c r="BF13" s="69"/>
      <c r="BG13" s="69"/>
      <c r="BH13" s="69"/>
      <c r="BI13" s="69"/>
      <c r="BJ13" s="69"/>
      <c r="BK13" s="69" t="s">
        <v>437</v>
      </c>
      <c r="BL13" s="69"/>
      <c r="BM13" s="69"/>
      <c r="BN13" s="69"/>
    </row>
    <row r="14" spans="1:66" x14ac:dyDescent="0.25">
      <c r="A14" s="61" t="s">
        <v>3</v>
      </c>
      <c r="B14" s="68" t="s">
        <v>225</v>
      </c>
      <c r="C14" s="66">
        <v>5.5</v>
      </c>
      <c r="D14" s="64">
        <v>10</v>
      </c>
      <c r="E14" s="64">
        <f>IF(ISBLANK($D14),"0",IF(($D14-$D13)&gt;($C14-$C13),1,0))</f>
        <v>0</v>
      </c>
      <c r="F14" s="64">
        <f t="shared" ca="1" si="1"/>
        <v>38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311</v>
      </c>
      <c r="K14" s="70" t="s">
        <v>312</v>
      </c>
      <c r="L14" s="70" t="s">
        <v>313</v>
      </c>
      <c r="M14" s="70"/>
      <c r="N14" s="70"/>
      <c r="O14" s="70"/>
      <c r="P14" s="70"/>
      <c r="Q14" s="70" t="s">
        <v>318</v>
      </c>
      <c r="R14" s="70"/>
      <c r="S14" s="70" t="s">
        <v>320</v>
      </c>
      <c r="T14" s="70" t="s">
        <v>312</v>
      </c>
      <c r="U14" s="70" t="s">
        <v>325</v>
      </c>
      <c r="V14" s="70"/>
      <c r="W14" s="70" t="s">
        <v>317</v>
      </c>
      <c r="X14" s="70"/>
      <c r="Y14" s="70" t="s">
        <v>317</v>
      </c>
      <c r="Z14" s="70" t="s">
        <v>317</v>
      </c>
      <c r="AA14" s="70" t="s">
        <v>354</v>
      </c>
      <c r="AB14" s="70" t="s">
        <v>317</v>
      </c>
      <c r="AC14" s="70" t="s">
        <v>316</v>
      </c>
      <c r="AD14" s="70"/>
      <c r="AE14" s="70" t="s">
        <v>355</v>
      </c>
      <c r="AF14" s="70"/>
      <c r="AG14" s="70" t="s">
        <v>397</v>
      </c>
      <c r="AH14" s="70"/>
      <c r="AI14" s="70" t="s">
        <v>316</v>
      </c>
      <c r="AJ14" s="70" t="s">
        <v>314</v>
      </c>
      <c r="AK14" s="70" t="s">
        <v>317</v>
      </c>
      <c r="AL14" s="70" t="s">
        <v>347</v>
      </c>
      <c r="AM14" s="70" t="s">
        <v>323</v>
      </c>
      <c r="AN14" s="70" t="s">
        <v>317</v>
      </c>
      <c r="AO14" s="70"/>
      <c r="AP14" s="70" t="s">
        <v>323</v>
      </c>
      <c r="AQ14" s="99" t="s">
        <v>463</v>
      </c>
      <c r="AR14" s="70" t="s">
        <v>317</v>
      </c>
      <c r="AS14" s="70" t="s">
        <v>338</v>
      </c>
      <c r="AT14" s="70" t="s">
        <v>334</v>
      </c>
      <c r="AU14" s="70"/>
      <c r="AV14" s="70" t="s">
        <v>317</v>
      </c>
      <c r="AW14" s="70"/>
      <c r="AX14" s="70"/>
      <c r="AY14" s="70" t="s">
        <v>366</v>
      </c>
      <c r="AZ14" s="70" t="s">
        <v>332</v>
      </c>
      <c r="BA14" s="70"/>
      <c r="BB14" s="70"/>
      <c r="BC14" s="70" t="s">
        <v>357</v>
      </c>
      <c r="BD14" s="70"/>
      <c r="BE14" s="70" t="s">
        <v>367</v>
      </c>
      <c r="BF14" s="70" t="s">
        <v>319</v>
      </c>
      <c r="BG14" s="70" t="s">
        <v>451</v>
      </c>
      <c r="BH14" s="70" t="s">
        <v>317</v>
      </c>
      <c r="BI14" s="70" t="s">
        <v>455</v>
      </c>
      <c r="BJ14" s="99" t="s">
        <v>463</v>
      </c>
      <c r="BK14" s="70"/>
      <c r="BL14" s="70" t="s">
        <v>331</v>
      </c>
      <c r="BM14" s="70" t="s">
        <v>388</v>
      </c>
      <c r="BN14" s="70" t="s">
        <v>312</v>
      </c>
    </row>
    <row r="15" spans="1:66" x14ac:dyDescent="0.25">
      <c r="A15" s="59">
        <v>7</v>
      </c>
      <c r="B15" s="67" t="s">
        <v>268</v>
      </c>
      <c r="C15" s="65"/>
      <c r="D15" s="64">
        <v>20</v>
      </c>
      <c r="E15" s="64">
        <f>IF(ISBLANK($D15),"0",IF(($D16-$D15)&lt;($C16-$C15),1,0))</f>
        <v>0</v>
      </c>
      <c r="F15" s="64">
        <f t="shared" ca="1" si="1"/>
        <v>28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 t="s">
        <v>355</v>
      </c>
      <c r="O15" s="69" t="s">
        <v>371</v>
      </c>
      <c r="P15" s="69"/>
      <c r="Q15" s="69" t="s">
        <v>318</v>
      </c>
      <c r="R15" s="69"/>
      <c r="S15" s="69"/>
      <c r="T15" s="69" t="s">
        <v>312</v>
      </c>
      <c r="U15" s="69" t="s">
        <v>322</v>
      </c>
      <c r="V15" s="69"/>
      <c r="W15" s="69"/>
      <c r="X15" s="69"/>
      <c r="Y15" s="69" t="s">
        <v>317</v>
      </c>
      <c r="Z15" s="69" t="s">
        <v>317</v>
      </c>
      <c r="AA15" s="69" t="s">
        <v>354</v>
      </c>
      <c r="AB15" s="69"/>
      <c r="AC15" s="69" t="s">
        <v>349</v>
      </c>
      <c r="AD15" s="69" t="s">
        <v>317</v>
      </c>
      <c r="AE15" s="69"/>
      <c r="AF15" s="69" t="s">
        <v>355</v>
      </c>
      <c r="AG15" s="69" t="s">
        <v>351</v>
      </c>
      <c r="AH15" s="69"/>
      <c r="AI15" s="69"/>
      <c r="AJ15" s="69" t="s">
        <v>314</v>
      </c>
      <c r="AK15" s="69"/>
      <c r="AL15" s="69"/>
      <c r="AM15" s="69"/>
      <c r="AN15" s="69" t="s">
        <v>317</v>
      </c>
      <c r="AO15" s="69"/>
      <c r="AP15" s="69"/>
      <c r="AQ15" s="99" t="s">
        <v>463</v>
      </c>
      <c r="AR15" s="69"/>
      <c r="AS15" s="69"/>
      <c r="AT15" s="69" t="s">
        <v>334</v>
      </c>
      <c r="AU15" s="69" t="s">
        <v>312</v>
      </c>
      <c r="AV15" s="69"/>
      <c r="AW15" s="69"/>
      <c r="AX15" s="69" t="s">
        <v>356</v>
      </c>
      <c r="AY15" s="69" t="s">
        <v>366</v>
      </c>
      <c r="AZ15" s="69" t="s">
        <v>349</v>
      </c>
      <c r="BA15" s="69" t="s">
        <v>317</v>
      </c>
      <c r="BB15" s="69" t="s">
        <v>317</v>
      </c>
      <c r="BC15" s="69" t="s">
        <v>357</v>
      </c>
      <c r="BD15" s="69"/>
      <c r="BE15" s="69" t="s">
        <v>367</v>
      </c>
      <c r="BF15" s="69"/>
      <c r="BG15" s="69"/>
      <c r="BH15" s="69" t="s">
        <v>317</v>
      </c>
      <c r="BI15" s="69"/>
      <c r="BJ15" s="99" t="s">
        <v>463</v>
      </c>
      <c r="BK15" s="69"/>
      <c r="BL15" s="69" t="s">
        <v>328</v>
      </c>
      <c r="BM15" s="69" t="s">
        <v>388</v>
      </c>
      <c r="BN15" s="69"/>
    </row>
    <row r="16" spans="1:66" x14ac:dyDescent="0.25">
      <c r="A16" s="61" t="s">
        <v>3</v>
      </c>
      <c r="B16" s="68" t="s">
        <v>167</v>
      </c>
      <c r="C16" s="66">
        <v>3.5</v>
      </c>
      <c r="D16" s="64">
        <v>24</v>
      </c>
      <c r="E16" s="64">
        <f>IF(ISBLANK($D16),"0",IF(($D16-$D15)&gt;($C16-$C15),1,0))</f>
        <v>1</v>
      </c>
      <c r="F16" s="64">
        <f t="shared" ca="1" si="1"/>
        <v>28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70" t="s">
        <v>311</v>
      </c>
      <c r="K16" s="70" t="s">
        <v>312</v>
      </c>
      <c r="L16" s="70" t="s">
        <v>313</v>
      </c>
      <c r="M16" s="70" t="s">
        <v>312</v>
      </c>
      <c r="N16" s="70"/>
      <c r="O16" s="70"/>
      <c r="P16" s="70" t="s">
        <v>317</v>
      </c>
      <c r="Q16" s="70"/>
      <c r="R16" s="70" t="s">
        <v>320</v>
      </c>
      <c r="S16" s="70" t="s">
        <v>316</v>
      </c>
      <c r="T16" s="70"/>
      <c r="U16" s="70"/>
      <c r="V16" s="70" t="s">
        <v>387</v>
      </c>
      <c r="W16" s="70" t="s">
        <v>317</v>
      </c>
      <c r="X16" s="70" t="s">
        <v>312</v>
      </c>
      <c r="Y16" s="70"/>
      <c r="Z16" s="70"/>
      <c r="AA16" s="70"/>
      <c r="AB16" s="70" t="s">
        <v>317</v>
      </c>
      <c r="AC16" s="70"/>
      <c r="AD16" s="70"/>
      <c r="AE16" s="70" t="s">
        <v>355</v>
      </c>
      <c r="AF16" s="70"/>
      <c r="AG16" s="70"/>
      <c r="AH16" s="70" t="s">
        <v>319</v>
      </c>
      <c r="AI16" s="70" t="s">
        <v>320</v>
      </c>
      <c r="AJ16" s="70"/>
      <c r="AK16" s="70" t="s">
        <v>317</v>
      </c>
      <c r="AL16" s="70" t="s">
        <v>347</v>
      </c>
      <c r="AM16" s="70" t="s">
        <v>316</v>
      </c>
      <c r="AN16" s="70"/>
      <c r="AO16" s="70" t="s">
        <v>317</v>
      </c>
      <c r="AP16" s="70" t="s">
        <v>341</v>
      </c>
      <c r="AQ16" s="70"/>
      <c r="AR16" s="100" t="s">
        <v>317</v>
      </c>
      <c r="AS16" s="70" t="s">
        <v>332</v>
      </c>
      <c r="AT16" s="70"/>
      <c r="AU16" s="70"/>
      <c r="AV16" s="70" t="s">
        <v>317</v>
      </c>
      <c r="AW16" s="70" t="s">
        <v>341</v>
      </c>
      <c r="AX16" s="70"/>
      <c r="AY16" s="70"/>
      <c r="AZ16" s="70"/>
      <c r="BA16" s="70"/>
      <c r="BB16" s="70"/>
      <c r="BC16" s="70"/>
      <c r="BD16" s="70" t="s">
        <v>312</v>
      </c>
      <c r="BE16" s="70"/>
      <c r="BF16" s="70" t="s">
        <v>328</v>
      </c>
      <c r="BG16" s="70" t="s">
        <v>451</v>
      </c>
      <c r="BH16" s="70"/>
      <c r="BI16" s="70" t="s">
        <v>456</v>
      </c>
      <c r="BJ16" s="70"/>
      <c r="BK16" s="70" t="s">
        <v>437</v>
      </c>
      <c r="BL16" s="70"/>
      <c r="BM16" s="70"/>
      <c r="BN16" s="70" t="s">
        <v>408</v>
      </c>
    </row>
    <row r="17" spans="1:66" x14ac:dyDescent="0.25">
      <c r="A17" s="59">
        <v>8</v>
      </c>
      <c r="B17" s="67" t="s">
        <v>169</v>
      </c>
      <c r="C17" s="65">
        <v>5.5</v>
      </c>
      <c r="D17" s="64">
        <v>14</v>
      </c>
      <c r="E17" s="64">
        <f>IF(ISBLANK($D17),"0",IF(($D18-$D17)&lt;($C18-$C17),1,0))</f>
        <v>1</v>
      </c>
      <c r="F17" s="64">
        <f t="shared" ca="1" si="1"/>
        <v>40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312</v>
      </c>
      <c r="L17" s="69" t="s">
        <v>313</v>
      </c>
      <c r="M17" s="69" t="s">
        <v>312</v>
      </c>
      <c r="N17" s="69"/>
      <c r="O17" s="69" t="s">
        <v>371</v>
      </c>
      <c r="P17" s="69"/>
      <c r="Q17" s="69" t="s">
        <v>318</v>
      </c>
      <c r="R17" s="69" t="s">
        <v>349</v>
      </c>
      <c r="S17" s="69"/>
      <c r="T17" s="69" t="s">
        <v>312</v>
      </c>
      <c r="U17" s="69" t="s">
        <v>328</v>
      </c>
      <c r="V17" s="69" t="s">
        <v>324</v>
      </c>
      <c r="W17" s="69"/>
      <c r="X17" s="69"/>
      <c r="Y17" s="69" t="s">
        <v>317</v>
      </c>
      <c r="Z17" s="69" t="s">
        <v>317</v>
      </c>
      <c r="AA17" s="69" t="s">
        <v>354</v>
      </c>
      <c r="AB17" s="69" t="s">
        <v>317</v>
      </c>
      <c r="AC17" s="69"/>
      <c r="AD17" s="69" t="s">
        <v>317</v>
      </c>
      <c r="AE17" s="69"/>
      <c r="AF17" s="69" t="s">
        <v>355</v>
      </c>
      <c r="AG17" s="69" t="s">
        <v>324</v>
      </c>
      <c r="AH17" s="69"/>
      <c r="AI17" s="69"/>
      <c r="AJ17" s="69" t="s">
        <v>314</v>
      </c>
      <c r="AK17" s="69" t="s">
        <v>317</v>
      </c>
      <c r="AL17" s="69" t="s">
        <v>347</v>
      </c>
      <c r="AM17" s="69" t="s">
        <v>320</v>
      </c>
      <c r="AN17" s="69" t="s">
        <v>317</v>
      </c>
      <c r="AO17" s="69"/>
      <c r="AP17" s="69" t="s">
        <v>381</v>
      </c>
      <c r="AQ17" s="99" t="s">
        <v>463</v>
      </c>
      <c r="AR17" s="99" t="s">
        <v>317</v>
      </c>
      <c r="AS17" s="69"/>
      <c r="AT17" s="69" t="s">
        <v>334</v>
      </c>
      <c r="AU17" s="69" t="s">
        <v>312</v>
      </c>
      <c r="AV17" s="69"/>
      <c r="AW17" s="69" t="s">
        <v>323</v>
      </c>
      <c r="AX17" s="69" t="s">
        <v>357</v>
      </c>
      <c r="AY17" s="69" t="s">
        <v>366</v>
      </c>
      <c r="AZ17" s="69" t="s">
        <v>324</v>
      </c>
      <c r="BA17" s="69" t="s">
        <v>317</v>
      </c>
      <c r="BB17" s="69"/>
      <c r="BC17" s="69" t="s">
        <v>357</v>
      </c>
      <c r="BD17" s="69" t="s">
        <v>312</v>
      </c>
      <c r="BE17" s="69" t="s">
        <v>367</v>
      </c>
      <c r="BF17" s="69" t="s">
        <v>319</v>
      </c>
      <c r="BG17" s="69" t="s">
        <v>451</v>
      </c>
      <c r="BH17" s="69"/>
      <c r="BI17" s="69" t="s">
        <v>325</v>
      </c>
      <c r="BJ17" s="99" t="s">
        <v>463</v>
      </c>
      <c r="BK17" s="69"/>
      <c r="BL17" s="69" t="s">
        <v>328</v>
      </c>
      <c r="BM17" s="69" t="s">
        <v>388</v>
      </c>
      <c r="BN17" s="69"/>
    </row>
    <row r="18" spans="1:66" x14ac:dyDescent="0.25">
      <c r="A18" s="61" t="s">
        <v>3</v>
      </c>
      <c r="B18" s="68" t="s">
        <v>172</v>
      </c>
      <c r="C18" s="66"/>
      <c r="D18" s="64">
        <v>3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311</v>
      </c>
      <c r="K18" s="70"/>
      <c r="L18" s="70"/>
      <c r="M18" s="70"/>
      <c r="N18" s="70" t="s">
        <v>355</v>
      </c>
      <c r="O18" s="70"/>
      <c r="P18" s="70" t="s">
        <v>317</v>
      </c>
      <c r="Q18" s="70"/>
      <c r="R18" s="70"/>
      <c r="S18" s="70" t="s">
        <v>320</v>
      </c>
      <c r="T18" s="70"/>
      <c r="U18" s="70"/>
      <c r="V18" s="70"/>
      <c r="W18" s="70" t="s">
        <v>317</v>
      </c>
      <c r="X18" s="70" t="s">
        <v>312</v>
      </c>
      <c r="Y18" s="70"/>
      <c r="Z18" s="70"/>
      <c r="AA18" s="70"/>
      <c r="AB18" s="70"/>
      <c r="AC18" s="70" t="s">
        <v>324</v>
      </c>
      <c r="AD18" s="70"/>
      <c r="AE18" s="70" t="s">
        <v>355</v>
      </c>
      <c r="AF18" s="70"/>
      <c r="AG18" s="70"/>
      <c r="AH18" s="70" t="s">
        <v>322</v>
      </c>
      <c r="AI18" s="70" t="s">
        <v>320</v>
      </c>
      <c r="AJ18" s="70"/>
      <c r="AK18" s="70"/>
      <c r="AL18" s="70"/>
      <c r="AM18" s="70"/>
      <c r="AN18" s="70"/>
      <c r="AO18" s="70" t="s">
        <v>317</v>
      </c>
      <c r="AP18" s="70"/>
      <c r="AQ18" s="70"/>
      <c r="AR18" s="70"/>
      <c r="AS18" s="70" t="s">
        <v>334</v>
      </c>
      <c r="AT18" s="70"/>
      <c r="AU18" s="70"/>
      <c r="AV18" s="70" t="s">
        <v>317</v>
      </c>
      <c r="AW18" s="70"/>
      <c r="AX18" s="70"/>
      <c r="AY18" s="70"/>
      <c r="AZ18" s="70"/>
      <c r="BA18" s="70"/>
      <c r="BB18" s="70" t="s">
        <v>317</v>
      </c>
      <c r="BC18" s="70"/>
      <c r="BD18" s="70"/>
      <c r="BE18" s="70"/>
      <c r="BF18" s="70"/>
      <c r="BG18" s="70"/>
      <c r="BH18" s="70" t="s">
        <v>312</v>
      </c>
      <c r="BI18" s="70"/>
      <c r="BJ18" s="70"/>
      <c r="BK18" s="70" t="s">
        <v>437</v>
      </c>
      <c r="BL18" s="70"/>
      <c r="BM18" s="70"/>
      <c r="BN18" s="70" t="s">
        <v>312</v>
      </c>
    </row>
    <row r="19" spans="1:66" x14ac:dyDescent="0.25">
      <c r="A19" s="59">
        <v>9</v>
      </c>
      <c r="B19" s="67" t="s">
        <v>162</v>
      </c>
      <c r="C19" s="65"/>
      <c r="D19" s="64">
        <v>24</v>
      </c>
      <c r="E19" s="64">
        <f>IF(ISBLANK($D19),"0",IF(($D20-$D19)&lt;($C20-$C19),1,0))</f>
        <v>0</v>
      </c>
      <c r="F19" s="64">
        <f t="shared" ca="1" si="1"/>
        <v>35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311</v>
      </c>
      <c r="K19" s="69" t="s">
        <v>312</v>
      </c>
      <c r="L19" s="69" t="s">
        <v>313</v>
      </c>
      <c r="M19" s="69" t="s">
        <v>312</v>
      </c>
      <c r="N19" s="69" t="s">
        <v>355</v>
      </c>
      <c r="O19" s="69"/>
      <c r="P19" s="69" t="s">
        <v>317</v>
      </c>
      <c r="Q19" s="69" t="s">
        <v>318</v>
      </c>
      <c r="R19" s="69" t="s">
        <v>349</v>
      </c>
      <c r="S19" s="69" t="s">
        <v>320</v>
      </c>
      <c r="T19" s="69" t="s">
        <v>312</v>
      </c>
      <c r="U19" s="69" t="s">
        <v>351</v>
      </c>
      <c r="V19" s="69"/>
      <c r="W19" s="69"/>
      <c r="X19" s="69" t="s">
        <v>312</v>
      </c>
      <c r="Y19" s="69"/>
      <c r="Z19" s="69"/>
      <c r="AA19" s="69"/>
      <c r="AB19" s="69" t="s">
        <v>317</v>
      </c>
      <c r="AC19" s="69" t="s">
        <v>416</v>
      </c>
      <c r="AD19" s="69" t="s">
        <v>317</v>
      </c>
      <c r="AE19" s="69" t="s">
        <v>355</v>
      </c>
      <c r="AF19" s="69"/>
      <c r="AG19" s="69" t="s">
        <v>375</v>
      </c>
      <c r="AH19" s="69" t="s">
        <v>328</v>
      </c>
      <c r="AI19" s="69"/>
      <c r="AJ19" s="69"/>
      <c r="AK19" s="69"/>
      <c r="AL19" s="69" t="s">
        <v>347</v>
      </c>
      <c r="AM19" s="69"/>
      <c r="AN19" s="69"/>
      <c r="AO19" s="69"/>
      <c r="AP19" s="69" t="s">
        <v>356</v>
      </c>
      <c r="AQ19" s="99" t="s">
        <v>463</v>
      </c>
      <c r="AR19" s="69"/>
      <c r="AS19" s="69" t="s">
        <v>331</v>
      </c>
      <c r="AT19" s="69"/>
      <c r="AU19" s="69" t="s">
        <v>312</v>
      </c>
      <c r="AV19" s="69"/>
      <c r="AW19" s="69" t="s">
        <v>325</v>
      </c>
      <c r="AX19" s="69" t="s">
        <v>357</v>
      </c>
      <c r="AY19" s="69" t="s">
        <v>366</v>
      </c>
      <c r="AZ19" s="69" t="s">
        <v>335</v>
      </c>
      <c r="BA19" s="69" t="s">
        <v>317</v>
      </c>
      <c r="BB19" s="69"/>
      <c r="BC19" s="69" t="s">
        <v>357</v>
      </c>
      <c r="BD19" s="69"/>
      <c r="BE19" s="69" t="s">
        <v>367</v>
      </c>
      <c r="BF19" s="69"/>
      <c r="BG19" s="69" t="s">
        <v>451</v>
      </c>
      <c r="BH19" s="69" t="s">
        <v>312</v>
      </c>
      <c r="BI19" s="69" t="s">
        <v>311</v>
      </c>
      <c r="BJ19" s="99" t="s">
        <v>463</v>
      </c>
      <c r="BK19" s="69" t="s">
        <v>437</v>
      </c>
      <c r="BL19" s="69"/>
      <c r="BM19" s="69"/>
      <c r="BN19" s="69" t="s">
        <v>312</v>
      </c>
    </row>
    <row r="20" spans="1:66" x14ac:dyDescent="0.25">
      <c r="A20" s="61" t="s">
        <v>3</v>
      </c>
      <c r="B20" s="68" t="s">
        <v>184</v>
      </c>
      <c r="C20" s="66">
        <v>7.5</v>
      </c>
      <c r="D20" s="64">
        <v>49</v>
      </c>
      <c r="E20" s="64">
        <f>IF(ISBLANK($D20),"0",IF(($D20-$D19)&gt;($C20-$C19),1,0))</f>
        <v>1</v>
      </c>
      <c r="F20" s="64">
        <f t="shared" ca="1" si="1"/>
        <v>21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/>
      <c r="L20" s="70"/>
      <c r="M20" s="70"/>
      <c r="N20" s="70"/>
      <c r="O20" s="70" t="s">
        <v>371</v>
      </c>
      <c r="P20" s="70"/>
      <c r="Q20" s="70"/>
      <c r="R20" s="70"/>
      <c r="S20" s="70"/>
      <c r="T20" s="70"/>
      <c r="U20" s="70"/>
      <c r="V20" s="70" t="s">
        <v>349</v>
      </c>
      <c r="W20" s="70" t="s">
        <v>317</v>
      </c>
      <c r="X20" s="70"/>
      <c r="Y20" s="70" t="s">
        <v>317</v>
      </c>
      <c r="Z20" s="70" t="s">
        <v>317</v>
      </c>
      <c r="AA20" s="70" t="s">
        <v>354</v>
      </c>
      <c r="AB20" s="70"/>
      <c r="AC20" s="70"/>
      <c r="AD20" s="70"/>
      <c r="AE20" s="70"/>
      <c r="AF20" s="70" t="s">
        <v>355</v>
      </c>
      <c r="AG20" s="70"/>
      <c r="AH20" s="70"/>
      <c r="AI20" s="70" t="s">
        <v>311</v>
      </c>
      <c r="AJ20" s="70" t="s">
        <v>314</v>
      </c>
      <c r="AK20" s="70" t="s">
        <v>317</v>
      </c>
      <c r="AL20" s="70"/>
      <c r="AM20" s="70" t="s">
        <v>320</v>
      </c>
      <c r="AN20" s="70" t="s">
        <v>317</v>
      </c>
      <c r="AO20" s="70" t="s">
        <v>317</v>
      </c>
      <c r="AP20" s="70"/>
      <c r="AQ20" s="70"/>
      <c r="AR20" s="100" t="s">
        <v>317</v>
      </c>
      <c r="AS20" s="70"/>
      <c r="AT20" s="70" t="s">
        <v>334</v>
      </c>
      <c r="AU20" s="70"/>
      <c r="AV20" s="70" t="s">
        <v>317</v>
      </c>
      <c r="AW20" s="70"/>
      <c r="AX20" s="70"/>
      <c r="AY20" s="70"/>
      <c r="AZ20" s="70"/>
      <c r="BA20" s="70"/>
      <c r="BB20" s="70" t="s">
        <v>317</v>
      </c>
      <c r="BC20" s="70"/>
      <c r="BD20" s="70" t="s">
        <v>312</v>
      </c>
      <c r="BE20" s="70"/>
      <c r="BF20" s="70" t="s">
        <v>315</v>
      </c>
      <c r="BG20" s="70"/>
      <c r="BH20" s="70"/>
      <c r="BI20" s="70"/>
      <c r="BJ20" s="70"/>
      <c r="BK20" s="70"/>
      <c r="BL20" s="70" t="s">
        <v>462</v>
      </c>
      <c r="BM20" s="70" t="s">
        <v>388</v>
      </c>
      <c r="BN20" s="70"/>
    </row>
    <row r="21" spans="1:66" x14ac:dyDescent="0.25">
      <c r="A21" s="59">
        <v>10</v>
      </c>
      <c r="B21" s="67" t="s">
        <v>265</v>
      </c>
      <c r="C21" s="65">
        <v>8.5</v>
      </c>
      <c r="D21" s="64">
        <v>56</v>
      </c>
      <c r="E21" s="64">
        <f>IF(ISBLANK($D21),"0",IF(($D22-$D21)&lt;($C22-$C21),1,0))</f>
        <v>0</v>
      </c>
      <c r="F21" s="64">
        <f t="shared" ca="1" si="1"/>
        <v>35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313</v>
      </c>
      <c r="M21" s="69" t="s">
        <v>312</v>
      </c>
      <c r="N21" s="69" t="s">
        <v>355</v>
      </c>
      <c r="O21" s="69" t="s">
        <v>371</v>
      </c>
      <c r="P21" s="69"/>
      <c r="Q21" s="69"/>
      <c r="R21" s="69" t="s">
        <v>329</v>
      </c>
      <c r="S21" s="69"/>
      <c r="T21" s="69"/>
      <c r="U21" s="69"/>
      <c r="V21" s="69" t="s">
        <v>311</v>
      </c>
      <c r="W21" s="69"/>
      <c r="X21" s="69" t="s">
        <v>312</v>
      </c>
      <c r="Y21" s="69" t="s">
        <v>317</v>
      </c>
      <c r="Z21" s="69"/>
      <c r="AA21" s="69" t="s">
        <v>354</v>
      </c>
      <c r="AB21" s="69" t="s">
        <v>317</v>
      </c>
      <c r="AC21" s="69" t="s">
        <v>325</v>
      </c>
      <c r="AD21" s="69" t="s">
        <v>317</v>
      </c>
      <c r="AE21" s="69"/>
      <c r="AF21" s="69"/>
      <c r="AG21" s="69" t="s">
        <v>339</v>
      </c>
      <c r="AH21" s="69"/>
      <c r="AI21" s="69" t="s">
        <v>326</v>
      </c>
      <c r="AJ21" s="69"/>
      <c r="AK21" s="69"/>
      <c r="AL21" s="69" t="s">
        <v>347</v>
      </c>
      <c r="AM21" s="69" t="s">
        <v>311</v>
      </c>
      <c r="AN21" s="69" t="s">
        <v>317</v>
      </c>
      <c r="AO21" s="69"/>
      <c r="AP21" s="69" t="s">
        <v>408</v>
      </c>
      <c r="AQ21" s="99" t="s">
        <v>463</v>
      </c>
      <c r="AR21" s="99" t="s">
        <v>317</v>
      </c>
      <c r="AS21" s="69"/>
      <c r="AT21" s="69"/>
      <c r="AU21" s="69" t="s">
        <v>312</v>
      </c>
      <c r="AV21" s="69"/>
      <c r="AW21" s="69"/>
      <c r="AX21" s="69" t="s">
        <v>326</v>
      </c>
      <c r="AY21" s="69" t="s">
        <v>366</v>
      </c>
      <c r="AZ21" s="69" t="s">
        <v>325</v>
      </c>
      <c r="BA21" s="69"/>
      <c r="BB21" s="69" t="s">
        <v>317</v>
      </c>
      <c r="BC21" s="69" t="s">
        <v>357</v>
      </c>
      <c r="BD21" s="69"/>
      <c r="BE21" s="69" t="s">
        <v>367</v>
      </c>
      <c r="BF21" s="69" t="s">
        <v>322</v>
      </c>
      <c r="BG21" s="69" t="s">
        <v>451</v>
      </c>
      <c r="BH21" s="69"/>
      <c r="BI21" s="69" t="s">
        <v>326</v>
      </c>
      <c r="BJ21" s="99" t="s">
        <v>463</v>
      </c>
      <c r="BK21" s="69" t="s">
        <v>437</v>
      </c>
      <c r="BL21" s="69" t="s">
        <v>327</v>
      </c>
      <c r="BM21" s="69" t="s">
        <v>388</v>
      </c>
      <c r="BN21" s="69" t="s">
        <v>312</v>
      </c>
    </row>
    <row r="22" spans="1:66" x14ac:dyDescent="0.25">
      <c r="A22" s="61" t="s">
        <v>3</v>
      </c>
      <c r="B22" s="68" t="s">
        <v>264</v>
      </c>
      <c r="C22" s="66"/>
      <c r="D22" s="64">
        <v>48</v>
      </c>
      <c r="E22" s="64">
        <f>IF(ISBLANK($D22),"0",IF(($D22-$D21)&gt;($C22-$C21),1,0))</f>
        <v>1</v>
      </c>
      <c r="F22" s="64">
        <f t="shared" ca="1" si="1"/>
        <v>21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311</v>
      </c>
      <c r="K22" s="70" t="s">
        <v>312</v>
      </c>
      <c r="L22" s="70"/>
      <c r="M22" s="70"/>
      <c r="N22" s="70"/>
      <c r="O22" s="70"/>
      <c r="P22" s="70" t="s">
        <v>317</v>
      </c>
      <c r="Q22" s="70" t="s">
        <v>318</v>
      </c>
      <c r="R22" s="70"/>
      <c r="S22" s="70" t="s">
        <v>311</v>
      </c>
      <c r="T22" s="70" t="s">
        <v>312</v>
      </c>
      <c r="U22" s="70" t="s">
        <v>331</v>
      </c>
      <c r="V22" s="70"/>
      <c r="W22" s="70" t="s">
        <v>317</v>
      </c>
      <c r="X22" s="70"/>
      <c r="Y22" s="70"/>
      <c r="Z22" s="70" t="s">
        <v>317</v>
      </c>
      <c r="AA22" s="70"/>
      <c r="AB22" s="70"/>
      <c r="AC22" s="70"/>
      <c r="AD22" s="70"/>
      <c r="AE22" s="70" t="s">
        <v>355</v>
      </c>
      <c r="AF22" s="70" t="s">
        <v>355</v>
      </c>
      <c r="AG22" s="70"/>
      <c r="AH22" s="70" t="s">
        <v>326</v>
      </c>
      <c r="AI22" s="70"/>
      <c r="AJ22" s="70" t="s">
        <v>314</v>
      </c>
      <c r="AK22" s="70" t="s">
        <v>317</v>
      </c>
      <c r="AL22" s="70"/>
      <c r="AM22" s="70"/>
      <c r="AN22" s="70"/>
      <c r="AO22" s="70" t="s">
        <v>317</v>
      </c>
      <c r="AP22" s="70"/>
      <c r="AQ22" s="70"/>
      <c r="AR22" s="70"/>
      <c r="AS22" s="70" t="s">
        <v>333</v>
      </c>
      <c r="AT22" s="70" t="s">
        <v>334</v>
      </c>
      <c r="AU22" s="70"/>
      <c r="AV22" s="70" t="s">
        <v>317</v>
      </c>
      <c r="AW22" s="70" t="s">
        <v>449</v>
      </c>
      <c r="AX22" s="70"/>
      <c r="AY22" s="70"/>
      <c r="AZ22" s="70"/>
      <c r="BA22" s="70" t="s">
        <v>317</v>
      </c>
      <c r="BB22" s="70"/>
      <c r="BC22" s="70"/>
      <c r="BD22" s="70" t="s">
        <v>312</v>
      </c>
      <c r="BE22" s="70"/>
      <c r="BF22" s="70"/>
      <c r="BG22" s="70"/>
      <c r="BH22" s="70" t="s">
        <v>317</v>
      </c>
      <c r="BI22" s="70"/>
      <c r="BJ22" s="70"/>
      <c r="BK22" s="70"/>
      <c r="BL22" s="70"/>
      <c r="BM22" s="70"/>
      <c r="BN22" s="70"/>
    </row>
    <row r="23" spans="1:66" x14ac:dyDescent="0.25">
      <c r="A23" s="59"/>
      <c r="B23" s="67" t="str">
        <f>B21&amp; " - score"</f>
        <v>Stanford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34</v>
      </c>
      <c r="G23" s="59"/>
      <c r="H23" s="59"/>
      <c r="I23" s="60"/>
      <c r="J23" s="78">
        <v>31</v>
      </c>
      <c r="K23" s="78">
        <v>28</v>
      </c>
      <c r="L23" s="78">
        <v>40</v>
      </c>
      <c r="M23" s="78">
        <v>42</v>
      </c>
      <c r="N23" s="80">
        <v>31</v>
      </c>
      <c r="O23" s="78">
        <v>21</v>
      </c>
      <c r="P23" s="78">
        <v>27</v>
      </c>
      <c r="Q23" s="78">
        <v>55</v>
      </c>
      <c r="R23" s="78">
        <v>38</v>
      </c>
      <c r="S23" s="78">
        <v>30</v>
      </c>
      <c r="T23" s="78">
        <v>24</v>
      </c>
      <c r="U23" s="78">
        <v>28</v>
      </c>
      <c r="V23" s="78">
        <v>36</v>
      </c>
      <c r="W23" s="78">
        <v>21</v>
      </c>
      <c r="X23" s="78">
        <v>38</v>
      </c>
      <c r="Y23" s="78">
        <v>38</v>
      </c>
      <c r="Z23" s="78">
        <v>42</v>
      </c>
      <c r="AA23" s="78">
        <v>28</v>
      </c>
      <c r="AB23" s="78">
        <v>35</v>
      </c>
      <c r="AC23" s="78">
        <v>42</v>
      </c>
      <c r="AD23" s="78">
        <v>31</v>
      </c>
      <c r="AE23" s="78">
        <v>33</v>
      </c>
      <c r="AF23" s="78">
        <v>21</v>
      </c>
      <c r="AG23" s="78">
        <v>45</v>
      </c>
      <c r="AH23" s="78">
        <v>35</v>
      </c>
      <c r="AI23" s="78">
        <v>45</v>
      </c>
      <c r="AJ23" s="78">
        <v>23</v>
      </c>
      <c r="AK23" s="78">
        <v>31</v>
      </c>
      <c r="AL23" s="78">
        <v>34</v>
      </c>
      <c r="AM23" s="78">
        <v>31</v>
      </c>
      <c r="AN23" s="78">
        <v>48</v>
      </c>
      <c r="AO23" s="78">
        <v>28</v>
      </c>
      <c r="AP23" s="78">
        <v>33</v>
      </c>
      <c r="AQ23" s="78"/>
      <c r="AR23" s="78">
        <v>31</v>
      </c>
      <c r="AS23" s="78">
        <v>35</v>
      </c>
      <c r="AT23" s="78">
        <v>41</v>
      </c>
      <c r="AU23" s="78">
        <v>38</v>
      </c>
      <c r="AV23" s="78">
        <v>21</v>
      </c>
      <c r="AW23" s="78">
        <v>27</v>
      </c>
      <c r="AX23" s="78">
        <v>45</v>
      </c>
      <c r="AY23" s="78">
        <v>38</v>
      </c>
      <c r="AZ23" s="78">
        <v>34</v>
      </c>
      <c r="BA23" s="78">
        <v>33</v>
      </c>
      <c r="BB23" s="78">
        <v>24</v>
      </c>
      <c r="BC23" s="78">
        <v>35</v>
      </c>
      <c r="BD23" s="78">
        <v>20</v>
      </c>
      <c r="BE23" s="78">
        <v>35</v>
      </c>
      <c r="BF23" s="78">
        <v>48</v>
      </c>
      <c r="BG23" s="78">
        <v>31</v>
      </c>
      <c r="BH23" s="78">
        <v>33</v>
      </c>
      <c r="BI23" s="78">
        <v>31</v>
      </c>
      <c r="BJ23" s="78"/>
      <c r="BK23" s="78">
        <v>35</v>
      </c>
      <c r="BL23" s="78">
        <v>45</v>
      </c>
      <c r="BM23" s="78">
        <v>45</v>
      </c>
      <c r="BN23" s="78">
        <v>35</v>
      </c>
    </row>
    <row r="24" spans="1:66" x14ac:dyDescent="0.25">
      <c r="A24" s="61"/>
      <c r="B24" s="68" t="str">
        <f>B22&amp; " - score"</f>
        <v>Southern Cal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23</v>
      </c>
      <c r="G24" s="61"/>
      <c r="H24" s="62"/>
      <c r="I24" s="63"/>
      <c r="J24" s="79">
        <v>30</v>
      </c>
      <c r="K24" s="79">
        <v>21</v>
      </c>
      <c r="L24" s="79">
        <v>30</v>
      </c>
      <c r="M24" s="79">
        <v>21</v>
      </c>
      <c r="N24" s="79">
        <v>17</v>
      </c>
      <c r="O24" s="79">
        <v>7</v>
      </c>
      <c r="P24" s="79">
        <v>28</v>
      </c>
      <c r="Q24" s="79">
        <v>54</v>
      </c>
      <c r="R24" s="79">
        <v>29</v>
      </c>
      <c r="S24" s="79">
        <v>31</v>
      </c>
      <c r="T24" s="79">
        <v>20</v>
      </c>
      <c r="U24" s="79">
        <v>24</v>
      </c>
      <c r="V24" s="79">
        <v>23</v>
      </c>
      <c r="W24" s="79">
        <v>14</v>
      </c>
      <c r="X24" s="79">
        <v>17</v>
      </c>
      <c r="Y24" s="79">
        <v>28</v>
      </c>
      <c r="Z24" s="79">
        <v>38</v>
      </c>
      <c r="AA24" s="79">
        <v>10</v>
      </c>
      <c r="AB24" s="79">
        <v>21</v>
      </c>
      <c r="AC24" s="79">
        <v>20</v>
      </c>
      <c r="AD24" s="79">
        <v>21</v>
      </c>
      <c r="AE24" s="79">
        <v>28</v>
      </c>
      <c r="AF24" s="79">
        <v>13</v>
      </c>
      <c r="AG24" s="79">
        <v>28</v>
      </c>
      <c r="AH24" s="79">
        <v>28</v>
      </c>
      <c r="AI24" s="79">
        <v>24</v>
      </c>
      <c r="AJ24" s="79">
        <v>21</v>
      </c>
      <c r="AK24" s="79">
        <v>28</v>
      </c>
      <c r="AL24" s="79">
        <v>24</v>
      </c>
      <c r="AM24" s="79">
        <v>21</v>
      </c>
      <c r="AN24" s="79">
        <v>31</v>
      </c>
      <c r="AO24" s="79">
        <v>21</v>
      </c>
      <c r="AP24" s="79">
        <v>20</v>
      </c>
      <c r="AQ24" s="79"/>
      <c r="AR24" s="79">
        <v>17</v>
      </c>
      <c r="AS24" s="79">
        <v>31</v>
      </c>
      <c r="AT24" s="79">
        <v>33</v>
      </c>
      <c r="AU24" s="79">
        <v>21</v>
      </c>
      <c r="AV24" s="79">
        <v>28</v>
      </c>
      <c r="AW24" s="79">
        <v>29</v>
      </c>
      <c r="AX24" s="79">
        <v>14</v>
      </c>
      <c r="AY24" s="79">
        <v>20</v>
      </c>
      <c r="AZ24" s="79">
        <v>17</v>
      </c>
      <c r="BA24" s="79">
        <v>35</v>
      </c>
      <c r="BB24" s="79">
        <v>14</v>
      </c>
      <c r="BC24" s="79">
        <v>24</v>
      </c>
      <c r="BD24" s="79">
        <v>14</v>
      </c>
      <c r="BE24" s="79">
        <v>24</v>
      </c>
      <c r="BF24" s="79">
        <v>17</v>
      </c>
      <c r="BG24" s="79">
        <v>11</v>
      </c>
      <c r="BH24" s="79">
        <v>26</v>
      </c>
      <c r="BI24" s="79">
        <v>19</v>
      </c>
      <c r="BJ24" s="79"/>
      <c r="BK24" s="79">
        <v>20</v>
      </c>
      <c r="BL24" s="79">
        <v>17</v>
      </c>
      <c r="BM24" s="79">
        <v>31</v>
      </c>
      <c r="BN24" s="79">
        <v>24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2.5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4</v>
      </c>
      <c r="Q25" s="36">
        <f t="shared" si="3"/>
        <v>2</v>
      </c>
      <c r="R25" s="36">
        <f t="shared" si="3"/>
        <v>3</v>
      </c>
      <c r="S25" s="36">
        <f t="shared" si="3"/>
        <v>3</v>
      </c>
      <c r="T25" s="36">
        <f t="shared" si="3"/>
        <v>4</v>
      </c>
      <c r="U25" s="36">
        <f t="shared" si="3"/>
        <v>5</v>
      </c>
      <c r="V25" s="36">
        <f t="shared" si="3"/>
        <v>8</v>
      </c>
      <c r="W25" s="36">
        <f t="shared" si="3"/>
        <v>5</v>
      </c>
      <c r="X25" s="36">
        <f t="shared" si="3"/>
        <v>3</v>
      </c>
      <c r="Y25" s="36">
        <f t="shared" si="3"/>
        <v>3</v>
      </c>
      <c r="Z25" s="36">
        <f t="shared" si="3"/>
        <v>3</v>
      </c>
      <c r="AA25" s="36">
        <f t="shared" si="3"/>
        <v>3</v>
      </c>
      <c r="AB25" s="36">
        <f t="shared" si="3"/>
        <v>5</v>
      </c>
      <c r="AC25" s="36">
        <f t="shared" si="3"/>
        <v>3</v>
      </c>
      <c r="AD25" s="36">
        <f t="shared" si="3"/>
        <v>4</v>
      </c>
      <c r="AE25" s="36">
        <f t="shared" si="3"/>
        <v>4</v>
      </c>
      <c r="AF25" s="36">
        <f t="shared" si="3"/>
        <v>8</v>
      </c>
      <c r="AG25" s="36">
        <f t="shared" si="3"/>
        <v>4</v>
      </c>
      <c r="AH25" s="36">
        <f t="shared" si="3"/>
        <v>4</v>
      </c>
      <c r="AI25" s="36">
        <f t="shared" si="3"/>
        <v>4</v>
      </c>
      <c r="AJ25" s="36">
        <f t="shared" si="3"/>
        <v>5</v>
      </c>
      <c r="AK25" s="36">
        <f t="shared" si="3"/>
        <v>6</v>
      </c>
      <c r="AL25" s="36">
        <f t="shared" si="3"/>
        <v>4</v>
      </c>
      <c r="AM25" s="36">
        <f t="shared" si="3"/>
        <v>6</v>
      </c>
      <c r="AN25" s="36">
        <f t="shared" si="3"/>
        <v>4</v>
      </c>
      <c r="AO25" s="36">
        <f t="shared" si="3"/>
        <v>6</v>
      </c>
      <c r="AP25" s="36">
        <f t="shared" si="3"/>
        <v>5</v>
      </c>
      <c r="AQ25" s="36">
        <f t="shared" si="3"/>
        <v>2</v>
      </c>
      <c r="AR25" s="36">
        <f t="shared" si="3"/>
        <v>5</v>
      </c>
      <c r="AS25" s="36">
        <f t="shared" si="3"/>
        <v>3</v>
      </c>
      <c r="AT25" s="36">
        <f t="shared" si="3"/>
        <v>7</v>
      </c>
      <c r="AU25" s="36">
        <f t="shared" si="3"/>
        <v>5</v>
      </c>
      <c r="AV25" s="36">
        <f t="shared" si="3"/>
        <v>5</v>
      </c>
      <c r="AW25" s="36">
        <f t="shared" si="3"/>
        <v>6</v>
      </c>
      <c r="AX25" s="36">
        <f t="shared" si="3"/>
        <v>3</v>
      </c>
      <c r="AY25" s="36">
        <f t="shared" si="3"/>
        <v>2</v>
      </c>
      <c r="AZ25" s="36">
        <f t="shared" si="3"/>
        <v>3</v>
      </c>
      <c r="BA25" s="36">
        <f t="shared" si="3"/>
        <v>4</v>
      </c>
      <c r="BB25" s="36">
        <f t="shared" si="3"/>
        <v>4</v>
      </c>
      <c r="BC25" s="36">
        <f t="shared" si="3"/>
        <v>2</v>
      </c>
      <c r="BD25" s="36">
        <f t="shared" si="3"/>
        <v>6</v>
      </c>
      <c r="BE25" s="36">
        <f t="shared" si="3"/>
        <v>2</v>
      </c>
      <c r="BF25" s="36">
        <f t="shared" si="3"/>
        <v>5</v>
      </c>
      <c r="BG25" s="36">
        <f t="shared" si="3"/>
        <v>6</v>
      </c>
      <c r="BH25" s="36">
        <f t="shared" si="3"/>
        <v>4</v>
      </c>
      <c r="BI25" s="36">
        <f t="shared" si="3"/>
        <v>2</v>
      </c>
      <c r="BJ25" s="36">
        <f t="shared" si="3"/>
        <v>2</v>
      </c>
      <c r="BK25" s="36">
        <f t="shared" si="3"/>
        <v>4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2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</v>
      </c>
      <c r="L26" s="71">
        <f t="shared" ref="L26:BN26" si="4">ABS((L23-L24)-($D21-$D22))</f>
        <v>2</v>
      </c>
      <c r="M26" s="71">
        <f t="shared" si="4"/>
        <v>13</v>
      </c>
      <c r="N26" s="71">
        <f t="shared" si="4"/>
        <v>6</v>
      </c>
      <c r="O26" s="71">
        <f t="shared" si="4"/>
        <v>6</v>
      </c>
      <c r="P26" s="71">
        <f t="shared" si="4"/>
        <v>9</v>
      </c>
      <c r="Q26" s="71">
        <f t="shared" si="4"/>
        <v>7</v>
      </c>
      <c r="R26" s="71">
        <f t="shared" si="4"/>
        <v>1</v>
      </c>
      <c r="S26" s="71">
        <f t="shared" si="4"/>
        <v>9</v>
      </c>
      <c r="T26" s="71">
        <f t="shared" si="4"/>
        <v>4</v>
      </c>
      <c r="U26" s="71">
        <f t="shared" si="4"/>
        <v>4</v>
      </c>
      <c r="V26" s="71">
        <f t="shared" si="4"/>
        <v>5</v>
      </c>
      <c r="W26" s="71">
        <f t="shared" si="4"/>
        <v>1</v>
      </c>
      <c r="X26" s="71">
        <f t="shared" si="4"/>
        <v>13</v>
      </c>
      <c r="Y26" s="71">
        <f t="shared" si="4"/>
        <v>2</v>
      </c>
      <c r="Z26" s="71">
        <f t="shared" si="4"/>
        <v>4</v>
      </c>
      <c r="AA26" s="71">
        <f t="shared" si="4"/>
        <v>10</v>
      </c>
      <c r="AB26" s="71">
        <f t="shared" si="4"/>
        <v>6</v>
      </c>
      <c r="AC26" s="71">
        <f t="shared" si="4"/>
        <v>14</v>
      </c>
      <c r="AD26" s="71">
        <f t="shared" si="4"/>
        <v>2</v>
      </c>
      <c r="AE26" s="71">
        <f t="shared" si="4"/>
        <v>3</v>
      </c>
      <c r="AF26" s="71">
        <f t="shared" si="4"/>
        <v>0</v>
      </c>
      <c r="AG26" s="71">
        <f t="shared" si="4"/>
        <v>9</v>
      </c>
      <c r="AH26" s="71">
        <f t="shared" si="4"/>
        <v>1</v>
      </c>
      <c r="AI26" s="71">
        <f t="shared" si="4"/>
        <v>13</v>
      </c>
      <c r="AJ26" s="71">
        <f t="shared" si="4"/>
        <v>6</v>
      </c>
      <c r="AK26" s="71">
        <f t="shared" si="4"/>
        <v>5</v>
      </c>
      <c r="AL26" s="71">
        <f t="shared" si="4"/>
        <v>2</v>
      </c>
      <c r="AM26" s="71">
        <f t="shared" si="4"/>
        <v>2</v>
      </c>
      <c r="AN26" s="71">
        <f t="shared" si="4"/>
        <v>9</v>
      </c>
      <c r="AO26" s="71">
        <f t="shared" si="4"/>
        <v>1</v>
      </c>
      <c r="AP26" s="71">
        <f t="shared" si="4"/>
        <v>5</v>
      </c>
      <c r="AQ26" s="71">
        <f t="shared" si="4"/>
        <v>8</v>
      </c>
      <c r="AR26" s="71">
        <f t="shared" si="4"/>
        <v>6</v>
      </c>
      <c r="AS26" s="71">
        <f t="shared" si="4"/>
        <v>4</v>
      </c>
      <c r="AT26" s="71">
        <f t="shared" si="4"/>
        <v>0</v>
      </c>
      <c r="AU26" s="71">
        <f t="shared" si="4"/>
        <v>9</v>
      </c>
      <c r="AV26" s="71">
        <f t="shared" si="4"/>
        <v>15</v>
      </c>
      <c r="AW26" s="71">
        <f t="shared" si="4"/>
        <v>10</v>
      </c>
      <c r="AX26" s="71">
        <f t="shared" si="4"/>
        <v>23</v>
      </c>
      <c r="AY26" s="71">
        <f t="shared" si="4"/>
        <v>10</v>
      </c>
      <c r="AZ26" s="71">
        <f t="shared" si="4"/>
        <v>9</v>
      </c>
      <c r="BA26" s="71">
        <f t="shared" si="4"/>
        <v>10</v>
      </c>
      <c r="BB26" s="71">
        <f t="shared" si="4"/>
        <v>2</v>
      </c>
      <c r="BC26" s="71">
        <f t="shared" si="4"/>
        <v>3</v>
      </c>
      <c r="BD26" s="71">
        <f t="shared" si="4"/>
        <v>2</v>
      </c>
      <c r="BE26" s="71">
        <f t="shared" si="4"/>
        <v>3</v>
      </c>
      <c r="BF26" s="71">
        <f t="shared" si="4"/>
        <v>23</v>
      </c>
      <c r="BG26" s="71">
        <f t="shared" si="4"/>
        <v>12</v>
      </c>
      <c r="BH26" s="71">
        <f t="shared" si="4"/>
        <v>1</v>
      </c>
      <c r="BI26" s="71">
        <f t="shared" si="4"/>
        <v>4</v>
      </c>
      <c r="BJ26" s="71">
        <f t="shared" si="4"/>
        <v>8</v>
      </c>
      <c r="BK26" s="71">
        <f t="shared" si="4"/>
        <v>7</v>
      </c>
      <c r="BL26" s="71">
        <f t="shared" si="4"/>
        <v>20</v>
      </c>
      <c r="BM26" s="71">
        <f t="shared" si="4"/>
        <v>6</v>
      </c>
      <c r="BN26" s="71">
        <f t="shared" si="4"/>
        <v>3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55</v>
      </c>
      <c r="L27" s="71">
        <f t="shared" ref="L27:BN27" si="5">ABS(($D21+$D22)-(L23+L24))</f>
        <v>34</v>
      </c>
      <c r="M27" s="71">
        <f t="shared" si="5"/>
        <v>41</v>
      </c>
      <c r="N27" s="71">
        <f t="shared" si="5"/>
        <v>56</v>
      </c>
      <c r="O27" s="71">
        <f t="shared" si="5"/>
        <v>76</v>
      </c>
      <c r="P27" s="71">
        <f t="shared" si="5"/>
        <v>49</v>
      </c>
      <c r="Q27" s="71">
        <f t="shared" si="5"/>
        <v>5</v>
      </c>
      <c r="R27" s="71">
        <f t="shared" si="5"/>
        <v>37</v>
      </c>
      <c r="S27" s="71">
        <f t="shared" si="5"/>
        <v>43</v>
      </c>
      <c r="T27" s="71">
        <f t="shared" si="5"/>
        <v>60</v>
      </c>
      <c r="U27" s="71">
        <f t="shared" si="5"/>
        <v>52</v>
      </c>
      <c r="V27" s="71">
        <f t="shared" si="5"/>
        <v>45</v>
      </c>
      <c r="W27" s="71">
        <f t="shared" si="5"/>
        <v>69</v>
      </c>
      <c r="X27" s="71">
        <f t="shared" si="5"/>
        <v>49</v>
      </c>
      <c r="Y27" s="71">
        <f t="shared" si="5"/>
        <v>38</v>
      </c>
      <c r="Z27" s="71">
        <f t="shared" si="5"/>
        <v>24</v>
      </c>
      <c r="AA27" s="71">
        <f t="shared" si="5"/>
        <v>66</v>
      </c>
      <c r="AB27" s="71">
        <f t="shared" si="5"/>
        <v>48</v>
      </c>
      <c r="AC27" s="71">
        <f t="shared" si="5"/>
        <v>42</v>
      </c>
      <c r="AD27" s="71">
        <f t="shared" si="5"/>
        <v>52</v>
      </c>
      <c r="AE27" s="71">
        <f t="shared" si="5"/>
        <v>43</v>
      </c>
      <c r="AF27" s="71">
        <f t="shared" si="5"/>
        <v>70</v>
      </c>
      <c r="AG27" s="71">
        <f t="shared" si="5"/>
        <v>31</v>
      </c>
      <c r="AH27" s="71">
        <f t="shared" si="5"/>
        <v>41</v>
      </c>
      <c r="AI27" s="71">
        <f t="shared" si="5"/>
        <v>35</v>
      </c>
      <c r="AJ27" s="71">
        <f t="shared" si="5"/>
        <v>60</v>
      </c>
      <c r="AK27" s="71">
        <f t="shared" si="5"/>
        <v>45</v>
      </c>
      <c r="AL27" s="71">
        <f t="shared" si="5"/>
        <v>46</v>
      </c>
      <c r="AM27" s="71">
        <f t="shared" si="5"/>
        <v>52</v>
      </c>
      <c r="AN27" s="71">
        <f t="shared" si="5"/>
        <v>25</v>
      </c>
      <c r="AO27" s="71">
        <f t="shared" si="5"/>
        <v>55</v>
      </c>
      <c r="AP27" s="71">
        <f t="shared" si="5"/>
        <v>51</v>
      </c>
      <c r="AQ27" s="71">
        <f t="shared" si="5"/>
        <v>104</v>
      </c>
      <c r="AR27" s="71">
        <f t="shared" si="5"/>
        <v>56</v>
      </c>
      <c r="AS27" s="71">
        <f t="shared" si="5"/>
        <v>38</v>
      </c>
      <c r="AT27" s="71">
        <f t="shared" si="5"/>
        <v>30</v>
      </c>
      <c r="AU27" s="71">
        <f t="shared" si="5"/>
        <v>45</v>
      </c>
      <c r="AV27" s="71">
        <f t="shared" si="5"/>
        <v>55</v>
      </c>
      <c r="AW27" s="71">
        <f t="shared" si="5"/>
        <v>48</v>
      </c>
      <c r="AX27" s="71">
        <f t="shared" si="5"/>
        <v>45</v>
      </c>
      <c r="AY27" s="71">
        <f t="shared" si="5"/>
        <v>46</v>
      </c>
      <c r="AZ27" s="71">
        <f t="shared" si="5"/>
        <v>53</v>
      </c>
      <c r="BA27" s="71">
        <f t="shared" si="5"/>
        <v>36</v>
      </c>
      <c r="BB27" s="71">
        <f t="shared" si="5"/>
        <v>66</v>
      </c>
      <c r="BC27" s="71">
        <f t="shared" si="5"/>
        <v>45</v>
      </c>
      <c r="BD27" s="71">
        <f t="shared" si="5"/>
        <v>70</v>
      </c>
      <c r="BE27" s="71">
        <f t="shared" si="5"/>
        <v>45</v>
      </c>
      <c r="BF27" s="71">
        <f t="shared" si="5"/>
        <v>39</v>
      </c>
      <c r="BG27" s="71">
        <f t="shared" si="5"/>
        <v>62</v>
      </c>
      <c r="BH27" s="71">
        <f t="shared" si="5"/>
        <v>45</v>
      </c>
      <c r="BI27" s="71">
        <f t="shared" si="5"/>
        <v>54</v>
      </c>
      <c r="BJ27" s="71">
        <f t="shared" si="5"/>
        <v>104</v>
      </c>
      <c r="BK27" s="71">
        <f t="shared" si="5"/>
        <v>49</v>
      </c>
      <c r="BL27" s="71">
        <f t="shared" si="5"/>
        <v>42</v>
      </c>
      <c r="BM27" s="71">
        <f t="shared" si="5"/>
        <v>28</v>
      </c>
      <c r="BN27" s="71">
        <f t="shared" si="5"/>
        <v>45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>
        <f t="shared" ca="1" si="6"/>
        <v>1</v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0.42142857142857143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6</v>
      </c>
      <c r="M29" s="71">
        <f t="shared" si="7"/>
        <v>8</v>
      </c>
      <c r="N29" s="71">
        <f t="shared" si="7"/>
        <v>8</v>
      </c>
      <c r="O29" s="71">
        <f t="shared" si="7"/>
        <v>9</v>
      </c>
      <c r="P29" s="71">
        <f t="shared" si="7"/>
        <v>4</v>
      </c>
      <c r="Q29" s="71">
        <f t="shared" si="7"/>
        <v>6</v>
      </c>
      <c r="R29" s="71">
        <f t="shared" si="7"/>
        <v>7</v>
      </c>
      <c r="S29" s="71">
        <f t="shared" si="7"/>
        <v>5</v>
      </c>
      <c r="T29" s="71">
        <f t="shared" si="7"/>
        <v>6</v>
      </c>
      <c r="U29" s="71">
        <f t="shared" si="7"/>
        <v>7</v>
      </c>
      <c r="V29" s="71">
        <f t="shared" si="7"/>
        <v>6</v>
      </c>
      <c r="W29" s="71">
        <f t="shared" si="7"/>
        <v>3</v>
      </c>
      <c r="X29" s="71">
        <f t="shared" si="7"/>
        <v>7</v>
      </c>
      <c r="Y29" s="71">
        <f t="shared" si="7"/>
        <v>7</v>
      </c>
      <c r="Z29" s="71">
        <f t="shared" si="7"/>
        <v>5</v>
      </c>
      <c r="AA29" s="71">
        <f t="shared" si="7"/>
        <v>7</v>
      </c>
      <c r="AB29" s="71">
        <f t="shared" si="7"/>
        <v>7</v>
      </c>
      <c r="AC29" s="71">
        <f t="shared" si="7"/>
        <v>7</v>
      </c>
      <c r="AD29" s="71">
        <f t="shared" si="7"/>
        <v>8</v>
      </c>
      <c r="AE29" s="71">
        <f t="shared" si="7"/>
        <v>6</v>
      </c>
      <c r="AF29" s="71">
        <f t="shared" si="7"/>
        <v>6</v>
      </c>
      <c r="AG29" s="71">
        <f t="shared" si="7"/>
        <v>8</v>
      </c>
      <c r="AH29" s="71">
        <f t="shared" si="7"/>
        <v>6</v>
      </c>
      <c r="AI29" s="71">
        <f t="shared" si="7"/>
        <v>6</v>
      </c>
      <c r="AJ29" s="71">
        <f t="shared" si="7"/>
        <v>7</v>
      </c>
      <c r="AK29" s="71">
        <f t="shared" si="7"/>
        <v>6</v>
      </c>
      <c r="AL29" s="71">
        <f t="shared" si="7"/>
        <v>6</v>
      </c>
      <c r="AM29" s="71">
        <f t="shared" si="7"/>
        <v>6</v>
      </c>
      <c r="AN29" s="71">
        <f t="shared" si="7"/>
        <v>6</v>
      </c>
      <c r="AO29" s="71">
        <f t="shared" si="7"/>
        <v>6</v>
      </c>
      <c r="AP29" s="71">
        <f t="shared" si="7"/>
        <v>5</v>
      </c>
      <c r="AQ29" s="71">
        <f t="shared" si="7"/>
        <v>6</v>
      </c>
      <c r="AR29" s="71">
        <f t="shared" si="7"/>
        <v>7</v>
      </c>
      <c r="AS29" s="71">
        <f t="shared" si="7"/>
        <v>3</v>
      </c>
      <c r="AT29" s="71">
        <f t="shared" si="7"/>
        <v>5</v>
      </c>
      <c r="AU29" s="71">
        <f t="shared" si="7"/>
        <v>9</v>
      </c>
      <c r="AV29" s="71">
        <f t="shared" si="7"/>
        <v>3</v>
      </c>
      <c r="AW29" s="71">
        <f t="shared" si="7"/>
        <v>6</v>
      </c>
      <c r="AX29" s="71">
        <f t="shared" si="7"/>
        <v>7</v>
      </c>
      <c r="AY29" s="71">
        <f t="shared" si="7"/>
        <v>8</v>
      </c>
      <c r="AZ29" s="71">
        <f t="shared" si="7"/>
        <v>9</v>
      </c>
      <c r="BA29" s="71">
        <f t="shared" si="7"/>
        <v>6</v>
      </c>
      <c r="BB29" s="71">
        <f t="shared" si="7"/>
        <v>8</v>
      </c>
      <c r="BC29" s="71">
        <f t="shared" si="7"/>
        <v>8</v>
      </c>
      <c r="BD29" s="71">
        <f t="shared" si="7"/>
        <v>4</v>
      </c>
      <c r="BE29" s="71">
        <f t="shared" si="7"/>
        <v>6</v>
      </c>
      <c r="BF29" s="71">
        <f t="shared" si="7"/>
        <v>5</v>
      </c>
      <c r="BG29" s="71">
        <f t="shared" si="7"/>
        <v>6</v>
      </c>
      <c r="BH29" s="71">
        <f t="shared" si="7"/>
        <v>2</v>
      </c>
      <c r="BI29" s="71">
        <f t="shared" si="7"/>
        <v>6</v>
      </c>
      <c r="BJ29" s="71">
        <f t="shared" si="7"/>
        <v>6</v>
      </c>
      <c r="BK29" s="71">
        <f t="shared" si="7"/>
        <v>8</v>
      </c>
      <c r="BL29" s="71">
        <f t="shared" si="7"/>
        <v>4</v>
      </c>
      <c r="BM29" s="71">
        <f t="shared" si="7"/>
        <v>8</v>
      </c>
      <c r="BN29" s="71">
        <f t="shared" si="7"/>
        <v>6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-44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4</v>
      </c>
      <c r="N30" s="73">
        <f t="shared" si="8"/>
        <v>6</v>
      </c>
      <c r="O30" s="73">
        <f t="shared" si="8"/>
        <v>3</v>
      </c>
      <c r="P30" s="73">
        <f t="shared" si="8"/>
        <v>8</v>
      </c>
      <c r="Q30" s="73">
        <f t="shared" si="8"/>
        <v>6</v>
      </c>
      <c r="R30" s="73">
        <f t="shared" si="8"/>
        <v>5</v>
      </c>
      <c r="S30" s="73">
        <f t="shared" si="8"/>
        <v>5</v>
      </c>
      <c r="T30" s="73">
        <f t="shared" si="8"/>
        <v>4</v>
      </c>
      <c r="U30" s="73">
        <f t="shared" si="8"/>
        <v>5</v>
      </c>
      <c r="V30" s="73">
        <f t="shared" si="8"/>
        <v>2</v>
      </c>
      <c r="W30" s="73">
        <f t="shared" si="8"/>
        <v>3</v>
      </c>
      <c r="X30" s="73">
        <f t="shared" si="8"/>
        <v>5</v>
      </c>
      <c r="Y30" s="73">
        <f t="shared" si="8"/>
        <v>3</v>
      </c>
      <c r="Z30" s="73">
        <f t="shared" si="8"/>
        <v>5</v>
      </c>
      <c r="AA30" s="73">
        <f t="shared" si="8"/>
        <v>3</v>
      </c>
      <c r="AB30" s="73">
        <f t="shared" si="8"/>
        <v>1</v>
      </c>
      <c r="AC30" s="73">
        <f t="shared" si="8"/>
        <v>5</v>
      </c>
      <c r="AD30" s="73">
        <f t="shared" si="8"/>
        <v>6</v>
      </c>
      <c r="AE30" s="73">
        <f t="shared" si="8"/>
        <v>4</v>
      </c>
      <c r="AF30" s="73">
        <f t="shared" si="8"/>
        <v>4</v>
      </c>
      <c r="AG30" s="73">
        <f t="shared" si="8"/>
        <v>4</v>
      </c>
      <c r="AH30" s="73">
        <f t="shared" si="8"/>
        <v>6</v>
      </c>
      <c r="AI30" s="73">
        <f t="shared" si="8"/>
        <v>2</v>
      </c>
      <c r="AJ30" s="73">
        <f t="shared" si="8"/>
        <v>3</v>
      </c>
      <c r="AK30" s="73">
        <f t="shared" si="8"/>
        <v>2</v>
      </c>
      <c r="AL30" s="73">
        <f t="shared" si="8"/>
        <v>4</v>
      </c>
      <c r="AM30" s="73">
        <f t="shared" si="8"/>
        <v>0</v>
      </c>
      <c r="AN30" s="73">
        <f t="shared" si="8"/>
        <v>4</v>
      </c>
      <c r="AO30" s="73">
        <f t="shared" si="8"/>
        <v>4</v>
      </c>
      <c r="AP30" s="73">
        <f t="shared" si="8"/>
        <v>3</v>
      </c>
      <c r="AQ30" s="73">
        <f t="shared" si="8"/>
        <v>6</v>
      </c>
      <c r="AR30" s="73">
        <f t="shared" si="8"/>
        <v>1</v>
      </c>
      <c r="AS30" s="73">
        <f t="shared" si="8"/>
        <v>7</v>
      </c>
      <c r="AT30" s="73">
        <f t="shared" si="8"/>
        <v>3</v>
      </c>
      <c r="AU30" s="73">
        <f t="shared" si="8"/>
        <v>5</v>
      </c>
      <c r="AV30" s="73">
        <f t="shared" si="8"/>
        <v>5</v>
      </c>
      <c r="AW30" s="73">
        <f t="shared" si="8"/>
        <v>6</v>
      </c>
      <c r="AX30" s="73">
        <f t="shared" si="8"/>
        <v>7</v>
      </c>
      <c r="AY30" s="73">
        <f t="shared" si="8"/>
        <v>4</v>
      </c>
      <c r="AZ30" s="73">
        <f t="shared" si="8"/>
        <v>3</v>
      </c>
      <c r="BA30" s="73">
        <f t="shared" si="8"/>
        <v>6</v>
      </c>
      <c r="BB30" s="73">
        <f t="shared" si="8"/>
        <v>4</v>
      </c>
      <c r="BC30" s="73">
        <f t="shared" si="8"/>
        <v>4</v>
      </c>
      <c r="BD30" s="73">
        <f t="shared" si="8"/>
        <v>6</v>
      </c>
      <c r="BE30" s="73">
        <f t="shared" si="8"/>
        <v>6</v>
      </c>
      <c r="BF30" s="73">
        <f t="shared" si="8"/>
        <v>1</v>
      </c>
      <c r="BG30" s="73">
        <f t="shared" si="8"/>
        <v>4</v>
      </c>
      <c r="BH30" s="73">
        <f t="shared" si="8"/>
        <v>8</v>
      </c>
      <c r="BI30" s="73">
        <f t="shared" si="8"/>
        <v>4</v>
      </c>
      <c r="BJ30" s="73">
        <f t="shared" si="8"/>
        <v>6</v>
      </c>
      <c r="BK30" s="73">
        <f t="shared" si="8"/>
        <v>4</v>
      </c>
      <c r="BL30" s="73">
        <f t="shared" si="8"/>
        <v>4</v>
      </c>
      <c r="BM30" s="73">
        <f t="shared" si="8"/>
        <v>2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4.5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1.5</v>
      </c>
      <c r="M31" s="71">
        <f t="shared" ca="1" si="9"/>
        <v>3.5</v>
      </c>
      <c r="N31" s="71">
        <f t="shared" ca="1" si="9"/>
        <v>4.5</v>
      </c>
      <c r="O31" s="71">
        <f t="shared" ca="1" si="9"/>
        <v>3.5</v>
      </c>
      <c r="P31" s="71">
        <f t="shared" ca="1" si="9"/>
        <v>5.5</v>
      </c>
      <c r="Q31" s="71">
        <f t="shared" ca="1" si="9"/>
        <v>2.5</v>
      </c>
      <c r="R31" s="71">
        <f t="shared" ca="1" si="9"/>
        <v>2.5</v>
      </c>
      <c r="S31" s="71">
        <f t="shared" ca="1" si="9"/>
        <v>2.5</v>
      </c>
      <c r="T31" s="71">
        <f t="shared" ca="1" si="9"/>
        <v>4.5</v>
      </c>
      <c r="U31" s="71">
        <f t="shared" ca="1" si="9"/>
        <v>3.5</v>
      </c>
      <c r="V31" s="71">
        <f t="shared" ca="1" si="9"/>
        <v>5.5</v>
      </c>
      <c r="W31" s="71">
        <f t="shared" ca="1" si="9"/>
        <v>4.5</v>
      </c>
      <c r="X31" s="71">
        <f t="shared" ca="1" si="9"/>
        <v>2.5</v>
      </c>
      <c r="Y31" s="71">
        <f t="shared" ca="1" si="9"/>
        <v>1.5</v>
      </c>
      <c r="Z31" s="71">
        <f t="shared" ca="1" si="9"/>
        <v>3.5</v>
      </c>
      <c r="AA31" s="71">
        <f t="shared" ca="1" si="9"/>
        <v>1.5</v>
      </c>
      <c r="AB31" s="71">
        <f t="shared" ca="1" si="9"/>
        <v>2.5</v>
      </c>
      <c r="AC31" s="71">
        <f t="shared" ca="1" si="9"/>
        <v>3.5</v>
      </c>
      <c r="AD31" s="71">
        <f t="shared" ca="1" si="9"/>
        <v>4.5</v>
      </c>
      <c r="AE31" s="71">
        <f t="shared" ca="1" si="9"/>
        <v>3.5</v>
      </c>
      <c r="AF31" s="71">
        <f t="shared" ca="1" si="9"/>
        <v>6.5</v>
      </c>
      <c r="AG31" s="71">
        <f t="shared" ca="1" si="9"/>
        <v>2.5</v>
      </c>
      <c r="AH31" s="71">
        <f t="shared" ca="1" si="9"/>
        <v>3.5</v>
      </c>
      <c r="AI31" s="71">
        <f t="shared" ca="1" si="9"/>
        <v>3.5</v>
      </c>
      <c r="AJ31" s="71">
        <f t="shared" ca="1" si="9"/>
        <v>3.5</v>
      </c>
      <c r="AK31" s="71">
        <f t="shared" ca="1" si="9"/>
        <v>3.5</v>
      </c>
      <c r="AL31" s="71">
        <f t="shared" ca="1" si="9"/>
        <v>1.5</v>
      </c>
      <c r="AM31" s="71">
        <f t="shared" ca="1" si="9"/>
        <v>3.5</v>
      </c>
      <c r="AN31" s="71">
        <f t="shared" ca="1" si="9"/>
        <v>2.5</v>
      </c>
      <c r="AO31" s="71">
        <f t="shared" ca="1" si="9"/>
        <v>5.5</v>
      </c>
      <c r="AP31" s="71">
        <f t="shared" ca="1" si="9"/>
        <v>2.5</v>
      </c>
      <c r="AQ31" s="71">
        <f t="shared" ca="1" si="9"/>
        <v>2.5</v>
      </c>
      <c r="AR31" s="71">
        <f t="shared" ca="1" si="9"/>
        <v>2.5</v>
      </c>
      <c r="AS31" s="71">
        <f t="shared" ca="1" si="9"/>
        <v>4.5</v>
      </c>
      <c r="AT31" s="71">
        <f t="shared" ca="1" si="9"/>
        <v>5.5</v>
      </c>
      <c r="AU31" s="71">
        <f t="shared" ca="1" si="9"/>
        <v>3.5</v>
      </c>
      <c r="AV31" s="71">
        <f t="shared" ca="1" si="9"/>
        <v>4.5</v>
      </c>
      <c r="AW31" s="71">
        <f t="shared" ca="1" si="9"/>
        <v>3.5</v>
      </c>
      <c r="AX31" s="71">
        <f t="shared" ca="1" si="9"/>
        <v>3.5</v>
      </c>
      <c r="AY31" s="71">
        <f t="shared" ca="1" si="9"/>
        <v>0.5</v>
      </c>
      <c r="AZ31" s="71">
        <f t="shared" ca="1" si="9"/>
        <v>1.5</v>
      </c>
      <c r="BA31" s="71">
        <f t="shared" ca="1" si="9"/>
        <v>4.5</v>
      </c>
      <c r="BB31" s="71">
        <f t="shared" ca="1" si="9"/>
        <v>4.5</v>
      </c>
      <c r="BC31" s="71">
        <f t="shared" ca="1" si="9"/>
        <v>0.5</v>
      </c>
      <c r="BD31" s="71">
        <f t="shared" ca="1" si="9"/>
        <v>5.5</v>
      </c>
      <c r="BE31" s="71">
        <f t="shared" ca="1" si="9"/>
        <v>2.5</v>
      </c>
      <c r="BF31" s="71">
        <f t="shared" ca="1" si="9"/>
        <v>2.5</v>
      </c>
      <c r="BG31" s="71">
        <f t="shared" ca="1" si="9"/>
        <v>3.5</v>
      </c>
      <c r="BH31" s="71">
        <f t="shared" ca="1" si="9"/>
        <v>6.5</v>
      </c>
      <c r="BI31" s="71">
        <f t="shared" ca="1" si="9"/>
        <v>1.5</v>
      </c>
      <c r="BJ31" s="71">
        <f t="shared" ca="1" si="9"/>
        <v>2.5</v>
      </c>
      <c r="BK31" s="71">
        <f t="shared" ca="1" si="9"/>
        <v>3.5</v>
      </c>
      <c r="BL31" s="71">
        <f t="shared" ca="1" si="9"/>
        <v>6.5</v>
      </c>
      <c r="BM31" s="71">
        <f t="shared" ca="1" si="9"/>
        <v>2.5</v>
      </c>
      <c r="BN31" s="71">
        <f t="shared" ca="1" si="9"/>
        <v>1.5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141995780</v>
      </c>
      <c r="L36" s="32">
        <f t="shared" ref="L36:BN36" si="12">COUNTA(L23:L24)*((10000000*L25)+(1000000*(COUNTA(L21)*$E21+COUNTA(L22)*$E22))-(COUNTA($D$21:$D$22)*1000*L26)-(COUNTA($D$21:$D$22)*L27))</f>
        <v>79991864</v>
      </c>
      <c r="M36" s="32">
        <f t="shared" si="12"/>
        <v>79947836</v>
      </c>
      <c r="N36" s="32">
        <f t="shared" si="12"/>
        <v>79975776</v>
      </c>
      <c r="O36" s="32">
        <f t="shared" si="12"/>
        <v>99975696</v>
      </c>
      <c r="P36" s="32">
        <f t="shared" si="12"/>
        <v>81963804</v>
      </c>
      <c r="Q36" s="32">
        <f t="shared" si="12"/>
        <v>41971980</v>
      </c>
      <c r="R36" s="32">
        <f t="shared" si="12"/>
        <v>59995852</v>
      </c>
      <c r="S36" s="32">
        <f t="shared" si="12"/>
        <v>61963828</v>
      </c>
      <c r="T36" s="32">
        <f t="shared" si="12"/>
        <v>81983760</v>
      </c>
      <c r="U36" s="32">
        <f t="shared" si="12"/>
        <v>101983792</v>
      </c>
      <c r="V36" s="32">
        <f t="shared" si="12"/>
        <v>159979820</v>
      </c>
      <c r="W36" s="32">
        <f t="shared" si="12"/>
        <v>101995724</v>
      </c>
      <c r="X36" s="32">
        <f t="shared" si="12"/>
        <v>59947804</v>
      </c>
      <c r="Y36" s="32">
        <f t="shared" si="12"/>
        <v>59991848</v>
      </c>
      <c r="Z36" s="32">
        <f t="shared" si="12"/>
        <v>61983904</v>
      </c>
      <c r="AA36" s="32">
        <f t="shared" si="12"/>
        <v>59959736</v>
      </c>
      <c r="AB36" s="32">
        <f t="shared" si="12"/>
        <v>99975808</v>
      </c>
      <c r="AC36" s="32">
        <f t="shared" si="12"/>
        <v>59943832</v>
      </c>
      <c r="AD36" s="32">
        <f t="shared" si="12"/>
        <v>79991792</v>
      </c>
      <c r="AE36" s="32">
        <f t="shared" si="12"/>
        <v>81987828</v>
      </c>
      <c r="AF36" s="32">
        <f t="shared" si="12"/>
        <v>161999720</v>
      </c>
      <c r="AG36" s="32">
        <f t="shared" si="12"/>
        <v>79963876</v>
      </c>
      <c r="AH36" s="32">
        <f t="shared" si="12"/>
        <v>81995836</v>
      </c>
      <c r="AI36" s="32">
        <f t="shared" si="12"/>
        <v>79947860</v>
      </c>
      <c r="AJ36" s="32">
        <f t="shared" si="12"/>
        <v>101975760</v>
      </c>
      <c r="AK36" s="32">
        <f t="shared" si="12"/>
        <v>121979820</v>
      </c>
      <c r="AL36" s="32">
        <f t="shared" si="12"/>
        <v>79991816</v>
      </c>
      <c r="AM36" s="32">
        <f t="shared" si="12"/>
        <v>119991792</v>
      </c>
      <c r="AN36" s="32">
        <f t="shared" si="12"/>
        <v>79963900</v>
      </c>
      <c r="AO36" s="32">
        <f t="shared" si="12"/>
        <v>121995780</v>
      </c>
      <c r="AP36" s="32">
        <f t="shared" si="12"/>
        <v>99979796</v>
      </c>
      <c r="AQ36" s="32">
        <f t="shared" si="12"/>
        <v>0</v>
      </c>
      <c r="AR36" s="32">
        <f t="shared" si="12"/>
        <v>99975776</v>
      </c>
      <c r="AS36" s="32">
        <f t="shared" si="12"/>
        <v>61983848</v>
      </c>
      <c r="AT36" s="32">
        <f t="shared" si="12"/>
        <v>141999880</v>
      </c>
      <c r="AU36" s="32">
        <f t="shared" si="12"/>
        <v>99963820</v>
      </c>
      <c r="AV36" s="32">
        <f t="shared" si="12"/>
        <v>101939780</v>
      </c>
      <c r="AW36" s="32">
        <f t="shared" si="12"/>
        <v>121959808</v>
      </c>
      <c r="AX36" s="32">
        <f t="shared" si="12"/>
        <v>59907820</v>
      </c>
      <c r="AY36" s="32">
        <f t="shared" si="12"/>
        <v>39959816</v>
      </c>
      <c r="AZ36" s="32">
        <f t="shared" si="12"/>
        <v>59963788</v>
      </c>
      <c r="BA36" s="32">
        <f t="shared" si="12"/>
        <v>81959856</v>
      </c>
      <c r="BB36" s="32">
        <f t="shared" si="12"/>
        <v>79991736</v>
      </c>
      <c r="BC36" s="32">
        <f t="shared" si="12"/>
        <v>39987820</v>
      </c>
      <c r="BD36" s="32">
        <f t="shared" si="12"/>
        <v>121991720</v>
      </c>
      <c r="BE36" s="32">
        <f t="shared" si="12"/>
        <v>39987820</v>
      </c>
      <c r="BF36" s="32">
        <f t="shared" si="12"/>
        <v>99907844</v>
      </c>
      <c r="BG36" s="32">
        <f t="shared" si="12"/>
        <v>119951752</v>
      </c>
      <c r="BH36" s="32">
        <f t="shared" si="12"/>
        <v>81995820</v>
      </c>
      <c r="BI36" s="32">
        <f t="shared" si="12"/>
        <v>39983784</v>
      </c>
      <c r="BJ36" s="32">
        <f t="shared" si="12"/>
        <v>0</v>
      </c>
      <c r="BK36" s="32">
        <f t="shared" si="12"/>
        <v>79971804</v>
      </c>
      <c r="BL36" s="32">
        <f t="shared" si="12"/>
        <v>119919832</v>
      </c>
      <c r="BM36" s="32">
        <f t="shared" si="12"/>
        <v>79975888</v>
      </c>
      <c r="BN36" s="32">
        <f t="shared" si="12"/>
        <v>39987820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 x14ac:dyDescent="0.25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Brent;Holley, Jeremy Remote;Hucks, Jason;Inabinet, Greg;James, Larry C;Johnson, Robert J;Kandela, Marwan;Locklear,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20" priority="46" stopIfTrue="1" operator="equal">
      <formula>0</formula>
    </cfRule>
  </conditionalFormatting>
  <conditionalFormatting sqref="B12:C12 B14:C14 B16:C16 B18:C18 B20:C20 B22:C22 B24:C24 E24 H24:I24 B10:C10 B4:C4 B6:C6 B8:C8 AO24:BE24">
    <cfRule type="cellIs" dxfId="219" priority="45" stopIfTrue="1" operator="equal">
      <formula>0</formula>
    </cfRule>
  </conditionalFormatting>
  <conditionalFormatting sqref="D26:J28 K28:BE28">
    <cfRule type="cellIs" dxfId="218" priority="44" stopIfTrue="1" operator="equal">
      <formula>1</formula>
    </cfRule>
  </conditionalFormatting>
  <conditionalFormatting sqref="H3:I3 F23 H5:I5 H7:I7 H9:I9 H11:I11 H13:I13 H15:I15 H17:I17 H19:I19 H21:I21">
    <cfRule type="cellIs" dxfId="217" priority="43" stopIfTrue="1" operator="equal">
      <formula>0</formula>
    </cfRule>
  </conditionalFormatting>
  <conditionalFormatting sqref="H4:I4 F24 H6:I6 H8:I8 H10:I10 H12:I12 H14:I14 H16:I16 H18:I18 H20:I20 H22:I22">
    <cfRule type="cellIs" dxfId="216" priority="42" stopIfTrue="1" operator="equal">
      <formula>0</formula>
    </cfRule>
  </conditionalFormatting>
  <conditionalFormatting sqref="F3 F5 F7 F9 F11 F13 F15 F17 F19 F21">
    <cfRule type="cellIs" dxfId="215" priority="41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4" priority="40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3" priority="38" stopIfTrue="1">
      <formula>AND(COUNTA(J4)=1,$E4=1,SUM($E3:$E4)=1)</formula>
    </cfRule>
    <cfRule type="expression" dxfId="212" priority="39" stopIfTrue="1">
      <formula>AND(COUNTA(J4)=1,$E4=0,SUM($E3:$E4)=1)</formula>
    </cfRule>
  </conditionalFormatting>
  <conditionalFormatting sqref="J5:BE5 J7:BE7 J9:BE9 J11:BE11 J13:BE13 J15:BE15 J17:BE17 J19:BE19 J21:BE21 J3:BE3">
    <cfRule type="expression" dxfId="211" priority="36" stopIfTrue="1">
      <formula>AND(COUNTA(J3)=1,$E3=1,SUM($E3:$E4)=1)</formula>
    </cfRule>
    <cfRule type="expression" dxfId="210" priority="37" stopIfTrue="1">
      <formula>AND(COUNTA(J3)=1,$E3=0,SUM($E3:$E4)=1)</formula>
    </cfRule>
  </conditionalFormatting>
  <conditionalFormatting sqref="BF23:BN23">
    <cfRule type="cellIs" dxfId="209" priority="35" stopIfTrue="1" operator="equal">
      <formula>0</formula>
    </cfRule>
  </conditionalFormatting>
  <conditionalFormatting sqref="BF24:BN24">
    <cfRule type="cellIs" dxfId="208" priority="34" stopIfTrue="1" operator="equal">
      <formula>0</formula>
    </cfRule>
  </conditionalFormatting>
  <conditionalFormatting sqref="BF28:BN28">
    <cfRule type="cellIs" dxfId="207" priority="33" stopIfTrue="1" operator="equal">
      <formula>1</formula>
    </cfRule>
  </conditionalFormatting>
  <conditionalFormatting sqref="BF12:BN12 BF14:BN14 BF16:BN16 BF18:BN18 BF20:BN20 BF22:BN22 BF4:BN4 BF6:BN6 BF8:BN8 BF10:BN10">
    <cfRule type="expression" dxfId="206" priority="31" stopIfTrue="1">
      <formula>AND(COUNTA(BF4)=1,$E4=1,SUM($E3:$E4)=1)</formula>
    </cfRule>
    <cfRule type="expression" dxfId="205" priority="32" stopIfTrue="1">
      <formula>AND(COUNTA(BF4)=1,$E4=0,SUM($E3:$E4)=1)</formula>
    </cfRule>
  </conditionalFormatting>
  <conditionalFormatting sqref="BF11:BN11 BF13:BN13 BF3:BN3 BF5:BN5 BF9:BN9 BF7:BN7 BF15:BN15 BF17:BN17 BF19:BN19 BF21:BN21">
    <cfRule type="expression" dxfId="204" priority="29" stopIfTrue="1">
      <formula>AND(COUNTA(BF3)=1,$E3=1,SUM($E3:$E4)=1)</formula>
    </cfRule>
    <cfRule type="expression" dxfId="203" priority="30" stopIfTrue="1">
      <formula>AND(COUNTA(BF3)=1,$E3=0,SUM($E3:$E4)=1)</formula>
    </cfRule>
  </conditionalFormatting>
  <conditionalFormatting sqref="BJ6">
    <cfRule type="expression" dxfId="202" priority="27" stopIfTrue="1">
      <formula>AND(COUNTA(BJ6)=1,$E6=1,SUM($E6:$E7)=1)</formula>
    </cfRule>
    <cfRule type="expression" dxfId="201" priority="28" stopIfTrue="1">
      <formula>AND(COUNTA(BJ6)=1,$E6=0,SUM($E6:$E7)=1)</formula>
    </cfRule>
  </conditionalFormatting>
  <conditionalFormatting sqref="BJ10">
    <cfRule type="expression" dxfId="200" priority="25" stopIfTrue="1">
      <formula>AND(COUNTA(BJ10)=1,$E10=1,SUM($E10:$E11)=1)</formula>
    </cfRule>
    <cfRule type="expression" dxfId="199" priority="26" stopIfTrue="1">
      <formula>AND(COUNTA(BJ10)=1,$E10=0,SUM($E10:$E11)=1)</formula>
    </cfRule>
  </conditionalFormatting>
  <conditionalFormatting sqref="BJ12">
    <cfRule type="expression" dxfId="198" priority="23" stopIfTrue="1">
      <formula>AND(COUNTA(BJ12)=1,$E12=1,SUM($E12:$E13)=1)</formula>
    </cfRule>
    <cfRule type="expression" dxfId="197" priority="24" stopIfTrue="1">
      <formula>AND(COUNTA(BJ12)=1,$E12=0,SUM($E12:$E13)=1)</formula>
    </cfRule>
  </conditionalFormatting>
  <conditionalFormatting sqref="BJ14">
    <cfRule type="expression" dxfId="196" priority="21" stopIfTrue="1">
      <formula>AND(COUNTA(BJ14)=1,$E14=1,SUM($E14:$E15)=1)</formula>
    </cfRule>
    <cfRule type="expression" dxfId="195" priority="22" stopIfTrue="1">
      <formula>AND(COUNTA(BJ14)=1,$E14=0,SUM($E14:$E15)=1)</formula>
    </cfRule>
  </conditionalFormatting>
  <conditionalFormatting sqref="AQ21">
    <cfRule type="expression" dxfId="194" priority="19" stopIfTrue="1">
      <formula>AND(COUNTA(AQ21)=1,$E21=1,SUM($E21:$E22)=1)</formula>
    </cfRule>
    <cfRule type="expression" dxfId="193" priority="20" stopIfTrue="1">
      <formula>AND(COUNTA(AQ21)=1,$E21=0,SUM($E21:$E22)=1)</formula>
    </cfRule>
  </conditionalFormatting>
  <conditionalFormatting sqref="AQ19">
    <cfRule type="expression" dxfId="192" priority="17" stopIfTrue="1">
      <formula>AND(COUNTA(AQ19)=1,$E19=1,SUM($E19:$E20)=1)</formula>
    </cfRule>
    <cfRule type="expression" dxfId="191" priority="18" stopIfTrue="1">
      <formula>AND(COUNTA(AQ19)=1,$E19=0,SUM($E19:$E20)=1)</formula>
    </cfRule>
  </conditionalFormatting>
  <conditionalFormatting sqref="AQ17">
    <cfRule type="expression" dxfId="190" priority="15" stopIfTrue="1">
      <formula>AND(COUNTA(AQ17)=1,$E17=1,SUM($E17:$E18)=1)</formula>
    </cfRule>
    <cfRule type="expression" dxfId="189" priority="16" stopIfTrue="1">
      <formula>AND(COUNTA(AQ17)=1,$E17=0,SUM($E17:$E18)=1)</formula>
    </cfRule>
  </conditionalFormatting>
  <conditionalFormatting sqref="AQ15">
    <cfRule type="expression" dxfId="188" priority="13" stopIfTrue="1">
      <formula>AND(COUNTA(AQ15)=1,$E15=1,SUM($E15:$E16)=1)</formula>
    </cfRule>
    <cfRule type="expression" dxfId="187" priority="14" stopIfTrue="1">
      <formula>AND(COUNTA(AQ15)=1,$E15=0,SUM($E15:$E16)=1)</formula>
    </cfRule>
  </conditionalFormatting>
  <conditionalFormatting sqref="AQ14">
    <cfRule type="expression" dxfId="186" priority="11" stopIfTrue="1">
      <formula>AND(COUNTA(AQ14)=1,$E14=1,SUM($E14:$E15)=1)</formula>
    </cfRule>
    <cfRule type="expression" dxfId="185" priority="12" stopIfTrue="1">
      <formula>AND(COUNTA(AQ14)=1,$E14=0,SUM($E14:$E15)=1)</formula>
    </cfRule>
  </conditionalFormatting>
  <conditionalFormatting sqref="AQ12">
    <cfRule type="expression" dxfId="184" priority="9" stopIfTrue="1">
      <formula>AND(COUNTA(AQ12)=1,$E12=1,SUM($E12:$E13)=1)</formula>
    </cfRule>
    <cfRule type="expression" dxfId="183" priority="10" stopIfTrue="1">
      <formula>AND(COUNTA(AQ12)=1,$E12=0,SUM($E12:$E13)=1)</formula>
    </cfRule>
  </conditionalFormatting>
  <conditionalFormatting sqref="AQ10">
    <cfRule type="expression" dxfId="182" priority="7" stopIfTrue="1">
      <formula>AND(COUNTA(AQ10)=1,$E10=1,SUM($E10:$E11)=1)</formula>
    </cfRule>
    <cfRule type="expression" dxfId="181" priority="8" stopIfTrue="1">
      <formula>AND(COUNTA(AQ10)=1,$E10=0,SUM($E10:$E11)=1)</formula>
    </cfRule>
  </conditionalFormatting>
  <conditionalFormatting sqref="AQ7">
    <cfRule type="expression" dxfId="180" priority="5" stopIfTrue="1">
      <formula>AND(COUNTA(AQ7)=1,$E7=1,SUM($E7:$E8)=1)</formula>
    </cfRule>
    <cfRule type="expression" dxfId="179" priority="6" stopIfTrue="1">
      <formula>AND(COUNTA(AQ7)=1,$E7=0,SUM($E7:$E8)=1)</formula>
    </cfRule>
  </conditionalFormatting>
  <conditionalFormatting sqref="AQ6">
    <cfRule type="expression" dxfId="178" priority="3" stopIfTrue="1">
      <formula>AND(COUNTA(AQ6)=1,$E6=1,SUM($E6:$E7)=1)</formula>
    </cfRule>
    <cfRule type="expression" dxfId="177" priority="4" stopIfTrue="1">
      <formula>AND(COUNTA(AQ6)=1,$E6=0,SUM($E6:$E7)=1)</formula>
    </cfRule>
  </conditionalFormatting>
  <conditionalFormatting sqref="AQ3">
    <cfRule type="expression" dxfId="176" priority="1" stopIfTrue="1">
      <formula>AND(COUNTA(AQ3)=1,$E3=1,SUM($E3:$E4)=1)</formula>
    </cfRule>
    <cfRule type="expression" dxfId="175" priority="2" stopIfTrue="1">
      <formula>AND(COUNTA(AQ3)=1,$E3=0,SUM($E3:$E4)=1)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18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22860</xdr:colOff>
                    <xdr:row>1</xdr:row>
                    <xdr:rowOff>106680</xdr:rowOff>
                  </from>
                  <to>
                    <xdr:col>1</xdr:col>
                    <xdr:colOff>624840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22860</xdr:colOff>
                    <xdr:row>1</xdr:row>
                    <xdr:rowOff>381000</xdr:rowOff>
                  </from>
                  <to>
                    <xdr:col>1</xdr:col>
                    <xdr:colOff>624840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92" r:id="rId6" name="Button 4">
              <controlPr defaultSize="0" print="0" autoFill="0" autoPict="0" macro="[0]!grabSayings">
                <anchor moveWithCells="1" sizeWithCells="1">
                  <from>
                    <xdr:col>1</xdr:col>
                    <xdr:colOff>22860</xdr:colOff>
                    <xdr:row>1</xdr:row>
                    <xdr:rowOff>678180</xdr:rowOff>
                  </from>
                  <to>
                    <xdr:col>1</xdr:col>
                    <xdr:colOff>739140</xdr:colOff>
                    <xdr:row>1</xdr:row>
                    <xdr:rowOff>883920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N58"/>
  <sheetViews>
    <sheetView zoomScale="90" zoomScaleNormal="100" zoomScaleSheetLayoutView="100" workbookViewId="0">
      <selection activeCell="D23" sqref="D2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6" x14ac:dyDescent="0.25">
      <c r="B1" s="6"/>
      <c r="I1">
        <f>COUNTA(K1:BL1)</f>
        <v>0</v>
      </c>
      <c r="J1">
        <f>SUM(K1:BL1)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 x14ac:dyDescent="0.25">
      <c r="A3" s="59">
        <v>1</v>
      </c>
      <c r="B3" s="67" t="s">
        <v>165</v>
      </c>
      <c r="C3" s="65"/>
      <c r="D3" s="64">
        <v>21</v>
      </c>
      <c r="E3" s="64">
        <f>IF(ISBLANK($D3),"0",IF(($D4-$D3)&lt;($C4-$C3),1,0))</f>
        <v>0</v>
      </c>
      <c r="F3" s="64">
        <f ca="1">COUNTA(INDIRECT("RC11:RC"&amp;11+playercnt-1,FALSE))</f>
        <v>25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311</v>
      </c>
      <c r="K3" s="69"/>
      <c r="L3" s="69"/>
      <c r="M3" s="69" t="s">
        <v>312</v>
      </c>
      <c r="N3" s="69"/>
      <c r="O3" s="69"/>
      <c r="P3" s="69"/>
      <c r="Q3" s="69" t="s">
        <v>318</v>
      </c>
      <c r="R3" s="69" t="s">
        <v>312</v>
      </c>
      <c r="S3" s="69" t="s">
        <v>343</v>
      </c>
      <c r="T3" s="69" t="s">
        <v>317</v>
      </c>
      <c r="U3" s="69"/>
      <c r="V3" s="69"/>
      <c r="W3" s="69"/>
      <c r="X3" s="69"/>
      <c r="Y3" s="69" t="s">
        <v>361</v>
      </c>
      <c r="Z3" s="69"/>
      <c r="AA3" s="69"/>
      <c r="AB3" s="69"/>
      <c r="AC3" s="69" t="s">
        <v>323</v>
      </c>
      <c r="AD3" s="69" t="s">
        <v>317</v>
      </c>
      <c r="AE3" s="69"/>
      <c r="AF3" s="69" t="s">
        <v>355</v>
      </c>
      <c r="AG3" s="69" t="s">
        <v>338</v>
      </c>
      <c r="AH3" s="69" t="s">
        <v>331</v>
      </c>
      <c r="AI3" s="69"/>
      <c r="AJ3" s="69" t="s">
        <v>314</v>
      </c>
      <c r="AK3" s="69"/>
      <c r="AL3" s="69" t="s">
        <v>347</v>
      </c>
      <c r="AM3" s="69"/>
      <c r="AN3" s="69" t="s">
        <v>317</v>
      </c>
      <c r="AO3" s="69" t="s">
        <v>317</v>
      </c>
      <c r="AP3" s="69"/>
      <c r="AQ3" s="69"/>
      <c r="AR3" s="99" t="s">
        <v>317</v>
      </c>
      <c r="AS3" s="69"/>
      <c r="AT3" s="69" t="s">
        <v>334</v>
      </c>
      <c r="AU3" s="69" t="s">
        <v>312</v>
      </c>
      <c r="AV3" s="69"/>
      <c r="AW3" s="69" t="s">
        <v>322</v>
      </c>
      <c r="AX3" s="69" t="s">
        <v>422</v>
      </c>
      <c r="AY3" s="69" t="s">
        <v>366</v>
      </c>
      <c r="AZ3" s="69"/>
      <c r="BA3" s="69"/>
      <c r="BB3" s="69" t="s">
        <v>317</v>
      </c>
      <c r="BC3" s="69"/>
      <c r="BD3" s="69" t="s">
        <v>313</v>
      </c>
      <c r="BE3" s="69" t="s">
        <v>367</v>
      </c>
      <c r="BF3" s="69"/>
      <c r="BG3" s="69"/>
      <c r="BH3" s="69"/>
      <c r="BI3" s="69"/>
      <c r="BJ3" s="69"/>
      <c r="BK3" s="69"/>
      <c r="BL3" s="69" t="s">
        <v>332</v>
      </c>
      <c r="BM3" s="69"/>
      <c r="BN3" s="69"/>
    </row>
    <row r="4" spans="1:66" x14ac:dyDescent="0.25">
      <c r="A4" s="61" t="s">
        <v>3</v>
      </c>
      <c r="B4" s="68" t="s">
        <v>213</v>
      </c>
      <c r="C4" s="66">
        <v>2.5</v>
      </c>
      <c r="D4" s="64">
        <v>28</v>
      </c>
      <c r="E4" s="64">
        <f>IF(ISBLANK($D4),"0",IF(($D4-$D3)&gt;($C4-$C3),1,0))</f>
        <v>1</v>
      </c>
      <c r="F4" s="64">
        <f t="shared" ref="F4:F22" ca="1" si="1">COUNTA(INDIRECT("RC11:RC"&amp;11+playercnt-1,FALSE))</f>
        <v>31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312</v>
      </c>
      <c r="L4" s="70" t="s">
        <v>313</v>
      </c>
      <c r="M4" s="70"/>
      <c r="N4" s="70" t="s">
        <v>355</v>
      </c>
      <c r="O4" s="70" t="s">
        <v>371</v>
      </c>
      <c r="P4" s="70" t="s">
        <v>317</v>
      </c>
      <c r="Q4" s="70"/>
      <c r="R4" s="70"/>
      <c r="S4" s="70"/>
      <c r="T4" s="70"/>
      <c r="U4" s="70" t="s">
        <v>333</v>
      </c>
      <c r="V4" s="70" t="s">
        <v>316</v>
      </c>
      <c r="W4" s="70" t="s">
        <v>357</v>
      </c>
      <c r="X4" s="70" t="s">
        <v>312</v>
      </c>
      <c r="Y4" s="70"/>
      <c r="Z4" s="70" t="s">
        <v>317</v>
      </c>
      <c r="AA4" s="70" t="s">
        <v>312</v>
      </c>
      <c r="AB4" s="70" t="s">
        <v>317</v>
      </c>
      <c r="AC4" s="70"/>
      <c r="AD4" s="70"/>
      <c r="AE4" s="70" t="s">
        <v>416</v>
      </c>
      <c r="AF4" s="70"/>
      <c r="AG4" s="70"/>
      <c r="AH4" s="70"/>
      <c r="AI4" s="70" t="s">
        <v>361</v>
      </c>
      <c r="AJ4" s="70"/>
      <c r="AK4" s="70" t="s">
        <v>317</v>
      </c>
      <c r="AL4" s="70"/>
      <c r="AM4" s="70" t="s">
        <v>315</v>
      </c>
      <c r="AN4" s="70"/>
      <c r="AO4" s="70"/>
      <c r="AP4" s="70" t="s">
        <v>331</v>
      </c>
      <c r="AQ4" s="70" t="s">
        <v>313</v>
      </c>
      <c r="AR4" s="70"/>
      <c r="AS4" s="70" t="s">
        <v>351</v>
      </c>
      <c r="AT4" s="70"/>
      <c r="AU4" s="70"/>
      <c r="AV4" s="70" t="s">
        <v>317</v>
      </c>
      <c r="AW4" s="70"/>
      <c r="AX4" s="70"/>
      <c r="AY4" s="70"/>
      <c r="AZ4" s="70" t="s">
        <v>355</v>
      </c>
      <c r="BA4" s="70" t="s">
        <v>317</v>
      </c>
      <c r="BB4" s="70"/>
      <c r="BC4" s="70" t="s">
        <v>357</v>
      </c>
      <c r="BD4" s="70"/>
      <c r="BE4" s="70"/>
      <c r="BF4" s="70" t="s">
        <v>387</v>
      </c>
      <c r="BG4" s="70" t="s">
        <v>343</v>
      </c>
      <c r="BH4" s="70" t="s">
        <v>317</v>
      </c>
      <c r="BI4" s="70" t="s">
        <v>343</v>
      </c>
      <c r="BJ4" s="70" t="s">
        <v>321</v>
      </c>
      <c r="BK4" s="70" t="s">
        <v>472</v>
      </c>
      <c r="BL4" s="70"/>
      <c r="BM4" s="70" t="s">
        <v>388</v>
      </c>
      <c r="BN4" s="70" t="s">
        <v>312</v>
      </c>
    </row>
    <row r="5" spans="1:66" x14ac:dyDescent="0.25">
      <c r="A5" s="59">
        <v>2</v>
      </c>
      <c r="B5" s="67" t="s">
        <v>170</v>
      </c>
      <c r="C5" s="65"/>
      <c r="D5" s="64">
        <v>45</v>
      </c>
      <c r="E5" s="64">
        <f>IF(ISBLANK($D5),"0",IF(($D6-$D5)&lt;($C6-$C5),1,0))</f>
        <v>1</v>
      </c>
      <c r="F5" s="64">
        <f t="shared" ca="1" si="1"/>
        <v>27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 t="s">
        <v>311</v>
      </c>
      <c r="K5" s="69"/>
      <c r="L5" s="69" t="s">
        <v>313</v>
      </c>
      <c r="M5" s="69"/>
      <c r="N5" s="69"/>
      <c r="O5" s="69"/>
      <c r="P5" s="69"/>
      <c r="Q5" s="69" t="s">
        <v>318</v>
      </c>
      <c r="R5" s="69" t="s">
        <v>312</v>
      </c>
      <c r="S5" s="69"/>
      <c r="T5" s="69"/>
      <c r="U5" s="69" t="s">
        <v>349</v>
      </c>
      <c r="V5" s="69" t="s">
        <v>323</v>
      </c>
      <c r="W5" s="69" t="s">
        <v>357</v>
      </c>
      <c r="X5" s="69" t="s">
        <v>312</v>
      </c>
      <c r="Y5" s="69"/>
      <c r="Z5" s="69" t="s">
        <v>317</v>
      </c>
      <c r="AA5" s="69" t="s">
        <v>312</v>
      </c>
      <c r="AB5" s="69"/>
      <c r="AC5" s="69" t="s">
        <v>321</v>
      </c>
      <c r="AD5" s="69" t="s">
        <v>317</v>
      </c>
      <c r="AE5" s="69"/>
      <c r="AF5" s="69"/>
      <c r="AG5" s="69"/>
      <c r="AH5" s="69"/>
      <c r="AI5" s="69"/>
      <c r="AJ5" s="69"/>
      <c r="AK5" s="69"/>
      <c r="AL5" s="69"/>
      <c r="AM5" s="69"/>
      <c r="AN5" s="69" t="s">
        <v>317</v>
      </c>
      <c r="AO5" s="69" t="s">
        <v>317</v>
      </c>
      <c r="AP5" s="69"/>
      <c r="AQ5" s="69" t="s">
        <v>313</v>
      </c>
      <c r="AR5" s="99"/>
      <c r="AS5" s="69" t="s">
        <v>352</v>
      </c>
      <c r="AT5" s="69"/>
      <c r="AU5" s="69" t="s">
        <v>312</v>
      </c>
      <c r="AV5" s="69" t="s">
        <v>317</v>
      </c>
      <c r="AW5" s="69"/>
      <c r="AX5" s="69" t="s">
        <v>351</v>
      </c>
      <c r="AY5" s="69" t="s">
        <v>366</v>
      </c>
      <c r="AZ5" s="69"/>
      <c r="BA5" s="69" t="s">
        <v>317</v>
      </c>
      <c r="BB5" s="69"/>
      <c r="BC5" s="69"/>
      <c r="BD5" s="69" t="s">
        <v>313</v>
      </c>
      <c r="BE5" s="69" t="s">
        <v>367</v>
      </c>
      <c r="BF5" s="69" t="s">
        <v>387</v>
      </c>
      <c r="BG5" s="69" t="s">
        <v>371</v>
      </c>
      <c r="BH5" s="69" t="s">
        <v>317</v>
      </c>
      <c r="BI5" s="69" t="s">
        <v>465</v>
      </c>
      <c r="BJ5" s="69" t="s">
        <v>321</v>
      </c>
      <c r="BK5" s="69"/>
      <c r="BL5" s="69"/>
      <c r="BM5" s="69"/>
      <c r="BN5" s="69"/>
    </row>
    <row r="6" spans="1:66" x14ac:dyDescent="0.25">
      <c r="A6" s="61" t="s">
        <v>3</v>
      </c>
      <c r="B6" s="68" t="s">
        <v>166</v>
      </c>
      <c r="C6" s="66">
        <v>20.5</v>
      </c>
      <c r="D6" s="64">
        <v>52</v>
      </c>
      <c r="E6" s="64">
        <f>IF(ISBLANK($D6),"0",IF(($D6-$D5)&gt;($C6-$C5),1,0))</f>
        <v>0</v>
      </c>
      <c r="F6" s="64">
        <f t="shared" ca="1" si="1"/>
        <v>29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312</v>
      </c>
      <c r="L6" s="70"/>
      <c r="M6" s="70" t="s">
        <v>312</v>
      </c>
      <c r="N6" s="70" t="s">
        <v>355</v>
      </c>
      <c r="O6" s="70" t="s">
        <v>371</v>
      </c>
      <c r="P6" s="70" t="s">
        <v>317</v>
      </c>
      <c r="Q6" s="70"/>
      <c r="R6" s="70"/>
      <c r="S6" s="70" t="s">
        <v>361</v>
      </c>
      <c r="T6" s="70" t="s">
        <v>317</v>
      </c>
      <c r="U6" s="70"/>
      <c r="V6" s="70"/>
      <c r="W6" s="70"/>
      <c r="X6" s="70"/>
      <c r="Y6" s="70" t="s">
        <v>328</v>
      </c>
      <c r="Z6" s="70"/>
      <c r="AA6" s="70"/>
      <c r="AB6" s="70" t="s">
        <v>317</v>
      </c>
      <c r="AC6" s="70"/>
      <c r="AD6" s="70"/>
      <c r="AE6" s="70" t="s">
        <v>416</v>
      </c>
      <c r="AF6" s="70" t="s">
        <v>355</v>
      </c>
      <c r="AG6" s="70" t="s">
        <v>335</v>
      </c>
      <c r="AH6" s="70" t="s">
        <v>377</v>
      </c>
      <c r="AI6" s="70" t="s">
        <v>323</v>
      </c>
      <c r="AJ6" s="70" t="s">
        <v>314</v>
      </c>
      <c r="AK6" s="70" t="s">
        <v>317</v>
      </c>
      <c r="AL6" s="70" t="s">
        <v>347</v>
      </c>
      <c r="AM6" s="70" t="s">
        <v>323</v>
      </c>
      <c r="AN6" s="70"/>
      <c r="AO6" s="70"/>
      <c r="AP6" s="70" t="s">
        <v>347</v>
      </c>
      <c r="AQ6" s="70"/>
      <c r="AR6" s="70" t="s">
        <v>317</v>
      </c>
      <c r="AS6" s="70"/>
      <c r="AT6" s="70" t="s">
        <v>334</v>
      </c>
      <c r="AU6" s="70"/>
      <c r="AV6" s="70"/>
      <c r="AW6" s="70" t="s">
        <v>350</v>
      </c>
      <c r="AX6" s="70"/>
      <c r="AY6" s="70"/>
      <c r="AZ6" s="70" t="s">
        <v>324</v>
      </c>
      <c r="BA6" s="70"/>
      <c r="BB6" s="70" t="s">
        <v>317</v>
      </c>
      <c r="BC6" s="70" t="s">
        <v>357</v>
      </c>
      <c r="BD6" s="70"/>
      <c r="BE6" s="70"/>
      <c r="BF6" s="70"/>
      <c r="BG6" s="70"/>
      <c r="BH6" s="70"/>
      <c r="BI6" s="70"/>
      <c r="BJ6" s="70"/>
      <c r="BK6" s="70" t="s">
        <v>472</v>
      </c>
      <c r="BL6" s="70" t="s">
        <v>333</v>
      </c>
      <c r="BM6" s="70" t="s">
        <v>388</v>
      </c>
      <c r="BN6" s="70" t="s">
        <v>408</v>
      </c>
    </row>
    <row r="7" spans="1:66" x14ac:dyDescent="0.25">
      <c r="A7" s="59">
        <v>3</v>
      </c>
      <c r="B7" s="67" t="s">
        <v>210</v>
      </c>
      <c r="C7" s="65"/>
      <c r="D7" s="64">
        <v>25</v>
      </c>
      <c r="E7" s="64">
        <f>IF(ISBLANK($D7),"0",IF(($D8-$D7)&lt;($C8-$C7),1,0))</f>
        <v>0</v>
      </c>
      <c r="F7" s="64">
        <f t="shared" ca="1" si="1"/>
        <v>22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 t="s">
        <v>311</v>
      </c>
      <c r="K7" s="69" t="s">
        <v>312</v>
      </c>
      <c r="L7" s="69"/>
      <c r="M7" s="69"/>
      <c r="N7" s="69" t="s">
        <v>355</v>
      </c>
      <c r="O7" s="69"/>
      <c r="P7" s="69" t="s">
        <v>317</v>
      </c>
      <c r="Q7" s="69"/>
      <c r="R7" s="69" t="s">
        <v>312</v>
      </c>
      <c r="S7" s="69"/>
      <c r="T7" s="69" t="s">
        <v>317</v>
      </c>
      <c r="U7" s="69" t="s">
        <v>320</v>
      </c>
      <c r="V7" s="69" t="s">
        <v>375</v>
      </c>
      <c r="W7" s="69"/>
      <c r="X7" s="69"/>
      <c r="Y7" s="69"/>
      <c r="Z7" s="69" t="s">
        <v>317</v>
      </c>
      <c r="AA7" s="69" t="s">
        <v>312</v>
      </c>
      <c r="AB7" s="69"/>
      <c r="AC7" s="69" t="s">
        <v>323</v>
      </c>
      <c r="AD7" s="69"/>
      <c r="AE7" s="69" t="s">
        <v>416</v>
      </c>
      <c r="AF7" s="69"/>
      <c r="AG7" s="69" t="s">
        <v>348</v>
      </c>
      <c r="AH7" s="69"/>
      <c r="AI7" s="69"/>
      <c r="AJ7" s="69"/>
      <c r="AK7" s="69"/>
      <c r="AL7" s="69"/>
      <c r="AM7" s="69"/>
      <c r="AN7" s="69"/>
      <c r="AO7" s="69" t="s">
        <v>317</v>
      </c>
      <c r="AP7" s="69"/>
      <c r="AQ7" s="69" t="s">
        <v>313</v>
      </c>
      <c r="AR7" s="99"/>
      <c r="AS7" s="69" t="s">
        <v>334</v>
      </c>
      <c r="AT7" s="69" t="s">
        <v>334</v>
      </c>
      <c r="AU7" s="69"/>
      <c r="AV7" s="69"/>
      <c r="AW7" s="69"/>
      <c r="AX7" s="69" t="s">
        <v>324</v>
      </c>
      <c r="AY7" s="69"/>
      <c r="AZ7" s="69"/>
      <c r="BA7" s="69" t="s">
        <v>317</v>
      </c>
      <c r="BB7" s="69" t="s">
        <v>317</v>
      </c>
      <c r="BC7" s="69"/>
      <c r="BD7" s="69" t="s">
        <v>313</v>
      </c>
      <c r="BE7" s="69"/>
      <c r="BF7" s="69"/>
      <c r="BG7" s="69"/>
      <c r="BH7" s="69" t="s">
        <v>317</v>
      </c>
      <c r="BI7" s="69"/>
      <c r="BJ7" s="69"/>
      <c r="BK7" s="69"/>
      <c r="BL7" s="69"/>
      <c r="BM7" s="69" t="s">
        <v>388</v>
      </c>
      <c r="BN7" s="69"/>
    </row>
    <row r="8" spans="1:66" x14ac:dyDescent="0.25">
      <c r="A8" s="61" t="s">
        <v>3</v>
      </c>
      <c r="B8" s="68" t="s">
        <v>178</v>
      </c>
      <c r="C8" s="66">
        <v>14.5</v>
      </c>
      <c r="D8" s="64">
        <v>41</v>
      </c>
      <c r="E8" s="64">
        <f>IF(ISBLANK($D8),"0",IF(($D8-$D7)&gt;($C8-$C7),1,0))</f>
        <v>1</v>
      </c>
      <c r="F8" s="64">
        <f t="shared" ca="1" si="1"/>
        <v>34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313</v>
      </c>
      <c r="M8" s="70" t="s">
        <v>312</v>
      </c>
      <c r="N8" s="70"/>
      <c r="O8" s="70" t="s">
        <v>371</v>
      </c>
      <c r="P8" s="70"/>
      <c r="Q8" s="70" t="s">
        <v>318</v>
      </c>
      <c r="R8" s="70"/>
      <c r="S8" s="70" t="s">
        <v>361</v>
      </c>
      <c r="T8" s="70"/>
      <c r="U8" s="70"/>
      <c r="V8" s="70"/>
      <c r="W8" s="70" t="s">
        <v>357</v>
      </c>
      <c r="X8" s="70" t="s">
        <v>312</v>
      </c>
      <c r="Y8" s="70" t="s">
        <v>322</v>
      </c>
      <c r="Z8" s="70"/>
      <c r="AA8" s="70"/>
      <c r="AB8" s="70" t="s">
        <v>317</v>
      </c>
      <c r="AC8" s="70"/>
      <c r="AD8" s="70" t="s">
        <v>317</v>
      </c>
      <c r="AE8" s="70"/>
      <c r="AF8" s="70" t="s">
        <v>355</v>
      </c>
      <c r="AG8" s="70"/>
      <c r="AH8" s="70" t="s">
        <v>320</v>
      </c>
      <c r="AI8" s="70" t="s">
        <v>311</v>
      </c>
      <c r="AJ8" s="70" t="s">
        <v>314</v>
      </c>
      <c r="AK8" s="70" t="s">
        <v>317</v>
      </c>
      <c r="AL8" s="70" t="s">
        <v>347</v>
      </c>
      <c r="AM8" s="70" t="s">
        <v>336</v>
      </c>
      <c r="AN8" s="70" t="s">
        <v>317</v>
      </c>
      <c r="AO8" s="70"/>
      <c r="AP8" s="70" t="s">
        <v>343</v>
      </c>
      <c r="AQ8" s="70"/>
      <c r="AR8" s="70" t="s">
        <v>317</v>
      </c>
      <c r="AS8" s="70"/>
      <c r="AT8" s="70"/>
      <c r="AU8" s="70" t="s">
        <v>312</v>
      </c>
      <c r="AV8" s="70" t="s">
        <v>317</v>
      </c>
      <c r="AW8" s="70" t="s">
        <v>323</v>
      </c>
      <c r="AX8" s="70"/>
      <c r="AY8" s="70" t="s">
        <v>366</v>
      </c>
      <c r="AZ8" s="70" t="s">
        <v>320</v>
      </c>
      <c r="BA8" s="70"/>
      <c r="BB8" s="70"/>
      <c r="BC8" s="70" t="s">
        <v>357</v>
      </c>
      <c r="BD8" s="70"/>
      <c r="BE8" s="70" t="s">
        <v>367</v>
      </c>
      <c r="BF8" s="70" t="s">
        <v>387</v>
      </c>
      <c r="BG8" s="70" t="s">
        <v>331</v>
      </c>
      <c r="BH8" s="70"/>
      <c r="BI8" s="70" t="s">
        <v>466</v>
      </c>
      <c r="BJ8" s="70" t="s">
        <v>321</v>
      </c>
      <c r="BK8" s="70" t="s">
        <v>472</v>
      </c>
      <c r="BL8" s="70" t="s">
        <v>337</v>
      </c>
      <c r="BM8" s="70"/>
      <c r="BN8" s="70" t="s">
        <v>408</v>
      </c>
    </row>
    <row r="9" spans="1:66" x14ac:dyDescent="0.25">
      <c r="A9" s="59">
        <v>4</v>
      </c>
      <c r="B9" s="67" t="s">
        <v>182</v>
      </c>
      <c r="C9" s="65">
        <v>4.5</v>
      </c>
      <c r="D9" s="81">
        <v>16</v>
      </c>
      <c r="E9" s="64">
        <f>IF(ISBLANK($D9),"0",IF(($D10-$D9)&lt;($C10-$C9),1,0))</f>
        <v>0</v>
      </c>
      <c r="F9" s="64">
        <f t="shared" ca="1" si="1"/>
        <v>37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 t="s">
        <v>311</v>
      </c>
      <c r="K9" s="69" t="s">
        <v>312</v>
      </c>
      <c r="L9" s="69"/>
      <c r="M9" s="69" t="s">
        <v>312</v>
      </c>
      <c r="N9" s="69" t="s">
        <v>355</v>
      </c>
      <c r="O9" s="69" t="s">
        <v>371</v>
      </c>
      <c r="P9" s="69"/>
      <c r="Q9" s="69"/>
      <c r="R9" s="69" t="s">
        <v>312</v>
      </c>
      <c r="S9" s="69" t="s">
        <v>334</v>
      </c>
      <c r="T9" s="69" t="s">
        <v>317</v>
      </c>
      <c r="U9" s="69"/>
      <c r="V9" s="69" t="s">
        <v>339</v>
      </c>
      <c r="W9" s="69" t="s">
        <v>357</v>
      </c>
      <c r="X9" s="69" t="s">
        <v>312</v>
      </c>
      <c r="Y9" s="69" t="s">
        <v>332</v>
      </c>
      <c r="Z9" s="69"/>
      <c r="AA9" s="69" t="s">
        <v>312</v>
      </c>
      <c r="AB9" s="69" t="s">
        <v>317</v>
      </c>
      <c r="AC9" s="69" t="s">
        <v>346</v>
      </c>
      <c r="AD9" s="69" t="s">
        <v>317</v>
      </c>
      <c r="AE9" s="69" t="s">
        <v>416</v>
      </c>
      <c r="AF9" s="69" t="s">
        <v>355</v>
      </c>
      <c r="AG9" s="69" t="s">
        <v>338</v>
      </c>
      <c r="AH9" s="69"/>
      <c r="AI9" s="69" t="s">
        <v>350</v>
      </c>
      <c r="AJ9" s="69"/>
      <c r="AK9" s="69"/>
      <c r="AL9" s="69" t="s">
        <v>347</v>
      </c>
      <c r="AM9" s="69" t="s">
        <v>325</v>
      </c>
      <c r="AN9" s="69" t="s">
        <v>317</v>
      </c>
      <c r="AO9" s="69" t="s">
        <v>317</v>
      </c>
      <c r="AP9" s="69" t="s">
        <v>334</v>
      </c>
      <c r="AQ9" s="69" t="s">
        <v>313</v>
      </c>
      <c r="AR9" s="99" t="s">
        <v>317</v>
      </c>
      <c r="AS9" s="69"/>
      <c r="AT9" s="69" t="s">
        <v>334</v>
      </c>
      <c r="AU9" s="69"/>
      <c r="AV9" s="69" t="s">
        <v>317</v>
      </c>
      <c r="AW9" s="69" t="s">
        <v>346</v>
      </c>
      <c r="AX9" s="69"/>
      <c r="AY9" s="69" t="s">
        <v>366</v>
      </c>
      <c r="AZ9" s="69" t="s">
        <v>338</v>
      </c>
      <c r="BA9" s="69" t="s">
        <v>317</v>
      </c>
      <c r="BB9" s="69"/>
      <c r="BC9" s="69"/>
      <c r="BD9" s="69"/>
      <c r="BE9" s="69" t="s">
        <v>367</v>
      </c>
      <c r="BF9" s="69" t="s">
        <v>387</v>
      </c>
      <c r="BG9" s="69"/>
      <c r="BH9" s="69"/>
      <c r="BI9" s="69"/>
      <c r="BJ9" s="69" t="s">
        <v>321</v>
      </c>
      <c r="BK9" s="69"/>
      <c r="BL9" s="69" t="s">
        <v>334</v>
      </c>
      <c r="BM9" s="69"/>
      <c r="BN9" s="69" t="s">
        <v>408</v>
      </c>
    </row>
    <row r="10" spans="1:66" x14ac:dyDescent="0.25">
      <c r="A10" s="61" t="s">
        <v>3</v>
      </c>
      <c r="B10" s="68" t="s">
        <v>220</v>
      </c>
      <c r="C10" s="66"/>
      <c r="D10" s="64">
        <v>24</v>
      </c>
      <c r="E10" s="64">
        <f>IF(ISBLANK($D10),"0",IF(($D10-$D9)&gt;($C10-$C9),1,0))</f>
        <v>1</v>
      </c>
      <c r="F10" s="64">
        <f t="shared" ca="1" si="1"/>
        <v>19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313</v>
      </c>
      <c r="M10" s="70"/>
      <c r="N10" s="70"/>
      <c r="O10" s="70"/>
      <c r="P10" s="70" t="s">
        <v>317</v>
      </c>
      <c r="Q10" s="70" t="s">
        <v>318</v>
      </c>
      <c r="R10" s="70"/>
      <c r="S10" s="70"/>
      <c r="T10" s="70"/>
      <c r="U10" s="70" t="s">
        <v>314</v>
      </c>
      <c r="V10" s="70"/>
      <c r="W10" s="70"/>
      <c r="X10" s="70"/>
      <c r="Y10" s="70"/>
      <c r="Z10" s="70" t="s">
        <v>317</v>
      </c>
      <c r="AA10" s="70"/>
      <c r="AB10" s="70"/>
      <c r="AC10" s="70"/>
      <c r="AD10" s="70"/>
      <c r="AE10" s="70"/>
      <c r="AF10" s="70"/>
      <c r="AG10" s="70"/>
      <c r="AH10" s="70" t="s">
        <v>341</v>
      </c>
      <c r="AI10" s="70"/>
      <c r="AJ10" s="70" t="s">
        <v>314</v>
      </c>
      <c r="AK10" s="70" t="s">
        <v>317</v>
      </c>
      <c r="AL10" s="70"/>
      <c r="AM10" s="70"/>
      <c r="AN10" s="70"/>
      <c r="AO10" s="70"/>
      <c r="AP10" s="70"/>
      <c r="AQ10" s="70"/>
      <c r="AR10" s="70"/>
      <c r="AS10" s="70" t="s">
        <v>343</v>
      </c>
      <c r="AT10" s="70"/>
      <c r="AU10" s="70" t="s">
        <v>312</v>
      </c>
      <c r="AV10" s="70"/>
      <c r="AW10" s="70"/>
      <c r="AX10" s="70" t="s">
        <v>375</v>
      </c>
      <c r="AY10" s="70"/>
      <c r="AZ10" s="70"/>
      <c r="BA10" s="70"/>
      <c r="BB10" s="70" t="s">
        <v>317</v>
      </c>
      <c r="BC10" s="70" t="s">
        <v>357</v>
      </c>
      <c r="BD10" s="70" t="s">
        <v>313</v>
      </c>
      <c r="BE10" s="70"/>
      <c r="BF10" s="70"/>
      <c r="BG10" s="70" t="s">
        <v>343</v>
      </c>
      <c r="BH10" s="70" t="s">
        <v>317</v>
      </c>
      <c r="BI10" s="70" t="s">
        <v>467</v>
      </c>
      <c r="BJ10" s="70"/>
      <c r="BK10" s="70" t="s">
        <v>472</v>
      </c>
      <c r="BL10" s="70"/>
      <c r="BM10" s="70" t="s">
        <v>388</v>
      </c>
      <c r="BN10" s="70"/>
    </row>
    <row r="11" spans="1:66" x14ac:dyDescent="0.25">
      <c r="A11" s="59">
        <v>5</v>
      </c>
      <c r="B11" s="67" t="s">
        <v>184</v>
      </c>
      <c r="C11" s="65">
        <v>4.5</v>
      </c>
      <c r="D11" s="64">
        <v>0</v>
      </c>
      <c r="E11" s="64">
        <f>IF(ISBLANK($D11),"0",IF(($D12-$D11)&lt;($C12-$C11),1,0))</f>
        <v>0</v>
      </c>
      <c r="F11" s="64">
        <f t="shared" ca="1" si="1"/>
        <v>42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311</v>
      </c>
      <c r="K11" s="69"/>
      <c r="L11" s="69"/>
      <c r="M11" s="69" t="s">
        <v>312</v>
      </c>
      <c r="N11" s="69" t="s">
        <v>355</v>
      </c>
      <c r="O11" s="69" t="s">
        <v>371</v>
      </c>
      <c r="P11" s="69" t="s">
        <v>317</v>
      </c>
      <c r="Q11" s="69"/>
      <c r="R11" s="69" t="s">
        <v>312</v>
      </c>
      <c r="S11" s="69" t="s">
        <v>323</v>
      </c>
      <c r="T11" s="69" t="s">
        <v>317</v>
      </c>
      <c r="U11" s="69" t="s">
        <v>335</v>
      </c>
      <c r="V11" s="69" t="s">
        <v>319</v>
      </c>
      <c r="W11" s="69" t="s">
        <v>357</v>
      </c>
      <c r="X11" s="69" t="s">
        <v>312</v>
      </c>
      <c r="Y11" s="69" t="s">
        <v>333</v>
      </c>
      <c r="Z11" s="69" t="s">
        <v>317</v>
      </c>
      <c r="AA11" s="69" t="s">
        <v>312</v>
      </c>
      <c r="AB11" s="69" t="s">
        <v>317</v>
      </c>
      <c r="AC11" s="69" t="s">
        <v>350</v>
      </c>
      <c r="AD11" s="69"/>
      <c r="AE11" s="69" t="s">
        <v>416</v>
      </c>
      <c r="AF11" s="69" t="s">
        <v>355</v>
      </c>
      <c r="AG11" s="69" t="s">
        <v>335</v>
      </c>
      <c r="AH11" s="69"/>
      <c r="AI11" s="69" t="s">
        <v>338</v>
      </c>
      <c r="AJ11" s="69" t="s">
        <v>314</v>
      </c>
      <c r="AK11" s="69" t="s">
        <v>317</v>
      </c>
      <c r="AL11" s="69"/>
      <c r="AM11" s="69" t="s">
        <v>379</v>
      </c>
      <c r="AN11" s="69" t="s">
        <v>317</v>
      </c>
      <c r="AO11" s="69" t="s">
        <v>317</v>
      </c>
      <c r="AP11" s="69" t="s">
        <v>319</v>
      </c>
      <c r="AQ11" s="69"/>
      <c r="AR11" s="69"/>
      <c r="AS11" s="69" t="s">
        <v>319</v>
      </c>
      <c r="AT11" s="69" t="s">
        <v>334</v>
      </c>
      <c r="AU11" s="69" t="s">
        <v>312</v>
      </c>
      <c r="AV11" s="69"/>
      <c r="AW11" s="69" t="s">
        <v>343</v>
      </c>
      <c r="AX11" s="69" t="s">
        <v>339</v>
      </c>
      <c r="AY11" s="69" t="s">
        <v>366</v>
      </c>
      <c r="AZ11" s="69"/>
      <c r="BA11" s="69"/>
      <c r="BB11" s="69" t="s">
        <v>317</v>
      </c>
      <c r="BC11" s="69" t="s">
        <v>357</v>
      </c>
      <c r="BD11" s="69" t="s">
        <v>313</v>
      </c>
      <c r="BE11" s="69" t="s">
        <v>367</v>
      </c>
      <c r="BF11" s="69" t="s">
        <v>387</v>
      </c>
      <c r="BG11" s="69"/>
      <c r="BH11" s="69"/>
      <c r="BI11" s="69" t="s">
        <v>335</v>
      </c>
      <c r="BJ11" s="69" t="s">
        <v>321</v>
      </c>
      <c r="BK11" s="69" t="s">
        <v>472</v>
      </c>
      <c r="BL11" s="69"/>
      <c r="BM11" s="69" t="s">
        <v>388</v>
      </c>
      <c r="BN11" s="69" t="s">
        <v>312</v>
      </c>
    </row>
    <row r="12" spans="1:66" x14ac:dyDescent="0.25">
      <c r="A12" s="61" t="s">
        <v>3</v>
      </c>
      <c r="B12" s="68" t="s">
        <v>189</v>
      </c>
      <c r="C12" s="66"/>
      <c r="D12" s="64">
        <v>13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312</v>
      </c>
      <c r="L12" s="70" t="s">
        <v>313</v>
      </c>
      <c r="M12" s="70"/>
      <c r="N12" s="70"/>
      <c r="O12" s="70"/>
      <c r="P12" s="70"/>
      <c r="Q12" s="70" t="s">
        <v>318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 t="s">
        <v>317</v>
      </c>
      <c r="AE12" s="70"/>
      <c r="AF12" s="70"/>
      <c r="AG12" s="70"/>
      <c r="AH12" s="70" t="s">
        <v>320</v>
      </c>
      <c r="AI12" s="70"/>
      <c r="AJ12" s="70"/>
      <c r="AK12" s="70"/>
      <c r="AL12" s="70" t="s">
        <v>347</v>
      </c>
      <c r="AM12" s="70"/>
      <c r="AN12" s="70"/>
      <c r="AO12" s="70"/>
      <c r="AP12" s="70"/>
      <c r="AQ12" s="70" t="s">
        <v>313</v>
      </c>
      <c r="AR12" s="100" t="s">
        <v>317</v>
      </c>
      <c r="AS12" s="70"/>
      <c r="AT12" s="70"/>
      <c r="AU12" s="70"/>
      <c r="AV12" s="70" t="s">
        <v>317</v>
      </c>
      <c r="AW12" s="70"/>
      <c r="AX12" s="70"/>
      <c r="AY12" s="70"/>
      <c r="AZ12" s="70" t="s">
        <v>323</v>
      </c>
      <c r="BA12" s="70" t="s">
        <v>317</v>
      </c>
      <c r="BB12" s="70"/>
      <c r="BC12" s="70"/>
      <c r="BD12" s="70"/>
      <c r="BE12" s="70"/>
      <c r="BF12" s="70"/>
      <c r="BG12" s="70" t="s">
        <v>361</v>
      </c>
      <c r="BH12" s="70" t="s">
        <v>312</v>
      </c>
      <c r="BI12" s="70"/>
      <c r="BJ12" s="70"/>
      <c r="BK12" s="70"/>
      <c r="BL12" s="70" t="s">
        <v>327</v>
      </c>
      <c r="BM12" s="70"/>
      <c r="BN12" s="70"/>
    </row>
    <row r="13" spans="1:66" x14ac:dyDescent="0.25">
      <c r="A13" s="59">
        <v>6</v>
      </c>
      <c r="B13" s="67" t="s">
        <v>203</v>
      </c>
      <c r="C13" s="65">
        <v>2.5</v>
      </c>
      <c r="D13" s="64">
        <v>31</v>
      </c>
      <c r="E13" s="64">
        <f>IF(ISBLANK($D13),"0",IF(($D14-$D13)&lt;($C14-$C13),1,0))</f>
        <v>1</v>
      </c>
      <c r="F13" s="64">
        <f t="shared" ca="1" si="1"/>
        <v>34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311</v>
      </c>
      <c r="K13" s="69" t="s">
        <v>312</v>
      </c>
      <c r="L13" s="69"/>
      <c r="M13" s="69" t="s">
        <v>312</v>
      </c>
      <c r="N13" s="69"/>
      <c r="O13" s="69" t="s">
        <v>371</v>
      </c>
      <c r="P13" s="69"/>
      <c r="Q13" s="69" t="s">
        <v>318</v>
      </c>
      <c r="R13" s="69" t="s">
        <v>312</v>
      </c>
      <c r="S13" s="69" t="s">
        <v>339</v>
      </c>
      <c r="T13" s="69" t="s">
        <v>317</v>
      </c>
      <c r="U13" s="69" t="s">
        <v>311</v>
      </c>
      <c r="V13" s="69" t="s">
        <v>334</v>
      </c>
      <c r="W13" s="69"/>
      <c r="X13" s="69" t="s">
        <v>312</v>
      </c>
      <c r="Y13" s="69" t="s">
        <v>343</v>
      </c>
      <c r="Z13" s="69"/>
      <c r="AA13" s="69" t="s">
        <v>312</v>
      </c>
      <c r="AB13" s="69"/>
      <c r="AC13" s="69" t="s">
        <v>320</v>
      </c>
      <c r="AD13" s="69"/>
      <c r="AE13" s="69"/>
      <c r="AF13" s="69"/>
      <c r="AG13" s="69" t="s">
        <v>375</v>
      </c>
      <c r="AH13" s="69" t="s">
        <v>343</v>
      </c>
      <c r="AI13" s="69" t="s">
        <v>349</v>
      </c>
      <c r="AJ13" s="69" t="s">
        <v>314</v>
      </c>
      <c r="AK13" s="69" t="s">
        <v>317</v>
      </c>
      <c r="AL13" s="69"/>
      <c r="AM13" s="69" t="s">
        <v>317</v>
      </c>
      <c r="AN13" s="69" t="s">
        <v>317</v>
      </c>
      <c r="AO13" s="69" t="s">
        <v>317</v>
      </c>
      <c r="AP13" s="69" t="s">
        <v>337</v>
      </c>
      <c r="AQ13" s="69" t="s">
        <v>313</v>
      </c>
      <c r="AR13" s="99"/>
      <c r="AS13" s="69"/>
      <c r="AT13" s="69"/>
      <c r="AU13" s="69" t="s">
        <v>312</v>
      </c>
      <c r="AV13" s="69" t="s">
        <v>317</v>
      </c>
      <c r="AW13" s="69"/>
      <c r="AX13" s="69" t="s">
        <v>311</v>
      </c>
      <c r="AY13" s="69" t="s">
        <v>366</v>
      </c>
      <c r="AZ13" s="69"/>
      <c r="BA13" s="69"/>
      <c r="BB13" s="69" t="s">
        <v>317</v>
      </c>
      <c r="BC13" s="69" t="s">
        <v>357</v>
      </c>
      <c r="BD13" s="69"/>
      <c r="BE13" s="69" t="s">
        <v>367</v>
      </c>
      <c r="BF13" s="69"/>
      <c r="BG13" s="69"/>
      <c r="BH13" s="69"/>
      <c r="BI13" s="69" t="s">
        <v>394</v>
      </c>
      <c r="BJ13" s="69" t="s">
        <v>321</v>
      </c>
      <c r="BK13" s="69" t="s">
        <v>472</v>
      </c>
      <c r="BL13" s="69"/>
      <c r="BM13" s="69" t="s">
        <v>388</v>
      </c>
      <c r="BN13" s="69"/>
    </row>
    <row r="14" spans="1:66" x14ac:dyDescent="0.25">
      <c r="A14" s="61" t="s">
        <v>3</v>
      </c>
      <c r="B14" s="68" t="s">
        <v>201</v>
      </c>
      <c r="C14" s="66"/>
      <c r="D14" s="64">
        <v>13</v>
      </c>
      <c r="E14" s="64">
        <f>IF(ISBLANK($D14),"0",IF(($D14-$D13)&gt;($C14-$C13),1,0))</f>
        <v>0</v>
      </c>
      <c r="F14" s="64">
        <f t="shared" ca="1" si="1"/>
        <v>22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313</v>
      </c>
      <c r="M14" s="70"/>
      <c r="N14" s="70" t="s">
        <v>355</v>
      </c>
      <c r="O14" s="70"/>
      <c r="P14" s="70" t="s">
        <v>317</v>
      </c>
      <c r="Q14" s="70"/>
      <c r="R14" s="70"/>
      <c r="S14" s="70"/>
      <c r="T14" s="70"/>
      <c r="U14" s="70"/>
      <c r="V14" s="70"/>
      <c r="W14" s="70" t="s">
        <v>357</v>
      </c>
      <c r="X14" s="70"/>
      <c r="Y14" s="70"/>
      <c r="Z14" s="70" t="s">
        <v>317</v>
      </c>
      <c r="AA14" s="70"/>
      <c r="AB14" s="70" t="s">
        <v>317</v>
      </c>
      <c r="AC14" s="70"/>
      <c r="AD14" s="70" t="s">
        <v>317</v>
      </c>
      <c r="AE14" s="70" t="s">
        <v>416</v>
      </c>
      <c r="AF14" s="70" t="s">
        <v>355</v>
      </c>
      <c r="AG14" s="70"/>
      <c r="AH14" s="70"/>
      <c r="AI14" s="70"/>
      <c r="AJ14" s="70"/>
      <c r="AK14" s="70"/>
      <c r="AL14" s="70" t="s">
        <v>347</v>
      </c>
      <c r="AM14" s="70"/>
      <c r="AN14" s="70"/>
      <c r="AO14" s="70"/>
      <c r="AP14" s="70"/>
      <c r="AQ14" s="70"/>
      <c r="AR14" s="70" t="s">
        <v>317</v>
      </c>
      <c r="AS14" s="70" t="s">
        <v>314</v>
      </c>
      <c r="AT14" s="70" t="s">
        <v>334</v>
      </c>
      <c r="AU14" s="70"/>
      <c r="AV14" s="70"/>
      <c r="AW14" s="70" t="s">
        <v>325</v>
      </c>
      <c r="AX14" s="70"/>
      <c r="AY14" s="70"/>
      <c r="AZ14" s="70" t="s">
        <v>337</v>
      </c>
      <c r="BA14" s="70" t="s">
        <v>317</v>
      </c>
      <c r="BB14" s="70"/>
      <c r="BC14" s="70"/>
      <c r="BD14" s="70" t="s">
        <v>313</v>
      </c>
      <c r="BE14" s="70"/>
      <c r="BF14" s="70" t="s">
        <v>387</v>
      </c>
      <c r="BG14" s="70" t="s">
        <v>361</v>
      </c>
      <c r="BH14" s="70" t="s">
        <v>317</v>
      </c>
      <c r="BI14" s="70"/>
      <c r="BJ14" s="70"/>
      <c r="BK14" s="70"/>
      <c r="BL14" s="70" t="s">
        <v>328</v>
      </c>
      <c r="BM14" s="70"/>
      <c r="BN14" s="70" t="s">
        <v>408</v>
      </c>
    </row>
    <row r="15" spans="1:66" x14ac:dyDescent="0.25">
      <c r="A15" s="59">
        <v>7</v>
      </c>
      <c r="B15" s="67" t="s">
        <v>271</v>
      </c>
      <c r="C15" s="65">
        <v>1.5</v>
      </c>
      <c r="D15" s="64">
        <v>13</v>
      </c>
      <c r="E15" s="64">
        <f>IF(ISBLANK($D15),"0",IF(($D16-$D15)&lt;($C16-$C15),1,0))</f>
        <v>0</v>
      </c>
      <c r="F15" s="64">
        <f t="shared" ca="1" si="1"/>
        <v>32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/>
      <c r="N15" s="69" t="s">
        <v>355</v>
      </c>
      <c r="O15" s="69"/>
      <c r="P15" s="69" t="s">
        <v>317</v>
      </c>
      <c r="Q15" s="69"/>
      <c r="R15" s="69"/>
      <c r="S15" s="69" t="s">
        <v>320</v>
      </c>
      <c r="T15" s="69" t="s">
        <v>317</v>
      </c>
      <c r="U15" s="69"/>
      <c r="V15" s="69" t="s">
        <v>324</v>
      </c>
      <c r="W15" s="69" t="s">
        <v>357</v>
      </c>
      <c r="X15" s="69" t="s">
        <v>312</v>
      </c>
      <c r="Y15" s="69" t="s">
        <v>319</v>
      </c>
      <c r="Z15" s="69"/>
      <c r="AA15" s="69"/>
      <c r="AB15" s="69" t="s">
        <v>317</v>
      </c>
      <c r="AC15" s="69" t="s">
        <v>323</v>
      </c>
      <c r="AD15" s="69" t="s">
        <v>317</v>
      </c>
      <c r="AE15" s="69"/>
      <c r="AF15" s="69"/>
      <c r="AG15" s="69" t="s">
        <v>339</v>
      </c>
      <c r="AH15" s="69" t="s">
        <v>311</v>
      </c>
      <c r="AI15" s="69" t="s">
        <v>323</v>
      </c>
      <c r="AJ15" s="69" t="s">
        <v>314</v>
      </c>
      <c r="AK15" s="69" t="s">
        <v>317</v>
      </c>
      <c r="AL15" s="69"/>
      <c r="AM15" s="69"/>
      <c r="AN15" s="69" t="s">
        <v>317</v>
      </c>
      <c r="AO15" s="69" t="s">
        <v>317</v>
      </c>
      <c r="AP15" s="69" t="s">
        <v>331</v>
      </c>
      <c r="AQ15" s="69" t="s">
        <v>313</v>
      </c>
      <c r="AR15" s="69"/>
      <c r="AS15" s="69"/>
      <c r="AT15" s="69" t="s">
        <v>334</v>
      </c>
      <c r="AU15" s="69" t="s">
        <v>312</v>
      </c>
      <c r="AV15" s="69" t="s">
        <v>317</v>
      </c>
      <c r="AW15" s="69" t="s">
        <v>322</v>
      </c>
      <c r="AX15" s="69"/>
      <c r="AY15" s="69" t="s">
        <v>366</v>
      </c>
      <c r="AZ15" s="69"/>
      <c r="BA15" s="69"/>
      <c r="BB15" s="69"/>
      <c r="BC15" s="69" t="s">
        <v>357</v>
      </c>
      <c r="BD15" s="69" t="s">
        <v>313</v>
      </c>
      <c r="BE15" s="69"/>
      <c r="BF15" s="69" t="s">
        <v>387</v>
      </c>
      <c r="BG15" s="69"/>
      <c r="BH15" s="69"/>
      <c r="BI15" s="69" t="s">
        <v>468</v>
      </c>
      <c r="BJ15" s="69" t="s">
        <v>321</v>
      </c>
      <c r="BK15" s="69"/>
      <c r="BL15" s="69"/>
      <c r="BM15" s="69" t="s">
        <v>388</v>
      </c>
      <c r="BN15" s="69" t="s">
        <v>312</v>
      </c>
    </row>
    <row r="16" spans="1:66" x14ac:dyDescent="0.25">
      <c r="A16" s="61" t="s">
        <v>3</v>
      </c>
      <c r="B16" s="68" t="s">
        <v>269</v>
      </c>
      <c r="C16" s="66"/>
      <c r="D16" s="64">
        <v>30</v>
      </c>
      <c r="E16" s="64">
        <f>IF(ISBLANK($D16),"0",IF(($D16-$D15)&gt;($C16-$C15),1,0))</f>
        <v>1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311</v>
      </c>
      <c r="K16" s="70" t="s">
        <v>312</v>
      </c>
      <c r="L16" s="70" t="s">
        <v>313</v>
      </c>
      <c r="M16" s="70" t="s">
        <v>312</v>
      </c>
      <c r="N16" s="70"/>
      <c r="O16" s="70" t="s">
        <v>371</v>
      </c>
      <c r="P16" s="70"/>
      <c r="Q16" s="70" t="s">
        <v>318</v>
      </c>
      <c r="R16" s="70" t="s">
        <v>312</v>
      </c>
      <c r="S16" s="70"/>
      <c r="T16" s="70"/>
      <c r="U16" s="70" t="s">
        <v>311</v>
      </c>
      <c r="V16" s="70"/>
      <c r="W16" s="70"/>
      <c r="X16" s="70"/>
      <c r="Y16" s="70"/>
      <c r="Z16" s="70" t="s">
        <v>317</v>
      </c>
      <c r="AA16" s="70" t="s">
        <v>312</v>
      </c>
      <c r="AB16" s="70"/>
      <c r="AC16" s="70"/>
      <c r="AD16" s="70"/>
      <c r="AE16" s="70" t="s">
        <v>416</v>
      </c>
      <c r="AF16" s="70" t="s">
        <v>355</v>
      </c>
      <c r="AG16" s="70"/>
      <c r="AH16" s="70"/>
      <c r="AI16" s="70"/>
      <c r="AJ16" s="70"/>
      <c r="AK16" s="70"/>
      <c r="AL16" s="70" t="s">
        <v>347</v>
      </c>
      <c r="AM16" s="70" t="s">
        <v>333</v>
      </c>
      <c r="AN16" s="70"/>
      <c r="AO16" s="70"/>
      <c r="AP16" s="70"/>
      <c r="AQ16" s="70"/>
      <c r="AR16" s="100" t="s">
        <v>317</v>
      </c>
      <c r="AS16" s="70" t="s">
        <v>352</v>
      </c>
      <c r="AT16" s="70"/>
      <c r="AU16" s="70"/>
      <c r="AV16" s="70"/>
      <c r="AW16" s="70"/>
      <c r="AX16" s="70" t="s">
        <v>326</v>
      </c>
      <c r="AY16" s="70"/>
      <c r="AZ16" s="70" t="s">
        <v>356</v>
      </c>
      <c r="BA16" s="70" t="s">
        <v>317</v>
      </c>
      <c r="BB16" s="70" t="s">
        <v>317</v>
      </c>
      <c r="BC16" s="70"/>
      <c r="BD16" s="70"/>
      <c r="BE16" s="70" t="s">
        <v>367</v>
      </c>
      <c r="BF16" s="70"/>
      <c r="BG16" s="70" t="s">
        <v>371</v>
      </c>
      <c r="BH16" s="70" t="s">
        <v>317</v>
      </c>
      <c r="BI16" s="70"/>
      <c r="BJ16" s="70"/>
      <c r="BK16" s="70" t="s">
        <v>472</v>
      </c>
      <c r="BL16" s="70" t="s">
        <v>331</v>
      </c>
      <c r="BM16" s="70"/>
      <c r="BN16" s="70"/>
    </row>
    <row r="17" spans="1:66" x14ac:dyDescent="0.25">
      <c r="A17" s="59">
        <v>8</v>
      </c>
      <c r="B17" s="67" t="s">
        <v>212</v>
      </c>
      <c r="C17" s="65">
        <v>2.5</v>
      </c>
      <c r="D17" s="64">
        <v>26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311</v>
      </c>
      <c r="K17" s="69"/>
      <c r="L17" s="69"/>
      <c r="M17" s="69"/>
      <c r="N17" s="69" t="s">
        <v>355</v>
      </c>
      <c r="O17" s="69" t="s">
        <v>371</v>
      </c>
      <c r="P17" s="69" t="s">
        <v>317</v>
      </c>
      <c r="Q17" s="69" t="s">
        <v>318</v>
      </c>
      <c r="R17" s="69" t="s">
        <v>312</v>
      </c>
      <c r="S17" s="69" t="s">
        <v>383</v>
      </c>
      <c r="T17" s="69" t="s">
        <v>317</v>
      </c>
      <c r="U17" s="69" t="s">
        <v>322</v>
      </c>
      <c r="V17" s="69" t="s">
        <v>342</v>
      </c>
      <c r="W17" s="69"/>
      <c r="X17" s="69" t="s">
        <v>312</v>
      </c>
      <c r="Y17" s="69" t="s">
        <v>315</v>
      </c>
      <c r="Z17" s="69"/>
      <c r="AA17" s="69"/>
      <c r="AB17" s="69"/>
      <c r="AC17" s="69" t="s">
        <v>336</v>
      </c>
      <c r="AD17" s="69"/>
      <c r="AE17" s="69"/>
      <c r="AF17" s="69"/>
      <c r="AG17" s="69" t="s">
        <v>335</v>
      </c>
      <c r="AH17" s="69" t="s">
        <v>454</v>
      </c>
      <c r="AI17" s="69" t="s">
        <v>375</v>
      </c>
      <c r="AJ17" s="69" t="s">
        <v>314</v>
      </c>
      <c r="AK17" s="69" t="s">
        <v>317</v>
      </c>
      <c r="AL17" s="69" t="s">
        <v>347</v>
      </c>
      <c r="AM17" s="69"/>
      <c r="AN17" s="69" t="s">
        <v>317</v>
      </c>
      <c r="AO17" s="69"/>
      <c r="AP17" s="69"/>
      <c r="AQ17" s="69"/>
      <c r="AR17" s="99" t="s">
        <v>317</v>
      </c>
      <c r="AS17" s="69"/>
      <c r="AT17" s="69"/>
      <c r="AU17" s="69" t="s">
        <v>312</v>
      </c>
      <c r="AV17" s="69" t="s">
        <v>317</v>
      </c>
      <c r="AW17" s="69"/>
      <c r="AX17" s="69"/>
      <c r="AY17" s="69"/>
      <c r="AZ17" s="69"/>
      <c r="BA17" s="69" t="s">
        <v>317</v>
      </c>
      <c r="BB17" s="69" t="s">
        <v>317</v>
      </c>
      <c r="BC17" s="69" t="s">
        <v>357</v>
      </c>
      <c r="BD17" s="69" t="s">
        <v>313</v>
      </c>
      <c r="BE17" s="69"/>
      <c r="BF17" s="69" t="s">
        <v>387</v>
      </c>
      <c r="BG17" s="69" t="s">
        <v>331</v>
      </c>
      <c r="BH17" s="69"/>
      <c r="BI17" s="69"/>
      <c r="BJ17" s="69" t="s">
        <v>321</v>
      </c>
      <c r="BK17" s="69"/>
      <c r="BL17" s="69" t="s">
        <v>343</v>
      </c>
      <c r="BM17" s="69" t="s">
        <v>388</v>
      </c>
      <c r="BN17" s="69"/>
    </row>
    <row r="18" spans="1:66" x14ac:dyDescent="0.25">
      <c r="A18" s="61" t="s">
        <v>3</v>
      </c>
      <c r="B18" s="68" t="s">
        <v>215</v>
      </c>
      <c r="C18" s="66"/>
      <c r="D18" s="64">
        <v>23</v>
      </c>
      <c r="E18" s="64">
        <f>IF(ISBLANK($D18),"0",IF(($D18-$D17)&gt;($C18-$C17),1,0))</f>
        <v>0</v>
      </c>
      <c r="F18" s="64">
        <f t="shared" ca="1" si="1"/>
        <v>25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312</v>
      </c>
      <c r="L18" s="70" t="s">
        <v>313</v>
      </c>
      <c r="M18" s="70" t="s">
        <v>312</v>
      </c>
      <c r="N18" s="70"/>
      <c r="O18" s="70"/>
      <c r="P18" s="70"/>
      <c r="Q18" s="70"/>
      <c r="R18" s="70"/>
      <c r="S18" s="70"/>
      <c r="T18" s="70"/>
      <c r="U18" s="70"/>
      <c r="V18" s="70"/>
      <c r="W18" s="70" t="s">
        <v>357</v>
      </c>
      <c r="X18" s="70"/>
      <c r="Y18" s="70"/>
      <c r="Z18" s="70" t="s">
        <v>317</v>
      </c>
      <c r="AA18" s="70" t="s">
        <v>312</v>
      </c>
      <c r="AB18" s="70" t="s">
        <v>317</v>
      </c>
      <c r="AC18" s="70"/>
      <c r="AD18" s="70" t="s">
        <v>317</v>
      </c>
      <c r="AE18" s="70" t="s">
        <v>416</v>
      </c>
      <c r="AF18" s="70" t="s">
        <v>355</v>
      </c>
      <c r="AG18" s="70"/>
      <c r="AH18" s="70"/>
      <c r="AI18" s="70"/>
      <c r="AJ18" s="70"/>
      <c r="AK18" s="70"/>
      <c r="AL18" s="70"/>
      <c r="AM18" s="70" t="s">
        <v>342</v>
      </c>
      <c r="AN18" s="70"/>
      <c r="AO18" s="70" t="s">
        <v>317</v>
      </c>
      <c r="AP18" s="70" t="s">
        <v>347</v>
      </c>
      <c r="AQ18" s="70" t="s">
        <v>313</v>
      </c>
      <c r="AR18" s="70"/>
      <c r="AS18" s="70" t="s">
        <v>338</v>
      </c>
      <c r="AT18" s="70" t="s">
        <v>334</v>
      </c>
      <c r="AU18" s="70"/>
      <c r="AV18" s="70"/>
      <c r="AW18" s="70" t="s">
        <v>334</v>
      </c>
      <c r="AX18" s="70" t="s">
        <v>326</v>
      </c>
      <c r="AY18" s="70" t="s">
        <v>366</v>
      </c>
      <c r="AZ18" s="70" t="s">
        <v>345</v>
      </c>
      <c r="BA18" s="70"/>
      <c r="BB18" s="70"/>
      <c r="BC18" s="70"/>
      <c r="BD18" s="70"/>
      <c r="BE18" s="70" t="s">
        <v>367</v>
      </c>
      <c r="BF18" s="70"/>
      <c r="BG18" s="70"/>
      <c r="BH18" s="70" t="s">
        <v>317</v>
      </c>
      <c r="BI18" s="70" t="s">
        <v>469</v>
      </c>
      <c r="BJ18" s="70"/>
      <c r="BK18" s="70" t="s">
        <v>472</v>
      </c>
      <c r="BL18" s="70"/>
      <c r="BM18" s="70"/>
      <c r="BN18" s="70" t="s">
        <v>312</v>
      </c>
    </row>
    <row r="19" spans="1:66" x14ac:dyDescent="0.25">
      <c r="A19" s="59">
        <v>9</v>
      </c>
      <c r="B19" s="67" t="s">
        <v>169</v>
      </c>
      <c r="C19" s="65"/>
      <c r="D19" s="64">
        <v>28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311</v>
      </c>
      <c r="K19" s="69" t="s">
        <v>312</v>
      </c>
      <c r="L19" s="69" t="s">
        <v>313</v>
      </c>
      <c r="M19" s="69" t="s">
        <v>312</v>
      </c>
      <c r="N19" s="69" t="s">
        <v>355</v>
      </c>
      <c r="O19" s="69"/>
      <c r="P19" s="69"/>
      <c r="Q19" s="69" t="s">
        <v>318</v>
      </c>
      <c r="R19" s="69" t="s">
        <v>312</v>
      </c>
      <c r="S19" s="69"/>
      <c r="T19" s="69"/>
      <c r="U19" s="69"/>
      <c r="V19" s="69" t="s">
        <v>357</v>
      </c>
      <c r="W19" s="69" t="s">
        <v>357</v>
      </c>
      <c r="X19" s="69"/>
      <c r="Y19" s="69"/>
      <c r="Z19" s="69"/>
      <c r="AA19" s="69"/>
      <c r="AB19" s="69"/>
      <c r="AC19" s="69" t="s">
        <v>311</v>
      </c>
      <c r="AD19" s="69"/>
      <c r="AE19" s="69"/>
      <c r="AF19" s="69" t="s">
        <v>355</v>
      </c>
      <c r="AG19" s="69" t="s">
        <v>325</v>
      </c>
      <c r="AH19" s="69"/>
      <c r="AI19" s="69"/>
      <c r="AJ19" s="69" t="s">
        <v>314</v>
      </c>
      <c r="AK19" s="69"/>
      <c r="AL19" s="69"/>
      <c r="AM19" s="69"/>
      <c r="AN19" s="69" t="s">
        <v>317</v>
      </c>
      <c r="AO19" s="69"/>
      <c r="AP19" s="69"/>
      <c r="AQ19" s="69"/>
      <c r="AR19" s="69"/>
      <c r="AS19" s="69" t="s">
        <v>322</v>
      </c>
      <c r="AT19" s="69"/>
      <c r="AU19" s="69" t="s">
        <v>312</v>
      </c>
      <c r="AV19" s="69" t="s">
        <v>317</v>
      </c>
      <c r="AW19" s="69" t="s">
        <v>361</v>
      </c>
      <c r="AX19" s="69" t="s">
        <v>326</v>
      </c>
      <c r="AY19" s="69"/>
      <c r="AZ19" s="69"/>
      <c r="BA19" s="69" t="s">
        <v>317</v>
      </c>
      <c r="BB19" s="69" t="s">
        <v>317</v>
      </c>
      <c r="BC19" s="69" t="s">
        <v>357</v>
      </c>
      <c r="BD19" s="69"/>
      <c r="BE19" s="69" t="s">
        <v>367</v>
      </c>
      <c r="BF19" s="69"/>
      <c r="BG19" s="69" t="s">
        <v>343</v>
      </c>
      <c r="BH19" s="69" t="s">
        <v>317</v>
      </c>
      <c r="BI19" s="69" t="s">
        <v>348</v>
      </c>
      <c r="BJ19" s="69"/>
      <c r="BK19" s="69"/>
      <c r="BL19" s="69" t="s">
        <v>319</v>
      </c>
      <c r="BM19" s="69" t="s">
        <v>388</v>
      </c>
      <c r="BN19" s="69"/>
    </row>
    <row r="20" spans="1:66" x14ac:dyDescent="0.25">
      <c r="A20" s="61" t="s">
        <v>3</v>
      </c>
      <c r="B20" s="68" t="s">
        <v>270</v>
      </c>
      <c r="C20" s="66">
        <v>4.5</v>
      </c>
      <c r="D20" s="64">
        <v>44</v>
      </c>
      <c r="E20" s="64">
        <f>IF(ISBLANK($D20),"0",IF(($D20-$D19)&gt;($C20-$C19),1,0))</f>
        <v>1</v>
      </c>
      <c r="F20" s="64">
        <f t="shared" ca="1" si="1"/>
        <v>29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/>
      <c r="L20" s="70"/>
      <c r="M20" s="70"/>
      <c r="N20" s="70"/>
      <c r="O20" s="70" t="s">
        <v>371</v>
      </c>
      <c r="P20" s="70" t="s">
        <v>317</v>
      </c>
      <c r="Q20" s="70"/>
      <c r="R20" s="70"/>
      <c r="S20" s="70" t="s">
        <v>414</v>
      </c>
      <c r="T20" s="70" t="s">
        <v>317</v>
      </c>
      <c r="U20" s="70" t="s">
        <v>340</v>
      </c>
      <c r="V20" s="70"/>
      <c r="W20" s="70"/>
      <c r="X20" s="70" t="s">
        <v>312</v>
      </c>
      <c r="Y20" s="70" t="s">
        <v>331</v>
      </c>
      <c r="Z20" s="70" t="s">
        <v>317</v>
      </c>
      <c r="AA20" s="70" t="s">
        <v>312</v>
      </c>
      <c r="AB20" s="70" t="s">
        <v>317</v>
      </c>
      <c r="AC20" s="70"/>
      <c r="AD20" s="70" t="s">
        <v>317</v>
      </c>
      <c r="AE20" s="70" t="s">
        <v>416</v>
      </c>
      <c r="AF20" s="70"/>
      <c r="AG20" s="70"/>
      <c r="AH20" s="70" t="s">
        <v>471</v>
      </c>
      <c r="AI20" s="70" t="s">
        <v>320</v>
      </c>
      <c r="AJ20" s="70"/>
      <c r="AK20" s="70" t="s">
        <v>317</v>
      </c>
      <c r="AL20" s="70" t="s">
        <v>347</v>
      </c>
      <c r="AM20" s="70" t="s">
        <v>350</v>
      </c>
      <c r="AN20" s="70"/>
      <c r="AO20" s="70" t="s">
        <v>317</v>
      </c>
      <c r="AP20" s="70" t="s">
        <v>352</v>
      </c>
      <c r="AQ20" s="70" t="s">
        <v>313</v>
      </c>
      <c r="AR20" s="100" t="s">
        <v>317</v>
      </c>
      <c r="AS20" s="70"/>
      <c r="AT20" s="70" t="s">
        <v>334</v>
      </c>
      <c r="AU20" s="70"/>
      <c r="AV20" s="70"/>
      <c r="AW20" s="70"/>
      <c r="AX20" s="70"/>
      <c r="AY20" s="70" t="s">
        <v>366</v>
      </c>
      <c r="AZ20" s="70" t="s">
        <v>326</v>
      </c>
      <c r="BA20" s="70"/>
      <c r="BB20" s="70"/>
      <c r="BC20" s="70"/>
      <c r="BD20" s="70" t="s">
        <v>313</v>
      </c>
      <c r="BE20" s="70"/>
      <c r="BF20" s="70" t="s">
        <v>387</v>
      </c>
      <c r="BG20" s="70"/>
      <c r="BH20" s="70"/>
      <c r="BI20" s="70"/>
      <c r="BJ20" s="70" t="s">
        <v>321</v>
      </c>
      <c r="BK20" s="70" t="s">
        <v>472</v>
      </c>
      <c r="BL20" s="70"/>
      <c r="BM20" s="70"/>
      <c r="BN20" s="70" t="s">
        <v>312</v>
      </c>
    </row>
    <row r="21" spans="1:66" x14ac:dyDescent="0.25">
      <c r="A21" s="59">
        <v>10</v>
      </c>
      <c r="B21" s="67" t="s">
        <v>156</v>
      </c>
      <c r="C21" s="65"/>
      <c r="D21" s="64">
        <v>9</v>
      </c>
      <c r="E21" s="64">
        <f>IF(ISBLANK($D21),"0",IF(($D22-$D21)&lt;($C22-$C21),1,0))</f>
        <v>1</v>
      </c>
      <c r="F21" s="64">
        <f t="shared" ca="1" si="1"/>
        <v>40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311</v>
      </c>
      <c r="K21" s="69" t="s">
        <v>312</v>
      </c>
      <c r="L21" s="69"/>
      <c r="M21" s="69" t="s">
        <v>312</v>
      </c>
      <c r="N21" s="69" t="s">
        <v>355</v>
      </c>
      <c r="O21" s="69" t="s">
        <v>371</v>
      </c>
      <c r="P21" s="69" t="s">
        <v>317</v>
      </c>
      <c r="Q21" s="69" t="s">
        <v>318</v>
      </c>
      <c r="R21" s="69" t="s">
        <v>312</v>
      </c>
      <c r="S21" s="69"/>
      <c r="T21" s="69" t="s">
        <v>317</v>
      </c>
      <c r="U21" s="69" t="s">
        <v>317</v>
      </c>
      <c r="V21" s="69"/>
      <c r="W21" s="69" t="s">
        <v>357</v>
      </c>
      <c r="X21" s="69" t="s">
        <v>312</v>
      </c>
      <c r="Y21" s="69" t="s">
        <v>319</v>
      </c>
      <c r="Z21" s="69"/>
      <c r="AA21" s="69" t="s">
        <v>312</v>
      </c>
      <c r="AB21" s="69" t="s">
        <v>317</v>
      </c>
      <c r="AC21" s="69" t="s">
        <v>326</v>
      </c>
      <c r="AD21" s="69"/>
      <c r="AE21" s="69"/>
      <c r="AF21" s="69" t="s">
        <v>355</v>
      </c>
      <c r="AG21" s="69" t="s">
        <v>470</v>
      </c>
      <c r="AH21" s="69"/>
      <c r="AI21" s="69"/>
      <c r="AJ21" s="69" t="s">
        <v>314</v>
      </c>
      <c r="AK21" s="69" t="s">
        <v>317</v>
      </c>
      <c r="AL21" s="69" t="s">
        <v>347</v>
      </c>
      <c r="AM21" s="69" t="s">
        <v>326</v>
      </c>
      <c r="AN21" s="69" t="s">
        <v>317</v>
      </c>
      <c r="AO21" s="69"/>
      <c r="AP21" s="69"/>
      <c r="AQ21" s="69" t="s">
        <v>313</v>
      </c>
      <c r="AR21" s="99" t="s">
        <v>317</v>
      </c>
      <c r="AS21" s="69" t="s">
        <v>361</v>
      </c>
      <c r="AT21" s="69" t="s">
        <v>334</v>
      </c>
      <c r="AU21" s="69" t="s">
        <v>312</v>
      </c>
      <c r="AV21" s="69" t="s">
        <v>317</v>
      </c>
      <c r="AW21" s="69"/>
      <c r="AX21" s="69" t="s">
        <v>326</v>
      </c>
      <c r="AY21" s="69" t="s">
        <v>366</v>
      </c>
      <c r="AZ21" s="69" t="s">
        <v>326</v>
      </c>
      <c r="BA21" s="69" t="s">
        <v>317</v>
      </c>
      <c r="BB21" s="69" t="s">
        <v>317</v>
      </c>
      <c r="BC21" s="69" t="s">
        <v>357</v>
      </c>
      <c r="BD21" s="69" t="s">
        <v>313</v>
      </c>
      <c r="BE21" s="69" t="s">
        <v>367</v>
      </c>
      <c r="BF21" s="69"/>
      <c r="BG21" s="69"/>
      <c r="BH21" s="69"/>
      <c r="BI21" s="69"/>
      <c r="BJ21" s="69" t="s">
        <v>321</v>
      </c>
      <c r="BK21" s="69" t="s">
        <v>472</v>
      </c>
      <c r="BL21" s="69" t="s">
        <v>326</v>
      </c>
      <c r="BM21" s="69"/>
      <c r="BN21" s="69" t="s">
        <v>312</v>
      </c>
    </row>
    <row r="22" spans="1:66" x14ac:dyDescent="0.25">
      <c r="A22" s="61" t="s">
        <v>3</v>
      </c>
      <c r="B22" s="68" t="s">
        <v>179</v>
      </c>
      <c r="C22" s="66">
        <v>4.5</v>
      </c>
      <c r="D22" s="64">
        <v>6</v>
      </c>
      <c r="E22" s="64">
        <f>IF(ISBLANK($D22),"0",IF(($D22-$D21)&gt;($C22-$C21),1,0))</f>
        <v>0</v>
      </c>
      <c r="F22" s="64">
        <f t="shared" ca="1" si="1"/>
        <v>16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/>
      <c r="L22" s="70" t="s">
        <v>313</v>
      </c>
      <c r="M22" s="70"/>
      <c r="N22" s="70"/>
      <c r="O22" s="70"/>
      <c r="P22" s="70"/>
      <c r="Q22" s="70"/>
      <c r="R22" s="70"/>
      <c r="S22" s="70" t="s">
        <v>357</v>
      </c>
      <c r="T22" s="70"/>
      <c r="U22" s="70"/>
      <c r="V22" s="70" t="s">
        <v>356</v>
      </c>
      <c r="W22" s="70"/>
      <c r="X22" s="70"/>
      <c r="Y22" s="70"/>
      <c r="Z22" s="70" t="s">
        <v>317</v>
      </c>
      <c r="AA22" s="70"/>
      <c r="AB22" s="70"/>
      <c r="AC22" s="70"/>
      <c r="AD22" s="70" t="s">
        <v>317</v>
      </c>
      <c r="AE22" s="70" t="s">
        <v>416</v>
      </c>
      <c r="AF22" s="70"/>
      <c r="AG22" s="70"/>
      <c r="AH22" s="70" t="s">
        <v>408</v>
      </c>
      <c r="AI22" s="70" t="s">
        <v>326</v>
      </c>
      <c r="AJ22" s="70"/>
      <c r="AK22" s="70"/>
      <c r="AL22" s="70"/>
      <c r="AM22" s="70"/>
      <c r="AN22" s="70"/>
      <c r="AO22" s="70" t="s">
        <v>317</v>
      </c>
      <c r="AP22" s="70" t="s">
        <v>328</v>
      </c>
      <c r="AQ22" s="70"/>
      <c r="AR22" s="70"/>
      <c r="AS22" s="70"/>
      <c r="AT22" s="70"/>
      <c r="AU22" s="70"/>
      <c r="AV22" s="70"/>
      <c r="AW22" s="70" t="s">
        <v>464</v>
      </c>
      <c r="AX22" s="70"/>
      <c r="AY22" s="70"/>
      <c r="AZ22" s="70"/>
      <c r="BA22" s="70"/>
      <c r="BB22" s="70"/>
      <c r="BC22" s="70"/>
      <c r="BD22" s="70"/>
      <c r="BE22" s="70"/>
      <c r="BF22" s="70" t="s">
        <v>387</v>
      </c>
      <c r="BG22" s="70" t="s">
        <v>319</v>
      </c>
      <c r="BH22" s="70" t="s">
        <v>317</v>
      </c>
      <c r="BI22" s="70" t="s">
        <v>326</v>
      </c>
      <c r="BJ22" s="70"/>
      <c r="BK22" s="70"/>
      <c r="BL22" s="70"/>
      <c r="BM22" s="70" t="s">
        <v>388</v>
      </c>
      <c r="BN22" s="70"/>
    </row>
    <row r="23" spans="1:66" x14ac:dyDescent="0.25">
      <c r="A23" s="59"/>
      <c r="B23" s="67" t="str">
        <f>B21&amp; " - score"</f>
        <v>LSU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24</v>
      </c>
      <c r="K23" s="78">
        <v>35</v>
      </c>
      <c r="L23" s="78">
        <v>30</v>
      </c>
      <c r="M23" s="78">
        <v>21</v>
      </c>
      <c r="N23" s="80">
        <v>17</v>
      </c>
      <c r="O23" s="78">
        <v>31</v>
      </c>
      <c r="P23" s="78">
        <v>17</v>
      </c>
      <c r="Q23" s="78">
        <v>52</v>
      </c>
      <c r="R23" s="78">
        <v>24</v>
      </c>
      <c r="S23" s="78">
        <v>16</v>
      </c>
      <c r="T23" s="78">
        <v>23</v>
      </c>
      <c r="U23" s="78">
        <v>21</v>
      </c>
      <c r="V23" s="78">
        <v>23</v>
      </c>
      <c r="W23" s="78">
        <v>24</v>
      </c>
      <c r="X23" s="78">
        <v>31</v>
      </c>
      <c r="Y23" s="78">
        <v>17</v>
      </c>
      <c r="Z23" s="78">
        <v>25</v>
      </c>
      <c r="AA23" s="78">
        <v>24</v>
      </c>
      <c r="AB23" s="78">
        <v>21</v>
      </c>
      <c r="AC23" s="78">
        <v>31</v>
      </c>
      <c r="AD23" s="78">
        <v>21</v>
      </c>
      <c r="AE23" s="78">
        <v>19</v>
      </c>
      <c r="AF23" s="78">
        <v>24</v>
      </c>
      <c r="AG23" s="78">
        <v>35</v>
      </c>
      <c r="AH23" s="78">
        <v>21</v>
      </c>
      <c r="AI23" s="78">
        <v>24</v>
      </c>
      <c r="AJ23" s="78">
        <v>24</v>
      </c>
      <c r="AK23" s="78">
        <v>24</v>
      </c>
      <c r="AL23" s="78">
        <v>24</v>
      </c>
      <c r="AM23" s="78">
        <v>24</v>
      </c>
      <c r="AN23" s="78">
        <v>42</v>
      </c>
      <c r="AO23" s="78">
        <v>17</v>
      </c>
      <c r="AP23" s="78">
        <v>10</v>
      </c>
      <c r="AQ23" s="78">
        <v>46</v>
      </c>
      <c r="AR23" s="78">
        <v>21</v>
      </c>
      <c r="AS23" s="78">
        <v>20</v>
      </c>
      <c r="AT23" s="78">
        <v>33</v>
      </c>
      <c r="AU23" s="78">
        <v>27</v>
      </c>
      <c r="AV23" s="78">
        <v>31</v>
      </c>
      <c r="AW23" s="78">
        <v>27</v>
      </c>
      <c r="AX23" s="78">
        <v>35</v>
      </c>
      <c r="AY23" s="78">
        <v>31</v>
      </c>
      <c r="AZ23" s="78">
        <v>24</v>
      </c>
      <c r="BA23" s="78">
        <v>35</v>
      </c>
      <c r="BB23" s="78">
        <v>44</v>
      </c>
      <c r="BC23" s="78">
        <v>17</v>
      </c>
      <c r="BD23" s="78">
        <v>27</v>
      </c>
      <c r="BE23" s="78">
        <v>20</v>
      </c>
      <c r="BF23" s="78">
        <v>14</v>
      </c>
      <c r="BG23" s="78">
        <v>22</v>
      </c>
      <c r="BH23" s="78">
        <v>20</v>
      </c>
      <c r="BI23" s="78">
        <v>19</v>
      </c>
      <c r="BJ23" s="78">
        <v>28</v>
      </c>
      <c r="BK23" s="78">
        <v>20</v>
      </c>
      <c r="BL23" s="78">
        <v>31</v>
      </c>
      <c r="BM23" s="78">
        <v>28</v>
      </c>
      <c r="BN23" s="78">
        <v>38</v>
      </c>
    </row>
    <row r="24" spans="1:66" x14ac:dyDescent="0.25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26</v>
      </c>
      <c r="G24" s="61"/>
      <c r="H24" s="62"/>
      <c r="I24" s="63"/>
      <c r="J24" s="79">
        <v>27</v>
      </c>
      <c r="K24" s="79">
        <v>38</v>
      </c>
      <c r="L24" s="79">
        <v>41</v>
      </c>
      <c r="M24" s="79">
        <v>14</v>
      </c>
      <c r="N24" s="79">
        <v>21</v>
      </c>
      <c r="O24" s="79">
        <v>35</v>
      </c>
      <c r="P24" s="79">
        <v>16</v>
      </c>
      <c r="Q24" s="79">
        <v>54</v>
      </c>
      <c r="R24" s="79">
        <v>26</v>
      </c>
      <c r="S24" s="79">
        <v>21</v>
      </c>
      <c r="T24" s="79">
        <v>20</v>
      </c>
      <c r="U24" s="79">
        <v>24</v>
      </c>
      <c r="V24" s="79">
        <v>28</v>
      </c>
      <c r="W24" s="79">
        <v>21</v>
      </c>
      <c r="X24" s="79">
        <v>28</v>
      </c>
      <c r="Y24" s="79">
        <v>21</v>
      </c>
      <c r="Z24" s="79">
        <v>30</v>
      </c>
      <c r="AA24" s="79">
        <v>17</v>
      </c>
      <c r="AB24" s="79">
        <v>24</v>
      </c>
      <c r="AC24" s="79">
        <v>24</v>
      </c>
      <c r="AD24" s="79">
        <v>31</v>
      </c>
      <c r="AE24" s="79">
        <v>33</v>
      </c>
      <c r="AF24" s="79">
        <v>17</v>
      </c>
      <c r="AG24" s="79">
        <v>32</v>
      </c>
      <c r="AH24" s="79">
        <v>28</v>
      </c>
      <c r="AI24" s="79">
        <v>31</v>
      </c>
      <c r="AJ24" s="79">
        <v>21</v>
      </c>
      <c r="AK24" s="79">
        <v>21</v>
      </c>
      <c r="AL24" s="79">
        <v>17</v>
      </c>
      <c r="AM24" s="79">
        <v>27</v>
      </c>
      <c r="AN24" s="79">
        <v>38</v>
      </c>
      <c r="AO24" s="79">
        <v>24</v>
      </c>
      <c r="AP24" s="79">
        <v>30</v>
      </c>
      <c r="AQ24" s="79">
        <v>23</v>
      </c>
      <c r="AR24" s="79">
        <v>17</v>
      </c>
      <c r="AS24" s="79">
        <v>17</v>
      </c>
      <c r="AT24" s="79">
        <v>27</v>
      </c>
      <c r="AU24" s="79">
        <v>31</v>
      </c>
      <c r="AV24" s="79">
        <v>26</v>
      </c>
      <c r="AW24" s="79">
        <v>34</v>
      </c>
      <c r="AX24" s="79">
        <v>24</v>
      </c>
      <c r="AY24" s="79">
        <v>23</v>
      </c>
      <c r="AZ24" s="79">
        <v>17</v>
      </c>
      <c r="BA24" s="79">
        <v>21</v>
      </c>
      <c r="BB24" s="79">
        <v>37</v>
      </c>
      <c r="BC24" s="79">
        <v>10</v>
      </c>
      <c r="BD24" s="79">
        <v>17</v>
      </c>
      <c r="BE24" s="79">
        <v>17</v>
      </c>
      <c r="BF24" s="79">
        <v>21</v>
      </c>
      <c r="BG24" s="79">
        <v>32</v>
      </c>
      <c r="BH24" s="79">
        <v>31</v>
      </c>
      <c r="BI24" s="79">
        <v>27</v>
      </c>
      <c r="BJ24" s="79">
        <v>23</v>
      </c>
      <c r="BK24" s="79">
        <v>16</v>
      </c>
      <c r="BL24" s="79">
        <v>28</v>
      </c>
      <c r="BM24" s="79">
        <v>35</v>
      </c>
      <c r="BN24" s="79">
        <v>35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7</v>
      </c>
      <c r="P25" s="36">
        <f t="shared" si="3"/>
        <v>5</v>
      </c>
      <c r="Q25" s="36">
        <f t="shared" si="3"/>
        <v>8</v>
      </c>
      <c r="R25" s="36">
        <f t="shared" si="3"/>
        <v>5</v>
      </c>
      <c r="S25" s="36">
        <f t="shared" si="3"/>
        <v>4</v>
      </c>
      <c r="T25" s="36">
        <f t="shared" si="3"/>
        <v>4</v>
      </c>
      <c r="U25" s="36">
        <f t="shared" si="3"/>
        <v>8</v>
      </c>
      <c r="V25" s="36">
        <f t="shared" si="3"/>
        <v>4</v>
      </c>
      <c r="W25" s="36">
        <f t="shared" si="3"/>
        <v>4</v>
      </c>
      <c r="X25" s="36">
        <f t="shared" si="3"/>
        <v>7</v>
      </c>
      <c r="Y25" s="36">
        <f t="shared" si="3"/>
        <v>5</v>
      </c>
      <c r="Z25" s="36">
        <f t="shared" si="3"/>
        <v>5</v>
      </c>
      <c r="AA25" s="36">
        <f t="shared" si="3"/>
        <v>6</v>
      </c>
      <c r="AB25" s="36">
        <f t="shared" si="3"/>
        <v>4</v>
      </c>
      <c r="AC25" s="36">
        <f t="shared" si="3"/>
        <v>4</v>
      </c>
      <c r="AD25" s="36">
        <f t="shared" si="3"/>
        <v>4</v>
      </c>
      <c r="AE25" s="36">
        <f t="shared" si="3"/>
        <v>3</v>
      </c>
      <c r="AF25" s="36">
        <f t="shared" si="3"/>
        <v>3</v>
      </c>
      <c r="AG25" s="36">
        <f t="shared" si="3"/>
        <v>3</v>
      </c>
      <c r="AH25" s="36">
        <f t="shared" si="3"/>
        <v>6</v>
      </c>
      <c r="AI25" s="36">
        <f t="shared" si="3"/>
        <v>5</v>
      </c>
      <c r="AJ25" s="36">
        <f t="shared" si="3"/>
        <v>5</v>
      </c>
      <c r="AK25" s="36">
        <f t="shared" si="3"/>
        <v>7</v>
      </c>
      <c r="AL25" s="36">
        <f t="shared" si="3"/>
        <v>6</v>
      </c>
      <c r="AM25" s="36">
        <f t="shared" si="3"/>
        <v>6</v>
      </c>
      <c r="AN25" s="36">
        <f t="shared" si="3"/>
        <v>5</v>
      </c>
      <c r="AO25" s="36">
        <f t="shared" si="3"/>
        <v>3</v>
      </c>
      <c r="AP25" s="36">
        <f t="shared" si="3"/>
        <v>4</v>
      </c>
      <c r="AQ25" s="36">
        <f t="shared" si="3"/>
        <v>6</v>
      </c>
      <c r="AR25" s="36">
        <f t="shared" si="3"/>
        <v>6</v>
      </c>
      <c r="AS25" s="36">
        <f t="shared" si="3"/>
        <v>5</v>
      </c>
      <c r="AT25" s="36">
        <f t="shared" si="3"/>
        <v>2</v>
      </c>
      <c r="AU25" s="36">
        <f t="shared" si="3"/>
        <v>6</v>
      </c>
      <c r="AV25" s="36">
        <f t="shared" si="3"/>
        <v>7</v>
      </c>
      <c r="AW25" s="36">
        <f t="shared" si="3"/>
        <v>1</v>
      </c>
      <c r="AX25" s="36">
        <f t="shared" si="3"/>
        <v>5</v>
      </c>
      <c r="AY25" s="36">
        <f t="shared" si="3"/>
        <v>5</v>
      </c>
      <c r="AZ25" s="36">
        <f t="shared" si="3"/>
        <v>6</v>
      </c>
      <c r="BA25" s="36">
        <f t="shared" si="3"/>
        <v>6</v>
      </c>
      <c r="BB25" s="36">
        <f t="shared" si="3"/>
        <v>5</v>
      </c>
      <c r="BC25" s="36">
        <f t="shared" si="3"/>
        <v>6</v>
      </c>
      <c r="BD25" s="36">
        <f t="shared" si="3"/>
        <v>5</v>
      </c>
      <c r="BE25" s="36">
        <f t="shared" si="3"/>
        <v>5</v>
      </c>
      <c r="BF25" s="36">
        <f t="shared" si="3"/>
        <v>5</v>
      </c>
      <c r="BG25" s="36">
        <f t="shared" si="3"/>
        <v>7</v>
      </c>
      <c r="BH25" s="36">
        <f t="shared" si="3"/>
        <v>5</v>
      </c>
      <c r="BI25" s="36">
        <f t="shared" si="3"/>
        <v>5</v>
      </c>
      <c r="BJ25" s="36">
        <f t="shared" si="3"/>
        <v>7</v>
      </c>
      <c r="BK25" s="36">
        <f t="shared" si="3"/>
        <v>7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4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6</v>
      </c>
      <c r="L26" s="71">
        <f t="shared" ref="L26:BN26" si="4">ABS((L23-L24)-($D21-$D22))</f>
        <v>14</v>
      </c>
      <c r="M26" s="71">
        <f t="shared" si="4"/>
        <v>4</v>
      </c>
      <c r="N26" s="71">
        <f t="shared" si="4"/>
        <v>7</v>
      </c>
      <c r="O26" s="71">
        <f t="shared" si="4"/>
        <v>7</v>
      </c>
      <c r="P26" s="71">
        <f t="shared" si="4"/>
        <v>2</v>
      </c>
      <c r="Q26" s="71">
        <f t="shared" si="4"/>
        <v>5</v>
      </c>
      <c r="R26" s="71">
        <f t="shared" si="4"/>
        <v>5</v>
      </c>
      <c r="S26" s="71">
        <f t="shared" si="4"/>
        <v>8</v>
      </c>
      <c r="T26" s="71">
        <f t="shared" si="4"/>
        <v>0</v>
      </c>
      <c r="U26" s="71">
        <f t="shared" si="4"/>
        <v>6</v>
      </c>
      <c r="V26" s="71">
        <f t="shared" si="4"/>
        <v>8</v>
      </c>
      <c r="W26" s="71">
        <f t="shared" si="4"/>
        <v>0</v>
      </c>
      <c r="X26" s="71">
        <f t="shared" si="4"/>
        <v>0</v>
      </c>
      <c r="Y26" s="71">
        <f t="shared" si="4"/>
        <v>7</v>
      </c>
      <c r="Z26" s="71">
        <f t="shared" si="4"/>
        <v>8</v>
      </c>
      <c r="AA26" s="71">
        <f t="shared" si="4"/>
        <v>4</v>
      </c>
      <c r="AB26" s="71">
        <f t="shared" si="4"/>
        <v>6</v>
      </c>
      <c r="AC26" s="71">
        <f t="shared" si="4"/>
        <v>4</v>
      </c>
      <c r="AD26" s="71">
        <f t="shared" si="4"/>
        <v>13</v>
      </c>
      <c r="AE26" s="71">
        <f t="shared" si="4"/>
        <v>17</v>
      </c>
      <c r="AF26" s="71">
        <f t="shared" si="4"/>
        <v>4</v>
      </c>
      <c r="AG26" s="71">
        <f t="shared" si="4"/>
        <v>0</v>
      </c>
      <c r="AH26" s="71">
        <f t="shared" si="4"/>
        <v>10</v>
      </c>
      <c r="AI26" s="71">
        <f t="shared" si="4"/>
        <v>10</v>
      </c>
      <c r="AJ26" s="71">
        <f t="shared" si="4"/>
        <v>0</v>
      </c>
      <c r="AK26" s="71">
        <f t="shared" si="4"/>
        <v>0</v>
      </c>
      <c r="AL26" s="71">
        <f t="shared" si="4"/>
        <v>4</v>
      </c>
      <c r="AM26" s="71">
        <f t="shared" si="4"/>
        <v>6</v>
      </c>
      <c r="AN26" s="71">
        <f t="shared" si="4"/>
        <v>1</v>
      </c>
      <c r="AO26" s="71">
        <f t="shared" si="4"/>
        <v>10</v>
      </c>
      <c r="AP26" s="71">
        <f t="shared" si="4"/>
        <v>23</v>
      </c>
      <c r="AQ26" s="71">
        <f t="shared" si="4"/>
        <v>20</v>
      </c>
      <c r="AR26" s="71">
        <f t="shared" si="4"/>
        <v>1</v>
      </c>
      <c r="AS26" s="71">
        <f t="shared" si="4"/>
        <v>0</v>
      </c>
      <c r="AT26" s="71">
        <f t="shared" si="4"/>
        <v>3</v>
      </c>
      <c r="AU26" s="71">
        <f t="shared" si="4"/>
        <v>7</v>
      </c>
      <c r="AV26" s="71">
        <f t="shared" si="4"/>
        <v>2</v>
      </c>
      <c r="AW26" s="71">
        <f t="shared" si="4"/>
        <v>10</v>
      </c>
      <c r="AX26" s="71">
        <f t="shared" si="4"/>
        <v>8</v>
      </c>
      <c r="AY26" s="71">
        <f t="shared" si="4"/>
        <v>5</v>
      </c>
      <c r="AZ26" s="71">
        <f t="shared" si="4"/>
        <v>4</v>
      </c>
      <c r="BA26" s="71">
        <f t="shared" si="4"/>
        <v>11</v>
      </c>
      <c r="BB26" s="71">
        <f t="shared" si="4"/>
        <v>4</v>
      </c>
      <c r="BC26" s="71">
        <f t="shared" si="4"/>
        <v>4</v>
      </c>
      <c r="BD26" s="71">
        <f t="shared" si="4"/>
        <v>7</v>
      </c>
      <c r="BE26" s="71">
        <f t="shared" si="4"/>
        <v>0</v>
      </c>
      <c r="BF26" s="71">
        <f t="shared" si="4"/>
        <v>10</v>
      </c>
      <c r="BG26" s="71">
        <f t="shared" si="4"/>
        <v>13</v>
      </c>
      <c r="BH26" s="71">
        <f t="shared" si="4"/>
        <v>14</v>
      </c>
      <c r="BI26" s="71">
        <f t="shared" si="4"/>
        <v>11</v>
      </c>
      <c r="BJ26" s="71">
        <f t="shared" si="4"/>
        <v>2</v>
      </c>
      <c r="BK26" s="71">
        <f t="shared" si="4"/>
        <v>1</v>
      </c>
      <c r="BL26" s="71">
        <f t="shared" si="4"/>
        <v>0</v>
      </c>
      <c r="BM26" s="71">
        <f t="shared" si="4"/>
        <v>10</v>
      </c>
      <c r="BN26" s="71">
        <f t="shared" si="4"/>
        <v>0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58</v>
      </c>
      <c r="L27" s="71">
        <f t="shared" ref="L27:BN27" si="5">ABS(($D21+$D22)-(L23+L24))</f>
        <v>56</v>
      </c>
      <c r="M27" s="71">
        <f t="shared" si="5"/>
        <v>20</v>
      </c>
      <c r="N27" s="71">
        <f t="shared" si="5"/>
        <v>23</v>
      </c>
      <c r="O27" s="71">
        <f t="shared" si="5"/>
        <v>51</v>
      </c>
      <c r="P27" s="71">
        <f t="shared" si="5"/>
        <v>18</v>
      </c>
      <c r="Q27" s="71">
        <f t="shared" si="5"/>
        <v>91</v>
      </c>
      <c r="R27" s="71">
        <f t="shared" si="5"/>
        <v>35</v>
      </c>
      <c r="S27" s="71">
        <f t="shared" si="5"/>
        <v>22</v>
      </c>
      <c r="T27" s="71">
        <f t="shared" si="5"/>
        <v>28</v>
      </c>
      <c r="U27" s="71">
        <f t="shared" si="5"/>
        <v>30</v>
      </c>
      <c r="V27" s="71">
        <f t="shared" si="5"/>
        <v>36</v>
      </c>
      <c r="W27" s="71">
        <f t="shared" si="5"/>
        <v>30</v>
      </c>
      <c r="X27" s="71">
        <f t="shared" si="5"/>
        <v>44</v>
      </c>
      <c r="Y27" s="71">
        <f t="shared" si="5"/>
        <v>23</v>
      </c>
      <c r="Z27" s="71">
        <f t="shared" si="5"/>
        <v>40</v>
      </c>
      <c r="AA27" s="71">
        <f t="shared" si="5"/>
        <v>26</v>
      </c>
      <c r="AB27" s="71">
        <f t="shared" si="5"/>
        <v>30</v>
      </c>
      <c r="AC27" s="71">
        <f t="shared" si="5"/>
        <v>40</v>
      </c>
      <c r="AD27" s="71">
        <f t="shared" si="5"/>
        <v>37</v>
      </c>
      <c r="AE27" s="71">
        <f t="shared" si="5"/>
        <v>37</v>
      </c>
      <c r="AF27" s="71">
        <f t="shared" si="5"/>
        <v>26</v>
      </c>
      <c r="AG27" s="71">
        <f t="shared" si="5"/>
        <v>52</v>
      </c>
      <c r="AH27" s="71">
        <f t="shared" si="5"/>
        <v>34</v>
      </c>
      <c r="AI27" s="71">
        <f t="shared" si="5"/>
        <v>40</v>
      </c>
      <c r="AJ27" s="71">
        <f t="shared" si="5"/>
        <v>30</v>
      </c>
      <c r="AK27" s="71">
        <f t="shared" si="5"/>
        <v>30</v>
      </c>
      <c r="AL27" s="71">
        <f t="shared" si="5"/>
        <v>26</v>
      </c>
      <c r="AM27" s="71">
        <f t="shared" si="5"/>
        <v>36</v>
      </c>
      <c r="AN27" s="71">
        <f t="shared" si="5"/>
        <v>65</v>
      </c>
      <c r="AO27" s="71">
        <f t="shared" si="5"/>
        <v>26</v>
      </c>
      <c r="AP27" s="71">
        <f t="shared" si="5"/>
        <v>25</v>
      </c>
      <c r="AQ27" s="71">
        <f t="shared" si="5"/>
        <v>54</v>
      </c>
      <c r="AR27" s="71">
        <f t="shared" si="5"/>
        <v>23</v>
      </c>
      <c r="AS27" s="71">
        <f t="shared" si="5"/>
        <v>22</v>
      </c>
      <c r="AT27" s="71">
        <f t="shared" si="5"/>
        <v>45</v>
      </c>
      <c r="AU27" s="71">
        <f t="shared" si="5"/>
        <v>43</v>
      </c>
      <c r="AV27" s="71">
        <f t="shared" si="5"/>
        <v>42</v>
      </c>
      <c r="AW27" s="71">
        <f t="shared" si="5"/>
        <v>46</v>
      </c>
      <c r="AX27" s="71">
        <f t="shared" si="5"/>
        <v>44</v>
      </c>
      <c r="AY27" s="71">
        <f t="shared" si="5"/>
        <v>39</v>
      </c>
      <c r="AZ27" s="71">
        <f t="shared" si="5"/>
        <v>26</v>
      </c>
      <c r="BA27" s="71">
        <f t="shared" si="5"/>
        <v>41</v>
      </c>
      <c r="BB27" s="71">
        <f t="shared" si="5"/>
        <v>66</v>
      </c>
      <c r="BC27" s="71">
        <f t="shared" si="5"/>
        <v>12</v>
      </c>
      <c r="BD27" s="71">
        <f t="shared" si="5"/>
        <v>29</v>
      </c>
      <c r="BE27" s="71">
        <f t="shared" si="5"/>
        <v>22</v>
      </c>
      <c r="BF27" s="71">
        <f t="shared" si="5"/>
        <v>20</v>
      </c>
      <c r="BG27" s="71">
        <f t="shared" si="5"/>
        <v>39</v>
      </c>
      <c r="BH27" s="71">
        <f t="shared" si="5"/>
        <v>36</v>
      </c>
      <c r="BI27" s="71">
        <f t="shared" si="5"/>
        <v>31</v>
      </c>
      <c r="BJ27" s="71">
        <f t="shared" si="5"/>
        <v>36</v>
      </c>
      <c r="BK27" s="71">
        <f t="shared" si="5"/>
        <v>21</v>
      </c>
      <c r="BL27" s="71">
        <f t="shared" si="5"/>
        <v>44</v>
      </c>
      <c r="BM27" s="71">
        <f t="shared" si="5"/>
        <v>48</v>
      </c>
      <c r="BN27" s="71">
        <f t="shared" si="5"/>
        <v>58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>
        <f t="shared" ca="1" si="6"/>
        <v>1</v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0.50535714285714284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2</v>
      </c>
      <c r="M29" s="71">
        <f t="shared" si="7"/>
        <v>6</v>
      </c>
      <c r="N29" s="71">
        <f t="shared" si="7"/>
        <v>7</v>
      </c>
      <c r="O29" s="71">
        <f t="shared" si="7"/>
        <v>5</v>
      </c>
      <c r="P29" s="71">
        <f t="shared" si="7"/>
        <v>5</v>
      </c>
      <c r="Q29" s="71">
        <f t="shared" si="7"/>
        <v>6</v>
      </c>
      <c r="R29" s="71">
        <f t="shared" si="7"/>
        <v>9</v>
      </c>
      <c r="S29" s="71">
        <f t="shared" si="7"/>
        <v>6</v>
      </c>
      <c r="T29" s="71">
        <f t="shared" si="7"/>
        <v>8</v>
      </c>
      <c r="U29" s="71">
        <f t="shared" si="7"/>
        <v>6</v>
      </c>
      <c r="V29" s="71">
        <f t="shared" si="7"/>
        <v>8</v>
      </c>
      <c r="W29" s="71">
        <f t="shared" si="7"/>
        <v>6</v>
      </c>
      <c r="X29" s="71">
        <f t="shared" si="7"/>
        <v>7</v>
      </c>
      <c r="Y29" s="71">
        <f t="shared" si="7"/>
        <v>7</v>
      </c>
      <c r="Z29" s="71">
        <f t="shared" si="7"/>
        <v>3</v>
      </c>
      <c r="AA29" s="71">
        <f t="shared" si="7"/>
        <v>6</v>
      </c>
      <c r="AB29" s="71">
        <f t="shared" si="7"/>
        <v>4</v>
      </c>
      <c r="AC29" s="71">
        <f t="shared" si="7"/>
        <v>10</v>
      </c>
      <c r="AD29" s="71">
        <f t="shared" si="7"/>
        <v>4</v>
      </c>
      <c r="AE29" s="71">
        <f t="shared" si="7"/>
        <v>3</v>
      </c>
      <c r="AF29" s="71">
        <f t="shared" si="7"/>
        <v>5</v>
      </c>
      <c r="AG29" s="71">
        <f t="shared" si="7"/>
        <v>9</v>
      </c>
      <c r="AH29" s="71">
        <f t="shared" si="7"/>
        <v>4</v>
      </c>
      <c r="AI29" s="71">
        <f t="shared" si="7"/>
        <v>5</v>
      </c>
      <c r="AJ29" s="71">
        <f t="shared" si="7"/>
        <v>7</v>
      </c>
      <c r="AK29" s="71">
        <f t="shared" si="7"/>
        <v>5</v>
      </c>
      <c r="AL29" s="71">
        <f t="shared" si="7"/>
        <v>4</v>
      </c>
      <c r="AM29" s="71">
        <f t="shared" si="7"/>
        <v>4</v>
      </c>
      <c r="AN29" s="71">
        <f t="shared" si="7"/>
        <v>9</v>
      </c>
      <c r="AO29" s="71">
        <f t="shared" si="7"/>
        <v>7</v>
      </c>
      <c r="AP29" s="71">
        <f t="shared" si="7"/>
        <v>4</v>
      </c>
      <c r="AQ29" s="71">
        <f t="shared" si="7"/>
        <v>6</v>
      </c>
      <c r="AR29" s="71">
        <f t="shared" si="7"/>
        <v>4</v>
      </c>
      <c r="AS29" s="71">
        <f t="shared" si="7"/>
        <v>5</v>
      </c>
      <c r="AT29" s="71">
        <f t="shared" si="7"/>
        <v>6</v>
      </c>
      <c r="AU29" s="71">
        <f t="shared" si="7"/>
        <v>8</v>
      </c>
      <c r="AV29" s="71">
        <f t="shared" si="7"/>
        <v>7</v>
      </c>
      <c r="AW29" s="71">
        <f t="shared" si="7"/>
        <v>5</v>
      </c>
      <c r="AX29" s="71">
        <f t="shared" si="7"/>
        <v>7</v>
      </c>
      <c r="AY29" s="71">
        <f t="shared" si="7"/>
        <v>7</v>
      </c>
      <c r="AZ29" s="71">
        <f t="shared" si="7"/>
        <v>2</v>
      </c>
      <c r="BA29" s="71">
        <f t="shared" si="7"/>
        <v>6</v>
      </c>
      <c r="BB29" s="71">
        <f t="shared" si="7"/>
        <v>7</v>
      </c>
      <c r="BC29" s="71">
        <f t="shared" si="7"/>
        <v>6</v>
      </c>
      <c r="BD29" s="71">
        <f t="shared" si="7"/>
        <v>7</v>
      </c>
      <c r="BE29" s="71">
        <f t="shared" si="7"/>
        <v>7</v>
      </c>
      <c r="BF29" s="71">
        <f t="shared" si="7"/>
        <v>5</v>
      </c>
      <c r="BG29" s="71">
        <f t="shared" si="7"/>
        <v>3</v>
      </c>
      <c r="BH29" s="71">
        <f t="shared" si="7"/>
        <v>3</v>
      </c>
      <c r="BI29" s="71">
        <f t="shared" si="7"/>
        <v>5</v>
      </c>
      <c r="BJ29" s="71">
        <f t="shared" si="7"/>
        <v>7</v>
      </c>
      <c r="BK29" s="71">
        <f t="shared" si="7"/>
        <v>3</v>
      </c>
      <c r="BL29" s="71">
        <f t="shared" si="7"/>
        <v>5</v>
      </c>
      <c r="BM29" s="71">
        <f t="shared" si="7"/>
        <v>6</v>
      </c>
      <c r="BN29" s="71">
        <f t="shared" si="7"/>
        <v>4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7</v>
      </c>
      <c r="M30" s="73">
        <f t="shared" si="8"/>
        <v>5</v>
      </c>
      <c r="N30" s="73">
        <f t="shared" si="8"/>
        <v>4</v>
      </c>
      <c r="O30" s="73">
        <f t="shared" si="8"/>
        <v>2</v>
      </c>
      <c r="P30" s="73">
        <f t="shared" si="8"/>
        <v>4</v>
      </c>
      <c r="Q30" s="73">
        <f t="shared" si="8"/>
        <v>7</v>
      </c>
      <c r="R30" s="73">
        <f t="shared" si="8"/>
        <v>6</v>
      </c>
      <c r="S30" s="73">
        <f t="shared" si="8"/>
        <v>1</v>
      </c>
      <c r="T30" s="73">
        <f t="shared" si="8"/>
        <v>3</v>
      </c>
      <c r="U30" s="73">
        <f t="shared" si="8"/>
        <v>5</v>
      </c>
      <c r="V30" s="73">
        <f t="shared" si="8"/>
        <v>3</v>
      </c>
      <c r="W30" s="73">
        <f t="shared" si="8"/>
        <v>5</v>
      </c>
      <c r="X30" s="73">
        <f t="shared" si="8"/>
        <v>2</v>
      </c>
      <c r="Y30" s="73">
        <f t="shared" si="8"/>
        <v>2</v>
      </c>
      <c r="Z30" s="73">
        <f t="shared" si="8"/>
        <v>6</v>
      </c>
      <c r="AA30" s="73">
        <f t="shared" si="8"/>
        <v>5</v>
      </c>
      <c r="AB30" s="73">
        <f t="shared" si="8"/>
        <v>3</v>
      </c>
      <c r="AC30" s="73">
        <f t="shared" si="8"/>
        <v>5</v>
      </c>
      <c r="AD30" s="73">
        <f t="shared" si="8"/>
        <v>5</v>
      </c>
      <c r="AE30" s="73">
        <f t="shared" si="8"/>
        <v>4</v>
      </c>
      <c r="AF30" s="73">
        <f t="shared" si="8"/>
        <v>6</v>
      </c>
      <c r="AG30" s="73">
        <f t="shared" si="8"/>
        <v>4</v>
      </c>
      <c r="AH30" s="73">
        <f t="shared" si="8"/>
        <v>3</v>
      </c>
      <c r="AI30" s="73">
        <f t="shared" si="8"/>
        <v>0</v>
      </c>
      <c r="AJ30" s="73">
        <f t="shared" si="8"/>
        <v>4</v>
      </c>
      <c r="AK30" s="73">
        <f t="shared" si="8"/>
        <v>2</v>
      </c>
      <c r="AL30" s="73">
        <f t="shared" si="8"/>
        <v>5</v>
      </c>
      <c r="AM30" s="73">
        <f t="shared" si="8"/>
        <v>3</v>
      </c>
      <c r="AN30" s="73">
        <f t="shared" si="8"/>
        <v>4</v>
      </c>
      <c r="AO30" s="73">
        <f t="shared" si="8"/>
        <v>4</v>
      </c>
      <c r="AP30" s="73">
        <f t="shared" si="8"/>
        <v>1</v>
      </c>
      <c r="AQ30" s="73">
        <f t="shared" si="8"/>
        <v>5</v>
      </c>
      <c r="AR30" s="73">
        <f t="shared" si="8"/>
        <v>5</v>
      </c>
      <c r="AS30" s="73">
        <f t="shared" si="8"/>
        <v>8</v>
      </c>
      <c r="AT30" s="73">
        <f t="shared" si="8"/>
        <v>5</v>
      </c>
      <c r="AU30" s="73">
        <f t="shared" si="8"/>
        <v>5</v>
      </c>
      <c r="AV30" s="73">
        <f t="shared" si="8"/>
        <v>4</v>
      </c>
      <c r="AW30" s="73">
        <f t="shared" si="8"/>
        <v>4</v>
      </c>
      <c r="AX30" s="73">
        <f t="shared" si="8"/>
        <v>8</v>
      </c>
      <c r="AY30" s="73">
        <f t="shared" si="8"/>
        <v>4</v>
      </c>
      <c r="AZ30" s="73">
        <f t="shared" si="8"/>
        <v>5</v>
      </c>
      <c r="BA30" s="73">
        <f t="shared" si="8"/>
        <v>7</v>
      </c>
      <c r="BB30" s="73">
        <f t="shared" si="8"/>
        <v>6</v>
      </c>
      <c r="BC30" s="73">
        <f t="shared" si="8"/>
        <v>3</v>
      </c>
      <c r="BD30" s="73">
        <f t="shared" si="8"/>
        <v>6</v>
      </c>
      <c r="BE30" s="73">
        <f t="shared" si="8"/>
        <v>6</v>
      </c>
      <c r="BF30" s="73">
        <f t="shared" si="8"/>
        <v>2</v>
      </c>
      <c r="BG30" s="73">
        <f t="shared" si="8"/>
        <v>6</v>
      </c>
      <c r="BH30" s="73">
        <f t="shared" si="8"/>
        <v>8</v>
      </c>
      <c r="BI30" s="73">
        <f t="shared" si="8"/>
        <v>4</v>
      </c>
      <c r="BJ30" s="73">
        <f t="shared" si="8"/>
        <v>2</v>
      </c>
      <c r="BK30" s="73">
        <f t="shared" si="8"/>
        <v>4</v>
      </c>
      <c r="BL30" s="73">
        <f t="shared" si="8"/>
        <v>6</v>
      </c>
      <c r="BM30" s="73">
        <f t="shared" si="8"/>
        <v>3</v>
      </c>
      <c r="BN30" s="73">
        <f t="shared" si="8"/>
        <v>3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8</v>
      </c>
      <c r="M31" s="71">
        <f t="shared" ca="1" si="9"/>
        <v>4</v>
      </c>
      <c r="N31" s="71">
        <f t="shared" ca="1" si="9"/>
        <v>3</v>
      </c>
      <c r="O31" s="71">
        <f t="shared" ca="1" si="9"/>
        <v>1</v>
      </c>
      <c r="P31" s="71">
        <f t="shared" ca="1" si="9"/>
        <v>3</v>
      </c>
      <c r="Q31" s="71">
        <f t="shared" ca="1" si="9"/>
        <v>6</v>
      </c>
      <c r="R31" s="71">
        <f t="shared" ca="1" si="9"/>
        <v>5</v>
      </c>
      <c r="S31" s="71">
        <f t="shared" ca="1" si="9"/>
        <v>2</v>
      </c>
      <c r="T31" s="71">
        <f t="shared" ca="1" si="9"/>
        <v>2</v>
      </c>
      <c r="U31" s="71">
        <f t="shared" ca="1" si="9"/>
        <v>4</v>
      </c>
      <c r="V31" s="71">
        <f t="shared" ca="1" si="9"/>
        <v>4</v>
      </c>
      <c r="W31" s="71">
        <f t="shared" ca="1" si="9"/>
        <v>4</v>
      </c>
      <c r="X31" s="71">
        <f t="shared" ca="1" si="9"/>
        <v>1</v>
      </c>
      <c r="Y31" s="71">
        <f t="shared" ca="1" si="9"/>
        <v>1</v>
      </c>
      <c r="Z31" s="71">
        <f t="shared" ca="1" si="9"/>
        <v>7</v>
      </c>
      <c r="AA31" s="71">
        <f t="shared" ca="1" si="9"/>
        <v>4</v>
      </c>
      <c r="AB31" s="71">
        <f t="shared" ca="1" si="9"/>
        <v>2</v>
      </c>
      <c r="AC31" s="71">
        <f t="shared" ca="1" si="9"/>
        <v>4</v>
      </c>
      <c r="AD31" s="71">
        <f t="shared" ca="1" si="9"/>
        <v>6</v>
      </c>
      <c r="AE31" s="71">
        <f t="shared" ca="1" si="9"/>
        <v>5</v>
      </c>
      <c r="AF31" s="71">
        <f t="shared" ca="1" si="9"/>
        <v>5</v>
      </c>
      <c r="AG31" s="71">
        <f t="shared" ca="1" si="9"/>
        <v>3</v>
      </c>
      <c r="AH31" s="71">
        <f t="shared" ca="1" si="9"/>
        <v>4</v>
      </c>
      <c r="AI31" s="71">
        <f t="shared" ca="1" si="9"/>
        <v>1</v>
      </c>
      <c r="AJ31" s="71">
        <f t="shared" ca="1" si="9"/>
        <v>3</v>
      </c>
      <c r="AK31" s="71">
        <f t="shared" ca="1" si="9"/>
        <v>1</v>
      </c>
      <c r="AL31" s="71">
        <f t="shared" ca="1" si="9"/>
        <v>4</v>
      </c>
      <c r="AM31" s="71">
        <f t="shared" ca="1" si="9"/>
        <v>2</v>
      </c>
      <c r="AN31" s="71">
        <f t="shared" ca="1" si="9"/>
        <v>3</v>
      </c>
      <c r="AO31" s="71">
        <f t="shared" ca="1" si="9"/>
        <v>5</v>
      </c>
      <c r="AP31" s="71">
        <f t="shared" ca="1" si="9"/>
        <v>2</v>
      </c>
      <c r="AQ31" s="71">
        <f t="shared" ca="1" si="9"/>
        <v>4</v>
      </c>
      <c r="AR31" s="71">
        <f t="shared" ca="1" si="9"/>
        <v>4</v>
      </c>
      <c r="AS31" s="71">
        <f t="shared" ca="1" si="9"/>
        <v>7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5</v>
      </c>
      <c r="AX31" s="71">
        <f t="shared" ca="1" si="9"/>
        <v>7</v>
      </c>
      <c r="AY31" s="71">
        <f t="shared" ca="1" si="9"/>
        <v>3</v>
      </c>
      <c r="AZ31" s="71">
        <f t="shared" ca="1" si="9"/>
        <v>4</v>
      </c>
      <c r="BA31" s="71">
        <f t="shared" ca="1" si="9"/>
        <v>6</v>
      </c>
      <c r="BB31" s="71">
        <f t="shared" ca="1" si="9"/>
        <v>5</v>
      </c>
      <c r="BC31" s="71">
        <f t="shared" ca="1" si="9"/>
        <v>2</v>
      </c>
      <c r="BD31" s="71">
        <f t="shared" ca="1" si="9"/>
        <v>5</v>
      </c>
      <c r="BE31" s="71">
        <f t="shared" ca="1" si="9"/>
        <v>5</v>
      </c>
      <c r="BF31" s="71">
        <f t="shared" ca="1" si="9"/>
        <v>3</v>
      </c>
      <c r="BG31" s="71">
        <f t="shared" ca="1" si="9"/>
        <v>7</v>
      </c>
      <c r="BH31" s="71">
        <f t="shared" ca="1" si="9"/>
        <v>9</v>
      </c>
      <c r="BI31" s="71">
        <f t="shared" ca="1" si="9"/>
        <v>5</v>
      </c>
      <c r="BJ31" s="71">
        <f t="shared" ca="1" si="9"/>
        <v>1</v>
      </c>
      <c r="BK31" s="71">
        <f t="shared" ca="1" si="9"/>
        <v>3</v>
      </c>
      <c r="BL31" s="71">
        <f t="shared" ca="1" si="9"/>
        <v>5</v>
      </c>
      <c r="BM31" s="71">
        <f t="shared" ca="1" si="9"/>
        <v>4</v>
      </c>
      <c r="BN31" s="71">
        <f t="shared" ca="1" si="9"/>
        <v>2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101975768</v>
      </c>
      <c r="L36" s="32">
        <f t="shared" ref="L36:BN36" si="12">COUNTA(L23:L24)*((10000000*L25)+(1000000*(COUNTA(L21)*$E21+COUNTA(L22)*$E22))-(COUNTA($D$21:$D$22)*1000*L26)-(COUNTA($D$21:$D$22)*L27))</f>
        <v>119943776</v>
      </c>
      <c r="M36" s="32">
        <f t="shared" si="12"/>
        <v>81983920</v>
      </c>
      <c r="N36" s="32">
        <f t="shared" si="12"/>
        <v>61971908</v>
      </c>
      <c r="O36" s="32">
        <f t="shared" si="12"/>
        <v>141971796</v>
      </c>
      <c r="P36" s="32">
        <f t="shared" si="12"/>
        <v>101991928</v>
      </c>
      <c r="Q36" s="32">
        <f t="shared" si="12"/>
        <v>161979636</v>
      </c>
      <c r="R36" s="32">
        <f t="shared" si="12"/>
        <v>101979860</v>
      </c>
      <c r="S36" s="32">
        <f t="shared" si="12"/>
        <v>79967912</v>
      </c>
      <c r="T36" s="32">
        <f t="shared" si="12"/>
        <v>81999888</v>
      </c>
      <c r="U36" s="32">
        <f t="shared" si="12"/>
        <v>161975880</v>
      </c>
      <c r="V36" s="32">
        <f t="shared" si="12"/>
        <v>79967856</v>
      </c>
      <c r="W36" s="32">
        <f t="shared" si="12"/>
        <v>81999880</v>
      </c>
      <c r="X36" s="32">
        <f t="shared" si="12"/>
        <v>141999824</v>
      </c>
      <c r="Y36" s="32">
        <f t="shared" si="12"/>
        <v>101971908</v>
      </c>
      <c r="Z36" s="32">
        <f t="shared" si="12"/>
        <v>99967840</v>
      </c>
      <c r="AA36" s="32">
        <f t="shared" si="12"/>
        <v>121983896</v>
      </c>
      <c r="AB36" s="32">
        <f t="shared" si="12"/>
        <v>81975880</v>
      </c>
      <c r="AC36" s="32">
        <f t="shared" si="12"/>
        <v>81983840</v>
      </c>
      <c r="AD36" s="32">
        <f t="shared" si="12"/>
        <v>79947852</v>
      </c>
      <c r="AE36" s="32">
        <f t="shared" si="12"/>
        <v>59931852</v>
      </c>
      <c r="AF36" s="32">
        <f t="shared" si="12"/>
        <v>61983896</v>
      </c>
      <c r="AG36" s="32">
        <f t="shared" si="12"/>
        <v>61999792</v>
      </c>
      <c r="AH36" s="32">
        <f t="shared" si="12"/>
        <v>119959864</v>
      </c>
      <c r="AI36" s="32">
        <f t="shared" si="12"/>
        <v>99959840</v>
      </c>
      <c r="AJ36" s="32">
        <f t="shared" si="12"/>
        <v>101999880</v>
      </c>
      <c r="AK36" s="32">
        <f t="shared" si="12"/>
        <v>141999880</v>
      </c>
      <c r="AL36" s="32">
        <f t="shared" si="12"/>
        <v>121983896</v>
      </c>
      <c r="AM36" s="32">
        <f t="shared" si="12"/>
        <v>121975856</v>
      </c>
      <c r="AN36" s="32">
        <f t="shared" si="12"/>
        <v>101995740</v>
      </c>
      <c r="AO36" s="32">
        <f t="shared" si="12"/>
        <v>59959896</v>
      </c>
      <c r="AP36" s="32">
        <f t="shared" si="12"/>
        <v>79907900</v>
      </c>
      <c r="AQ36" s="32">
        <f t="shared" si="12"/>
        <v>121919784</v>
      </c>
      <c r="AR36" s="32">
        <f t="shared" si="12"/>
        <v>121995908</v>
      </c>
      <c r="AS36" s="32">
        <f t="shared" si="12"/>
        <v>101999912</v>
      </c>
      <c r="AT36" s="32">
        <f t="shared" si="12"/>
        <v>41987820</v>
      </c>
      <c r="AU36" s="32">
        <f t="shared" si="12"/>
        <v>121971828</v>
      </c>
      <c r="AV36" s="32">
        <f t="shared" si="12"/>
        <v>141991832</v>
      </c>
      <c r="AW36" s="32">
        <f t="shared" si="12"/>
        <v>19959816</v>
      </c>
      <c r="AX36" s="32">
        <f t="shared" si="12"/>
        <v>101967824</v>
      </c>
      <c r="AY36" s="32">
        <f t="shared" si="12"/>
        <v>101979844</v>
      </c>
      <c r="AZ36" s="32">
        <f t="shared" si="12"/>
        <v>121983896</v>
      </c>
      <c r="BA36" s="32">
        <f t="shared" si="12"/>
        <v>121955836</v>
      </c>
      <c r="BB36" s="32">
        <f t="shared" si="12"/>
        <v>101983736</v>
      </c>
      <c r="BC36" s="32">
        <f t="shared" si="12"/>
        <v>121983952</v>
      </c>
      <c r="BD36" s="32">
        <f t="shared" si="12"/>
        <v>101971884</v>
      </c>
      <c r="BE36" s="32">
        <f t="shared" si="12"/>
        <v>101999912</v>
      </c>
      <c r="BF36" s="32">
        <f t="shared" si="12"/>
        <v>99959920</v>
      </c>
      <c r="BG36" s="32">
        <f t="shared" si="12"/>
        <v>139947844</v>
      </c>
      <c r="BH36" s="32">
        <f t="shared" si="12"/>
        <v>99943856</v>
      </c>
      <c r="BI36" s="32">
        <f t="shared" si="12"/>
        <v>99955876</v>
      </c>
      <c r="BJ36" s="32">
        <f t="shared" si="12"/>
        <v>141991856</v>
      </c>
      <c r="BK36" s="32">
        <f t="shared" si="12"/>
        <v>141995916</v>
      </c>
      <c r="BL36" s="32">
        <f t="shared" si="12"/>
        <v>101999824</v>
      </c>
      <c r="BM36" s="32">
        <f t="shared" si="12"/>
        <v>79959808</v>
      </c>
      <c r="BN36" s="32">
        <f t="shared" si="12"/>
        <v>81999768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 x14ac:dyDescent="0.25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Brent;Holley, Jeremy Remote;Hucks, Jason;Inabinet, Greg;James, Larry C;Johnson, Robert J;Kandela, Marwan;Locklear,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74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73" priority="17" stopIfTrue="1" operator="equal">
      <formula>0</formula>
    </cfRule>
  </conditionalFormatting>
  <conditionalFormatting sqref="D26:J28 K28:BE28">
    <cfRule type="cellIs" dxfId="172" priority="16" stopIfTrue="1" operator="equal">
      <formula>1</formula>
    </cfRule>
  </conditionalFormatting>
  <conditionalFormatting sqref="H3:I3 F23 H5:I5 H7:I7 H9:I9 H11:I11 H13:I13 H15:I15 H17:I17 H19:I19 H21:I21">
    <cfRule type="cellIs" dxfId="171" priority="15" stopIfTrue="1" operator="equal">
      <formula>0</formula>
    </cfRule>
  </conditionalFormatting>
  <conditionalFormatting sqref="H4:I4 F24 H6:I6 H8:I8 H10:I10 H12:I12 H14:I14 H16:I16 H18:I18 H20:I20 H22:I22">
    <cfRule type="cellIs" dxfId="170" priority="14" stopIfTrue="1" operator="equal">
      <formula>0</formula>
    </cfRule>
  </conditionalFormatting>
  <conditionalFormatting sqref="F3 F5 F7 F9 F11 F13 F15 F17 F19 F21">
    <cfRule type="cellIs" dxfId="1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68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67" priority="10" stopIfTrue="1">
      <formula>AND(COUNTA(J4)=1,$E4=1,SUM($E3:$E4)=1)</formula>
    </cfRule>
    <cfRule type="expression" dxfId="166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65" priority="8" stopIfTrue="1">
      <formula>AND(COUNTA(J3)=1,$E3=1,SUM($E3:$E4)=1)</formula>
    </cfRule>
    <cfRule type="expression" dxfId="164" priority="9" stopIfTrue="1">
      <formula>AND(COUNTA(J3)=1,$E3=0,SUM($E3:$E4)=1)</formula>
    </cfRule>
  </conditionalFormatting>
  <conditionalFormatting sqref="BF23:BN23">
    <cfRule type="cellIs" dxfId="163" priority="7" stopIfTrue="1" operator="equal">
      <formula>0</formula>
    </cfRule>
  </conditionalFormatting>
  <conditionalFormatting sqref="BF24:BN24">
    <cfRule type="cellIs" dxfId="162" priority="6" stopIfTrue="1" operator="equal">
      <formula>0</formula>
    </cfRule>
  </conditionalFormatting>
  <conditionalFormatting sqref="BF28:BN28">
    <cfRule type="cellIs" dxfId="16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60" priority="3" stopIfTrue="1">
      <formula>AND(COUNTA(BF4)=1,$E4=1,SUM($E3:$E4)=1)</formula>
    </cfRule>
    <cfRule type="expression" dxfId="15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58" priority="1" stopIfTrue="1">
      <formula>AND(COUNTA(BF3)=1,$E3=1,SUM($E3:$E4)=1)</formula>
    </cfRule>
    <cfRule type="expression" dxfId="1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29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22860</xdr:colOff>
                    <xdr:row>1</xdr:row>
                    <xdr:rowOff>106680</xdr:rowOff>
                  </from>
                  <to>
                    <xdr:col>1</xdr:col>
                    <xdr:colOff>624840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22860</xdr:colOff>
                    <xdr:row>1</xdr:row>
                    <xdr:rowOff>381000</xdr:rowOff>
                  </from>
                  <to>
                    <xdr:col>1</xdr:col>
                    <xdr:colOff>624840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16" r:id="rId6" name="Button 4">
              <controlPr defaultSize="0" print="0" autoFill="0" autoPict="0" macro="[0]!grabSayings">
                <anchor moveWithCells="1" sizeWithCells="1">
                  <from>
                    <xdr:col>1</xdr:col>
                    <xdr:colOff>22860</xdr:colOff>
                    <xdr:row>1</xdr:row>
                    <xdr:rowOff>678180</xdr:rowOff>
                  </from>
                  <to>
                    <xdr:col>1</xdr:col>
                    <xdr:colOff>739140</xdr:colOff>
                    <xdr:row>1</xdr:row>
                    <xdr:rowOff>883920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N58"/>
  <sheetViews>
    <sheetView zoomScale="90" zoomScaleNormal="100" zoomScaleSheetLayoutView="100" workbookViewId="0">
      <selection activeCell="A31" sqref="A31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6" x14ac:dyDescent="0.25">
      <c r="B1" s="6"/>
      <c r="I1">
        <f>COUNTA(K1:BL1)</f>
        <v>0</v>
      </c>
      <c r="J1">
        <f>SUM(K1:BL1)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 x14ac:dyDescent="0.25">
      <c r="A3" s="59">
        <v>1</v>
      </c>
      <c r="B3" s="67" t="s">
        <v>187</v>
      </c>
      <c r="C3" s="65"/>
      <c r="D3" s="64">
        <v>37</v>
      </c>
      <c r="E3" s="64">
        <f>IF(ISBLANK($D3),"0",IF(($D4-$D3)&lt;($C4-$C3),1,0))</f>
        <v>1</v>
      </c>
      <c r="F3" s="64">
        <f ca="1">COUNTA(INDIRECT("RC11:RC"&amp;11+playercnt-1,FALSE))</f>
        <v>22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311</v>
      </c>
      <c r="K3" s="69"/>
      <c r="L3" s="69"/>
      <c r="M3" s="69" t="s">
        <v>312</v>
      </c>
      <c r="N3" s="69"/>
      <c r="O3" s="69" t="s">
        <v>371</v>
      </c>
      <c r="P3" s="69"/>
      <c r="Q3" s="69" t="s">
        <v>318</v>
      </c>
      <c r="R3" s="69" t="s">
        <v>312</v>
      </c>
      <c r="S3" s="69"/>
      <c r="T3" s="69" t="s">
        <v>316</v>
      </c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 t="s">
        <v>355</v>
      </c>
      <c r="AG3" s="69"/>
      <c r="AH3" s="69"/>
      <c r="AI3" s="69" t="s">
        <v>338</v>
      </c>
      <c r="AJ3" s="69" t="s">
        <v>314</v>
      </c>
      <c r="AK3" s="69" t="s">
        <v>317</v>
      </c>
      <c r="AL3" s="69" t="s">
        <v>347</v>
      </c>
      <c r="AM3" s="69" t="s">
        <v>316</v>
      </c>
      <c r="AN3" s="69"/>
      <c r="AO3" s="69"/>
      <c r="AP3" s="69" t="s">
        <v>355</v>
      </c>
      <c r="AQ3" s="69"/>
      <c r="AR3" s="99" t="s">
        <v>317</v>
      </c>
      <c r="AS3" s="69" t="s">
        <v>387</v>
      </c>
      <c r="AT3" s="69" t="s">
        <v>334</v>
      </c>
      <c r="AU3" s="69"/>
      <c r="AV3" s="69"/>
      <c r="AW3" s="69" t="s">
        <v>343</v>
      </c>
      <c r="AX3" s="69"/>
      <c r="AY3" s="69" t="s">
        <v>366</v>
      </c>
      <c r="AZ3" s="69" t="s">
        <v>331</v>
      </c>
      <c r="BA3" s="69"/>
      <c r="BB3" s="69"/>
      <c r="BC3" s="69" t="s">
        <v>357</v>
      </c>
      <c r="BD3" s="69"/>
      <c r="BE3" s="69"/>
      <c r="BF3" s="69"/>
      <c r="BG3" s="69" t="s">
        <v>321</v>
      </c>
      <c r="BH3" s="69"/>
      <c r="BI3" s="69"/>
      <c r="BJ3" s="69"/>
      <c r="BK3" s="69" t="s">
        <v>472</v>
      </c>
      <c r="BL3" s="69" t="s">
        <v>317</v>
      </c>
      <c r="BM3" s="69"/>
      <c r="BN3" s="69"/>
    </row>
    <row r="4" spans="1:66" x14ac:dyDescent="0.25">
      <c r="A4" s="61" t="s">
        <v>3</v>
      </c>
      <c r="B4" s="68" t="s">
        <v>158</v>
      </c>
      <c r="C4" s="66">
        <v>0.5</v>
      </c>
      <c r="D4" s="64">
        <v>26</v>
      </c>
      <c r="E4" s="64">
        <f>IF(ISBLANK($D4),"0",IF(($D4-$D3)&gt;($C4-$C3),1,0))</f>
        <v>0</v>
      </c>
      <c r="F4" s="64">
        <f t="shared" ref="F4:F22" ca="1" si="1">COUNTA(INDIRECT("RC11:RC"&amp;11+playercnt-1,FALSE))</f>
        <v>34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312</v>
      </c>
      <c r="L4" s="70" t="s">
        <v>313</v>
      </c>
      <c r="M4" s="70"/>
      <c r="N4" s="70" t="s">
        <v>355</v>
      </c>
      <c r="O4" s="70"/>
      <c r="P4" s="70" t="s">
        <v>317</v>
      </c>
      <c r="Q4" s="70"/>
      <c r="R4" s="70"/>
      <c r="S4" s="70" t="s">
        <v>316</v>
      </c>
      <c r="T4" s="70"/>
      <c r="U4" s="70" t="s">
        <v>355</v>
      </c>
      <c r="V4" s="70" t="s">
        <v>361</v>
      </c>
      <c r="W4" s="70" t="s">
        <v>317</v>
      </c>
      <c r="X4" s="70" t="s">
        <v>312</v>
      </c>
      <c r="Y4" s="70" t="s">
        <v>314</v>
      </c>
      <c r="Z4" s="70" t="s">
        <v>338</v>
      </c>
      <c r="AA4" s="70" t="s">
        <v>354</v>
      </c>
      <c r="AB4" s="70" t="s">
        <v>317</v>
      </c>
      <c r="AC4" s="70" t="s">
        <v>343</v>
      </c>
      <c r="AD4" s="70" t="s">
        <v>317</v>
      </c>
      <c r="AE4" s="70" t="s">
        <v>355</v>
      </c>
      <c r="AF4" s="70"/>
      <c r="AG4" s="70" t="s">
        <v>331</v>
      </c>
      <c r="AH4" s="70" t="s">
        <v>316</v>
      </c>
      <c r="AI4" s="70"/>
      <c r="AJ4" s="70"/>
      <c r="AK4" s="70"/>
      <c r="AL4" s="70"/>
      <c r="AM4" s="70"/>
      <c r="AN4" s="70" t="s">
        <v>317</v>
      </c>
      <c r="AO4" s="70" t="s">
        <v>317</v>
      </c>
      <c r="AP4" s="70"/>
      <c r="AQ4" s="100" t="s">
        <v>315</v>
      </c>
      <c r="AR4" s="70"/>
      <c r="AS4" s="70"/>
      <c r="AT4" s="70"/>
      <c r="AU4" s="70" t="s">
        <v>317</v>
      </c>
      <c r="AV4" s="70" t="s">
        <v>317</v>
      </c>
      <c r="AW4" s="70"/>
      <c r="AX4" s="70" t="s">
        <v>480</v>
      </c>
      <c r="AY4" s="70"/>
      <c r="AZ4" s="70"/>
      <c r="BA4" s="70" t="s">
        <v>317</v>
      </c>
      <c r="BB4" s="70" t="s">
        <v>317</v>
      </c>
      <c r="BC4" s="70"/>
      <c r="BD4" s="70" t="s">
        <v>312</v>
      </c>
      <c r="BE4" s="70" t="s">
        <v>367</v>
      </c>
      <c r="BF4" s="70" t="s">
        <v>387</v>
      </c>
      <c r="BG4" s="70"/>
      <c r="BH4" s="70" t="s">
        <v>313</v>
      </c>
      <c r="BI4" s="70" t="s">
        <v>482</v>
      </c>
      <c r="BJ4" s="70" t="s">
        <v>321</v>
      </c>
      <c r="BK4" s="70"/>
      <c r="BL4" s="70"/>
      <c r="BM4" s="70" t="s">
        <v>388</v>
      </c>
      <c r="BN4" s="70" t="s">
        <v>312</v>
      </c>
    </row>
    <row r="5" spans="1:66" x14ac:dyDescent="0.25">
      <c r="A5" s="59">
        <v>2</v>
      </c>
      <c r="B5" s="67" t="s">
        <v>209</v>
      </c>
      <c r="C5" s="65">
        <v>1.5</v>
      </c>
      <c r="D5" s="64">
        <v>5</v>
      </c>
      <c r="E5" s="64">
        <f>IF(ISBLANK($D5),"0",IF(($D6-$D5)&lt;($C6-$C5),1,0))</f>
        <v>0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/>
      <c r="L5" s="69"/>
      <c r="M5" s="69" t="s">
        <v>312</v>
      </c>
      <c r="N5" s="69"/>
      <c r="O5" s="69" t="s">
        <v>371</v>
      </c>
      <c r="P5" s="69" t="s">
        <v>317</v>
      </c>
      <c r="Q5" s="69" t="s">
        <v>318</v>
      </c>
      <c r="R5" s="69" t="s">
        <v>312</v>
      </c>
      <c r="S5" s="69" t="s">
        <v>320</v>
      </c>
      <c r="T5" s="69" t="s">
        <v>343</v>
      </c>
      <c r="U5" s="69" t="s">
        <v>320</v>
      </c>
      <c r="V5" s="69" t="s">
        <v>340</v>
      </c>
      <c r="W5" s="69"/>
      <c r="X5" s="69" t="s">
        <v>312</v>
      </c>
      <c r="Y5" s="69" t="s">
        <v>333</v>
      </c>
      <c r="Z5" s="69"/>
      <c r="AA5" s="69" t="s">
        <v>354</v>
      </c>
      <c r="AB5" s="69" t="s">
        <v>317</v>
      </c>
      <c r="AC5" s="69"/>
      <c r="AD5" s="69" t="s">
        <v>317</v>
      </c>
      <c r="AE5" s="69" t="s">
        <v>355</v>
      </c>
      <c r="AF5" s="69"/>
      <c r="AG5" s="69" t="s">
        <v>323</v>
      </c>
      <c r="AH5" s="69"/>
      <c r="AI5" s="69" t="s">
        <v>324</v>
      </c>
      <c r="AJ5" s="69" t="s">
        <v>314</v>
      </c>
      <c r="AK5" s="69" t="s">
        <v>317</v>
      </c>
      <c r="AL5" s="69" t="s">
        <v>347</v>
      </c>
      <c r="AM5" s="69" t="s">
        <v>320</v>
      </c>
      <c r="AN5" s="69" t="s">
        <v>317</v>
      </c>
      <c r="AO5" s="69" t="s">
        <v>317</v>
      </c>
      <c r="AP5" s="69" t="s">
        <v>333</v>
      </c>
      <c r="AQ5" s="99" t="s">
        <v>315</v>
      </c>
      <c r="AR5" s="99" t="s">
        <v>317</v>
      </c>
      <c r="AS5" s="69" t="s">
        <v>334</v>
      </c>
      <c r="AT5" s="69" t="s">
        <v>334</v>
      </c>
      <c r="AU5" s="69"/>
      <c r="AV5" s="69" t="s">
        <v>317</v>
      </c>
      <c r="AW5" s="69" t="s">
        <v>361</v>
      </c>
      <c r="AX5" s="69" t="s">
        <v>316</v>
      </c>
      <c r="AY5" s="69" t="s">
        <v>366</v>
      </c>
      <c r="AZ5" s="69" t="s">
        <v>320</v>
      </c>
      <c r="BA5" s="69"/>
      <c r="BB5" s="69"/>
      <c r="BC5" s="69" t="s">
        <v>357</v>
      </c>
      <c r="BD5" s="69"/>
      <c r="BE5" s="69" t="s">
        <v>367</v>
      </c>
      <c r="BF5" s="69"/>
      <c r="BG5" s="69"/>
      <c r="BH5" s="69"/>
      <c r="BI5" s="69"/>
      <c r="BJ5" s="69" t="s">
        <v>321</v>
      </c>
      <c r="BK5" s="69"/>
      <c r="BL5" s="69" t="s">
        <v>317</v>
      </c>
      <c r="BM5" s="69"/>
      <c r="BN5" s="69" t="s">
        <v>408</v>
      </c>
    </row>
    <row r="6" spans="1:66" x14ac:dyDescent="0.25">
      <c r="A6" s="61" t="s">
        <v>3</v>
      </c>
      <c r="B6" s="68" t="s">
        <v>206</v>
      </c>
      <c r="C6" s="66"/>
      <c r="D6" s="64">
        <v>17</v>
      </c>
      <c r="E6" s="64">
        <f>IF(ISBLANK($D6),"0",IF(($D6-$D5)&gt;($C6-$C5),1,0))</f>
        <v>1</v>
      </c>
      <c r="F6" s="64">
        <f t="shared" ca="1" si="1"/>
        <v>18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311</v>
      </c>
      <c r="K6" s="70" t="s">
        <v>312</v>
      </c>
      <c r="L6" s="70" t="s">
        <v>313</v>
      </c>
      <c r="M6" s="70"/>
      <c r="N6" s="70" t="s">
        <v>355</v>
      </c>
      <c r="O6" s="70"/>
      <c r="P6" s="70"/>
      <c r="Q6" s="70"/>
      <c r="R6" s="70"/>
      <c r="S6" s="70"/>
      <c r="T6" s="70"/>
      <c r="U6" s="70"/>
      <c r="V6" s="70"/>
      <c r="W6" s="70" t="s">
        <v>317</v>
      </c>
      <c r="X6" s="70"/>
      <c r="Y6" s="70"/>
      <c r="Z6" s="70" t="s">
        <v>322</v>
      </c>
      <c r="AA6" s="70"/>
      <c r="AB6" s="70"/>
      <c r="AC6" s="70" t="s">
        <v>377</v>
      </c>
      <c r="AD6" s="70"/>
      <c r="AE6" s="70"/>
      <c r="AF6" s="70" t="s">
        <v>355</v>
      </c>
      <c r="AG6" s="70"/>
      <c r="AH6" s="70" t="s">
        <v>323</v>
      </c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 t="s">
        <v>317</v>
      </c>
      <c r="AV6" s="70"/>
      <c r="AW6" s="70"/>
      <c r="AX6" s="70"/>
      <c r="AY6" s="70"/>
      <c r="AZ6" s="70"/>
      <c r="BA6" s="70" t="s">
        <v>317</v>
      </c>
      <c r="BB6" s="70" t="s">
        <v>317</v>
      </c>
      <c r="BC6" s="70"/>
      <c r="BD6" s="70" t="s">
        <v>312</v>
      </c>
      <c r="BE6" s="70"/>
      <c r="BF6" s="70" t="s">
        <v>387</v>
      </c>
      <c r="BG6" s="70" t="s">
        <v>321</v>
      </c>
      <c r="BH6" s="70" t="s">
        <v>313</v>
      </c>
      <c r="BI6" s="70" t="s">
        <v>483</v>
      </c>
      <c r="BJ6" s="70"/>
      <c r="BK6" s="70" t="s">
        <v>472</v>
      </c>
      <c r="BL6" s="70"/>
      <c r="BM6" s="70" t="s">
        <v>388</v>
      </c>
      <c r="BN6" s="70"/>
    </row>
    <row r="7" spans="1:66" x14ac:dyDescent="0.25">
      <c r="A7" s="59">
        <v>3</v>
      </c>
      <c r="B7" s="67" t="s">
        <v>207</v>
      </c>
      <c r="C7" s="65">
        <v>2.5</v>
      </c>
      <c r="D7" s="64">
        <v>17</v>
      </c>
      <c r="E7" s="64">
        <f>IF(ISBLANK($D7),"0",IF(($D8-$D7)&lt;($C8-$C7),1,0))</f>
        <v>1</v>
      </c>
      <c r="F7" s="64">
        <f t="shared" ca="1" si="1"/>
        <v>41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/>
      <c r="L7" s="69"/>
      <c r="M7" s="69" t="s">
        <v>312</v>
      </c>
      <c r="N7" s="69" t="s">
        <v>355</v>
      </c>
      <c r="O7" s="69"/>
      <c r="P7" s="69"/>
      <c r="Q7" s="69" t="s">
        <v>318</v>
      </c>
      <c r="R7" s="69"/>
      <c r="S7" s="69" t="s">
        <v>323</v>
      </c>
      <c r="T7" s="69" t="s">
        <v>332</v>
      </c>
      <c r="U7" s="69" t="s">
        <v>350</v>
      </c>
      <c r="V7" s="69" t="s">
        <v>368</v>
      </c>
      <c r="W7" s="69" t="s">
        <v>317</v>
      </c>
      <c r="X7" s="69" t="s">
        <v>312</v>
      </c>
      <c r="Y7" s="69"/>
      <c r="Z7" s="69"/>
      <c r="AA7" s="69" t="s">
        <v>354</v>
      </c>
      <c r="AB7" s="69" t="s">
        <v>317</v>
      </c>
      <c r="AC7" s="69" t="s">
        <v>323</v>
      </c>
      <c r="AD7" s="69" t="s">
        <v>317</v>
      </c>
      <c r="AE7" s="69" t="s">
        <v>355</v>
      </c>
      <c r="AF7" s="69" t="s">
        <v>355</v>
      </c>
      <c r="AG7" s="69" t="s">
        <v>341</v>
      </c>
      <c r="AH7" s="69" t="s">
        <v>375</v>
      </c>
      <c r="AI7" s="69" t="s">
        <v>340</v>
      </c>
      <c r="AJ7" s="69" t="s">
        <v>314</v>
      </c>
      <c r="AK7" s="69" t="s">
        <v>317</v>
      </c>
      <c r="AL7" s="69"/>
      <c r="AM7" s="69" t="s">
        <v>323</v>
      </c>
      <c r="AN7" s="69"/>
      <c r="AO7" s="69" t="s">
        <v>317</v>
      </c>
      <c r="AP7" s="69" t="s">
        <v>328</v>
      </c>
      <c r="AQ7" s="69"/>
      <c r="AR7" s="99" t="s">
        <v>317</v>
      </c>
      <c r="AS7" s="69" t="s">
        <v>319</v>
      </c>
      <c r="AT7" s="69" t="s">
        <v>334</v>
      </c>
      <c r="AU7" s="69" t="s">
        <v>317</v>
      </c>
      <c r="AV7" s="69"/>
      <c r="AW7" s="69" t="s">
        <v>340</v>
      </c>
      <c r="AX7" s="69" t="s">
        <v>349</v>
      </c>
      <c r="AY7" s="69" t="s">
        <v>366</v>
      </c>
      <c r="AZ7" s="69"/>
      <c r="BA7" s="69" t="s">
        <v>317</v>
      </c>
      <c r="BB7" s="69" t="s">
        <v>317</v>
      </c>
      <c r="BC7" s="69" t="s">
        <v>357</v>
      </c>
      <c r="BD7" s="69"/>
      <c r="BE7" s="69" t="s">
        <v>367</v>
      </c>
      <c r="BF7" s="69"/>
      <c r="BG7" s="69" t="s">
        <v>321</v>
      </c>
      <c r="BH7" s="69" t="s">
        <v>313</v>
      </c>
      <c r="BI7" s="69" t="s">
        <v>434</v>
      </c>
      <c r="BJ7" s="69"/>
      <c r="BK7" s="69" t="s">
        <v>472</v>
      </c>
      <c r="BL7" s="69" t="s">
        <v>317</v>
      </c>
      <c r="BM7" s="69" t="s">
        <v>388</v>
      </c>
      <c r="BN7" s="69" t="s">
        <v>312</v>
      </c>
    </row>
    <row r="8" spans="1:66" x14ac:dyDescent="0.25">
      <c r="A8" s="61" t="s">
        <v>3</v>
      </c>
      <c r="B8" s="68" t="s">
        <v>225</v>
      </c>
      <c r="C8" s="66"/>
      <c r="D8" s="64">
        <v>14</v>
      </c>
      <c r="E8" s="64">
        <f>IF(ISBLANK($D8),"0",IF(($D8-$D7)&gt;($C8-$C7),1,0))</f>
        <v>0</v>
      </c>
      <c r="F8" s="64">
        <f t="shared" ca="1" si="1"/>
        <v>15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311</v>
      </c>
      <c r="K8" s="70" t="s">
        <v>312</v>
      </c>
      <c r="L8" s="70" t="s">
        <v>313</v>
      </c>
      <c r="M8" s="70"/>
      <c r="N8" s="70"/>
      <c r="O8" s="70" t="s">
        <v>371</v>
      </c>
      <c r="P8" s="70" t="s">
        <v>317</v>
      </c>
      <c r="Q8" s="70"/>
      <c r="R8" s="70" t="s">
        <v>312</v>
      </c>
      <c r="S8" s="70"/>
      <c r="T8" s="70"/>
      <c r="U8" s="70"/>
      <c r="V8" s="70"/>
      <c r="W8" s="70"/>
      <c r="X8" s="70"/>
      <c r="Y8" s="70" t="s">
        <v>329</v>
      </c>
      <c r="Z8" s="70" t="s">
        <v>364</v>
      </c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 t="s">
        <v>347</v>
      </c>
      <c r="AM8" s="70"/>
      <c r="AN8" s="70" t="s">
        <v>317</v>
      </c>
      <c r="AO8" s="70"/>
      <c r="AP8" s="70"/>
      <c r="AQ8" s="100" t="s">
        <v>315</v>
      </c>
      <c r="AR8" s="70"/>
      <c r="AS8" s="70"/>
      <c r="AT8" s="70"/>
      <c r="AU8" s="70"/>
      <c r="AV8" s="70" t="s">
        <v>317</v>
      </c>
      <c r="AW8" s="70"/>
      <c r="AX8" s="70"/>
      <c r="AY8" s="70"/>
      <c r="AZ8" s="70" t="s">
        <v>329</v>
      </c>
      <c r="BA8" s="70"/>
      <c r="BB8" s="70"/>
      <c r="BC8" s="70"/>
      <c r="BD8" s="70" t="s">
        <v>312</v>
      </c>
      <c r="BE8" s="70"/>
      <c r="BF8" s="70" t="s">
        <v>387</v>
      </c>
      <c r="BG8" s="70"/>
      <c r="BH8" s="70"/>
      <c r="BI8" s="70"/>
      <c r="BJ8" s="70" t="s">
        <v>321</v>
      </c>
      <c r="BK8" s="70"/>
      <c r="BL8" s="70"/>
      <c r="BM8" s="70"/>
      <c r="BN8" s="70"/>
    </row>
    <row r="9" spans="1:66" x14ac:dyDescent="0.25">
      <c r="A9" s="59">
        <v>4</v>
      </c>
      <c r="B9" s="67" t="s">
        <v>162</v>
      </c>
      <c r="C9" s="65"/>
      <c r="D9" s="81">
        <v>28</v>
      </c>
      <c r="E9" s="64">
        <f>IF(ISBLANK($D9),"0",IF(($D10-$D9)&lt;($C10-$C9),1,0))</f>
        <v>1</v>
      </c>
      <c r="F9" s="64">
        <f t="shared" ca="1" si="1"/>
        <v>26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311</v>
      </c>
      <c r="K9" s="69"/>
      <c r="L9" s="69" t="s">
        <v>313</v>
      </c>
      <c r="M9" s="69" t="s">
        <v>312</v>
      </c>
      <c r="N9" s="69" t="s">
        <v>355</v>
      </c>
      <c r="O9" s="69"/>
      <c r="P9" s="69"/>
      <c r="Q9" s="69"/>
      <c r="R9" s="69" t="s">
        <v>312</v>
      </c>
      <c r="S9" s="69"/>
      <c r="T9" s="69" t="s">
        <v>357</v>
      </c>
      <c r="U9" s="69" t="s">
        <v>361</v>
      </c>
      <c r="V9" s="69" t="s">
        <v>332</v>
      </c>
      <c r="W9" s="69"/>
      <c r="X9" s="69" t="s">
        <v>312</v>
      </c>
      <c r="Y9" s="69"/>
      <c r="Z9" s="69" t="s">
        <v>343</v>
      </c>
      <c r="AA9" s="69" t="s">
        <v>354</v>
      </c>
      <c r="AB9" s="69"/>
      <c r="AC9" s="69" t="s">
        <v>350</v>
      </c>
      <c r="AD9" s="69" t="s">
        <v>317</v>
      </c>
      <c r="AE9" s="69"/>
      <c r="AF9" s="69"/>
      <c r="AG9" s="69"/>
      <c r="AH9" s="69"/>
      <c r="AI9" s="69" t="s">
        <v>325</v>
      </c>
      <c r="AJ9" s="69" t="s">
        <v>314</v>
      </c>
      <c r="AK9" s="69"/>
      <c r="AL9" s="69"/>
      <c r="AM9" s="69"/>
      <c r="AN9" s="69"/>
      <c r="AO9" s="69"/>
      <c r="AP9" s="69"/>
      <c r="AQ9" s="69"/>
      <c r="AR9" s="99"/>
      <c r="AS9" s="69" t="s">
        <v>331</v>
      </c>
      <c r="AT9" s="69"/>
      <c r="AU9" s="69"/>
      <c r="AV9" s="69" t="s">
        <v>317</v>
      </c>
      <c r="AW9" s="69"/>
      <c r="AX9" s="69" t="s">
        <v>481</v>
      </c>
      <c r="AY9" s="69"/>
      <c r="AZ9" s="69"/>
      <c r="BA9" s="69" t="s">
        <v>317</v>
      </c>
      <c r="BB9" s="69"/>
      <c r="BC9" s="69"/>
      <c r="BD9" s="69" t="s">
        <v>312</v>
      </c>
      <c r="BE9" s="69"/>
      <c r="BF9" s="69" t="s">
        <v>387</v>
      </c>
      <c r="BG9" s="69" t="s">
        <v>321</v>
      </c>
      <c r="BH9" s="69" t="s">
        <v>313</v>
      </c>
      <c r="BI9" s="69" t="s">
        <v>484</v>
      </c>
      <c r="BJ9" s="69" t="s">
        <v>321</v>
      </c>
      <c r="BK9" s="69" t="s">
        <v>472</v>
      </c>
      <c r="BL9" s="69"/>
      <c r="BM9" s="69"/>
      <c r="BN9" s="69" t="s">
        <v>408</v>
      </c>
    </row>
    <row r="10" spans="1:66" x14ac:dyDescent="0.25">
      <c r="A10" s="61" t="s">
        <v>3</v>
      </c>
      <c r="B10" s="68" t="s">
        <v>175</v>
      </c>
      <c r="C10" s="66">
        <v>16.5</v>
      </c>
      <c r="D10" s="64">
        <v>31</v>
      </c>
      <c r="E10" s="64">
        <f>IF(ISBLANK($D10),"0",IF(($D10-$D9)&gt;($C10-$C9),1,0))</f>
        <v>0</v>
      </c>
      <c r="F10" s="64">
        <f t="shared" ca="1" si="1"/>
        <v>30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312</v>
      </c>
      <c r="L10" s="70"/>
      <c r="M10" s="70"/>
      <c r="N10" s="70"/>
      <c r="O10" s="70" t="s">
        <v>371</v>
      </c>
      <c r="P10" s="70" t="s">
        <v>317</v>
      </c>
      <c r="Q10" s="70" t="s">
        <v>318</v>
      </c>
      <c r="R10" s="70"/>
      <c r="S10" s="70" t="s">
        <v>350</v>
      </c>
      <c r="T10" s="70"/>
      <c r="U10" s="70"/>
      <c r="V10" s="70"/>
      <c r="W10" s="70" t="s">
        <v>317</v>
      </c>
      <c r="X10" s="70"/>
      <c r="Y10" s="70" t="s">
        <v>328</v>
      </c>
      <c r="Z10" s="70"/>
      <c r="AA10" s="70"/>
      <c r="AB10" s="70" t="s">
        <v>317</v>
      </c>
      <c r="AC10" s="70"/>
      <c r="AD10" s="70"/>
      <c r="AE10" s="70" t="s">
        <v>355</v>
      </c>
      <c r="AF10" s="70" t="s">
        <v>355</v>
      </c>
      <c r="AG10" s="70" t="s">
        <v>328</v>
      </c>
      <c r="AH10" s="70" t="s">
        <v>339</v>
      </c>
      <c r="AI10" s="70"/>
      <c r="AJ10" s="70"/>
      <c r="AK10" s="70" t="s">
        <v>317</v>
      </c>
      <c r="AL10" s="70" t="s">
        <v>347</v>
      </c>
      <c r="AM10" s="70" t="s">
        <v>350</v>
      </c>
      <c r="AN10" s="70" t="s">
        <v>317</v>
      </c>
      <c r="AO10" s="70" t="s">
        <v>317</v>
      </c>
      <c r="AP10" s="70" t="s">
        <v>327</v>
      </c>
      <c r="AQ10" s="100" t="s">
        <v>315</v>
      </c>
      <c r="AR10" s="70" t="s">
        <v>317</v>
      </c>
      <c r="AS10" s="70"/>
      <c r="AT10" s="70" t="s">
        <v>334</v>
      </c>
      <c r="AU10" s="70" t="s">
        <v>317</v>
      </c>
      <c r="AV10" s="70"/>
      <c r="AW10" s="70" t="s">
        <v>368</v>
      </c>
      <c r="AX10" s="70"/>
      <c r="AY10" s="70" t="s">
        <v>366</v>
      </c>
      <c r="AZ10" s="70" t="s">
        <v>338</v>
      </c>
      <c r="BA10" s="70"/>
      <c r="BB10" s="70" t="s">
        <v>317</v>
      </c>
      <c r="BC10" s="70" t="s">
        <v>357</v>
      </c>
      <c r="BD10" s="70"/>
      <c r="BE10" s="70" t="s">
        <v>367</v>
      </c>
      <c r="BF10" s="70"/>
      <c r="BG10" s="70"/>
      <c r="BH10" s="70"/>
      <c r="BI10" s="70"/>
      <c r="BJ10" s="70"/>
      <c r="BK10" s="70"/>
      <c r="BL10" s="70" t="s">
        <v>317</v>
      </c>
      <c r="BM10" s="70" t="s">
        <v>388</v>
      </c>
      <c r="BN10" s="70"/>
    </row>
    <row r="11" spans="1:66" x14ac:dyDescent="0.25">
      <c r="A11" s="59">
        <v>5</v>
      </c>
      <c r="B11" s="67" t="s">
        <v>217</v>
      </c>
      <c r="C11" s="65"/>
      <c r="D11" s="64">
        <v>24</v>
      </c>
      <c r="E11" s="64">
        <f>IF(ISBLANK($D11),"0",IF(($D12-$D11)&lt;($C12-$C11),1,0))</f>
        <v>1</v>
      </c>
      <c r="F11" s="64">
        <f t="shared" ca="1" si="1"/>
        <v>27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 t="s">
        <v>312</v>
      </c>
      <c r="L11" s="69" t="s">
        <v>313</v>
      </c>
      <c r="M11" s="69" t="s">
        <v>312</v>
      </c>
      <c r="N11" s="69"/>
      <c r="O11" s="69" t="s">
        <v>371</v>
      </c>
      <c r="P11" s="69" t="s">
        <v>317</v>
      </c>
      <c r="Q11" s="69"/>
      <c r="R11" s="69"/>
      <c r="S11" s="69" t="s">
        <v>315</v>
      </c>
      <c r="T11" s="69"/>
      <c r="U11" s="69" t="s">
        <v>323</v>
      </c>
      <c r="V11" s="69"/>
      <c r="W11" s="69" t="s">
        <v>317</v>
      </c>
      <c r="X11" s="69"/>
      <c r="Y11" s="69"/>
      <c r="Z11" s="69"/>
      <c r="AA11" s="69" t="s">
        <v>354</v>
      </c>
      <c r="AB11" s="69" t="s">
        <v>317</v>
      </c>
      <c r="AC11" s="69"/>
      <c r="AD11" s="69" t="s">
        <v>317</v>
      </c>
      <c r="AE11" s="69" t="s">
        <v>355</v>
      </c>
      <c r="AF11" s="69" t="s">
        <v>355</v>
      </c>
      <c r="AG11" s="69" t="s">
        <v>323</v>
      </c>
      <c r="AH11" s="69"/>
      <c r="AI11" s="69"/>
      <c r="AJ11" s="69" t="s">
        <v>314</v>
      </c>
      <c r="AK11" s="69"/>
      <c r="AL11" s="69"/>
      <c r="AM11" s="69" t="s">
        <v>397</v>
      </c>
      <c r="AN11" s="69"/>
      <c r="AO11" s="69" t="s">
        <v>317</v>
      </c>
      <c r="AP11" s="69" t="s">
        <v>347</v>
      </c>
      <c r="AQ11" s="69"/>
      <c r="AR11" s="69" t="s">
        <v>317</v>
      </c>
      <c r="AS11" s="69" t="s">
        <v>331</v>
      </c>
      <c r="AT11" s="69"/>
      <c r="AU11" s="69" t="s">
        <v>317</v>
      </c>
      <c r="AV11" s="69"/>
      <c r="AW11" s="69"/>
      <c r="AX11" s="69"/>
      <c r="AY11" s="69" t="s">
        <v>366</v>
      </c>
      <c r="AZ11" s="69" t="s">
        <v>320</v>
      </c>
      <c r="BA11" s="69"/>
      <c r="BB11" s="69"/>
      <c r="BC11" s="69"/>
      <c r="BD11" s="69"/>
      <c r="BE11" s="69"/>
      <c r="BF11" s="69" t="s">
        <v>387</v>
      </c>
      <c r="BG11" s="69" t="s">
        <v>321</v>
      </c>
      <c r="BH11" s="69"/>
      <c r="BI11" s="69" t="s">
        <v>485</v>
      </c>
      <c r="BJ11" s="69"/>
      <c r="BK11" s="69"/>
      <c r="BL11" s="69"/>
      <c r="BM11" s="69"/>
      <c r="BN11" s="69" t="s">
        <v>312</v>
      </c>
    </row>
    <row r="12" spans="1:66" x14ac:dyDescent="0.25">
      <c r="A12" s="61" t="s">
        <v>3</v>
      </c>
      <c r="B12" s="68" t="s">
        <v>212</v>
      </c>
      <c r="C12" s="66">
        <v>3.5</v>
      </c>
      <c r="D12" s="64">
        <v>21</v>
      </c>
      <c r="E12" s="64">
        <f>IF(ISBLANK($D12),"0",IF(($D12-$D11)&gt;($C12-$C11),1,0))</f>
        <v>0</v>
      </c>
      <c r="F12" s="64">
        <f t="shared" ca="1" si="1"/>
        <v>29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311</v>
      </c>
      <c r="K12" s="70"/>
      <c r="L12" s="70"/>
      <c r="M12" s="70"/>
      <c r="N12" s="70" t="s">
        <v>355</v>
      </c>
      <c r="O12" s="70"/>
      <c r="P12" s="70"/>
      <c r="Q12" s="70" t="s">
        <v>318</v>
      </c>
      <c r="R12" s="70" t="s">
        <v>312</v>
      </c>
      <c r="S12" s="70"/>
      <c r="T12" s="70" t="s">
        <v>356</v>
      </c>
      <c r="U12" s="70"/>
      <c r="V12" s="70" t="s">
        <v>350</v>
      </c>
      <c r="W12" s="70"/>
      <c r="X12" s="70" t="s">
        <v>312</v>
      </c>
      <c r="Y12" s="70" t="s">
        <v>351</v>
      </c>
      <c r="Z12" s="70" t="s">
        <v>322</v>
      </c>
      <c r="AA12" s="70"/>
      <c r="AB12" s="70"/>
      <c r="AC12" s="70" t="s">
        <v>320</v>
      </c>
      <c r="AD12" s="70"/>
      <c r="AE12" s="70"/>
      <c r="AF12" s="70"/>
      <c r="AG12" s="70"/>
      <c r="AH12" s="70" t="s">
        <v>478</v>
      </c>
      <c r="AI12" s="70" t="s">
        <v>397</v>
      </c>
      <c r="AJ12" s="70"/>
      <c r="AK12" s="70" t="s">
        <v>317</v>
      </c>
      <c r="AL12" s="70" t="s">
        <v>347</v>
      </c>
      <c r="AM12" s="70"/>
      <c r="AN12" s="70" t="s">
        <v>317</v>
      </c>
      <c r="AO12" s="70"/>
      <c r="AP12" s="70"/>
      <c r="AQ12" s="100" t="s">
        <v>315</v>
      </c>
      <c r="AR12" s="100"/>
      <c r="AS12" s="70"/>
      <c r="AT12" s="70" t="s">
        <v>334</v>
      </c>
      <c r="AU12" s="70"/>
      <c r="AV12" s="70" t="s">
        <v>317</v>
      </c>
      <c r="AW12" s="70" t="s">
        <v>347</v>
      </c>
      <c r="AX12" s="70" t="s">
        <v>316</v>
      </c>
      <c r="AY12" s="70"/>
      <c r="AZ12" s="70"/>
      <c r="BA12" s="70" t="s">
        <v>317</v>
      </c>
      <c r="BB12" s="70" t="s">
        <v>317</v>
      </c>
      <c r="BC12" s="70" t="s">
        <v>357</v>
      </c>
      <c r="BD12" s="70" t="s">
        <v>312</v>
      </c>
      <c r="BE12" s="70" t="s">
        <v>367</v>
      </c>
      <c r="BF12" s="70"/>
      <c r="BG12" s="70"/>
      <c r="BH12" s="70" t="s">
        <v>313</v>
      </c>
      <c r="BI12" s="70"/>
      <c r="BJ12" s="70" t="s">
        <v>321</v>
      </c>
      <c r="BK12" s="70" t="s">
        <v>472</v>
      </c>
      <c r="BL12" s="70" t="s">
        <v>317</v>
      </c>
      <c r="BM12" s="70" t="s">
        <v>388</v>
      </c>
      <c r="BN12" s="70"/>
    </row>
    <row r="13" spans="1:66" x14ac:dyDescent="0.25">
      <c r="A13" s="59">
        <v>6</v>
      </c>
      <c r="B13" s="67" t="s">
        <v>221</v>
      </c>
      <c r="C13" s="65">
        <v>2.5</v>
      </c>
      <c r="D13" s="64">
        <v>37</v>
      </c>
      <c r="E13" s="64">
        <f>IF(ISBLANK($D13),"0",IF(($D14-$D13)&lt;($C14-$C13),1,0))</f>
        <v>1</v>
      </c>
      <c r="F13" s="64">
        <f t="shared" ca="1" si="1"/>
        <v>40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311</v>
      </c>
      <c r="K13" s="69"/>
      <c r="L13" s="69"/>
      <c r="M13" s="69" t="s">
        <v>312</v>
      </c>
      <c r="N13" s="69" t="s">
        <v>355</v>
      </c>
      <c r="O13" s="69" t="s">
        <v>371</v>
      </c>
      <c r="P13" s="69"/>
      <c r="Q13" s="69" t="s">
        <v>318</v>
      </c>
      <c r="R13" s="69" t="s">
        <v>312</v>
      </c>
      <c r="S13" s="69" t="s">
        <v>320</v>
      </c>
      <c r="T13" s="69" t="s">
        <v>391</v>
      </c>
      <c r="U13" s="69"/>
      <c r="V13" s="69" t="s">
        <v>341</v>
      </c>
      <c r="W13" s="69" t="s">
        <v>317</v>
      </c>
      <c r="X13" s="69" t="s">
        <v>312</v>
      </c>
      <c r="Y13" s="69"/>
      <c r="Z13" s="69"/>
      <c r="AA13" s="69" t="s">
        <v>354</v>
      </c>
      <c r="AB13" s="69" t="s">
        <v>317</v>
      </c>
      <c r="AC13" s="69" t="s">
        <v>332</v>
      </c>
      <c r="AD13" s="69" t="s">
        <v>317</v>
      </c>
      <c r="AE13" s="69" t="s">
        <v>355</v>
      </c>
      <c r="AF13" s="69" t="s">
        <v>355</v>
      </c>
      <c r="AG13" s="69"/>
      <c r="AH13" s="69" t="s">
        <v>334</v>
      </c>
      <c r="AI13" s="69" t="s">
        <v>315</v>
      </c>
      <c r="AJ13" s="69" t="s">
        <v>314</v>
      </c>
      <c r="AK13" s="69"/>
      <c r="AL13" s="69"/>
      <c r="AM13" s="69" t="s">
        <v>323</v>
      </c>
      <c r="AN13" s="69" t="s">
        <v>317</v>
      </c>
      <c r="AO13" s="69" t="s">
        <v>317</v>
      </c>
      <c r="AP13" s="69" t="s">
        <v>315</v>
      </c>
      <c r="AQ13" s="69"/>
      <c r="AR13" s="99" t="s">
        <v>317</v>
      </c>
      <c r="AS13" s="69" t="s">
        <v>314</v>
      </c>
      <c r="AT13" s="69" t="s">
        <v>334</v>
      </c>
      <c r="AU13" s="69" t="s">
        <v>317</v>
      </c>
      <c r="AV13" s="69" t="s">
        <v>317</v>
      </c>
      <c r="AW13" s="69" t="s">
        <v>340</v>
      </c>
      <c r="AX13" s="69"/>
      <c r="AY13" s="69"/>
      <c r="AZ13" s="69" t="s">
        <v>325</v>
      </c>
      <c r="BA13" s="69" t="s">
        <v>317</v>
      </c>
      <c r="BB13" s="69" t="s">
        <v>317</v>
      </c>
      <c r="BC13" s="69" t="s">
        <v>357</v>
      </c>
      <c r="BD13" s="69"/>
      <c r="BE13" s="69" t="s">
        <v>367</v>
      </c>
      <c r="BF13" s="69" t="s">
        <v>387</v>
      </c>
      <c r="BG13" s="69" t="s">
        <v>321</v>
      </c>
      <c r="BH13" s="69"/>
      <c r="BI13" s="69" t="s">
        <v>469</v>
      </c>
      <c r="BJ13" s="69" t="s">
        <v>321</v>
      </c>
      <c r="BK13" s="69" t="s">
        <v>472</v>
      </c>
      <c r="BL13" s="69"/>
      <c r="BM13" s="69"/>
      <c r="BN13" s="69" t="s">
        <v>312</v>
      </c>
    </row>
    <row r="14" spans="1:66" x14ac:dyDescent="0.25">
      <c r="A14" s="61" t="s">
        <v>3</v>
      </c>
      <c r="B14" s="68" t="s">
        <v>220</v>
      </c>
      <c r="C14" s="66"/>
      <c r="D14" s="64">
        <v>21</v>
      </c>
      <c r="E14" s="64">
        <f>IF(ISBLANK($D14),"0",IF(($D14-$D13)&gt;($C14-$C13),1,0))</f>
        <v>0</v>
      </c>
      <c r="F14" s="64">
        <f t="shared" ca="1" si="1"/>
        <v>16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312</v>
      </c>
      <c r="L14" s="70" t="s">
        <v>313</v>
      </c>
      <c r="M14" s="70"/>
      <c r="N14" s="70"/>
      <c r="O14" s="70"/>
      <c r="P14" s="70" t="s">
        <v>317</v>
      </c>
      <c r="Q14" s="70"/>
      <c r="R14" s="70"/>
      <c r="S14" s="70"/>
      <c r="T14" s="70"/>
      <c r="U14" s="70" t="s">
        <v>348</v>
      </c>
      <c r="V14" s="70"/>
      <c r="W14" s="70"/>
      <c r="X14" s="70"/>
      <c r="Y14" s="70" t="s">
        <v>333</v>
      </c>
      <c r="Z14" s="70" t="s">
        <v>473</v>
      </c>
      <c r="AA14" s="70"/>
      <c r="AB14" s="70"/>
      <c r="AC14" s="70"/>
      <c r="AD14" s="70"/>
      <c r="AE14" s="70"/>
      <c r="AF14" s="70"/>
      <c r="AG14" s="70" t="s">
        <v>348</v>
      </c>
      <c r="AH14" s="70"/>
      <c r="AI14" s="70"/>
      <c r="AJ14" s="70"/>
      <c r="AK14" s="70" t="s">
        <v>317</v>
      </c>
      <c r="AL14" s="70" t="s">
        <v>347</v>
      </c>
      <c r="AM14" s="70"/>
      <c r="AN14" s="70"/>
      <c r="AO14" s="70"/>
      <c r="AP14" s="70"/>
      <c r="AQ14" s="100" t="s">
        <v>315</v>
      </c>
      <c r="AR14" s="70"/>
      <c r="AS14" s="70"/>
      <c r="AT14" s="70"/>
      <c r="AU14" s="70"/>
      <c r="AV14" s="70"/>
      <c r="AW14" s="70"/>
      <c r="AX14" s="70" t="s">
        <v>320</v>
      </c>
      <c r="AY14" s="70" t="s">
        <v>366</v>
      </c>
      <c r="AZ14" s="70"/>
      <c r="BA14" s="70"/>
      <c r="BB14" s="70"/>
      <c r="BC14" s="70"/>
      <c r="BD14" s="70" t="s">
        <v>312</v>
      </c>
      <c r="BE14" s="70"/>
      <c r="BF14" s="70"/>
      <c r="BG14" s="70"/>
      <c r="BH14" s="70" t="s">
        <v>313</v>
      </c>
      <c r="BI14" s="70"/>
      <c r="BJ14" s="70"/>
      <c r="BK14" s="70"/>
      <c r="BL14" s="70" t="s">
        <v>317</v>
      </c>
      <c r="BM14" s="70" t="s">
        <v>388</v>
      </c>
      <c r="BN14" s="70"/>
    </row>
    <row r="15" spans="1:66" x14ac:dyDescent="0.25">
      <c r="A15" s="59">
        <v>7</v>
      </c>
      <c r="B15" s="67" t="s">
        <v>268</v>
      </c>
      <c r="C15" s="65"/>
      <c r="D15" s="64">
        <v>12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313</v>
      </c>
      <c r="M15" s="69" t="s">
        <v>312</v>
      </c>
      <c r="N15" s="69"/>
      <c r="O15" s="69" t="s">
        <v>371</v>
      </c>
      <c r="P15" s="69" t="s">
        <v>317</v>
      </c>
      <c r="Q15" s="69"/>
      <c r="R15" s="69"/>
      <c r="S15" s="69" t="s">
        <v>323</v>
      </c>
      <c r="T15" s="69" t="s">
        <v>316</v>
      </c>
      <c r="U15" s="69" t="s">
        <v>322</v>
      </c>
      <c r="V15" s="69"/>
      <c r="W15" s="69"/>
      <c r="X15" s="69"/>
      <c r="Y15" s="69"/>
      <c r="Z15" s="69"/>
      <c r="AA15" s="69" t="s">
        <v>354</v>
      </c>
      <c r="AB15" s="69"/>
      <c r="AC15" s="69"/>
      <c r="AD15" s="69"/>
      <c r="AE15" s="69"/>
      <c r="AF15" s="69"/>
      <c r="AG15" s="69"/>
      <c r="AH15" s="69" t="s">
        <v>341</v>
      </c>
      <c r="AI15" s="69" t="s">
        <v>320</v>
      </c>
      <c r="AJ15" s="69"/>
      <c r="AK15" s="69" t="s">
        <v>317</v>
      </c>
      <c r="AL15" s="69"/>
      <c r="AM15" s="69" t="s">
        <v>315</v>
      </c>
      <c r="AN15" s="69"/>
      <c r="AO15" s="69" t="s">
        <v>317</v>
      </c>
      <c r="AP15" s="69" t="s">
        <v>334</v>
      </c>
      <c r="AQ15" s="69"/>
      <c r="AR15" s="69"/>
      <c r="AS15" s="69"/>
      <c r="AT15" s="69"/>
      <c r="AU15" s="69" t="s">
        <v>317</v>
      </c>
      <c r="AV15" s="69"/>
      <c r="AW15" s="69"/>
      <c r="AX15" s="69"/>
      <c r="AY15" s="69" t="s">
        <v>366</v>
      </c>
      <c r="AZ15" s="69"/>
      <c r="BA15" s="69"/>
      <c r="BB15" s="69" t="s">
        <v>317</v>
      </c>
      <c r="BC15" s="69"/>
      <c r="BD15" s="69" t="s">
        <v>312</v>
      </c>
      <c r="BE15" s="69" t="s">
        <v>367</v>
      </c>
      <c r="BF15" s="69"/>
      <c r="BG15" s="69"/>
      <c r="BH15" s="69" t="s">
        <v>313</v>
      </c>
      <c r="BI15" s="69" t="s">
        <v>342</v>
      </c>
      <c r="BJ15" s="69"/>
      <c r="BK15" s="69" t="s">
        <v>472</v>
      </c>
      <c r="BL15" s="69"/>
      <c r="BM15" s="69"/>
      <c r="BN15" s="69" t="s">
        <v>312</v>
      </c>
    </row>
    <row r="16" spans="1:66" x14ac:dyDescent="0.25">
      <c r="A16" s="61" t="s">
        <v>3</v>
      </c>
      <c r="B16" s="68" t="s">
        <v>169</v>
      </c>
      <c r="C16" s="66">
        <v>4.5</v>
      </c>
      <c r="D16" s="64">
        <v>17</v>
      </c>
      <c r="E16" s="64">
        <f>IF(ISBLANK($D16),"0",IF(($D16-$D15)&gt;($C16-$C15),1,0))</f>
        <v>1</v>
      </c>
      <c r="F16" s="64">
        <f t="shared" ca="1" si="1"/>
        <v>33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 t="s">
        <v>311</v>
      </c>
      <c r="K16" s="70" t="s">
        <v>312</v>
      </c>
      <c r="L16" s="70"/>
      <c r="M16" s="70"/>
      <c r="N16" s="70" t="s">
        <v>355</v>
      </c>
      <c r="O16" s="70"/>
      <c r="P16" s="70"/>
      <c r="Q16" s="70" t="s">
        <v>318</v>
      </c>
      <c r="R16" s="70" t="s">
        <v>312</v>
      </c>
      <c r="S16" s="70"/>
      <c r="T16" s="70"/>
      <c r="U16" s="70"/>
      <c r="V16" s="70" t="s">
        <v>314</v>
      </c>
      <c r="W16" s="70" t="s">
        <v>317</v>
      </c>
      <c r="X16" s="70" t="s">
        <v>312</v>
      </c>
      <c r="Y16" s="70" t="s">
        <v>331</v>
      </c>
      <c r="Z16" s="70" t="s">
        <v>474</v>
      </c>
      <c r="AA16" s="70"/>
      <c r="AB16" s="70" t="s">
        <v>317</v>
      </c>
      <c r="AC16" s="70" t="s">
        <v>341</v>
      </c>
      <c r="AD16" s="70" t="s">
        <v>317</v>
      </c>
      <c r="AE16" s="70" t="s">
        <v>355</v>
      </c>
      <c r="AF16" s="70" t="s">
        <v>355</v>
      </c>
      <c r="AG16" s="70" t="s">
        <v>349</v>
      </c>
      <c r="AH16" s="70"/>
      <c r="AI16" s="70"/>
      <c r="AJ16" s="70" t="s">
        <v>314</v>
      </c>
      <c r="AK16" s="70"/>
      <c r="AL16" s="70" t="s">
        <v>347</v>
      </c>
      <c r="AM16" s="70"/>
      <c r="AN16" s="70" t="s">
        <v>317</v>
      </c>
      <c r="AO16" s="70"/>
      <c r="AP16" s="70"/>
      <c r="AQ16" s="100" t="s">
        <v>315</v>
      </c>
      <c r="AR16" s="100" t="s">
        <v>317</v>
      </c>
      <c r="AS16" s="70" t="s">
        <v>322</v>
      </c>
      <c r="AT16" s="70" t="s">
        <v>334</v>
      </c>
      <c r="AU16" s="70"/>
      <c r="AV16" s="70" t="s">
        <v>317</v>
      </c>
      <c r="AW16" s="70" t="s">
        <v>363</v>
      </c>
      <c r="AX16" s="70" t="s">
        <v>323</v>
      </c>
      <c r="AY16" s="70"/>
      <c r="AZ16" s="70" t="s">
        <v>325</v>
      </c>
      <c r="BA16" s="70" t="s">
        <v>317</v>
      </c>
      <c r="BB16" s="70"/>
      <c r="BC16" s="70" t="s">
        <v>357</v>
      </c>
      <c r="BD16" s="70"/>
      <c r="BE16" s="70"/>
      <c r="BF16" s="70" t="s">
        <v>387</v>
      </c>
      <c r="BG16" s="70" t="s">
        <v>321</v>
      </c>
      <c r="BH16" s="70"/>
      <c r="BI16" s="70"/>
      <c r="BJ16" s="70" t="s">
        <v>321</v>
      </c>
      <c r="BK16" s="70"/>
      <c r="BL16" s="70" t="s">
        <v>317</v>
      </c>
      <c r="BM16" s="70" t="s">
        <v>388</v>
      </c>
      <c r="BN16" s="70"/>
    </row>
    <row r="17" spans="1:66" x14ac:dyDescent="0.25">
      <c r="A17" s="59">
        <v>8</v>
      </c>
      <c r="B17" s="67" t="s">
        <v>177</v>
      </c>
      <c r="C17" s="65"/>
      <c r="D17" s="64">
        <v>19</v>
      </c>
      <c r="E17" s="64">
        <f>IF(ISBLANK($D17),"0",IF(($D18-$D17)&lt;($C18-$C17),1,0))</f>
        <v>1</v>
      </c>
      <c r="F17" s="64">
        <f t="shared" ca="1" si="1"/>
        <v>27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 t="s">
        <v>311</v>
      </c>
      <c r="K17" s="69" t="s">
        <v>312</v>
      </c>
      <c r="L17" s="69"/>
      <c r="M17" s="69" t="s">
        <v>312</v>
      </c>
      <c r="N17" s="69" t="s">
        <v>355</v>
      </c>
      <c r="O17" s="69"/>
      <c r="P17" s="69"/>
      <c r="Q17" s="69" t="s">
        <v>318</v>
      </c>
      <c r="R17" s="69" t="s">
        <v>312</v>
      </c>
      <c r="S17" s="69"/>
      <c r="T17" s="69" t="s">
        <v>343</v>
      </c>
      <c r="U17" s="69" t="s">
        <v>340</v>
      </c>
      <c r="V17" s="69"/>
      <c r="W17" s="69"/>
      <c r="X17" s="69" t="s">
        <v>312</v>
      </c>
      <c r="Y17" s="69"/>
      <c r="Z17" s="69" t="s">
        <v>475</v>
      </c>
      <c r="AA17" s="69" t="s">
        <v>354</v>
      </c>
      <c r="AB17" s="69"/>
      <c r="AC17" s="69"/>
      <c r="AD17" s="69"/>
      <c r="AE17" s="69"/>
      <c r="AF17" s="69"/>
      <c r="AG17" s="69" t="s">
        <v>320</v>
      </c>
      <c r="AH17" s="69" t="s">
        <v>323</v>
      </c>
      <c r="AI17" s="69"/>
      <c r="AJ17" s="69" t="s">
        <v>314</v>
      </c>
      <c r="AK17" s="69" t="s">
        <v>317</v>
      </c>
      <c r="AL17" s="69" t="s">
        <v>347</v>
      </c>
      <c r="AM17" s="69"/>
      <c r="AN17" s="69"/>
      <c r="AO17" s="69"/>
      <c r="AP17" s="69"/>
      <c r="AQ17" s="69"/>
      <c r="AR17" s="99"/>
      <c r="AS17" s="69" t="s">
        <v>314</v>
      </c>
      <c r="AT17" s="69" t="s">
        <v>334</v>
      </c>
      <c r="AU17" s="69"/>
      <c r="AV17" s="69"/>
      <c r="AW17" s="69" t="s">
        <v>340</v>
      </c>
      <c r="AX17" s="69" t="s">
        <v>336</v>
      </c>
      <c r="AY17" s="69"/>
      <c r="AZ17" s="69" t="s">
        <v>322</v>
      </c>
      <c r="BA17" s="69"/>
      <c r="BB17" s="69"/>
      <c r="BC17" s="69"/>
      <c r="BD17" s="69" t="s">
        <v>312</v>
      </c>
      <c r="BE17" s="69"/>
      <c r="BF17" s="69" t="s">
        <v>387</v>
      </c>
      <c r="BG17" s="69" t="s">
        <v>321</v>
      </c>
      <c r="BH17" s="69" t="s">
        <v>313</v>
      </c>
      <c r="BI17" s="69" t="s">
        <v>335</v>
      </c>
      <c r="BJ17" s="69" t="s">
        <v>321</v>
      </c>
      <c r="BK17" s="69" t="s">
        <v>472</v>
      </c>
      <c r="BL17" s="69"/>
      <c r="BM17" s="69"/>
      <c r="BN17" s="69"/>
    </row>
    <row r="18" spans="1:66" x14ac:dyDescent="0.25">
      <c r="A18" s="61" t="s">
        <v>3</v>
      </c>
      <c r="B18" s="68" t="s">
        <v>174</v>
      </c>
      <c r="C18" s="66">
        <v>9.5</v>
      </c>
      <c r="D18" s="64">
        <v>23</v>
      </c>
      <c r="E18" s="64">
        <f>IF(ISBLANK($D18),"0",IF(($D18-$D17)&gt;($C18-$C17),1,0))</f>
        <v>0</v>
      </c>
      <c r="F18" s="64">
        <f t="shared" ca="1" si="1"/>
        <v>29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/>
      <c r="L18" s="70" t="s">
        <v>313</v>
      </c>
      <c r="M18" s="70"/>
      <c r="N18" s="70"/>
      <c r="O18" s="70" t="s">
        <v>371</v>
      </c>
      <c r="P18" s="70" t="s">
        <v>317</v>
      </c>
      <c r="Q18" s="70"/>
      <c r="R18" s="70"/>
      <c r="S18" s="70" t="s">
        <v>375</v>
      </c>
      <c r="T18" s="70"/>
      <c r="U18" s="70"/>
      <c r="V18" s="70" t="s">
        <v>320</v>
      </c>
      <c r="W18" s="70" t="s">
        <v>317</v>
      </c>
      <c r="X18" s="70"/>
      <c r="Y18" s="70" t="s">
        <v>316</v>
      </c>
      <c r="Z18" s="70"/>
      <c r="AA18" s="70"/>
      <c r="AB18" s="70" t="s">
        <v>317</v>
      </c>
      <c r="AC18" s="70" t="s">
        <v>320</v>
      </c>
      <c r="AD18" s="70" t="s">
        <v>317</v>
      </c>
      <c r="AE18" s="70" t="s">
        <v>355</v>
      </c>
      <c r="AF18" s="70" t="s">
        <v>355</v>
      </c>
      <c r="AG18" s="70"/>
      <c r="AH18" s="70"/>
      <c r="AI18" s="70" t="s">
        <v>323</v>
      </c>
      <c r="AJ18" s="70"/>
      <c r="AK18" s="70"/>
      <c r="AL18" s="70"/>
      <c r="AM18" s="70" t="s">
        <v>320</v>
      </c>
      <c r="AN18" s="70" t="s">
        <v>317</v>
      </c>
      <c r="AO18" s="70" t="s">
        <v>317</v>
      </c>
      <c r="AP18" s="70" t="s">
        <v>333</v>
      </c>
      <c r="AQ18" s="100" t="s">
        <v>315</v>
      </c>
      <c r="AR18" s="70" t="s">
        <v>317</v>
      </c>
      <c r="AS18" s="70"/>
      <c r="AT18" s="70"/>
      <c r="AU18" s="70" t="s">
        <v>317</v>
      </c>
      <c r="AV18" s="70" t="s">
        <v>317</v>
      </c>
      <c r="AW18" s="70"/>
      <c r="AX18" s="70"/>
      <c r="AY18" s="70" t="s">
        <v>366</v>
      </c>
      <c r="AZ18" s="70"/>
      <c r="BA18" s="70" t="s">
        <v>317</v>
      </c>
      <c r="BB18" s="70" t="s">
        <v>317</v>
      </c>
      <c r="BC18" s="70" t="s">
        <v>357</v>
      </c>
      <c r="BD18" s="70"/>
      <c r="BE18" s="70" t="s">
        <v>367</v>
      </c>
      <c r="BF18" s="70"/>
      <c r="BG18" s="70"/>
      <c r="BH18" s="70"/>
      <c r="BI18" s="70"/>
      <c r="BJ18" s="70"/>
      <c r="BK18" s="70"/>
      <c r="BL18" s="70" t="s">
        <v>317</v>
      </c>
      <c r="BM18" s="70" t="s">
        <v>388</v>
      </c>
      <c r="BN18" s="70" t="s">
        <v>312</v>
      </c>
    </row>
    <row r="19" spans="1:66" x14ac:dyDescent="0.25">
      <c r="A19" s="59">
        <v>9</v>
      </c>
      <c r="B19" s="67" t="s">
        <v>171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49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311</v>
      </c>
      <c r="K19" s="69"/>
      <c r="L19" s="69" t="s">
        <v>313</v>
      </c>
      <c r="M19" s="69" t="s">
        <v>312</v>
      </c>
      <c r="N19" s="69" t="s">
        <v>355</v>
      </c>
      <c r="O19" s="69" t="s">
        <v>371</v>
      </c>
      <c r="P19" s="69" t="s">
        <v>317</v>
      </c>
      <c r="Q19" s="69" t="s">
        <v>318</v>
      </c>
      <c r="R19" s="69" t="s">
        <v>312</v>
      </c>
      <c r="S19" s="69"/>
      <c r="T19" s="69" t="s">
        <v>332</v>
      </c>
      <c r="U19" s="69" t="s">
        <v>317</v>
      </c>
      <c r="V19" s="69" t="s">
        <v>323</v>
      </c>
      <c r="W19" s="69" t="s">
        <v>317</v>
      </c>
      <c r="X19" s="69" t="s">
        <v>312</v>
      </c>
      <c r="Y19" s="69" t="s">
        <v>328</v>
      </c>
      <c r="Z19" s="69"/>
      <c r="AA19" s="69" t="s">
        <v>354</v>
      </c>
      <c r="AB19" s="69" t="s">
        <v>317</v>
      </c>
      <c r="AC19" s="69" t="s">
        <v>320</v>
      </c>
      <c r="AD19" s="69" t="s">
        <v>317</v>
      </c>
      <c r="AE19" s="69" t="s">
        <v>355</v>
      </c>
      <c r="AF19" s="69" t="s">
        <v>355</v>
      </c>
      <c r="AG19" s="69" t="s">
        <v>477</v>
      </c>
      <c r="AH19" s="69" t="s">
        <v>375</v>
      </c>
      <c r="AI19" s="69" t="s">
        <v>375</v>
      </c>
      <c r="AJ19" s="69" t="s">
        <v>314</v>
      </c>
      <c r="AK19" s="69" t="s">
        <v>317</v>
      </c>
      <c r="AL19" s="69" t="s">
        <v>347</v>
      </c>
      <c r="AM19" s="69" t="s">
        <v>323</v>
      </c>
      <c r="AN19" s="69" t="s">
        <v>317</v>
      </c>
      <c r="AO19" s="69" t="s">
        <v>317</v>
      </c>
      <c r="AP19" s="69" t="s">
        <v>332</v>
      </c>
      <c r="AQ19" s="99" t="s">
        <v>315</v>
      </c>
      <c r="AR19" s="69" t="s">
        <v>317</v>
      </c>
      <c r="AS19" s="69" t="s">
        <v>347</v>
      </c>
      <c r="AT19" s="69" t="s">
        <v>334</v>
      </c>
      <c r="AU19" s="69" t="s">
        <v>317</v>
      </c>
      <c r="AV19" s="69" t="s">
        <v>317</v>
      </c>
      <c r="AW19" s="69" t="s">
        <v>341</v>
      </c>
      <c r="AX19" s="69" t="s">
        <v>320</v>
      </c>
      <c r="AY19" s="69" t="s">
        <v>366</v>
      </c>
      <c r="AZ19" s="69"/>
      <c r="BA19" s="69"/>
      <c r="BB19" s="69" t="s">
        <v>317</v>
      </c>
      <c r="BC19" s="69" t="s">
        <v>357</v>
      </c>
      <c r="BD19" s="69" t="s">
        <v>312</v>
      </c>
      <c r="BE19" s="69" t="s">
        <v>367</v>
      </c>
      <c r="BF19" s="69" t="s">
        <v>387</v>
      </c>
      <c r="BG19" s="69" t="s">
        <v>321</v>
      </c>
      <c r="BH19" s="69" t="s">
        <v>313</v>
      </c>
      <c r="BI19" s="69" t="s">
        <v>325</v>
      </c>
      <c r="BJ19" s="69" t="s">
        <v>321</v>
      </c>
      <c r="BK19" s="69"/>
      <c r="BL19" s="69"/>
      <c r="BM19" s="69" t="s">
        <v>388</v>
      </c>
      <c r="BN19" s="69" t="s">
        <v>312</v>
      </c>
    </row>
    <row r="20" spans="1:66" x14ac:dyDescent="0.25">
      <c r="A20" s="61" t="s">
        <v>3</v>
      </c>
      <c r="B20" s="68" t="s">
        <v>167</v>
      </c>
      <c r="C20" s="66">
        <v>13.5</v>
      </c>
      <c r="D20" s="64">
        <v>45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 t="s">
        <v>312</v>
      </c>
      <c r="L20" s="70"/>
      <c r="M20" s="70"/>
      <c r="N20" s="70"/>
      <c r="O20" s="70"/>
      <c r="P20" s="70"/>
      <c r="Q20" s="70"/>
      <c r="R20" s="70"/>
      <c r="S20" s="70" t="s">
        <v>311</v>
      </c>
      <c r="T20" s="70"/>
      <c r="U20" s="70"/>
      <c r="V20" s="70"/>
      <c r="W20" s="70"/>
      <c r="X20" s="70"/>
      <c r="Y20" s="70"/>
      <c r="Z20" s="70" t="s">
        <v>476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100"/>
      <c r="AS20" s="70"/>
      <c r="AT20" s="70"/>
      <c r="AU20" s="70"/>
      <c r="AV20" s="70"/>
      <c r="AW20" s="70"/>
      <c r="AX20" s="70"/>
      <c r="AY20" s="70"/>
      <c r="AZ20" s="70" t="s">
        <v>350</v>
      </c>
      <c r="BA20" s="70" t="s">
        <v>317</v>
      </c>
      <c r="BB20" s="70"/>
      <c r="BC20" s="70"/>
      <c r="BD20" s="70"/>
      <c r="BE20" s="70"/>
      <c r="BF20" s="70"/>
      <c r="BG20" s="70"/>
      <c r="BH20" s="70"/>
      <c r="BI20" s="70"/>
      <c r="BJ20" s="70"/>
      <c r="BK20" s="70" t="s">
        <v>472</v>
      </c>
      <c r="BL20" s="70" t="s">
        <v>317</v>
      </c>
      <c r="BM20" s="70"/>
      <c r="BN20" s="70"/>
    </row>
    <row r="21" spans="1:66" x14ac:dyDescent="0.25">
      <c r="A21" s="59">
        <v>10</v>
      </c>
      <c r="B21" s="67" t="s">
        <v>181</v>
      </c>
      <c r="C21" s="65"/>
      <c r="D21" s="64">
        <v>53</v>
      </c>
      <c r="E21" s="64">
        <f>IF(ISBLANK($D21),"0",IF(($D22-$D21)&lt;($C22-$C21),1,0))</f>
        <v>1</v>
      </c>
      <c r="F21" s="64">
        <f t="shared" ca="1" si="1"/>
        <v>25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311</v>
      </c>
      <c r="K21" s="69" t="s">
        <v>312</v>
      </c>
      <c r="L21" s="69" t="s">
        <v>313</v>
      </c>
      <c r="M21" s="69" t="s">
        <v>312</v>
      </c>
      <c r="N21" s="69"/>
      <c r="O21" s="69" t="s">
        <v>371</v>
      </c>
      <c r="P21" s="69" t="s">
        <v>317</v>
      </c>
      <c r="Q21" s="69"/>
      <c r="R21" s="69"/>
      <c r="S21" s="69"/>
      <c r="T21" s="69"/>
      <c r="U21" s="69"/>
      <c r="V21" s="69"/>
      <c r="W21" s="69" t="s">
        <v>317</v>
      </c>
      <c r="X21" s="69"/>
      <c r="Y21" s="69"/>
      <c r="Z21" s="69"/>
      <c r="AA21" s="69" t="s">
        <v>354</v>
      </c>
      <c r="AB21" s="69" t="s">
        <v>317</v>
      </c>
      <c r="AC21" s="69" t="s">
        <v>325</v>
      </c>
      <c r="AD21" s="69"/>
      <c r="AE21" s="69"/>
      <c r="AF21" s="69" t="s">
        <v>355</v>
      </c>
      <c r="AG21" s="69" t="s">
        <v>415</v>
      </c>
      <c r="AH21" s="69"/>
      <c r="AI21" s="69" t="s">
        <v>311</v>
      </c>
      <c r="AJ21" s="69" t="s">
        <v>314</v>
      </c>
      <c r="AK21" s="69" t="s">
        <v>317</v>
      </c>
      <c r="AL21" s="69"/>
      <c r="AM21" s="69"/>
      <c r="AN21" s="69"/>
      <c r="AO21" s="69"/>
      <c r="AP21" s="69" t="s">
        <v>333</v>
      </c>
      <c r="AQ21" s="69"/>
      <c r="AR21" s="99"/>
      <c r="AS21" s="69" t="s">
        <v>333</v>
      </c>
      <c r="AT21" s="69" t="s">
        <v>334</v>
      </c>
      <c r="AU21" s="69" t="s">
        <v>317</v>
      </c>
      <c r="AV21" s="69"/>
      <c r="AW21" s="69"/>
      <c r="AX21" s="69"/>
      <c r="AY21" s="69" t="s">
        <v>366</v>
      </c>
      <c r="AZ21" s="69"/>
      <c r="BA21" s="69"/>
      <c r="BB21" s="69"/>
      <c r="BC21" s="69"/>
      <c r="BD21" s="69" t="s">
        <v>312</v>
      </c>
      <c r="BE21" s="69" t="s">
        <v>367</v>
      </c>
      <c r="BF21" s="69"/>
      <c r="BG21" s="69"/>
      <c r="BH21" s="69"/>
      <c r="BI21" s="69" t="s">
        <v>348</v>
      </c>
      <c r="BJ21" s="69"/>
      <c r="BK21" s="69" t="s">
        <v>472</v>
      </c>
      <c r="BL21" s="69" t="s">
        <v>317</v>
      </c>
      <c r="BM21" s="69" t="s">
        <v>388</v>
      </c>
      <c r="BN21" s="69"/>
    </row>
    <row r="22" spans="1:66" x14ac:dyDescent="0.25">
      <c r="A22" s="61" t="s">
        <v>3</v>
      </c>
      <c r="B22" s="68" t="s">
        <v>265</v>
      </c>
      <c r="C22" s="66">
        <v>3.5</v>
      </c>
      <c r="D22" s="64">
        <v>30</v>
      </c>
      <c r="E22" s="64">
        <f>IF(ISBLANK($D22),"0",IF(($D22-$D21)&gt;($C22-$C21),1,0))</f>
        <v>0</v>
      </c>
      <c r="F22" s="64">
        <f t="shared" ca="1" si="1"/>
        <v>31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/>
      <c r="L22" s="70"/>
      <c r="M22" s="70"/>
      <c r="N22" s="70" t="s">
        <v>355</v>
      </c>
      <c r="O22" s="70"/>
      <c r="P22" s="70"/>
      <c r="Q22" s="70" t="s">
        <v>318</v>
      </c>
      <c r="R22" s="70" t="s">
        <v>312</v>
      </c>
      <c r="S22" s="70" t="s">
        <v>326</v>
      </c>
      <c r="T22" s="70" t="s">
        <v>356</v>
      </c>
      <c r="U22" s="70" t="s">
        <v>311</v>
      </c>
      <c r="V22" s="70" t="s">
        <v>350</v>
      </c>
      <c r="W22" s="70"/>
      <c r="X22" s="70" t="s">
        <v>312</v>
      </c>
      <c r="Y22" s="70" t="s">
        <v>361</v>
      </c>
      <c r="Z22" s="70" t="s">
        <v>326</v>
      </c>
      <c r="AA22" s="70"/>
      <c r="AB22" s="70"/>
      <c r="AC22" s="70"/>
      <c r="AD22" s="70" t="s">
        <v>317</v>
      </c>
      <c r="AE22" s="70" t="s">
        <v>355</v>
      </c>
      <c r="AF22" s="70"/>
      <c r="AG22" s="70"/>
      <c r="AH22" s="70" t="s">
        <v>479</v>
      </c>
      <c r="AI22" s="70"/>
      <c r="AJ22" s="70"/>
      <c r="AK22" s="70"/>
      <c r="AL22" s="70" t="s">
        <v>347</v>
      </c>
      <c r="AM22" s="70" t="s">
        <v>375</v>
      </c>
      <c r="AN22" s="70" t="s">
        <v>317</v>
      </c>
      <c r="AO22" s="70" t="s">
        <v>317</v>
      </c>
      <c r="AP22" s="70"/>
      <c r="AQ22" s="100" t="s">
        <v>315</v>
      </c>
      <c r="AR22" s="70" t="s">
        <v>317</v>
      </c>
      <c r="AS22" s="70"/>
      <c r="AT22" s="70"/>
      <c r="AU22" s="70"/>
      <c r="AV22" s="70" t="s">
        <v>317</v>
      </c>
      <c r="AW22" s="70" t="s">
        <v>325</v>
      </c>
      <c r="AX22" s="70" t="s">
        <v>341</v>
      </c>
      <c r="AY22" s="70"/>
      <c r="AZ22" s="70" t="s">
        <v>383</v>
      </c>
      <c r="BA22" s="70" t="s">
        <v>317</v>
      </c>
      <c r="BB22" s="70" t="s">
        <v>317</v>
      </c>
      <c r="BC22" s="70" t="s">
        <v>357</v>
      </c>
      <c r="BD22" s="70"/>
      <c r="BE22" s="70"/>
      <c r="BF22" s="70" t="s">
        <v>387</v>
      </c>
      <c r="BG22" s="70" t="s">
        <v>321</v>
      </c>
      <c r="BH22" s="70" t="s">
        <v>313</v>
      </c>
      <c r="BI22" s="70"/>
      <c r="BJ22" s="70" t="s">
        <v>321</v>
      </c>
      <c r="BK22" s="70"/>
      <c r="BL22" s="70"/>
      <c r="BM22" s="70"/>
      <c r="BN22" s="70" t="s">
        <v>312</v>
      </c>
    </row>
    <row r="23" spans="1:66" x14ac:dyDescent="0.25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>
        <v>34</v>
      </c>
      <c r="K23" s="78">
        <v>28</v>
      </c>
      <c r="L23" s="78">
        <v>33</v>
      </c>
      <c r="M23" s="78">
        <v>38</v>
      </c>
      <c r="N23" s="80">
        <v>20</v>
      </c>
      <c r="O23" s="78">
        <v>21</v>
      </c>
      <c r="P23" s="78">
        <v>35</v>
      </c>
      <c r="Q23" s="78">
        <v>40</v>
      </c>
      <c r="R23" s="78">
        <v>31</v>
      </c>
      <c r="S23" s="78">
        <v>31</v>
      </c>
      <c r="T23" s="78">
        <v>17</v>
      </c>
      <c r="U23" s="78">
        <v>35</v>
      </c>
      <c r="V23" s="78">
        <v>21</v>
      </c>
      <c r="W23" s="78">
        <v>28</v>
      </c>
      <c r="X23" s="78">
        <v>20</v>
      </c>
      <c r="Y23" s="78">
        <v>17</v>
      </c>
      <c r="Z23" s="78">
        <v>32</v>
      </c>
      <c r="AA23" s="78">
        <v>36</v>
      </c>
      <c r="AB23" s="78">
        <v>35</v>
      </c>
      <c r="AC23" s="78">
        <v>29</v>
      </c>
      <c r="AD23" s="78">
        <v>21</v>
      </c>
      <c r="AE23" s="78">
        <v>30</v>
      </c>
      <c r="AF23" s="78">
        <v>47</v>
      </c>
      <c r="AG23" s="78">
        <v>44</v>
      </c>
      <c r="AH23" s="78">
        <v>30</v>
      </c>
      <c r="AI23" s="78">
        <v>48</v>
      </c>
      <c r="AJ23" s="78">
        <v>23</v>
      </c>
      <c r="AK23" s="78">
        <v>45</v>
      </c>
      <c r="AL23" s="78">
        <v>31</v>
      </c>
      <c r="AM23" s="78">
        <v>24</v>
      </c>
      <c r="AN23" s="78">
        <v>20</v>
      </c>
      <c r="AO23" s="78">
        <v>24</v>
      </c>
      <c r="AP23" s="78">
        <v>33</v>
      </c>
      <c r="AQ23" s="78">
        <v>0</v>
      </c>
      <c r="AR23" s="78">
        <v>17</v>
      </c>
      <c r="AS23" s="78">
        <v>38</v>
      </c>
      <c r="AT23" s="78">
        <v>42</v>
      </c>
      <c r="AU23" s="78">
        <v>24</v>
      </c>
      <c r="AV23" s="78">
        <v>27</v>
      </c>
      <c r="AW23" s="78">
        <v>33</v>
      </c>
      <c r="AX23" s="78">
        <v>14</v>
      </c>
      <c r="AY23" s="78">
        <v>41</v>
      </c>
      <c r="AZ23" s="78">
        <v>28</v>
      </c>
      <c r="BA23" s="78">
        <v>21</v>
      </c>
      <c r="BB23" s="78">
        <v>7</v>
      </c>
      <c r="BC23" s="78">
        <v>13</v>
      </c>
      <c r="BD23" s="78">
        <v>28</v>
      </c>
      <c r="BE23" s="78">
        <v>34</v>
      </c>
      <c r="BF23" s="78">
        <v>24</v>
      </c>
      <c r="BG23" s="78">
        <v>16</v>
      </c>
      <c r="BH23" s="78">
        <v>16</v>
      </c>
      <c r="BI23" s="78">
        <v>34</v>
      </c>
      <c r="BJ23" s="78">
        <v>35</v>
      </c>
      <c r="BK23" s="78">
        <v>30</v>
      </c>
      <c r="BL23" s="78">
        <v>18</v>
      </c>
      <c r="BM23" s="78">
        <v>35</v>
      </c>
      <c r="BN23" s="78">
        <v>42</v>
      </c>
    </row>
    <row r="24" spans="1:66" x14ac:dyDescent="0.25">
      <c r="A24" s="61"/>
      <c r="B24" s="68" t="str">
        <f>B22&amp; " - score"</f>
        <v>Stanford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31</v>
      </c>
      <c r="K24" s="79">
        <v>21</v>
      </c>
      <c r="L24" s="79">
        <v>27</v>
      </c>
      <c r="M24" s="79">
        <v>25</v>
      </c>
      <c r="N24" s="79">
        <v>24</v>
      </c>
      <c r="O24" s="79">
        <v>14</v>
      </c>
      <c r="P24" s="79">
        <v>36</v>
      </c>
      <c r="Q24" s="79">
        <v>53</v>
      </c>
      <c r="R24" s="79">
        <v>35</v>
      </c>
      <c r="S24" s="79">
        <v>38</v>
      </c>
      <c r="T24" s="79">
        <v>21</v>
      </c>
      <c r="U24" s="79">
        <v>42</v>
      </c>
      <c r="V24" s="79">
        <v>31</v>
      </c>
      <c r="W24" s="79">
        <v>31</v>
      </c>
      <c r="X24" s="79">
        <v>24</v>
      </c>
      <c r="Y24" s="79">
        <v>24</v>
      </c>
      <c r="Z24" s="79">
        <v>38</v>
      </c>
      <c r="AA24" s="79">
        <v>28</v>
      </c>
      <c r="AB24" s="79">
        <v>32</v>
      </c>
      <c r="AC24" s="79">
        <v>32</v>
      </c>
      <c r="AD24" s="79">
        <v>31</v>
      </c>
      <c r="AE24" s="79">
        <v>38</v>
      </c>
      <c r="AF24" s="79">
        <v>41</v>
      </c>
      <c r="AG24" s="79">
        <v>35</v>
      </c>
      <c r="AH24" s="79">
        <v>35</v>
      </c>
      <c r="AI24" s="79">
        <v>47</v>
      </c>
      <c r="AJ24" s="79">
        <v>21</v>
      </c>
      <c r="AK24" s="79">
        <v>43</v>
      </c>
      <c r="AL24" s="79">
        <v>41</v>
      </c>
      <c r="AM24" s="79">
        <v>31</v>
      </c>
      <c r="AN24" s="79">
        <v>24</v>
      </c>
      <c r="AO24" s="79">
        <v>35</v>
      </c>
      <c r="AP24" s="79">
        <v>23</v>
      </c>
      <c r="AQ24" s="79">
        <v>0</v>
      </c>
      <c r="AR24" s="79">
        <v>28</v>
      </c>
      <c r="AS24" s="79">
        <v>35</v>
      </c>
      <c r="AT24" s="79">
        <v>33</v>
      </c>
      <c r="AU24" s="79">
        <v>21</v>
      </c>
      <c r="AV24" s="79">
        <v>31</v>
      </c>
      <c r="AW24" s="79">
        <v>38</v>
      </c>
      <c r="AX24" s="79">
        <v>45</v>
      </c>
      <c r="AY24" s="79">
        <v>28</v>
      </c>
      <c r="AZ24" s="79">
        <v>38</v>
      </c>
      <c r="BA24" s="79">
        <v>35</v>
      </c>
      <c r="BB24" s="79">
        <v>60</v>
      </c>
      <c r="BC24" s="79">
        <v>17</v>
      </c>
      <c r="BD24" s="79">
        <v>21</v>
      </c>
      <c r="BE24" s="79">
        <v>31</v>
      </c>
      <c r="BF24" s="79">
        <v>35</v>
      </c>
      <c r="BG24" s="79">
        <v>26</v>
      </c>
      <c r="BH24" s="79">
        <v>29</v>
      </c>
      <c r="BI24" s="79">
        <v>32</v>
      </c>
      <c r="BJ24" s="79">
        <v>41</v>
      </c>
      <c r="BK24" s="79">
        <v>33</v>
      </c>
      <c r="BL24" s="79">
        <v>21</v>
      </c>
      <c r="BM24" s="79">
        <v>31</v>
      </c>
      <c r="BN24" s="79">
        <v>49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2</v>
      </c>
      <c r="Q25" s="36">
        <f t="shared" si="3"/>
        <v>5</v>
      </c>
      <c r="R25" s="36">
        <f t="shared" si="3"/>
        <v>5</v>
      </c>
      <c r="S25" s="36">
        <f t="shared" si="3"/>
        <v>4</v>
      </c>
      <c r="T25" s="36">
        <f t="shared" si="3"/>
        <v>5</v>
      </c>
      <c r="U25" s="36">
        <f t="shared" si="3"/>
        <v>4</v>
      </c>
      <c r="V25" s="36">
        <f t="shared" si="3"/>
        <v>4</v>
      </c>
      <c r="W25" s="36">
        <f t="shared" si="3"/>
        <v>6</v>
      </c>
      <c r="X25" s="36">
        <f t="shared" si="3"/>
        <v>5</v>
      </c>
      <c r="Y25" s="36">
        <f t="shared" si="3"/>
        <v>1</v>
      </c>
      <c r="Z25" s="36">
        <f t="shared" si="3"/>
        <v>5</v>
      </c>
      <c r="AA25" s="36">
        <f t="shared" si="3"/>
        <v>6</v>
      </c>
      <c r="AB25" s="36">
        <f t="shared" si="3"/>
        <v>5</v>
      </c>
      <c r="AC25" s="36">
        <f t="shared" si="3"/>
        <v>6</v>
      </c>
      <c r="AD25" s="36">
        <f t="shared" si="3"/>
        <v>5</v>
      </c>
      <c r="AE25" s="36">
        <f t="shared" si="3"/>
        <v>4</v>
      </c>
      <c r="AF25" s="36">
        <f t="shared" si="3"/>
        <v>7</v>
      </c>
      <c r="AG25" s="36">
        <f t="shared" si="3"/>
        <v>5</v>
      </c>
      <c r="AH25" s="36">
        <f t="shared" si="3"/>
        <v>4</v>
      </c>
      <c r="AI25" s="36">
        <f t="shared" si="3"/>
        <v>5</v>
      </c>
      <c r="AJ25" s="36">
        <f t="shared" si="3"/>
        <v>8</v>
      </c>
      <c r="AK25" s="36">
        <f t="shared" si="3"/>
        <v>4</v>
      </c>
      <c r="AL25" s="36">
        <f t="shared" si="3"/>
        <v>3</v>
      </c>
      <c r="AM25" s="36">
        <f t="shared" si="3"/>
        <v>4</v>
      </c>
      <c r="AN25" s="36">
        <f t="shared" si="3"/>
        <v>2</v>
      </c>
      <c r="AO25" s="36">
        <f t="shared" si="3"/>
        <v>3</v>
      </c>
      <c r="AP25" s="36">
        <f t="shared" si="3"/>
        <v>5</v>
      </c>
      <c r="AQ25" s="36">
        <f t="shared" si="3"/>
        <v>1</v>
      </c>
      <c r="AR25" s="36">
        <f t="shared" si="3"/>
        <v>5</v>
      </c>
      <c r="AS25" s="36">
        <f t="shared" si="3"/>
        <v>8</v>
      </c>
      <c r="AT25" s="36">
        <f t="shared" si="3"/>
        <v>6</v>
      </c>
      <c r="AU25" s="36">
        <f t="shared" si="3"/>
        <v>5</v>
      </c>
      <c r="AV25" s="36">
        <f t="shared" si="3"/>
        <v>3</v>
      </c>
      <c r="AW25" s="36">
        <f t="shared" si="3"/>
        <v>5</v>
      </c>
      <c r="AX25" s="36">
        <f t="shared" si="3"/>
        <v>4</v>
      </c>
      <c r="AY25" s="36">
        <f t="shared" si="3"/>
        <v>4</v>
      </c>
      <c r="AZ25" s="36">
        <f t="shared" si="3"/>
        <v>6</v>
      </c>
      <c r="BA25" s="36">
        <f t="shared" si="3"/>
        <v>6</v>
      </c>
      <c r="BB25" s="36">
        <f t="shared" si="3"/>
        <v>3</v>
      </c>
      <c r="BC25" s="36">
        <f t="shared" si="3"/>
        <v>4</v>
      </c>
      <c r="BD25" s="36">
        <f t="shared" si="3"/>
        <v>4</v>
      </c>
      <c r="BE25" s="36">
        <f t="shared" si="3"/>
        <v>3</v>
      </c>
      <c r="BF25" s="36">
        <f t="shared" si="3"/>
        <v>6</v>
      </c>
      <c r="BG25" s="36">
        <f t="shared" si="3"/>
        <v>8</v>
      </c>
      <c r="BH25" s="36">
        <f t="shared" si="3"/>
        <v>4</v>
      </c>
      <c r="BI25" s="36">
        <f t="shared" si="3"/>
        <v>7</v>
      </c>
      <c r="BJ25" s="36">
        <f t="shared" si="3"/>
        <v>4</v>
      </c>
      <c r="BK25" s="36">
        <f t="shared" si="3"/>
        <v>8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4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16</v>
      </c>
      <c r="L26" s="71">
        <f t="shared" ref="L26:BN26" si="4">ABS((L23-L24)-($D21-$D22))</f>
        <v>17</v>
      </c>
      <c r="M26" s="71">
        <f t="shared" si="4"/>
        <v>10</v>
      </c>
      <c r="N26" s="71">
        <f t="shared" si="4"/>
        <v>27</v>
      </c>
      <c r="O26" s="71">
        <f t="shared" si="4"/>
        <v>16</v>
      </c>
      <c r="P26" s="71">
        <f t="shared" si="4"/>
        <v>24</v>
      </c>
      <c r="Q26" s="71">
        <f t="shared" si="4"/>
        <v>36</v>
      </c>
      <c r="R26" s="71">
        <f t="shared" si="4"/>
        <v>27</v>
      </c>
      <c r="S26" s="71">
        <f t="shared" si="4"/>
        <v>30</v>
      </c>
      <c r="T26" s="71">
        <f t="shared" si="4"/>
        <v>27</v>
      </c>
      <c r="U26" s="71">
        <f t="shared" si="4"/>
        <v>30</v>
      </c>
      <c r="V26" s="71">
        <f t="shared" si="4"/>
        <v>33</v>
      </c>
      <c r="W26" s="71">
        <f t="shared" si="4"/>
        <v>26</v>
      </c>
      <c r="X26" s="71">
        <f t="shared" si="4"/>
        <v>27</v>
      </c>
      <c r="Y26" s="71">
        <f t="shared" si="4"/>
        <v>30</v>
      </c>
      <c r="Z26" s="71">
        <f t="shared" si="4"/>
        <v>29</v>
      </c>
      <c r="AA26" s="71">
        <f t="shared" si="4"/>
        <v>15</v>
      </c>
      <c r="AB26" s="71">
        <f t="shared" si="4"/>
        <v>20</v>
      </c>
      <c r="AC26" s="71">
        <f t="shared" si="4"/>
        <v>26</v>
      </c>
      <c r="AD26" s="71">
        <f t="shared" si="4"/>
        <v>33</v>
      </c>
      <c r="AE26" s="71">
        <f t="shared" si="4"/>
        <v>31</v>
      </c>
      <c r="AF26" s="71">
        <f t="shared" si="4"/>
        <v>17</v>
      </c>
      <c r="AG26" s="71">
        <f t="shared" si="4"/>
        <v>14</v>
      </c>
      <c r="AH26" s="71">
        <f t="shared" si="4"/>
        <v>28</v>
      </c>
      <c r="AI26" s="71">
        <f t="shared" si="4"/>
        <v>22</v>
      </c>
      <c r="AJ26" s="71">
        <f t="shared" si="4"/>
        <v>21</v>
      </c>
      <c r="AK26" s="71">
        <f t="shared" si="4"/>
        <v>21</v>
      </c>
      <c r="AL26" s="71">
        <f t="shared" si="4"/>
        <v>33</v>
      </c>
      <c r="AM26" s="71">
        <f t="shared" si="4"/>
        <v>30</v>
      </c>
      <c r="AN26" s="71">
        <f t="shared" si="4"/>
        <v>27</v>
      </c>
      <c r="AO26" s="71">
        <f t="shared" si="4"/>
        <v>34</v>
      </c>
      <c r="AP26" s="71">
        <f t="shared" si="4"/>
        <v>13</v>
      </c>
      <c r="AQ26" s="71">
        <f t="shared" si="4"/>
        <v>23</v>
      </c>
      <c r="AR26" s="71">
        <f t="shared" si="4"/>
        <v>34</v>
      </c>
      <c r="AS26" s="71">
        <f t="shared" si="4"/>
        <v>20</v>
      </c>
      <c r="AT26" s="71">
        <f t="shared" si="4"/>
        <v>14</v>
      </c>
      <c r="AU26" s="71">
        <f t="shared" si="4"/>
        <v>20</v>
      </c>
      <c r="AV26" s="71">
        <f t="shared" si="4"/>
        <v>27</v>
      </c>
      <c r="AW26" s="71">
        <f t="shared" si="4"/>
        <v>28</v>
      </c>
      <c r="AX26" s="71">
        <f t="shared" si="4"/>
        <v>54</v>
      </c>
      <c r="AY26" s="71">
        <f t="shared" si="4"/>
        <v>10</v>
      </c>
      <c r="AZ26" s="71">
        <f t="shared" si="4"/>
        <v>33</v>
      </c>
      <c r="BA26" s="71">
        <f t="shared" si="4"/>
        <v>37</v>
      </c>
      <c r="BB26" s="71">
        <f t="shared" si="4"/>
        <v>76</v>
      </c>
      <c r="BC26" s="71">
        <f t="shared" si="4"/>
        <v>27</v>
      </c>
      <c r="BD26" s="71">
        <f t="shared" si="4"/>
        <v>16</v>
      </c>
      <c r="BE26" s="71">
        <f t="shared" si="4"/>
        <v>20</v>
      </c>
      <c r="BF26" s="71">
        <f t="shared" si="4"/>
        <v>34</v>
      </c>
      <c r="BG26" s="71">
        <f t="shared" si="4"/>
        <v>33</v>
      </c>
      <c r="BH26" s="71">
        <f t="shared" si="4"/>
        <v>36</v>
      </c>
      <c r="BI26" s="71">
        <f t="shared" si="4"/>
        <v>21</v>
      </c>
      <c r="BJ26" s="71">
        <f t="shared" si="4"/>
        <v>29</v>
      </c>
      <c r="BK26" s="71">
        <f t="shared" si="4"/>
        <v>26</v>
      </c>
      <c r="BL26" s="71">
        <f t="shared" si="4"/>
        <v>26</v>
      </c>
      <c r="BM26" s="71">
        <f t="shared" si="4"/>
        <v>19</v>
      </c>
      <c r="BN26" s="71">
        <f t="shared" si="4"/>
        <v>30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34</v>
      </c>
      <c r="L27" s="71">
        <f t="shared" ref="L27:BN27" si="5">ABS(($D21+$D22)-(L23+L24))</f>
        <v>23</v>
      </c>
      <c r="M27" s="71">
        <f t="shared" si="5"/>
        <v>20</v>
      </c>
      <c r="N27" s="71">
        <f t="shared" si="5"/>
        <v>39</v>
      </c>
      <c r="O27" s="71">
        <f t="shared" si="5"/>
        <v>48</v>
      </c>
      <c r="P27" s="71">
        <f t="shared" si="5"/>
        <v>12</v>
      </c>
      <c r="Q27" s="71">
        <f t="shared" si="5"/>
        <v>10</v>
      </c>
      <c r="R27" s="71">
        <f t="shared" si="5"/>
        <v>17</v>
      </c>
      <c r="S27" s="71">
        <f t="shared" si="5"/>
        <v>14</v>
      </c>
      <c r="T27" s="71">
        <f t="shared" si="5"/>
        <v>45</v>
      </c>
      <c r="U27" s="71">
        <f t="shared" si="5"/>
        <v>6</v>
      </c>
      <c r="V27" s="71">
        <f t="shared" si="5"/>
        <v>31</v>
      </c>
      <c r="W27" s="71">
        <f t="shared" si="5"/>
        <v>24</v>
      </c>
      <c r="X27" s="71">
        <f t="shared" si="5"/>
        <v>39</v>
      </c>
      <c r="Y27" s="71">
        <f t="shared" si="5"/>
        <v>42</v>
      </c>
      <c r="Z27" s="71">
        <f t="shared" si="5"/>
        <v>13</v>
      </c>
      <c r="AA27" s="71">
        <f t="shared" si="5"/>
        <v>19</v>
      </c>
      <c r="AB27" s="71">
        <f t="shared" si="5"/>
        <v>16</v>
      </c>
      <c r="AC27" s="71">
        <f t="shared" si="5"/>
        <v>22</v>
      </c>
      <c r="AD27" s="71">
        <f t="shared" si="5"/>
        <v>31</v>
      </c>
      <c r="AE27" s="71">
        <f t="shared" si="5"/>
        <v>15</v>
      </c>
      <c r="AF27" s="71">
        <f t="shared" si="5"/>
        <v>5</v>
      </c>
      <c r="AG27" s="71">
        <f t="shared" si="5"/>
        <v>4</v>
      </c>
      <c r="AH27" s="71">
        <f t="shared" si="5"/>
        <v>18</v>
      </c>
      <c r="AI27" s="71">
        <f t="shared" si="5"/>
        <v>12</v>
      </c>
      <c r="AJ27" s="71">
        <f t="shared" si="5"/>
        <v>39</v>
      </c>
      <c r="AK27" s="71">
        <f t="shared" si="5"/>
        <v>5</v>
      </c>
      <c r="AL27" s="71">
        <f t="shared" si="5"/>
        <v>11</v>
      </c>
      <c r="AM27" s="71">
        <f t="shared" si="5"/>
        <v>28</v>
      </c>
      <c r="AN27" s="71">
        <f t="shared" si="5"/>
        <v>39</v>
      </c>
      <c r="AO27" s="71">
        <f t="shared" si="5"/>
        <v>24</v>
      </c>
      <c r="AP27" s="71">
        <f t="shared" si="5"/>
        <v>27</v>
      </c>
      <c r="AQ27" s="71">
        <f t="shared" si="5"/>
        <v>83</v>
      </c>
      <c r="AR27" s="71">
        <f t="shared" si="5"/>
        <v>38</v>
      </c>
      <c r="AS27" s="71">
        <f t="shared" si="5"/>
        <v>10</v>
      </c>
      <c r="AT27" s="71">
        <f t="shared" si="5"/>
        <v>8</v>
      </c>
      <c r="AU27" s="71">
        <f t="shared" si="5"/>
        <v>38</v>
      </c>
      <c r="AV27" s="71">
        <f t="shared" si="5"/>
        <v>25</v>
      </c>
      <c r="AW27" s="71">
        <f t="shared" si="5"/>
        <v>12</v>
      </c>
      <c r="AX27" s="71">
        <f t="shared" si="5"/>
        <v>24</v>
      </c>
      <c r="AY27" s="71">
        <f t="shared" si="5"/>
        <v>14</v>
      </c>
      <c r="AZ27" s="71">
        <f t="shared" si="5"/>
        <v>17</v>
      </c>
      <c r="BA27" s="71">
        <f t="shared" si="5"/>
        <v>27</v>
      </c>
      <c r="BB27" s="71">
        <f t="shared" si="5"/>
        <v>16</v>
      </c>
      <c r="BC27" s="71">
        <f t="shared" si="5"/>
        <v>53</v>
      </c>
      <c r="BD27" s="71">
        <f t="shared" si="5"/>
        <v>34</v>
      </c>
      <c r="BE27" s="71">
        <f t="shared" si="5"/>
        <v>18</v>
      </c>
      <c r="BF27" s="71">
        <f t="shared" si="5"/>
        <v>24</v>
      </c>
      <c r="BG27" s="71">
        <f t="shared" si="5"/>
        <v>41</v>
      </c>
      <c r="BH27" s="71">
        <f t="shared" si="5"/>
        <v>38</v>
      </c>
      <c r="BI27" s="71">
        <f t="shared" si="5"/>
        <v>17</v>
      </c>
      <c r="BJ27" s="71">
        <f t="shared" si="5"/>
        <v>7</v>
      </c>
      <c r="BK27" s="71">
        <f t="shared" si="5"/>
        <v>20</v>
      </c>
      <c r="BL27" s="71">
        <f t="shared" si="5"/>
        <v>44</v>
      </c>
      <c r="BM27" s="71">
        <f t="shared" si="5"/>
        <v>17</v>
      </c>
      <c r="BN27" s="71">
        <f t="shared" si="5"/>
        <v>8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>
        <f t="shared" ca="1" si="6"/>
        <v>1</v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0.47499999999999998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5</v>
      </c>
      <c r="M29" s="71">
        <f t="shared" si="7"/>
        <v>10</v>
      </c>
      <c r="N29" s="71">
        <f t="shared" si="7"/>
        <v>5</v>
      </c>
      <c r="O29" s="71">
        <f t="shared" si="7"/>
        <v>7</v>
      </c>
      <c r="P29" s="71">
        <f t="shared" si="7"/>
        <v>5</v>
      </c>
      <c r="Q29" s="71">
        <f t="shared" si="7"/>
        <v>6</v>
      </c>
      <c r="R29" s="71">
        <f t="shared" si="7"/>
        <v>6</v>
      </c>
      <c r="S29" s="71">
        <f t="shared" si="7"/>
        <v>5</v>
      </c>
      <c r="T29" s="71">
        <f t="shared" si="7"/>
        <v>8</v>
      </c>
      <c r="U29" s="71">
        <f t="shared" si="7"/>
        <v>7</v>
      </c>
      <c r="V29" s="71">
        <f t="shared" si="7"/>
        <v>5</v>
      </c>
      <c r="W29" s="71">
        <f t="shared" si="7"/>
        <v>5</v>
      </c>
      <c r="X29" s="71">
        <f t="shared" si="7"/>
        <v>6</v>
      </c>
      <c r="Y29" s="71">
        <f t="shared" si="7"/>
        <v>2</v>
      </c>
      <c r="Z29" s="71">
        <f t="shared" si="7"/>
        <v>2</v>
      </c>
      <c r="AA29" s="71">
        <f t="shared" si="7"/>
        <v>9</v>
      </c>
      <c r="AB29" s="71">
        <f t="shared" si="7"/>
        <v>6</v>
      </c>
      <c r="AC29" s="71">
        <f t="shared" si="7"/>
        <v>5</v>
      </c>
      <c r="AD29" s="71">
        <f t="shared" si="7"/>
        <v>6</v>
      </c>
      <c r="AE29" s="71">
        <f t="shared" si="7"/>
        <v>5</v>
      </c>
      <c r="AF29" s="71">
        <f t="shared" si="7"/>
        <v>6</v>
      </c>
      <c r="AG29" s="71">
        <f t="shared" si="7"/>
        <v>6</v>
      </c>
      <c r="AH29" s="71">
        <f t="shared" si="7"/>
        <v>5</v>
      </c>
      <c r="AI29" s="71">
        <f t="shared" si="7"/>
        <v>8</v>
      </c>
      <c r="AJ29" s="71">
        <f t="shared" si="7"/>
        <v>9</v>
      </c>
      <c r="AK29" s="71">
        <f t="shared" si="7"/>
        <v>7</v>
      </c>
      <c r="AL29" s="71">
        <f t="shared" si="7"/>
        <v>4</v>
      </c>
      <c r="AM29" s="71">
        <f t="shared" si="7"/>
        <v>7</v>
      </c>
      <c r="AN29" s="71">
        <f t="shared" si="7"/>
        <v>3</v>
      </c>
      <c r="AO29" s="71">
        <f t="shared" si="7"/>
        <v>6</v>
      </c>
      <c r="AP29" s="71">
        <f t="shared" si="7"/>
        <v>8</v>
      </c>
      <c r="AQ29" s="71">
        <f t="shared" si="7"/>
        <v>2</v>
      </c>
      <c r="AR29" s="71">
        <f t="shared" si="7"/>
        <v>6</v>
      </c>
      <c r="AS29" s="71">
        <f t="shared" si="7"/>
        <v>9</v>
      </c>
      <c r="AT29" s="71">
        <f t="shared" si="7"/>
        <v>7</v>
      </c>
      <c r="AU29" s="71">
        <f t="shared" si="7"/>
        <v>6</v>
      </c>
      <c r="AV29" s="71">
        <f t="shared" si="7"/>
        <v>4</v>
      </c>
      <c r="AW29" s="71">
        <f t="shared" si="7"/>
        <v>6</v>
      </c>
      <c r="AX29" s="71">
        <f t="shared" si="7"/>
        <v>5</v>
      </c>
      <c r="AY29" s="71">
        <f t="shared" si="7"/>
        <v>7</v>
      </c>
      <c r="AZ29" s="71">
        <f t="shared" si="7"/>
        <v>5</v>
      </c>
      <c r="BA29" s="71">
        <f t="shared" si="7"/>
        <v>3</v>
      </c>
      <c r="BB29" s="71">
        <f t="shared" si="7"/>
        <v>4</v>
      </c>
      <c r="BC29" s="71">
        <f t="shared" si="7"/>
        <v>5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7</v>
      </c>
      <c r="BH29" s="71">
        <f t="shared" si="7"/>
        <v>5</v>
      </c>
      <c r="BI29" s="71">
        <f t="shared" si="7"/>
        <v>8</v>
      </c>
      <c r="BJ29" s="71">
        <f t="shared" si="7"/>
        <v>5</v>
      </c>
      <c r="BK29" s="71">
        <f t="shared" si="7"/>
        <v>7</v>
      </c>
      <c r="BL29" s="71">
        <f t="shared" si="7"/>
        <v>4</v>
      </c>
      <c r="BM29" s="71">
        <f t="shared" si="7"/>
        <v>3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-14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8"/>
        <v>7</v>
      </c>
      <c r="N30" s="73">
        <f t="shared" si="8"/>
        <v>4</v>
      </c>
      <c r="O30" s="73">
        <f t="shared" si="8"/>
        <v>6</v>
      </c>
      <c r="P30" s="73">
        <f t="shared" si="8"/>
        <v>6</v>
      </c>
      <c r="Q30" s="73">
        <f t="shared" si="8"/>
        <v>3</v>
      </c>
      <c r="R30" s="73">
        <f t="shared" si="8"/>
        <v>5</v>
      </c>
      <c r="S30" s="73">
        <f t="shared" si="8"/>
        <v>2</v>
      </c>
      <c r="T30" s="73">
        <f t="shared" si="8"/>
        <v>5</v>
      </c>
      <c r="U30" s="73">
        <f t="shared" si="8"/>
        <v>6</v>
      </c>
      <c r="V30" s="73">
        <f t="shared" si="8"/>
        <v>2</v>
      </c>
      <c r="W30" s="73">
        <f t="shared" si="8"/>
        <v>4</v>
      </c>
      <c r="X30" s="73">
        <f t="shared" si="8"/>
        <v>3</v>
      </c>
      <c r="Y30" s="73">
        <f t="shared" si="8"/>
        <v>3</v>
      </c>
      <c r="Z30" s="73">
        <f t="shared" si="8"/>
        <v>5</v>
      </c>
      <c r="AA30" s="73">
        <f t="shared" si="8"/>
        <v>6</v>
      </c>
      <c r="AB30" s="73">
        <f t="shared" si="8"/>
        <v>3</v>
      </c>
      <c r="AC30" s="73">
        <f t="shared" si="8"/>
        <v>4</v>
      </c>
      <c r="AD30" s="73">
        <f t="shared" si="8"/>
        <v>3</v>
      </c>
      <c r="AE30" s="73">
        <f t="shared" si="8"/>
        <v>2</v>
      </c>
      <c r="AF30" s="73">
        <f t="shared" si="8"/>
        <v>5</v>
      </c>
      <c r="AG30" s="73">
        <f t="shared" si="8"/>
        <v>5</v>
      </c>
      <c r="AH30" s="73">
        <f t="shared" si="8"/>
        <v>4</v>
      </c>
      <c r="AI30" s="73">
        <f t="shared" si="8"/>
        <v>5</v>
      </c>
      <c r="AJ30" s="73">
        <f t="shared" si="8"/>
        <v>6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2</v>
      </c>
      <c r="AO30" s="73">
        <f t="shared" si="8"/>
        <v>3</v>
      </c>
      <c r="AP30" s="73">
        <f t="shared" si="8"/>
        <v>5</v>
      </c>
      <c r="AQ30" s="73">
        <f t="shared" si="8"/>
        <v>3</v>
      </c>
      <c r="AR30" s="73">
        <f t="shared" si="8"/>
        <v>3</v>
      </c>
      <c r="AS30" s="73">
        <f t="shared" si="8"/>
        <v>6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3</v>
      </c>
      <c r="AX30" s="73">
        <f t="shared" si="8"/>
        <v>4</v>
      </c>
      <c r="AY30" s="73">
        <f t="shared" si="8"/>
        <v>6</v>
      </c>
      <c r="AZ30" s="73">
        <f t="shared" si="8"/>
        <v>4</v>
      </c>
      <c r="BA30" s="73">
        <f t="shared" si="8"/>
        <v>2</v>
      </c>
      <c r="BB30" s="73">
        <f t="shared" si="8"/>
        <v>3</v>
      </c>
      <c r="BC30" s="73">
        <f t="shared" si="8"/>
        <v>2</v>
      </c>
      <c r="BD30" s="73">
        <f t="shared" si="8"/>
        <v>8</v>
      </c>
      <c r="BE30" s="73">
        <f t="shared" si="8"/>
        <v>3</v>
      </c>
      <c r="BF30" s="73">
        <f t="shared" si="8"/>
        <v>6</v>
      </c>
      <c r="BG30" s="73">
        <f t="shared" si="8"/>
        <v>6</v>
      </c>
      <c r="BH30" s="73">
        <f t="shared" si="8"/>
        <v>6</v>
      </c>
      <c r="BI30" s="73">
        <f t="shared" si="8"/>
        <v>7</v>
      </c>
      <c r="BJ30" s="73">
        <f t="shared" si="8"/>
        <v>4</v>
      </c>
      <c r="BK30" s="73">
        <f t="shared" si="8"/>
        <v>6</v>
      </c>
      <c r="BL30" s="73">
        <f t="shared" si="8"/>
        <v>3</v>
      </c>
      <c r="BM30" s="73">
        <f t="shared" si="8"/>
        <v>4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7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7</v>
      </c>
      <c r="M31" s="71">
        <f t="shared" ca="1" si="9"/>
        <v>6</v>
      </c>
      <c r="N31" s="71">
        <f t="shared" ca="1" si="9"/>
        <v>3</v>
      </c>
      <c r="O31" s="71">
        <f t="shared" ca="1" si="9"/>
        <v>5</v>
      </c>
      <c r="P31" s="71">
        <f t="shared" ca="1" si="9"/>
        <v>5</v>
      </c>
      <c r="Q31" s="71">
        <f t="shared" ca="1" si="9"/>
        <v>2</v>
      </c>
      <c r="R31" s="71">
        <f t="shared" ca="1" si="9"/>
        <v>4</v>
      </c>
      <c r="S31" s="71">
        <f t="shared" ca="1" si="9"/>
        <v>3</v>
      </c>
      <c r="T31" s="71">
        <f t="shared" ca="1" si="9"/>
        <v>4</v>
      </c>
      <c r="U31" s="71">
        <f t="shared" ca="1" si="9"/>
        <v>5</v>
      </c>
      <c r="V31" s="71">
        <f t="shared" ca="1" si="9"/>
        <v>1</v>
      </c>
      <c r="W31" s="71">
        <f t="shared" ca="1" si="9"/>
        <v>3</v>
      </c>
      <c r="X31" s="71">
        <f t="shared" ca="1" si="9"/>
        <v>2</v>
      </c>
      <c r="Y31" s="71">
        <f t="shared" ca="1" si="9"/>
        <v>2</v>
      </c>
      <c r="Z31" s="71">
        <f t="shared" ca="1" si="9"/>
        <v>6</v>
      </c>
      <c r="AA31" s="71">
        <f t="shared" ca="1" si="9"/>
        <v>5</v>
      </c>
      <c r="AB31" s="71">
        <f t="shared" ca="1" si="9"/>
        <v>2</v>
      </c>
      <c r="AC31" s="71">
        <f t="shared" ca="1" si="9"/>
        <v>3</v>
      </c>
      <c r="AD31" s="71">
        <f t="shared" ca="1" si="9"/>
        <v>2</v>
      </c>
      <c r="AE31" s="71">
        <f t="shared" ca="1" si="9"/>
        <v>1</v>
      </c>
      <c r="AF31" s="71">
        <f t="shared" ca="1" si="9"/>
        <v>4</v>
      </c>
      <c r="AG31" s="71">
        <f t="shared" ca="1" si="9"/>
        <v>4</v>
      </c>
      <c r="AH31" s="71">
        <f t="shared" ca="1" si="9"/>
        <v>3</v>
      </c>
      <c r="AI31" s="71">
        <f t="shared" ca="1" si="9"/>
        <v>4</v>
      </c>
      <c r="AJ31" s="71">
        <f t="shared" ca="1" si="9"/>
        <v>5</v>
      </c>
      <c r="AK31" s="71">
        <f t="shared" ca="1" si="9"/>
        <v>5</v>
      </c>
      <c r="AL31" s="71">
        <f t="shared" ca="1" si="9"/>
        <v>4</v>
      </c>
      <c r="AM31" s="71">
        <f t="shared" ca="1" si="9"/>
        <v>3</v>
      </c>
      <c r="AN31" s="71">
        <f t="shared" ca="1" si="9"/>
        <v>1</v>
      </c>
      <c r="AO31" s="71">
        <f t="shared" ca="1" si="9"/>
        <v>2</v>
      </c>
      <c r="AP31" s="71">
        <f t="shared" ca="1" si="9"/>
        <v>4</v>
      </c>
      <c r="AQ31" s="71">
        <f t="shared" ca="1" si="9"/>
        <v>2</v>
      </c>
      <c r="AR31" s="71">
        <f t="shared" ca="1" si="9"/>
        <v>2</v>
      </c>
      <c r="AS31" s="71">
        <f t="shared" ca="1" si="9"/>
        <v>5</v>
      </c>
      <c r="AT31" s="71">
        <f t="shared" ca="1" si="9"/>
        <v>3</v>
      </c>
      <c r="AU31" s="71">
        <f t="shared" ca="1" si="9"/>
        <v>4</v>
      </c>
      <c r="AV31" s="71">
        <f t="shared" ca="1" si="9"/>
        <v>2</v>
      </c>
      <c r="AW31" s="71">
        <f t="shared" ca="1" si="9"/>
        <v>2</v>
      </c>
      <c r="AX31" s="71">
        <f t="shared" ca="1" si="9"/>
        <v>3</v>
      </c>
      <c r="AY31" s="71">
        <f t="shared" ca="1" si="9"/>
        <v>5</v>
      </c>
      <c r="AZ31" s="71">
        <f t="shared" ca="1" si="9"/>
        <v>5</v>
      </c>
      <c r="BA31" s="71">
        <f t="shared" ca="1" si="9"/>
        <v>3</v>
      </c>
      <c r="BB31" s="71">
        <f t="shared" ca="1" si="9"/>
        <v>2</v>
      </c>
      <c r="BC31" s="71">
        <f t="shared" ca="1" si="9"/>
        <v>1</v>
      </c>
      <c r="BD31" s="71">
        <f t="shared" ca="1" si="9"/>
        <v>7</v>
      </c>
      <c r="BE31" s="71">
        <f t="shared" ca="1" si="9"/>
        <v>2</v>
      </c>
      <c r="BF31" s="71">
        <f t="shared" ca="1" si="9"/>
        <v>5</v>
      </c>
      <c r="BG31" s="71">
        <f t="shared" ca="1" si="9"/>
        <v>5</v>
      </c>
      <c r="BH31" s="71">
        <f t="shared" ca="1" si="9"/>
        <v>5</v>
      </c>
      <c r="BI31" s="71">
        <f t="shared" ca="1" si="9"/>
        <v>6</v>
      </c>
      <c r="BJ31" s="71">
        <f t="shared" ca="1" si="9"/>
        <v>3</v>
      </c>
      <c r="BK31" s="71">
        <f t="shared" ca="1" si="9"/>
        <v>7</v>
      </c>
      <c r="BL31" s="71">
        <f t="shared" ca="1" si="9"/>
        <v>4</v>
      </c>
      <c r="BM31" s="71">
        <f t="shared" ca="1" si="9"/>
        <v>3</v>
      </c>
      <c r="BN31" s="71">
        <f t="shared" ca="1" si="9"/>
        <v>3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121935864</v>
      </c>
      <c r="L36" s="32">
        <f t="shared" ref="L36:BN36" si="12">COUNTA(L23:L24)*((10000000*L25)+(1000000*(COUNTA(L21)*$E21+COUNTA(L22)*$E22))-(COUNTA($D$21:$D$22)*1000*L26)-(COUNTA($D$21:$D$22)*L27))</f>
        <v>81931908</v>
      </c>
      <c r="M36" s="32">
        <f t="shared" si="12"/>
        <v>141959920</v>
      </c>
      <c r="N36" s="32">
        <f t="shared" si="12"/>
        <v>119891844</v>
      </c>
      <c r="O36" s="32">
        <f t="shared" si="12"/>
        <v>81935808</v>
      </c>
      <c r="P36" s="32">
        <f t="shared" si="12"/>
        <v>41903952</v>
      </c>
      <c r="Q36" s="32">
        <f t="shared" si="12"/>
        <v>99855960</v>
      </c>
      <c r="R36" s="32">
        <f t="shared" si="12"/>
        <v>99891932</v>
      </c>
      <c r="S36" s="32">
        <f t="shared" si="12"/>
        <v>79879944</v>
      </c>
      <c r="T36" s="32">
        <f t="shared" si="12"/>
        <v>99891820</v>
      </c>
      <c r="U36" s="32">
        <f t="shared" si="12"/>
        <v>79879976</v>
      </c>
      <c r="V36" s="32">
        <f t="shared" si="12"/>
        <v>79867876</v>
      </c>
      <c r="W36" s="32">
        <f t="shared" si="12"/>
        <v>121895904</v>
      </c>
      <c r="X36" s="32">
        <f t="shared" si="12"/>
        <v>99891844</v>
      </c>
      <c r="Y36" s="32">
        <f t="shared" si="12"/>
        <v>19879832</v>
      </c>
      <c r="Z36" s="32">
        <f t="shared" si="12"/>
        <v>99883948</v>
      </c>
      <c r="AA36" s="32">
        <f t="shared" si="12"/>
        <v>121939924</v>
      </c>
      <c r="AB36" s="32">
        <f t="shared" si="12"/>
        <v>101919936</v>
      </c>
      <c r="AC36" s="32">
        <f t="shared" si="12"/>
        <v>121895912</v>
      </c>
      <c r="AD36" s="32">
        <f t="shared" si="12"/>
        <v>99867876</v>
      </c>
      <c r="AE36" s="32">
        <f t="shared" si="12"/>
        <v>79875940</v>
      </c>
      <c r="AF36" s="32">
        <f t="shared" si="12"/>
        <v>141931980</v>
      </c>
      <c r="AG36" s="32">
        <f t="shared" si="12"/>
        <v>101943984</v>
      </c>
      <c r="AH36" s="32">
        <f t="shared" si="12"/>
        <v>79887928</v>
      </c>
      <c r="AI36" s="32">
        <f t="shared" si="12"/>
        <v>101911952</v>
      </c>
      <c r="AJ36" s="32">
        <f t="shared" si="12"/>
        <v>161915844</v>
      </c>
      <c r="AK36" s="32">
        <f t="shared" si="12"/>
        <v>81915980</v>
      </c>
      <c r="AL36" s="32">
        <f t="shared" si="12"/>
        <v>59867956</v>
      </c>
      <c r="AM36" s="32">
        <f t="shared" si="12"/>
        <v>79879888</v>
      </c>
      <c r="AN36" s="32">
        <f t="shared" si="12"/>
        <v>39891844</v>
      </c>
      <c r="AO36" s="32">
        <f t="shared" si="12"/>
        <v>59863904</v>
      </c>
      <c r="AP36" s="32">
        <f t="shared" si="12"/>
        <v>101947892</v>
      </c>
      <c r="AQ36" s="32">
        <f t="shared" si="12"/>
        <v>19907668</v>
      </c>
      <c r="AR36" s="32">
        <f t="shared" si="12"/>
        <v>99863848</v>
      </c>
      <c r="AS36" s="32">
        <f t="shared" si="12"/>
        <v>161919960</v>
      </c>
      <c r="AT36" s="32">
        <f t="shared" si="12"/>
        <v>121943968</v>
      </c>
      <c r="AU36" s="32">
        <f t="shared" si="12"/>
        <v>101919848</v>
      </c>
      <c r="AV36" s="32">
        <f t="shared" si="12"/>
        <v>59891900</v>
      </c>
      <c r="AW36" s="32">
        <f t="shared" si="12"/>
        <v>99887952</v>
      </c>
      <c r="AX36" s="32">
        <f t="shared" si="12"/>
        <v>79783904</v>
      </c>
      <c r="AY36" s="32">
        <f t="shared" si="12"/>
        <v>81959944</v>
      </c>
      <c r="AZ36" s="32">
        <f t="shared" si="12"/>
        <v>119867932</v>
      </c>
      <c r="BA36" s="32">
        <f t="shared" si="12"/>
        <v>119851892</v>
      </c>
      <c r="BB36" s="32">
        <f t="shared" si="12"/>
        <v>59695936</v>
      </c>
      <c r="BC36" s="32">
        <f t="shared" si="12"/>
        <v>79891788</v>
      </c>
      <c r="BD36" s="32">
        <f t="shared" si="12"/>
        <v>81935864</v>
      </c>
      <c r="BE36" s="32">
        <f t="shared" si="12"/>
        <v>61919928</v>
      </c>
      <c r="BF36" s="32">
        <f t="shared" si="12"/>
        <v>119863904</v>
      </c>
      <c r="BG36" s="32">
        <f t="shared" si="12"/>
        <v>159867836</v>
      </c>
      <c r="BH36" s="32">
        <f t="shared" si="12"/>
        <v>79855848</v>
      </c>
      <c r="BI36" s="32">
        <f t="shared" si="12"/>
        <v>141915932</v>
      </c>
      <c r="BJ36" s="32">
        <f t="shared" si="12"/>
        <v>79883972</v>
      </c>
      <c r="BK36" s="32">
        <f t="shared" si="12"/>
        <v>161895920</v>
      </c>
      <c r="BL36" s="32">
        <f t="shared" si="12"/>
        <v>101895824</v>
      </c>
      <c r="BM36" s="32">
        <f t="shared" si="12"/>
        <v>81923932</v>
      </c>
      <c r="BN36" s="32">
        <f t="shared" si="12"/>
        <v>79879968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 x14ac:dyDescent="0.25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Brent;Holley, Jeremy Remote;Hucks, Jason;Inabinet, Greg;James, Larry C;Johnson, Robert J;Kandela, Marwan;Locklear,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56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55" priority="17" stopIfTrue="1" operator="equal">
      <formula>0</formula>
    </cfRule>
  </conditionalFormatting>
  <conditionalFormatting sqref="D26:J28 K28:BE28">
    <cfRule type="cellIs" dxfId="154" priority="16" stopIfTrue="1" operator="equal">
      <formula>1</formula>
    </cfRule>
  </conditionalFormatting>
  <conditionalFormatting sqref="H3:I3 F23 H5:I5 H7:I7 H9:I9 H11:I11 H13:I13 H15:I15 H17:I17 H19:I19 H21:I21">
    <cfRule type="cellIs" dxfId="153" priority="15" stopIfTrue="1" operator="equal">
      <formula>0</formula>
    </cfRule>
  </conditionalFormatting>
  <conditionalFormatting sqref="H4:I4 F24 H6:I6 H8:I8 H10:I10 H12:I12 H14:I14 H16:I16 H18:I18 H20:I20 H22:I22">
    <cfRule type="cellIs" dxfId="152" priority="14" stopIfTrue="1" operator="equal">
      <formula>0</formula>
    </cfRule>
  </conditionalFormatting>
  <conditionalFormatting sqref="F3 F5 F7 F9 F11 F13 F15 F17 F19 F21">
    <cfRule type="cellIs" dxfId="1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0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49" priority="10" stopIfTrue="1">
      <formula>AND(COUNTA(J4)=1,$E4=1,SUM($E3:$E4)=1)</formula>
    </cfRule>
    <cfRule type="expression" dxfId="148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47" priority="8" stopIfTrue="1">
      <formula>AND(COUNTA(J3)=1,$E3=1,SUM($E3:$E4)=1)</formula>
    </cfRule>
    <cfRule type="expression" dxfId="146" priority="9" stopIfTrue="1">
      <formula>AND(COUNTA(J3)=1,$E3=0,SUM($E3:$E4)=1)</formula>
    </cfRule>
  </conditionalFormatting>
  <conditionalFormatting sqref="BF23:BN23">
    <cfRule type="cellIs" dxfId="145" priority="7" stopIfTrue="1" operator="equal">
      <formula>0</formula>
    </cfRule>
  </conditionalFormatting>
  <conditionalFormatting sqref="BF24:BN24">
    <cfRule type="cellIs" dxfId="144" priority="6" stopIfTrue="1" operator="equal">
      <formula>0</formula>
    </cfRule>
  </conditionalFormatting>
  <conditionalFormatting sqref="BF28:BN28">
    <cfRule type="cellIs" dxfId="14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42" priority="3" stopIfTrue="1">
      <formula>AND(COUNTA(BF4)=1,$E4=1,SUM($E3:$E4)=1)</formula>
    </cfRule>
    <cfRule type="expression" dxfId="14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40" priority="1" stopIfTrue="1">
      <formula>AND(COUNTA(BF3)=1,$E3=1,SUM($E3:$E4)=1)</formula>
    </cfRule>
    <cfRule type="expression" dxfId="1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39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22860</xdr:colOff>
                    <xdr:row>1</xdr:row>
                    <xdr:rowOff>106680</xdr:rowOff>
                  </from>
                  <to>
                    <xdr:col>1</xdr:col>
                    <xdr:colOff>624840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22860</xdr:colOff>
                    <xdr:row>1</xdr:row>
                    <xdr:rowOff>381000</xdr:rowOff>
                  </from>
                  <to>
                    <xdr:col>1</xdr:col>
                    <xdr:colOff>624840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40" r:id="rId6" name="Button 4">
              <controlPr defaultSize="0" print="0" autoFill="0" autoPict="0" macro="[0]!grabSayings">
                <anchor moveWithCells="1" sizeWithCells="1">
                  <from>
                    <xdr:col>1</xdr:col>
                    <xdr:colOff>22860</xdr:colOff>
                    <xdr:row>1</xdr:row>
                    <xdr:rowOff>678180</xdr:rowOff>
                  </from>
                  <to>
                    <xdr:col>1</xdr:col>
                    <xdr:colOff>739140</xdr:colOff>
                    <xdr:row>1</xdr:row>
                    <xdr:rowOff>883920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N58"/>
  <sheetViews>
    <sheetView topLeftCell="B1" zoomScale="80" zoomScaleNormal="80" zoomScaleSheetLayoutView="100" workbookViewId="0">
      <selection activeCell="B9" sqref="B9:B10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6" x14ac:dyDescent="0.25">
      <c r="B1" s="6"/>
      <c r="I1">
        <f>COUNTA(K1:BL1)</f>
        <v>0</v>
      </c>
      <c r="J1">
        <f>SUM(K1:BL1)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 x14ac:dyDescent="0.25">
      <c r="A3" s="59">
        <v>1</v>
      </c>
      <c r="B3" s="67" t="s">
        <v>175</v>
      </c>
      <c r="C3" s="65">
        <v>7.5</v>
      </c>
      <c r="D3" s="64">
        <v>13</v>
      </c>
      <c r="E3" s="64">
        <f>IF(ISBLANK($D3),"0",IF(($D4-$D3)&lt;($C4-$C3),1,0))</f>
        <v>0</v>
      </c>
      <c r="F3" s="64">
        <f ca="1">COUNTA(INDIRECT("RC11:RC"&amp;11+playercnt-1,FALSE))</f>
        <v>44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311</v>
      </c>
      <c r="K3" s="69" t="s">
        <v>312</v>
      </c>
      <c r="L3" s="69" t="s">
        <v>313</v>
      </c>
      <c r="M3" s="69" t="s">
        <v>312</v>
      </c>
      <c r="N3" s="69"/>
      <c r="O3" s="69" t="s">
        <v>371</v>
      </c>
      <c r="P3" s="69" t="s">
        <v>317</v>
      </c>
      <c r="Q3" s="69"/>
      <c r="R3" s="69" t="s">
        <v>312</v>
      </c>
      <c r="S3" s="69" t="s">
        <v>315</v>
      </c>
      <c r="T3" s="69" t="s">
        <v>316</v>
      </c>
      <c r="U3" s="69"/>
      <c r="V3" s="69" t="s">
        <v>312</v>
      </c>
      <c r="W3" s="69" t="s">
        <v>317</v>
      </c>
      <c r="X3" s="69" t="s">
        <v>312</v>
      </c>
      <c r="Y3" s="69" t="s">
        <v>312</v>
      </c>
      <c r="Z3" s="69"/>
      <c r="AA3" s="69" t="s">
        <v>354</v>
      </c>
      <c r="AB3" s="69" t="s">
        <v>317</v>
      </c>
      <c r="AC3" s="69" t="s">
        <v>317</v>
      </c>
      <c r="AD3" s="69" t="s">
        <v>317</v>
      </c>
      <c r="AE3" s="99" t="s">
        <v>463</v>
      </c>
      <c r="AF3" s="69"/>
      <c r="AG3" s="69" t="s">
        <v>344</v>
      </c>
      <c r="AH3" s="69" t="s">
        <v>347</v>
      </c>
      <c r="AI3" s="69" t="s">
        <v>314</v>
      </c>
      <c r="AJ3" s="69" t="s">
        <v>314</v>
      </c>
      <c r="AK3" s="69" t="s">
        <v>317</v>
      </c>
      <c r="AL3" s="69" t="s">
        <v>347</v>
      </c>
      <c r="AM3" s="69" t="s">
        <v>347</v>
      </c>
      <c r="AN3" s="69" t="s">
        <v>317</v>
      </c>
      <c r="AO3" s="69" t="s">
        <v>317</v>
      </c>
      <c r="AP3" s="69"/>
      <c r="AQ3" s="69"/>
      <c r="AR3" s="99" t="s">
        <v>463</v>
      </c>
      <c r="AS3" s="69" t="s">
        <v>351</v>
      </c>
      <c r="AT3" s="69" t="s">
        <v>334</v>
      </c>
      <c r="AU3" s="99" t="s">
        <v>463</v>
      </c>
      <c r="AV3" s="69" t="s">
        <v>317</v>
      </c>
      <c r="AW3" s="69" t="s">
        <v>315</v>
      </c>
      <c r="AX3" s="69"/>
      <c r="AY3" s="69" t="s">
        <v>344</v>
      </c>
      <c r="AZ3" s="69" t="s">
        <v>332</v>
      </c>
      <c r="BA3" s="69"/>
      <c r="BB3" s="69" t="s">
        <v>317</v>
      </c>
      <c r="BC3" s="69" t="s">
        <v>375</v>
      </c>
      <c r="BD3" s="69" t="s">
        <v>312</v>
      </c>
      <c r="BE3" s="69"/>
      <c r="BF3" s="69" t="s">
        <v>387</v>
      </c>
      <c r="BG3" s="69"/>
      <c r="BH3" s="69" t="s">
        <v>317</v>
      </c>
      <c r="BI3" s="69" t="s">
        <v>317</v>
      </c>
      <c r="BJ3" s="69" t="s">
        <v>321</v>
      </c>
      <c r="BK3" s="69"/>
      <c r="BL3" s="69" t="s">
        <v>317</v>
      </c>
      <c r="BM3" s="69" t="s">
        <v>388</v>
      </c>
      <c r="BN3" s="69" t="s">
        <v>312</v>
      </c>
    </row>
    <row r="4" spans="1:66" x14ac:dyDescent="0.25">
      <c r="A4" s="61" t="s">
        <v>3</v>
      </c>
      <c r="B4" s="68" t="s">
        <v>189</v>
      </c>
      <c r="C4" s="66"/>
      <c r="D4" s="64">
        <v>37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416</v>
      </c>
      <c r="O4" s="70"/>
      <c r="P4" s="70"/>
      <c r="Q4" s="70" t="s">
        <v>318</v>
      </c>
      <c r="R4" s="70"/>
      <c r="S4" s="70"/>
      <c r="T4" s="70"/>
      <c r="U4" s="70" t="s">
        <v>343</v>
      </c>
      <c r="V4" s="70"/>
      <c r="W4" s="70"/>
      <c r="X4" s="70"/>
      <c r="Y4" s="70"/>
      <c r="Z4" s="70" t="s">
        <v>317</v>
      </c>
      <c r="AA4" s="70"/>
      <c r="AB4" s="70"/>
      <c r="AC4" s="70"/>
      <c r="AD4" s="70"/>
      <c r="AE4" s="70"/>
      <c r="AF4" s="70" t="s">
        <v>355</v>
      </c>
      <c r="AG4" s="70"/>
      <c r="AH4" s="70"/>
      <c r="AI4" s="70"/>
      <c r="AJ4" s="70"/>
      <c r="AK4" s="70"/>
      <c r="AL4" s="70"/>
      <c r="AM4" s="70"/>
      <c r="AN4" s="70"/>
      <c r="AO4" s="70"/>
      <c r="AP4" s="70" t="s">
        <v>322</v>
      </c>
      <c r="AQ4" s="70" t="s">
        <v>313</v>
      </c>
      <c r="AR4" s="70"/>
      <c r="AS4" s="70"/>
      <c r="AT4" s="70"/>
      <c r="AU4" s="70"/>
      <c r="AV4" s="70"/>
      <c r="AW4" s="70"/>
      <c r="AX4" s="70" t="s">
        <v>487</v>
      </c>
      <c r="AY4" s="70"/>
      <c r="AZ4" s="70"/>
      <c r="BA4" s="70" t="s">
        <v>317</v>
      </c>
      <c r="BB4" s="70"/>
      <c r="BC4" s="70"/>
      <c r="BD4" s="70"/>
      <c r="BE4" s="70" t="s">
        <v>367</v>
      </c>
      <c r="BF4" s="70"/>
      <c r="BG4" s="70" t="s">
        <v>321</v>
      </c>
      <c r="BH4" s="70"/>
      <c r="BI4" s="70"/>
      <c r="BJ4" s="70"/>
      <c r="BK4" s="70" t="s">
        <v>472</v>
      </c>
      <c r="BL4" s="70"/>
      <c r="BM4" s="70"/>
      <c r="BN4" s="70"/>
    </row>
    <row r="5" spans="1:66" x14ac:dyDescent="0.25">
      <c r="A5" s="59">
        <v>2</v>
      </c>
      <c r="B5" s="67" t="s">
        <v>180</v>
      </c>
      <c r="C5" s="65">
        <v>2.5</v>
      </c>
      <c r="D5" s="64">
        <v>21</v>
      </c>
      <c r="E5" s="64">
        <f>IF(ISBLANK($D5),"0",IF(($D6-$D5)&lt;($C6-$C5),1,0))</f>
        <v>0</v>
      </c>
      <c r="F5" s="64">
        <f t="shared" ca="1" si="1"/>
        <v>32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 t="s">
        <v>312</v>
      </c>
      <c r="L5" s="69"/>
      <c r="M5" s="69" t="s">
        <v>312</v>
      </c>
      <c r="N5" s="69"/>
      <c r="O5" s="69" t="s">
        <v>371</v>
      </c>
      <c r="P5" s="69"/>
      <c r="Q5" s="69" t="s">
        <v>318</v>
      </c>
      <c r="R5" s="69" t="s">
        <v>312</v>
      </c>
      <c r="S5" s="69" t="s">
        <v>335</v>
      </c>
      <c r="T5" s="69"/>
      <c r="U5" s="69" t="s">
        <v>322</v>
      </c>
      <c r="V5" s="69" t="s">
        <v>312</v>
      </c>
      <c r="W5" s="69" t="s">
        <v>317</v>
      </c>
      <c r="X5" s="69"/>
      <c r="Y5" s="69" t="s">
        <v>312</v>
      </c>
      <c r="Z5" s="69"/>
      <c r="AA5" s="69" t="s">
        <v>354</v>
      </c>
      <c r="AB5" s="69"/>
      <c r="AC5" s="69"/>
      <c r="AD5" s="69" t="s">
        <v>317</v>
      </c>
      <c r="AE5" s="69"/>
      <c r="AF5" s="69" t="s">
        <v>355</v>
      </c>
      <c r="AG5" s="69"/>
      <c r="AH5" s="69"/>
      <c r="AI5" s="69" t="s">
        <v>346</v>
      </c>
      <c r="AJ5" s="69" t="s">
        <v>314</v>
      </c>
      <c r="AK5" s="69" t="s">
        <v>317</v>
      </c>
      <c r="AL5" s="69" t="s">
        <v>347</v>
      </c>
      <c r="AM5" s="69" t="s">
        <v>334</v>
      </c>
      <c r="AN5" s="69" t="s">
        <v>317</v>
      </c>
      <c r="AO5" s="69"/>
      <c r="AP5" s="69" t="s">
        <v>314</v>
      </c>
      <c r="AQ5" s="69" t="s">
        <v>313</v>
      </c>
      <c r="AR5" s="99"/>
      <c r="AS5" s="69"/>
      <c r="AT5" s="69"/>
      <c r="AU5" s="69"/>
      <c r="AV5" s="69"/>
      <c r="AW5" s="69"/>
      <c r="AX5" s="69" t="s">
        <v>327</v>
      </c>
      <c r="AY5" s="69" t="s">
        <v>361</v>
      </c>
      <c r="AZ5" s="69"/>
      <c r="BA5" s="69" t="s">
        <v>317</v>
      </c>
      <c r="BB5" s="69" t="s">
        <v>317</v>
      </c>
      <c r="BC5" s="69"/>
      <c r="BD5" s="69" t="s">
        <v>312</v>
      </c>
      <c r="BE5" s="69"/>
      <c r="BF5" s="69" t="s">
        <v>387</v>
      </c>
      <c r="BG5" s="69"/>
      <c r="BH5" s="69"/>
      <c r="BI5" s="69" t="s">
        <v>317</v>
      </c>
      <c r="BJ5" s="69" t="s">
        <v>321</v>
      </c>
      <c r="BK5" s="69" t="s">
        <v>472</v>
      </c>
      <c r="BL5" s="69"/>
      <c r="BM5" s="69" t="s">
        <v>388</v>
      </c>
      <c r="BN5" s="69" t="s">
        <v>408</v>
      </c>
    </row>
    <row r="6" spans="1:66" x14ac:dyDescent="0.25">
      <c r="A6" s="61" t="s">
        <v>3</v>
      </c>
      <c r="B6" s="68" t="s">
        <v>172</v>
      </c>
      <c r="C6" s="66"/>
      <c r="D6" s="64">
        <v>27</v>
      </c>
      <c r="E6" s="64">
        <f>IF(ISBLANK($D6),"0",IF(($D6-$D5)&gt;($C6-$C5),1,0))</f>
        <v>1</v>
      </c>
      <c r="F6" s="64">
        <f t="shared" ca="1" si="1"/>
        <v>24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311</v>
      </c>
      <c r="K6" s="70"/>
      <c r="L6" s="70" t="s">
        <v>313</v>
      </c>
      <c r="M6" s="70"/>
      <c r="N6" s="70" t="s">
        <v>416</v>
      </c>
      <c r="O6" s="70"/>
      <c r="P6" s="70" t="s">
        <v>317</v>
      </c>
      <c r="Q6" s="70"/>
      <c r="R6" s="70"/>
      <c r="S6" s="70"/>
      <c r="T6" s="70" t="s">
        <v>335</v>
      </c>
      <c r="U6" s="70"/>
      <c r="V6" s="70"/>
      <c r="W6" s="70"/>
      <c r="X6" s="70" t="s">
        <v>312</v>
      </c>
      <c r="Y6" s="70"/>
      <c r="Z6" s="70" t="s">
        <v>317</v>
      </c>
      <c r="AA6" s="70"/>
      <c r="AB6" s="70" t="s">
        <v>317</v>
      </c>
      <c r="AC6" s="70" t="s">
        <v>317</v>
      </c>
      <c r="AD6" s="70"/>
      <c r="AE6" s="99" t="s">
        <v>463</v>
      </c>
      <c r="AF6" s="70"/>
      <c r="AG6" s="70" t="s">
        <v>361</v>
      </c>
      <c r="AH6" s="70" t="s">
        <v>331</v>
      </c>
      <c r="AI6" s="70"/>
      <c r="AJ6" s="70"/>
      <c r="AK6" s="70"/>
      <c r="AL6" s="70"/>
      <c r="AM6" s="70"/>
      <c r="AN6" s="70"/>
      <c r="AO6" s="70" t="s">
        <v>317</v>
      </c>
      <c r="AP6" s="70"/>
      <c r="AQ6" s="70"/>
      <c r="AR6" s="99" t="s">
        <v>463</v>
      </c>
      <c r="AS6" s="70" t="s">
        <v>334</v>
      </c>
      <c r="AT6" s="70" t="s">
        <v>334</v>
      </c>
      <c r="AU6" s="99" t="s">
        <v>463</v>
      </c>
      <c r="AV6" s="70" t="s">
        <v>317</v>
      </c>
      <c r="AW6" s="70" t="s">
        <v>324</v>
      </c>
      <c r="AX6" s="70"/>
      <c r="AY6" s="70"/>
      <c r="AZ6" s="70" t="s">
        <v>324</v>
      </c>
      <c r="BA6" s="70"/>
      <c r="BB6" s="70"/>
      <c r="BC6" s="70" t="s">
        <v>375</v>
      </c>
      <c r="BD6" s="70"/>
      <c r="BE6" s="70" t="s">
        <v>367</v>
      </c>
      <c r="BF6" s="70"/>
      <c r="BG6" s="70" t="s">
        <v>321</v>
      </c>
      <c r="BH6" s="70" t="s">
        <v>317</v>
      </c>
      <c r="BI6" s="70"/>
      <c r="BJ6" s="70"/>
      <c r="BK6" s="70"/>
      <c r="BL6" s="70" t="s">
        <v>317</v>
      </c>
      <c r="BM6" s="70"/>
      <c r="BN6" s="70"/>
    </row>
    <row r="7" spans="1:66" x14ac:dyDescent="0.25">
      <c r="A7" s="59">
        <v>3</v>
      </c>
      <c r="B7" s="67" t="s">
        <v>164</v>
      </c>
      <c r="C7" s="65">
        <v>3.5</v>
      </c>
      <c r="D7" s="64">
        <v>21</v>
      </c>
      <c r="E7" s="64">
        <f>IF(ISBLANK($D7),"0",IF(($D8-$D7)&lt;($C8-$C7),1,0))</f>
        <v>0</v>
      </c>
      <c r="F7" s="64">
        <f t="shared" ca="1" si="1"/>
        <v>39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311</v>
      </c>
      <c r="K7" s="69"/>
      <c r="L7" s="69" t="s">
        <v>313</v>
      </c>
      <c r="M7" s="69" t="s">
        <v>312</v>
      </c>
      <c r="N7" s="69" t="s">
        <v>416</v>
      </c>
      <c r="O7" s="69"/>
      <c r="P7" s="69"/>
      <c r="Q7" s="69" t="s">
        <v>318</v>
      </c>
      <c r="R7" s="69" t="s">
        <v>312</v>
      </c>
      <c r="S7" s="69" t="s">
        <v>368</v>
      </c>
      <c r="T7" s="69" t="s">
        <v>348</v>
      </c>
      <c r="U7" s="69" t="s">
        <v>336</v>
      </c>
      <c r="V7" s="69" t="s">
        <v>312</v>
      </c>
      <c r="W7" s="69" t="s">
        <v>317</v>
      </c>
      <c r="X7" s="69"/>
      <c r="Y7" s="69" t="s">
        <v>312</v>
      </c>
      <c r="Z7" s="69" t="s">
        <v>317</v>
      </c>
      <c r="AA7" s="69"/>
      <c r="AB7" s="69" t="s">
        <v>317</v>
      </c>
      <c r="AC7" s="69"/>
      <c r="AD7" s="69"/>
      <c r="AE7" s="99" t="s">
        <v>463</v>
      </c>
      <c r="AF7" s="69"/>
      <c r="AG7" s="69" t="s">
        <v>323</v>
      </c>
      <c r="AH7" s="69" t="s">
        <v>335</v>
      </c>
      <c r="AI7" s="69" t="s">
        <v>338</v>
      </c>
      <c r="AJ7" s="69"/>
      <c r="AK7" s="69" t="s">
        <v>317</v>
      </c>
      <c r="AL7" s="69"/>
      <c r="AM7" s="69"/>
      <c r="AN7" s="69" t="s">
        <v>317</v>
      </c>
      <c r="AO7" s="69" t="s">
        <v>317</v>
      </c>
      <c r="AP7" s="69"/>
      <c r="AQ7" s="69" t="s">
        <v>313</v>
      </c>
      <c r="AR7" s="99" t="s">
        <v>463</v>
      </c>
      <c r="AS7" s="69" t="s">
        <v>331</v>
      </c>
      <c r="AT7" s="69" t="s">
        <v>334</v>
      </c>
      <c r="AU7" s="99" t="s">
        <v>463</v>
      </c>
      <c r="AV7" s="69" t="s">
        <v>317</v>
      </c>
      <c r="AW7" s="69" t="s">
        <v>343</v>
      </c>
      <c r="AX7" s="69" t="s">
        <v>323</v>
      </c>
      <c r="AY7" s="69" t="s">
        <v>324</v>
      </c>
      <c r="AZ7" s="69" t="s">
        <v>335</v>
      </c>
      <c r="BA7" s="69"/>
      <c r="BB7" s="69" t="s">
        <v>317</v>
      </c>
      <c r="BC7" s="69" t="s">
        <v>375</v>
      </c>
      <c r="BD7" s="69"/>
      <c r="BE7" s="69" t="s">
        <v>367</v>
      </c>
      <c r="BF7" s="69" t="s">
        <v>387</v>
      </c>
      <c r="BG7" s="69" t="s">
        <v>321</v>
      </c>
      <c r="BH7" s="69"/>
      <c r="BI7" s="69"/>
      <c r="BJ7" s="69"/>
      <c r="BK7" s="69" t="s">
        <v>472</v>
      </c>
      <c r="BL7" s="69" t="s">
        <v>317</v>
      </c>
      <c r="BM7" s="69" t="s">
        <v>388</v>
      </c>
      <c r="BN7" s="69" t="s">
        <v>312</v>
      </c>
    </row>
    <row r="8" spans="1:66" x14ac:dyDescent="0.25">
      <c r="A8" s="61" t="s">
        <v>3</v>
      </c>
      <c r="B8" s="68" t="s">
        <v>263</v>
      </c>
      <c r="C8" s="66"/>
      <c r="D8" s="64">
        <v>38</v>
      </c>
      <c r="E8" s="64">
        <f>IF(ISBLANK($D8),"0",IF(($D8-$D7)&gt;($C8-$C7),1,0))</f>
        <v>1</v>
      </c>
      <c r="F8" s="64">
        <f t="shared" ca="1" si="1"/>
        <v>17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312</v>
      </c>
      <c r="L8" s="70"/>
      <c r="M8" s="70"/>
      <c r="N8" s="70"/>
      <c r="O8" s="70" t="s">
        <v>371</v>
      </c>
      <c r="P8" s="70" t="s">
        <v>317</v>
      </c>
      <c r="Q8" s="70"/>
      <c r="R8" s="70"/>
      <c r="S8" s="70"/>
      <c r="T8" s="70"/>
      <c r="U8" s="70"/>
      <c r="V8" s="70"/>
      <c r="W8" s="70"/>
      <c r="X8" s="70" t="s">
        <v>312</v>
      </c>
      <c r="Y8" s="70"/>
      <c r="Z8" s="70"/>
      <c r="AA8" s="70" t="s">
        <v>354</v>
      </c>
      <c r="AB8" s="70"/>
      <c r="AC8" s="70" t="s">
        <v>317</v>
      </c>
      <c r="AD8" s="70" t="s">
        <v>317</v>
      </c>
      <c r="AE8" s="70"/>
      <c r="AF8" s="70" t="s">
        <v>355</v>
      </c>
      <c r="AG8" s="70"/>
      <c r="AH8" s="70"/>
      <c r="AI8" s="70"/>
      <c r="AJ8" s="70" t="s">
        <v>314</v>
      </c>
      <c r="AK8" s="70"/>
      <c r="AL8" s="70" t="s">
        <v>347</v>
      </c>
      <c r="AM8" s="70" t="s">
        <v>361</v>
      </c>
      <c r="AN8" s="70"/>
      <c r="AO8" s="70"/>
      <c r="AP8" s="70" t="s">
        <v>328</v>
      </c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 t="s">
        <v>317</v>
      </c>
      <c r="BB8" s="70"/>
      <c r="BC8" s="70"/>
      <c r="BD8" s="70" t="s">
        <v>312</v>
      </c>
      <c r="BE8" s="70"/>
      <c r="BF8" s="70"/>
      <c r="BG8" s="70"/>
      <c r="BH8" s="70" t="s">
        <v>317</v>
      </c>
      <c r="BI8" s="70" t="s">
        <v>317</v>
      </c>
      <c r="BJ8" s="70" t="s">
        <v>321</v>
      </c>
      <c r="BK8" s="70"/>
      <c r="BL8" s="70"/>
      <c r="BM8" s="70"/>
      <c r="BN8" s="70"/>
    </row>
    <row r="9" spans="1:66" x14ac:dyDescent="0.25">
      <c r="A9" s="59">
        <v>4</v>
      </c>
      <c r="B9" s="67" t="s">
        <v>264</v>
      </c>
      <c r="C9" s="65"/>
      <c r="D9" s="81">
        <v>38</v>
      </c>
      <c r="E9" s="64">
        <f>IF(ISBLANK($D9),"0",IF(($D10-$D9)&lt;($C10-$C9),1,0))</f>
        <v>1</v>
      </c>
      <c r="F9" s="64">
        <f t="shared" ca="1" si="1"/>
        <v>23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311</v>
      </c>
      <c r="K9" s="69"/>
      <c r="L9" s="69"/>
      <c r="M9" s="69"/>
      <c r="N9" s="69"/>
      <c r="O9" s="69"/>
      <c r="P9" s="69" t="s">
        <v>317</v>
      </c>
      <c r="Q9" s="69" t="s">
        <v>318</v>
      </c>
      <c r="R9" s="69" t="s">
        <v>312</v>
      </c>
      <c r="S9" s="69"/>
      <c r="T9" s="69" t="s">
        <v>314</v>
      </c>
      <c r="U9" s="69" t="s">
        <v>320</v>
      </c>
      <c r="V9" s="69" t="s">
        <v>312</v>
      </c>
      <c r="W9" s="69"/>
      <c r="X9" s="69"/>
      <c r="Y9" s="69"/>
      <c r="Z9" s="69" t="s">
        <v>317</v>
      </c>
      <c r="AA9" s="69" t="s">
        <v>354</v>
      </c>
      <c r="AB9" s="69"/>
      <c r="AC9" s="69"/>
      <c r="AD9" s="69" t="s">
        <v>317</v>
      </c>
      <c r="AE9" s="69"/>
      <c r="AF9" s="69"/>
      <c r="AG9" s="69" t="s">
        <v>350</v>
      </c>
      <c r="AH9" s="69" t="s">
        <v>325</v>
      </c>
      <c r="AI9" s="69"/>
      <c r="AJ9" s="69" t="s">
        <v>314</v>
      </c>
      <c r="AK9" s="69"/>
      <c r="AL9" s="69"/>
      <c r="AM9" s="69"/>
      <c r="AN9" s="69"/>
      <c r="AO9" s="69" t="s">
        <v>317</v>
      </c>
      <c r="AP9" s="69"/>
      <c r="AQ9" s="69" t="s">
        <v>313</v>
      </c>
      <c r="AR9" s="99"/>
      <c r="AS9" s="69" t="s">
        <v>322</v>
      </c>
      <c r="AT9" s="69" t="s">
        <v>334</v>
      </c>
      <c r="AU9" s="69"/>
      <c r="AV9" s="69" t="s">
        <v>317</v>
      </c>
      <c r="AW9" s="69" t="s">
        <v>331</v>
      </c>
      <c r="AX9" s="69"/>
      <c r="AY9" s="69" t="s">
        <v>325</v>
      </c>
      <c r="AZ9" s="69"/>
      <c r="BA9" s="69"/>
      <c r="BB9" s="69"/>
      <c r="BC9" s="69"/>
      <c r="BD9" s="69"/>
      <c r="BE9" s="69"/>
      <c r="BF9" s="69" t="s">
        <v>387</v>
      </c>
      <c r="BG9" s="69"/>
      <c r="BH9" s="69" t="s">
        <v>317</v>
      </c>
      <c r="BI9" s="69"/>
      <c r="BJ9" s="69"/>
      <c r="BK9" s="69" t="s">
        <v>472</v>
      </c>
      <c r="BL9" s="69"/>
      <c r="BM9" s="69"/>
      <c r="BN9" s="69" t="s">
        <v>408</v>
      </c>
    </row>
    <row r="10" spans="1:66" x14ac:dyDescent="0.25">
      <c r="A10" s="61" t="s">
        <v>3</v>
      </c>
      <c r="B10" s="68" t="s">
        <v>181</v>
      </c>
      <c r="C10" s="66">
        <v>15.5</v>
      </c>
      <c r="D10" s="64">
        <v>35</v>
      </c>
      <c r="E10" s="64">
        <f>IF(ISBLANK($D10),"0",IF(($D10-$D9)&gt;($C10-$C9),1,0))</f>
        <v>0</v>
      </c>
      <c r="F10" s="64">
        <f t="shared" ca="1" si="1"/>
        <v>33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312</v>
      </c>
      <c r="L10" s="70" t="s">
        <v>313</v>
      </c>
      <c r="M10" s="70" t="s">
        <v>312</v>
      </c>
      <c r="N10" s="70" t="s">
        <v>416</v>
      </c>
      <c r="O10" s="70" t="s">
        <v>371</v>
      </c>
      <c r="P10" s="70"/>
      <c r="Q10" s="70"/>
      <c r="R10" s="70"/>
      <c r="S10" s="70" t="s">
        <v>351</v>
      </c>
      <c r="T10" s="70"/>
      <c r="U10" s="70"/>
      <c r="V10" s="70"/>
      <c r="W10" s="70" t="s">
        <v>317</v>
      </c>
      <c r="X10" s="70" t="s">
        <v>312</v>
      </c>
      <c r="Y10" s="70" t="s">
        <v>312</v>
      </c>
      <c r="Z10" s="70"/>
      <c r="AA10" s="70"/>
      <c r="AB10" s="70" t="s">
        <v>317</v>
      </c>
      <c r="AC10" s="70" t="s">
        <v>317</v>
      </c>
      <c r="AD10" s="70"/>
      <c r="AE10" s="99" t="s">
        <v>463</v>
      </c>
      <c r="AF10" s="70" t="s">
        <v>355</v>
      </c>
      <c r="AG10" s="70"/>
      <c r="AH10" s="70"/>
      <c r="AI10" s="70" t="s">
        <v>335</v>
      </c>
      <c r="AJ10" s="70"/>
      <c r="AK10" s="70" t="s">
        <v>317</v>
      </c>
      <c r="AL10" s="70" t="s">
        <v>347</v>
      </c>
      <c r="AM10" s="70" t="s">
        <v>351</v>
      </c>
      <c r="AN10" s="70" t="s">
        <v>317</v>
      </c>
      <c r="AO10" s="70"/>
      <c r="AP10" s="70" t="s">
        <v>361</v>
      </c>
      <c r="AQ10" s="70"/>
      <c r="AR10" s="99" t="s">
        <v>463</v>
      </c>
      <c r="AS10" s="70"/>
      <c r="AT10" s="70"/>
      <c r="AU10" s="99" t="s">
        <v>463</v>
      </c>
      <c r="AV10" s="70"/>
      <c r="AW10" s="70"/>
      <c r="AX10" s="70" t="s">
        <v>311</v>
      </c>
      <c r="AY10" s="70"/>
      <c r="AZ10" s="70" t="s">
        <v>325</v>
      </c>
      <c r="BA10" s="70" t="s">
        <v>317</v>
      </c>
      <c r="BB10" s="70" t="s">
        <v>317</v>
      </c>
      <c r="BC10" s="70" t="s">
        <v>375</v>
      </c>
      <c r="BD10" s="70" t="s">
        <v>312</v>
      </c>
      <c r="BE10" s="70" t="s">
        <v>367</v>
      </c>
      <c r="BF10" s="70"/>
      <c r="BG10" s="70" t="s">
        <v>321</v>
      </c>
      <c r="BH10" s="70"/>
      <c r="BI10" s="70" t="s">
        <v>317</v>
      </c>
      <c r="BJ10" s="70" t="s">
        <v>321</v>
      </c>
      <c r="BK10" s="70"/>
      <c r="BL10" s="70" t="s">
        <v>317</v>
      </c>
      <c r="BM10" s="70" t="s">
        <v>388</v>
      </c>
      <c r="BN10" s="70"/>
    </row>
    <row r="11" spans="1:66" x14ac:dyDescent="0.25">
      <c r="A11" s="59">
        <v>5</v>
      </c>
      <c r="B11" s="67" t="s">
        <v>234</v>
      </c>
      <c r="C11" s="65"/>
      <c r="D11" s="64">
        <v>7</v>
      </c>
      <c r="E11" s="64">
        <f>IF(ISBLANK($D11),"0",IF(($D12-$D11)&lt;($C12-$C11),1,0))</f>
        <v>0</v>
      </c>
      <c r="F11" s="64">
        <f t="shared" ca="1" si="1"/>
        <v>18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 t="s">
        <v>311</v>
      </c>
      <c r="K11" s="69"/>
      <c r="L11" s="69" t="s">
        <v>313</v>
      </c>
      <c r="M11" s="69"/>
      <c r="N11" s="69"/>
      <c r="O11" s="69"/>
      <c r="P11" s="69" t="s">
        <v>317</v>
      </c>
      <c r="Q11" s="69" t="s">
        <v>318</v>
      </c>
      <c r="R11" s="69" t="s">
        <v>312</v>
      </c>
      <c r="S11" s="69"/>
      <c r="T11" s="69" t="s">
        <v>316</v>
      </c>
      <c r="U11" s="69"/>
      <c r="V11" s="69"/>
      <c r="W11" s="69" t="s">
        <v>317</v>
      </c>
      <c r="X11" s="69"/>
      <c r="Y11" s="69"/>
      <c r="Z11" s="69" t="s">
        <v>317</v>
      </c>
      <c r="AA11" s="69"/>
      <c r="AB11" s="69"/>
      <c r="AC11" s="69" t="s">
        <v>317</v>
      </c>
      <c r="AD11" s="69"/>
      <c r="AE11" s="99" t="s">
        <v>463</v>
      </c>
      <c r="AF11" s="69" t="s">
        <v>355</v>
      </c>
      <c r="AG11" s="69"/>
      <c r="AH11" s="69"/>
      <c r="AI11" s="69"/>
      <c r="AJ11" s="69" t="s">
        <v>314</v>
      </c>
      <c r="AK11" s="69"/>
      <c r="AL11" s="69"/>
      <c r="AM11" s="69"/>
      <c r="AN11" s="69"/>
      <c r="AO11" s="69"/>
      <c r="AP11" s="69"/>
      <c r="AQ11" s="69"/>
      <c r="AR11" s="99" t="s">
        <v>463</v>
      </c>
      <c r="AS11" s="69"/>
      <c r="AT11" s="69"/>
      <c r="AU11" s="99" t="s">
        <v>463</v>
      </c>
      <c r="AV11" s="69"/>
      <c r="AW11" s="69" t="s">
        <v>323</v>
      </c>
      <c r="AX11" s="69"/>
      <c r="AY11" s="69"/>
      <c r="AZ11" s="69"/>
      <c r="BA11" s="69" t="s">
        <v>317</v>
      </c>
      <c r="BB11" s="69"/>
      <c r="BC11" s="69"/>
      <c r="BD11" s="69"/>
      <c r="BE11" s="69"/>
      <c r="BF11" s="69" t="s">
        <v>387</v>
      </c>
      <c r="BG11" s="69" t="s">
        <v>321</v>
      </c>
      <c r="BH11" s="69"/>
      <c r="BI11" s="69"/>
      <c r="BJ11" s="69"/>
      <c r="BK11" s="69" t="s">
        <v>472</v>
      </c>
      <c r="BL11" s="69"/>
      <c r="BM11" s="69"/>
      <c r="BN11" s="69"/>
    </row>
    <row r="12" spans="1:66" x14ac:dyDescent="0.25">
      <c r="A12" s="61" t="s">
        <v>3</v>
      </c>
      <c r="B12" s="68" t="s">
        <v>232</v>
      </c>
      <c r="C12" s="66">
        <v>19.5</v>
      </c>
      <c r="D12" s="64">
        <v>37</v>
      </c>
      <c r="E12" s="64">
        <f>IF(ISBLANK($D12),"0",IF(($D12-$D11)&gt;($C12-$C11),1,0))</f>
        <v>1</v>
      </c>
      <c r="F12" s="64">
        <f t="shared" ca="1" si="1"/>
        <v>38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312</v>
      </c>
      <c r="L12" s="70"/>
      <c r="M12" s="70" t="s">
        <v>312</v>
      </c>
      <c r="N12" s="70" t="s">
        <v>416</v>
      </c>
      <c r="O12" s="70" t="s">
        <v>371</v>
      </c>
      <c r="P12" s="70"/>
      <c r="Q12" s="70"/>
      <c r="R12" s="70"/>
      <c r="S12" s="70" t="s">
        <v>377</v>
      </c>
      <c r="T12" s="70"/>
      <c r="U12" s="70" t="s">
        <v>349</v>
      </c>
      <c r="V12" s="70" t="s">
        <v>312</v>
      </c>
      <c r="W12" s="70"/>
      <c r="X12" s="70" t="s">
        <v>312</v>
      </c>
      <c r="Y12" s="70" t="s">
        <v>312</v>
      </c>
      <c r="Z12" s="70"/>
      <c r="AA12" s="70" t="s">
        <v>354</v>
      </c>
      <c r="AB12" s="70" t="s">
        <v>317</v>
      </c>
      <c r="AC12" s="70"/>
      <c r="AD12" s="70" t="s">
        <v>317</v>
      </c>
      <c r="AE12" s="70"/>
      <c r="AF12" s="70"/>
      <c r="AG12" s="70" t="s">
        <v>320</v>
      </c>
      <c r="AH12" s="70" t="s">
        <v>343</v>
      </c>
      <c r="AI12" s="70" t="s">
        <v>375</v>
      </c>
      <c r="AJ12" s="70"/>
      <c r="AK12" s="70" t="s">
        <v>317</v>
      </c>
      <c r="AL12" s="70" t="s">
        <v>347</v>
      </c>
      <c r="AM12" s="70" t="s">
        <v>377</v>
      </c>
      <c r="AN12" s="70" t="s">
        <v>317</v>
      </c>
      <c r="AO12" s="70" t="s">
        <v>317</v>
      </c>
      <c r="AP12" s="70" t="s">
        <v>361</v>
      </c>
      <c r="AQ12" s="70" t="s">
        <v>313</v>
      </c>
      <c r="AR12" s="100"/>
      <c r="AS12" s="70" t="s">
        <v>327</v>
      </c>
      <c r="AT12" s="70" t="s">
        <v>334</v>
      </c>
      <c r="AU12" s="70"/>
      <c r="AV12" s="70" t="s">
        <v>317</v>
      </c>
      <c r="AW12" s="70"/>
      <c r="AX12" s="70" t="s">
        <v>334</v>
      </c>
      <c r="AY12" s="70" t="s">
        <v>348</v>
      </c>
      <c r="AZ12" s="70" t="s">
        <v>315</v>
      </c>
      <c r="BA12" s="70"/>
      <c r="BB12" s="70" t="s">
        <v>317</v>
      </c>
      <c r="BC12" s="70" t="s">
        <v>375</v>
      </c>
      <c r="BD12" s="70" t="s">
        <v>312</v>
      </c>
      <c r="BE12" s="70" t="s">
        <v>367</v>
      </c>
      <c r="BF12" s="70"/>
      <c r="BG12" s="70"/>
      <c r="BH12" s="70" t="s">
        <v>317</v>
      </c>
      <c r="BI12" s="70" t="s">
        <v>317</v>
      </c>
      <c r="BJ12" s="70" t="s">
        <v>321</v>
      </c>
      <c r="BK12" s="70"/>
      <c r="BL12" s="70" t="s">
        <v>317</v>
      </c>
      <c r="BM12" s="70" t="s">
        <v>388</v>
      </c>
      <c r="BN12" s="70" t="s">
        <v>312</v>
      </c>
    </row>
    <row r="13" spans="1:66" x14ac:dyDescent="0.25">
      <c r="A13" s="59">
        <v>6</v>
      </c>
      <c r="B13" s="67" t="s">
        <v>170</v>
      </c>
      <c r="C13" s="65"/>
      <c r="D13" s="64">
        <v>17</v>
      </c>
      <c r="E13" s="64">
        <f>IF(ISBLANK($D13),"0",IF(($D14-$D13)&lt;($C14-$C13),1,0))</f>
        <v>1</v>
      </c>
      <c r="F13" s="64">
        <f t="shared" ca="1" si="1"/>
        <v>34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311</v>
      </c>
      <c r="K13" s="69"/>
      <c r="L13" s="69"/>
      <c r="M13" s="69"/>
      <c r="N13" s="69"/>
      <c r="O13" s="69"/>
      <c r="P13" s="69" t="s">
        <v>317</v>
      </c>
      <c r="Q13" s="69"/>
      <c r="R13" s="69" t="s">
        <v>312</v>
      </c>
      <c r="S13" s="69" t="s">
        <v>323</v>
      </c>
      <c r="T13" s="69" t="s">
        <v>320</v>
      </c>
      <c r="U13" s="69" t="s">
        <v>349</v>
      </c>
      <c r="V13" s="69"/>
      <c r="W13" s="69"/>
      <c r="X13" s="69" t="s">
        <v>312</v>
      </c>
      <c r="Y13" s="69" t="s">
        <v>312</v>
      </c>
      <c r="Z13" s="69"/>
      <c r="AA13" s="69" t="s">
        <v>354</v>
      </c>
      <c r="AB13" s="69" t="s">
        <v>317</v>
      </c>
      <c r="AC13" s="69" t="s">
        <v>317</v>
      </c>
      <c r="AD13" s="69" t="s">
        <v>317</v>
      </c>
      <c r="AE13" s="69"/>
      <c r="AF13" s="69" t="s">
        <v>355</v>
      </c>
      <c r="AG13" s="69" t="s">
        <v>344</v>
      </c>
      <c r="AH13" s="69" t="s">
        <v>311</v>
      </c>
      <c r="AI13" s="69" t="s">
        <v>339</v>
      </c>
      <c r="AJ13" s="69" t="s">
        <v>314</v>
      </c>
      <c r="AK13" s="69"/>
      <c r="AL13" s="69"/>
      <c r="AM13" s="69" t="s">
        <v>323</v>
      </c>
      <c r="AN13" s="69" t="s">
        <v>317</v>
      </c>
      <c r="AO13" s="69"/>
      <c r="AP13" s="69" t="s">
        <v>343</v>
      </c>
      <c r="AQ13" s="69" t="s">
        <v>313</v>
      </c>
      <c r="AR13" s="99"/>
      <c r="AS13" s="69" t="s">
        <v>352</v>
      </c>
      <c r="AT13" s="69" t="s">
        <v>334</v>
      </c>
      <c r="AU13" s="69"/>
      <c r="AV13" s="69"/>
      <c r="AW13" s="69" t="s">
        <v>325</v>
      </c>
      <c r="AX13" s="69"/>
      <c r="AY13" s="69" t="s">
        <v>488</v>
      </c>
      <c r="AZ13" s="69" t="s">
        <v>321</v>
      </c>
      <c r="BA13" s="69"/>
      <c r="BB13" s="69"/>
      <c r="BC13" s="69" t="s">
        <v>375</v>
      </c>
      <c r="BD13" s="69"/>
      <c r="BE13" s="69" t="s">
        <v>367</v>
      </c>
      <c r="BF13" s="69" t="s">
        <v>387</v>
      </c>
      <c r="BG13" s="69" t="s">
        <v>321</v>
      </c>
      <c r="BH13" s="69" t="s">
        <v>312</v>
      </c>
      <c r="BI13" s="69" t="s">
        <v>317</v>
      </c>
      <c r="BJ13" s="69" t="s">
        <v>321</v>
      </c>
      <c r="BK13" s="69" t="s">
        <v>472</v>
      </c>
      <c r="BL13" s="69"/>
      <c r="BM13" s="69" t="s">
        <v>388</v>
      </c>
      <c r="BN13" s="69"/>
    </row>
    <row r="14" spans="1:66" x14ac:dyDescent="0.25">
      <c r="A14" s="61" t="s">
        <v>3</v>
      </c>
      <c r="B14" s="68" t="s">
        <v>209</v>
      </c>
      <c r="C14" s="66">
        <v>9.5</v>
      </c>
      <c r="D14" s="64">
        <v>13</v>
      </c>
      <c r="E14" s="64">
        <f>IF(ISBLANK($D14),"0",IF(($D14-$D13)&gt;($C14-$C13),1,0))</f>
        <v>0</v>
      </c>
      <c r="F14" s="64">
        <f t="shared" ca="1" si="1"/>
        <v>22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312</v>
      </c>
      <c r="L14" s="70" t="s">
        <v>313</v>
      </c>
      <c r="M14" s="70" t="s">
        <v>312</v>
      </c>
      <c r="N14" s="70" t="s">
        <v>416</v>
      </c>
      <c r="O14" s="70" t="s">
        <v>371</v>
      </c>
      <c r="P14" s="70"/>
      <c r="Q14" s="70" t="s">
        <v>318</v>
      </c>
      <c r="R14" s="70"/>
      <c r="S14" s="70"/>
      <c r="T14" s="70"/>
      <c r="U14" s="70"/>
      <c r="V14" s="70" t="s">
        <v>312</v>
      </c>
      <c r="W14" s="70" t="s">
        <v>317</v>
      </c>
      <c r="X14" s="70"/>
      <c r="Y14" s="70"/>
      <c r="Z14" s="70" t="s">
        <v>317</v>
      </c>
      <c r="AA14" s="70"/>
      <c r="AB14" s="70"/>
      <c r="AC14" s="70"/>
      <c r="AD14" s="70"/>
      <c r="AE14" s="99" t="s">
        <v>463</v>
      </c>
      <c r="AF14" s="70"/>
      <c r="AG14" s="70"/>
      <c r="AH14" s="70"/>
      <c r="AI14" s="70"/>
      <c r="AJ14" s="70"/>
      <c r="AK14" s="70" t="s">
        <v>317</v>
      </c>
      <c r="AL14" s="70" t="s">
        <v>347</v>
      </c>
      <c r="AM14" s="70"/>
      <c r="AN14" s="70"/>
      <c r="AO14" s="70" t="s">
        <v>317</v>
      </c>
      <c r="AP14" s="70"/>
      <c r="AQ14" s="70"/>
      <c r="AR14" s="99" t="s">
        <v>463</v>
      </c>
      <c r="AS14" s="70"/>
      <c r="AT14" s="70"/>
      <c r="AU14" s="99" t="s">
        <v>463</v>
      </c>
      <c r="AV14" s="70" t="s">
        <v>317</v>
      </c>
      <c r="AW14" s="70"/>
      <c r="AX14" s="70" t="s">
        <v>335</v>
      </c>
      <c r="AY14" s="70"/>
      <c r="AZ14" s="70"/>
      <c r="BA14" s="70" t="s">
        <v>317</v>
      </c>
      <c r="BB14" s="70" t="s">
        <v>317</v>
      </c>
      <c r="BC14" s="70"/>
      <c r="BD14" s="70" t="s">
        <v>312</v>
      </c>
      <c r="BE14" s="70"/>
      <c r="BF14" s="70"/>
      <c r="BG14" s="70"/>
      <c r="BH14" s="70"/>
      <c r="BI14" s="70"/>
      <c r="BJ14" s="70"/>
      <c r="BK14" s="70"/>
      <c r="BL14" s="70" t="s">
        <v>317</v>
      </c>
      <c r="BM14" s="70"/>
      <c r="BN14" s="70" t="s">
        <v>408</v>
      </c>
    </row>
    <row r="15" spans="1:66" x14ac:dyDescent="0.25">
      <c r="A15" s="59">
        <v>7</v>
      </c>
      <c r="B15" s="67" t="s">
        <v>157</v>
      </c>
      <c r="C15" s="65"/>
      <c r="D15" s="64">
        <v>17</v>
      </c>
      <c r="E15" s="64">
        <f>IF(ISBLANK($D15),"0",IF(($D16-$D15)&lt;($C16-$C15),1,0))</f>
        <v>0</v>
      </c>
      <c r="F15" s="64">
        <f t="shared" ca="1" si="1"/>
        <v>18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313</v>
      </c>
      <c r="M15" s="69"/>
      <c r="N15" s="69"/>
      <c r="O15" s="69" t="s">
        <v>371</v>
      </c>
      <c r="P15" s="69"/>
      <c r="Q15" s="69"/>
      <c r="R15" s="69" t="s">
        <v>312</v>
      </c>
      <c r="S15" s="69"/>
      <c r="T15" s="69" t="s">
        <v>323</v>
      </c>
      <c r="U15" s="69" t="s">
        <v>316</v>
      </c>
      <c r="V15" s="69" t="s">
        <v>312</v>
      </c>
      <c r="W15" s="69"/>
      <c r="X15" s="69"/>
      <c r="Y15" s="69" t="s">
        <v>312</v>
      </c>
      <c r="Z15" s="69" t="s">
        <v>317</v>
      </c>
      <c r="AA15" s="69" t="s">
        <v>354</v>
      </c>
      <c r="AB15" s="69"/>
      <c r="AC15" s="69"/>
      <c r="AD15" s="69"/>
      <c r="AE15" s="99" t="s">
        <v>463</v>
      </c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99" t="s">
        <v>463</v>
      </c>
      <c r="AS15" s="69" t="s">
        <v>314</v>
      </c>
      <c r="AT15" s="69" t="s">
        <v>334</v>
      </c>
      <c r="AU15" s="99" t="s">
        <v>463</v>
      </c>
      <c r="AV15" s="69"/>
      <c r="AW15" s="69" t="s">
        <v>350</v>
      </c>
      <c r="AX15" s="69" t="s">
        <v>336</v>
      </c>
      <c r="AY15" s="69"/>
      <c r="AZ15" s="69"/>
      <c r="BA15" s="69" t="s">
        <v>317</v>
      </c>
      <c r="BB15" s="69"/>
      <c r="BC15" s="69"/>
      <c r="BD15" s="69"/>
      <c r="BE15" s="69"/>
      <c r="BF15" s="69" t="s">
        <v>387</v>
      </c>
      <c r="BG15" s="69"/>
      <c r="BH15" s="69"/>
      <c r="BI15" s="69"/>
      <c r="BJ15" s="69"/>
      <c r="BK15" s="69"/>
      <c r="BL15" s="69"/>
      <c r="BM15" s="69"/>
      <c r="BN15" s="69"/>
    </row>
    <row r="16" spans="1:66" x14ac:dyDescent="0.25">
      <c r="A16" s="61" t="s">
        <v>3</v>
      </c>
      <c r="B16" s="68" t="s">
        <v>270</v>
      </c>
      <c r="C16" s="66">
        <v>12.5</v>
      </c>
      <c r="D16" s="64">
        <v>44</v>
      </c>
      <c r="E16" s="64">
        <f>IF(ISBLANK($D16),"0",IF(($D16-$D15)&gt;($C16-$C15),1,0))</f>
        <v>1</v>
      </c>
      <c r="F16" s="64">
        <f t="shared" ca="1" si="1"/>
        <v>38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 t="s">
        <v>311</v>
      </c>
      <c r="K16" s="70" t="s">
        <v>312</v>
      </c>
      <c r="L16" s="70"/>
      <c r="M16" s="70" t="s">
        <v>312</v>
      </c>
      <c r="N16" s="70" t="s">
        <v>416</v>
      </c>
      <c r="O16" s="70"/>
      <c r="P16" s="70" t="s">
        <v>317</v>
      </c>
      <c r="Q16" s="70" t="s">
        <v>318</v>
      </c>
      <c r="R16" s="70"/>
      <c r="S16" s="70" t="s">
        <v>336</v>
      </c>
      <c r="T16" s="70"/>
      <c r="U16" s="70"/>
      <c r="V16" s="70"/>
      <c r="W16" s="70" t="s">
        <v>317</v>
      </c>
      <c r="X16" s="70" t="s">
        <v>312</v>
      </c>
      <c r="Y16" s="70"/>
      <c r="Z16" s="70"/>
      <c r="AA16" s="70"/>
      <c r="AB16" s="70" t="s">
        <v>317</v>
      </c>
      <c r="AC16" s="70" t="s">
        <v>317</v>
      </c>
      <c r="AD16" s="70" t="s">
        <v>317</v>
      </c>
      <c r="AE16" s="70"/>
      <c r="AF16" s="70" t="s">
        <v>355</v>
      </c>
      <c r="AG16" s="70" t="s">
        <v>331</v>
      </c>
      <c r="AH16" s="70" t="s">
        <v>347</v>
      </c>
      <c r="AI16" s="70" t="s">
        <v>311</v>
      </c>
      <c r="AJ16" s="70" t="s">
        <v>314</v>
      </c>
      <c r="AK16" s="70" t="s">
        <v>317</v>
      </c>
      <c r="AL16" s="70" t="s">
        <v>347</v>
      </c>
      <c r="AM16" s="70" t="s">
        <v>336</v>
      </c>
      <c r="AN16" s="70" t="s">
        <v>317</v>
      </c>
      <c r="AO16" s="70" t="s">
        <v>317</v>
      </c>
      <c r="AP16" s="70" t="s">
        <v>319</v>
      </c>
      <c r="AQ16" s="70" t="s">
        <v>313</v>
      </c>
      <c r="AR16" s="100"/>
      <c r="AS16" s="70"/>
      <c r="AT16" s="70"/>
      <c r="AU16" s="70"/>
      <c r="AV16" s="70" t="s">
        <v>317</v>
      </c>
      <c r="AW16" s="70"/>
      <c r="AX16" s="70"/>
      <c r="AY16" s="70" t="s">
        <v>323</v>
      </c>
      <c r="AZ16" s="70" t="s">
        <v>325</v>
      </c>
      <c r="BA16" s="70"/>
      <c r="BB16" s="70" t="s">
        <v>317</v>
      </c>
      <c r="BC16" s="70" t="s">
        <v>375</v>
      </c>
      <c r="BD16" s="70" t="s">
        <v>312</v>
      </c>
      <c r="BE16" s="70" t="s">
        <v>367</v>
      </c>
      <c r="BF16" s="70"/>
      <c r="BG16" s="70" t="s">
        <v>321</v>
      </c>
      <c r="BH16" s="70" t="s">
        <v>312</v>
      </c>
      <c r="BI16" s="70" t="s">
        <v>317</v>
      </c>
      <c r="BJ16" s="70" t="s">
        <v>321</v>
      </c>
      <c r="BK16" s="70" t="s">
        <v>472</v>
      </c>
      <c r="BL16" s="70" t="s">
        <v>317</v>
      </c>
      <c r="BM16" s="70" t="s">
        <v>388</v>
      </c>
      <c r="BN16" s="70" t="s">
        <v>408</v>
      </c>
    </row>
    <row r="17" spans="1:66" x14ac:dyDescent="0.25">
      <c r="A17" s="59">
        <v>8</v>
      </c>
      <c r="B17" s="67" t="s">
        <v>177</v>
      </c>
      <c r="C17" s="65">
        <v>1.5</v>
      </c>
      <c r="D17" s="64">
        <v>6</v>
      </c>
      <c r="E17" s="64">
        <f>IF(ISBLANK($D17),"0",IF(($D18-$D17)&lt;($C18-$C17),1,0))</f>
        <v>1</v>
      </c>
      <c r="F17" s="64">
        <f t="shared" ca="1" si="1"/>
        <v>34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/>
      <c r="L17" s="69"/>
      <c r="M17" s="69" t="s">
        <v>312</v>
      </c>
      <c r="N17" s="69"/>
      <c r="O17" s="69"/>
      <c r="P17" s="69"/>
      <c r="Q17" s="69" t="s">
        <v>318</v>
      </c>
      <c r="R17" s="69"/>
      <c r="S17" s="69" t="s">
        <v>342</v>
      </c>
      <c r="T17" s="69" t="s">
        <v>350</v>
      </c>
      <c r="U17" s="69" t="s">
        <v>323</v>
      </c>
      <c r="V17" s="69" t="s">
        <v>312</v>
      </c>
      <c r="W17" s="69"/>
      <c r="X17" s="69" t="s">
        <v>312</v>
      </c>
      <c r="Y17" s="69" t="s">
        <v>312</v>
      </c>
      <c r="Z17" s="69"/>
      <c r="AA17" s="69" t="s">
        <v>354</v>
      </c>
      <c r="AB17" s="69" t="s">
        <v>317</v>
      </c>
      <c r="AC17" s="69" t="s">
        <v>317</v>
      </c>
      <c r="AD17" s="69" t="s">
        <v>317</v>
      </c>
      <c r="AE17" s="69"/>
      <c r="AF17" s="69" t="s">
        <v>355</v>
      </c>
      <c r="AG17" s="69" t="s">
        <v>335</v>
      </c>
      <c r="AH17" s="69"/>
      <c r="AI17" s="69" t="s">
        <v>322</v>
      </c>
      <c r="AJ17" s="69" t="s">
        <v>314</v>
      </c>
      <c r="AK17" s="69"/>
      <c r="AL17" s="69"/>
      <c r="AM17" s="69" t="s">
        <v>342</v>
      </c>
      <c r="AN17" s="69" t="s">
        <v>317</v>
      </c>
      <c r="AO17" s="69" t="s">
        <v>317</v>
      </c>
      <c r="AP17" s="69"/>
      <c r="AQ17" s="69"/>
      <c r="AR17" s="99"/>
      <c r="AS17" s="69" t="s">
        <v>314</v>
      </c>
      <c r="AT17" s="69" t="s">
        <v>334</v>
      </c>
      <c r="AU17" s="69"/>
      <c r="AV17" s="69"/>
      <c r="AW17" s="69"/>
      <c r="AX17" s="69" t="s">
        <v>320</v>
      </c>
      <c r="AY17" s="69" t="s">
        <v>331</v>
      </c>
      <c r="AZ17" s="69" t="s">
        <v>333</v>
      </c>
      <c r="BA17" s="69" t="s">
        <v>317</v>
      </c>
      <c r="BB17" s="69" t="s">
        <v>317</v>
      </c>
      <c r="BC17" s="69" t="s">
        <v>375</v>
      </c>
      <c r="BD17" s="69"/>
      <c r="BE17" s="69" t="s">
        <v>367</v>
      </c>
      <c r="BF17" s="69" t="s">
        <v>387</v>
      </c>
      <c r="BG17" s="69" t="s">
        <v>321</v>
      </c>
      <c r="BH17" s="69"/>
      <c r="BI17" s="69" t="s">
        <v>317</v>
      </c>
      <c r="BJ17" s="69" t="s">
        <v>321</v>
      </c>
      <c r="BK17" s="69" t="s">
        <v>472</v>
      </c>
      <c r="BL17" s="69"/>
      <c r="BM17" s="69"/>
      <c r="BN17" s="69" t="s">
        <v>312</v>
      </c>
    </row>
    <row r="18" spans="1:66" x14ac:dyDescent="0.25">
      <c r="A18" s="61" t="s">
        <v>3</v>
      </c>
      <c r="B18" s="68" t="s">
        <v>186</v>
      </c>
      <c r="C18" s="66"/>
      <c r="D18" s="64">
        <v>3</v>
      </c>
      <c r="E18" s="64">
        <f>IF(ISBLANK($D18),"0",IF(($D18-$D17)&gt;($C18-$C17),1,0))</f>
        <v>0</v>
      </c>
      <c r="F18" s="64">
        <f t="shared" ca="1" si="1"/>
        <v>22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311</v>
      </c>
      <c r="K18" s="70" t="s">
        <v>312</v>
      </c>
      <c r="L18" s="70" t="s">
        <v>313</v>
      </c>
      <c r="M18" s="70"/>
      <c r="N18" s="70" t="s">
        <v>416</v>
      </c>
      <c r="O18" s="70" t="s">
        <v>371</v>
      </c>
      <c r="P18" s="70" t="s">
        <v>317</v>
      </c>
      <c r="Q18" s="70"/>
      <c r="R18" s="70" t="s">
        <v>312</v>
      </c>
      <c r="S18" s="70"/>
      <c r="T18" s="70"/>
      <c r="U18" s="70"/>
      <c r="V18" s="70"/>
      <c r="W18" s="70" t="s">
        <v>317</v>
      </c>
      <c r="X18" s="70"/>
      <c r="Y18" s="70"/>
      <c r="Z18" s="70" t="s">
        <v>317</v>
      </c>
      <c r="AA18" s="70"/>
      <c r="AB18" s="70"/>
      <c r="AC18" s="70"/>
      <c r="AD18" s="70"/>
      <c r="AE18" s="99" t="s">
        <v>463</v>
      </c>
      <c r="AF18" s="70"/>
      <c r="AG18" s="70"/>
      <c r="AH18" s="70" t="s">
        <v>331</v>
      </c>
      <c r="AI18" s="70"/>
      <c r="AJ18" s="70"/>
      <c r="AK18" s="70" t="s">
        <v>317</v>
      </c>
      <c r="AL18" s="70" t="s">
        <v>347</v>
      </c>
      <c r="AM18" s="70"/>
      <c r="AN18" s="70"/>
      <c r="AO18" s="70"/>
      <c r="AP18" s="70" t="s">
        <v>332</v>
      </c>
      <c r="AQ18" s="70" t="s">
        <v>313</v>
      </c>
      <c r="AR18" s="99" t="s">
        <v>463</v>
      </c>
      <c r="AS18" s="70"/>
      <c r="AT18" s="70"/>
      <c r="AU18" s="99" t="s">
        <v>463</v>
      </c>
      <c r="AV18" s="70" t="s">
        <v>317</v>
      </c>
      <c r="AW18" s="70" t="s">
        <v>352</v>
      </c>
      <c r="AX18" s="70"/>
      <c r="AY18" s="70"/>
      <c r="AZ18" s="70"/>
      <c r="BA18" s="70"/>
      <c r="BB18" s="70"/>
      <c r="BC18" s="70"/>
      <c r="BD18" s="70" t="s">
        <v>312</v>
      </c>
      <c r="BE18" s="70"/>
      <c r="BF18" s="70"/>
      <c r="BG18" s="70"/>
      <c r="BH18" s="70" t="s">
        <v>317</v>
      </c>
      <c r="BI18" s="70"/>
      <c r="BJ18" s="70"/>
      <c r="BK18" s="70"/>
      <c r="BL18" s="70" t="s">
        <v>317</v>
      </c>
      <c r="BM18" s="70" t="s">
        <v>388</v>
      </c>
      <c r="BN18" s="70"/>
    </row>
    <row r="19" spans="1:66" x14ac:dyDescent="0.25">
      <c r="A19" s="59">
        <v>9</v>
      </c>
      <c r="B19" s="67" t="s">
        <v>225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311</v>
      </c>
      <c r="K19" s="69"/>
      <c r="L19" s="69"/>
      <c r="M19" s="69" t="s">
        <v>312</v>
      </c>
      <c r="N19" s="69" t="s">
        <v>416</v>
      </c>
      <c r="O19" s="69"/>
      <c r="P19" s="69"/>
      <c r="Q19" s="69"/>
      <c r="R19" s="69" t="s">
        <v>312</v>
      </c>
      <c r="S19" s="69"/>
      <c r="T19" s="69"/>
      <c r="U19" s="69" t="s">
        <v>375</v>
      </c>
      <c r="V19" s="69"/>
      <c r="W19" s="69" t="s">
        <v>317</v>
      </c>
      <c r="X19" s="69" t="s">
        <v>312</v>
      </c>
      <c r="Y19" s="69" t="s">
        <v>312</v>
      </c>
      <c r="Z19" s="69" t="s">
        <v>317</v>
      </c>
      <c r="AA19" s="69"/>
      <c r="AB19" s="69" t="s">
        <v>317</v>
      </c>
      <c r="AC19" s="69"/>
      <c r="AD19" s="69"/>
      <c r="AE19" s="69"/>
      <c r="AF19" s="69"/>
      <c r="AG19" s="69"/>
      <c r="AH19" s="69"/>
      <c r="AI19" s="69"/>
      <c r="AJ19" s="69" t="s">
        <v>314</v>
      </c>
      <c r="AK19" s="69" t="s">
        <v>317</v>
      </c>
      <c r="AL19" s="69"/>
      <c r="AM19" s="69"/>
      <c r="AN19" s="69" t="s">
        <v>317</v>
      </c>
      <c r="AO19" s="69" t="s">
        <v>317</v>
      </c>
      <c r="AP19" s="69"/>
      <c r="AQ19" s="69" t="s">
        <v>313</v>
      </c>
      <c r="AR19" s="69"/>
      <c r="AS19" s="69" t="s">
        <v>338</v>
      </c>
      <c r="AT19" s="69" t="s">
        <v>334</v>
      </c>
      <c r="AU19" s="69"/>
      <c r="AV19" s="69"/>
      <c r="AW19" s="69"/>
      <c r="AX19" s="69"/>
      <c r="AY19" s="69"/>
      <c r="AZ19" s="69" t="s">
        <v>322</v>
      </c>
      <c r="BA19" s="69"/>
      <c r="BB19" s="69"/>
      <c r="BC19" s="69" t="s">
        <v>375</v>
      </c>
      <c r="BD19" s="69"/>
      <c r="BE19" s="69"/>
      <c r="BF19" s="69" t="s">
        <v>387</v>
      </c>
      <c r="BG19" s="69"/>
      <c r="BH19" s="69" t="s">
        <v>317</v>
      </c>
      <c r="BI19" s="69"/>
      <c r="BJ19" s="69" t="s">
        <v>321</v>
      </c>
      <c r="BK19" s="69"/>
      <c r="BL19" s="69"/>
      <c r="BM19" s="69" t="s">
        <v>388</v>
      </c>
      <c r="BN19" s="69"/>
    </row>
    <row r="20" spans="1:66" x14ac:dyDescent="0.25">
      <c r="A20" s="61" t="s">
        <v>3</v>
      </c>
      <c r="B20" s="68" t="s">
        <v>224</v>
      </c>
      <c r="C20" s="66">
        <v>6.5</v>
      </c>
      <c r="D20" s="64">
        <v>14</v>
      </c>
      <c r="E20" s="64">
        <f>IF(ISBLANK($D20),"0",IF(($D20-$D19)&gt;($C20-$C19),1,0))</f>
        <v>0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 t="s">
        <v>312</v>
      </c>
      <c r="L20" s="70" t="s">
        <v>313</v>
      </c>
      <c r="M20" s="70"/>
      <c r="N20" s="70"/>
      <c r="O20" s="70" t="s">
        <v>371</v>
      </c>
      <c r="P20" s="70" t="s">
        <v>317</v>
      </c>
      <c r="Q20" s="70" t="s">
        <v>318</v>
      </c>
      <c r="R20" s="70"/>
      <c r="S20" s="70" t="s">
        <v>311</v>
      </c>
      <c r="T20" s="70" t="s">
        <v>311</v>
      </c>
      <c r="U20" s="70"/>
      <c r="V20" s="70" t="s">
        <v>312</v>
      </c>
      <c r="W20" s="70"/>
      <c r="X20" s="70"/>
      <c r="Y20" s="70"/>
      <c r="Z20" s="70"/>
      <c r="AA20" s="70" t="s">
        <v>354</v>
      </c>
      <c r="AB20" s="70"/>
      <c r="AC20" s="70" t="s">
        <v>317</v>
      </c>
      <c r="AD20" s="70" t="s">
        <v>317</v>
      </c>
      <c r="AE20" s="99" t="s">
        <v>463</v>
      </c>
      <c r="AF20" s="70" t="s">
        <v>355</v>
      </c>
      <c r="AG20" s="70" t="s">
        <v>325</v>
      </c>
      <c r="AH20" s="70" t="s">
        <v>335</v>
      </c>
      <c r="AI20" s="70" t="s">
        <v>340</v>
      </c>
      <c r="AJ20" s="70"/>
      <c r="AK20" s="70"/>
      <c r="AL20" s="70" t="s">
        <v>347</v>
      </c>
      <c r="AM20" s="70" t="s">
        <v>311</v>
      </c>
      <c r="AN20" s="70"/>
      <c r="AO20" s="70"/>
      <c r="AP20" s="70" t="s">
        <v>343</v>
      </c>
      <c r="AQ20" s="70"/>
      <c r="AR20" s="99" t="s">
        <v>463</v>
      </c>
      <c r="AS20" s="70"/>
      <c r="AT20" s="70"/>
      <c r="AU20" s="99" t="s">
        <v>463</v>
      </c>
      <c r="AV20" s="70" t="s">
        <v>317</v>
      </c>
      <c r="AW20" s="70" t="s">
        <v>346</v>
      </c>
      <c r="AX20" s="70" t="s">
        <v>408</v>
      </c>
      <c r="AY20" s="70" t="s">
        <v>335</v>
      </c>
      <c r="AZ20" s="70"/>
      <c r="BA20" s="70" t="s">
        <v>317</v>
      </c>
      <c r="BB20" s="70" t="s">
        <v>317</v>
      </c>
      <c r="BC20" s="70"/>
      <c r="BD20" s="70" t="s">
        <v>312</v>
      </c>
      <c r="BE20" s="70" t="s">
        <v>367</v>
      </c>
      <c r="BF20" s="70"/>
      <c r="BG20" s="70" t="s">
        <v>321</v>
      </c>
      <c r="BH20" s="70"/>
      <c r="BI20" s="70" t="s">
        <v>317</v>
      </c>
      <c r="BJ20" s="70"/>
      <c r="BK20" s="70" t="s">
        <v>472</v>
      </c>
      <c r="BL20" s="70" t="s">
        <v>317</v>
      </c>
      <c r="BM20" s="70"/>
      <c r="BN20" s="70" t="s">
        <v>312</v>
      </c>
    </row>
    <row r="21" spans="1:66" x14ac:dyDescent="0.25">
      <c r="A21" s="59">
        <v>10</v>
      </c>
      <c r="B21" s="67" t="s">
        <v>207</v>
      </c>
      <c r="C21" s="65"/>
      <c r="D21" s="64">
        <v>17</v>
      </c>
      <c r="E21" s="64">
        <f>IF(ISBLANK($D21),"0",IF(($D22-$D21)&lt;($C22-$C21),1,0))</f>
        <v>0</v>
      </c>
      <c r="F21" s="64">
        <f t="shared" ca="1" si="1"/>
        <v>33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311</v>
      </c>
      <c r="K21" s="69"/>
      <c r="L21" s="69" t="s">
        <v>313</v>
      </c>
      <c r="M21" s="69"/>
      <c r="N21" s="69" t="s">
        <v>416</v>
      </c>
      <c r="O21" s="69"/>
      <c r="P21" s="69" t="s">
        <v>317</v>
      </c>
      <c r="Q21" s="69"/>
      <c r="R21" s="69" t="s">
        <v>312</v>
      </c>
      <c r="S21" s="69" t="s">
        <v>326</v>
      </c>
      <c r="T21" s="69"/>
      <c r="U21" s="69" t="s">
        <v>325</v>
      </c>
      <c r="V21" s="69"/>
      <c r="W21" s="69" t="s">
        <v>317</v>
      </c>
      <c r="X21" s="69"/>
      <c r="Y21" s="69" t="s">
        <v>312</v>
      </c>
      <c r="Z21" s="69"/>
      <c r="AA21" s="69" t="s">
        <v>354</v>
      </c>
      <c r="AB21" s="69" t="s">
        <v>317</v>
      </c>
      <c r="AC21" s="69"/>
      <c r="AD21" s="69" t="s">
        <v>317</v>
      </c>
      <c r="AE21" s="99" t="s">
        <v>463</v>
      </c>
      <c r="AF21" s="69"/>
      <c r="AG21" s="69" t="s">
        <v>367</v>
      </c>
      <c r="AH21" s="69"/>
      <c r="AI21" s="69"/>
      <c r="AJ21" s="69"/>
      <c r="AK21" s="69" t="s">
        <v>317</v>
      </c>
      <c r="AL21" s="69" t="s">
        <v>347</v>
      </c>
      <c r="AM21" s="69" t="s">
        <v>326</v>
      </c>
      <c r="AN21" s="69"/>
      <c r="AO21" s="69" t="s">
        <v>317</v>
      </c>
      <c r="AP21" s="69" t="s">
        <v>334</v>
      </c>
      <c r="AQ21" s="69"/>
      <c r="AR21" s="99" t="s">
        <v>463</v>
      </c>
      <c r="AS21" s="69" t="s">
        <v>319</v>
      </c>
      <c r="AT21" s="69" t="s">
        <v>334</v>
      </c>
      <c r="AU21" s="99" t="s">
        <v>463</v>
      </c>
      <c r="AV21" s="69" t="s">
        <v>317</v>
      </c>
      <c r="AW21" s="69"/>
      <c r="AX21" s="69"/>
      <c r="AY21" s="69" t="s">
        <v>325</v>
      </c>
      <c r="AZ21" s="69" t="s">
        <v>364</v>
      </c>
      <c r="BA21" s="69"/>
      <c r="BB21" s="69" t="s">
        <v>317</v>
      </c>
      <c r="BC21" s="69"/>
      <c r="BD21" s="69" t="s">
        <v>312</v>
      </c>
      <c r="BE21" s="69" t="s">
        <v>367</v>
      </c>
      <c r="BF21" s="69"/>
      <c r="BG21" s="69" t="s">
        <v>321</v>
      </c>
      <c r="BH21" s="69" t="s">
        <v>317</v>
      </c>
      <c r="BI21" s="69"/>
      <c r="BJ21" s="69" t="s">
        <v>321</v>
      </c>
      <c r="BK21" s="69" t="s">
        <v>472</v>
      </c>
      <c r="BL21" s="69"/>
      <c r="BM21" s="69" t="s">
        <v>388</v>
      </c>
      <c r="BN21" s="69"/>
    </row>
    <row r="22" spans="1:66" x14ac:dyDescent="0.25">
      <c r="A22" s="61" t="s">
        <v>3</v>
      </c>
      <c r="B22" s="68" t="s">
        <v>182</v>
      </c>
      <c r="C22" s="66">
        <v>3.5</v>
      </c>
      <c r="D22" s="64">
        <v>45</v>
      </c>
      <c r="E22" s="64">
        <f>IF(ISBLANK($D22),"0",IF(($D22-$D21)&gt;($C22-$C21),1,0))</f>
        <v>1</v>
      </c>
      <c r="F22" s="64">
        <f t="shared" ca="1" si="1"/>
        <v>23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 t="s">
        <v>312</v>
      </c>
      <c r="L22" s="70"/>
      <c r="M22" s="70" t="s">
        <v>312</v>
      </c>
      <c r="N22" s="70"/>
      <c r="O22" s="70" t="s">
        <v>371</v>
      </c>
      <c r="P22" s="70"/>
      <c r="Q22" s="70" t="s">
        <v>318</v>
      </c>
      <c r="R22" s="70"/>
      <c r="S22" s="70"/>
      <c r="T22" s="70" t="s">
        <v>319</v>
      </c>
      <c r="U22" s="70"/>
      <c r="V22" s="70" t="s">
        <v>312</v>
      </c>
      <c r="W22" s="70"/>
      <c r="X22" s="70" t="s">
        <v>312</v>
      </c>
      <c r="Y22" s="70"/>
      <c r="Z22" s="70" t="s">
        <v>317</v>
      </c>
      <c r="AA22" s="70"/>
      <c r="AB22" s="70"/>
      <c r="AC22" s="70" t="s">
        <v>317</v>
      </c>
      <c r="AD22" s="70"/>
      <c r="AE22" s="70"/>
      <c r="AF22" s="70" t="s">
        <v>355</v>
      </c>
      <c r="AG22" s="70"/>
      <c r="AH22" s="70" t="s">
        <v>325</v>
      </c>
      <c r="AI22" s="70" t="s">
        <v>339</v>
      </c>
      <c r="AJ22" s="70" t="s">
        <v>314</v>
      </c>
      <c r="AK22" s="70"/>
      <c r="AL22" s="70"/>
      <c r="AM22" s="70"/>
      <c r="AN22" s="70" t="s">
        <v>317</v>
      </c>
      <c r="AO22" s="70"/>
      <c r="AP22" s="70"/>
      <c r="AQ22" s="70" t="s">
        <v>313</v>
      </c>
      <c r="AR22" s="70"/>
      <c r="AS22" s="70"/>
      <c r="AT22" s="70"/>
      <c r="AU22" s="70"/>
      <c r="AV22" s="70"/>
      <c r="AW22" s="70" t="s">
        <v>486</v>
      </c>
      <c r="AX22" s="70" t="s">
        <v>408</v>
      </c>
      <c r="AY22" s="70"/>
      <c r="AZ22" s="70"/>
      <c r="BA22" s="70" t="s">
        <v>317</v>
      </c>
      <c r="BB22" s="70"/>
      <c r="BC22" s="70" t="s">
        <v>375</v>
      </c>
      <c r="BD22" s="70"/>
      <c r="BE22" s="70"/>
      <c r="BF22" s="70" t="s">
        <v>387</v>
      </c>
      <c r="BG22" s="70"/>
      <c r="BH22" s="70"/>
      <c r="BI22" s="70" t="s">
        <v>317</v>
      </c>
      <c r="BJ22" s="70"/>
      <c r="BK22" s="70"/>
      <c r="BL22" s="70" t="s">
        <v>317</v>
      </c>
      <c r="BM22" s="70"/>
      <c r="BN22" s="70" t="s">
        <v>312</v>
      </c>
    </row>
    <row r="23" spans="1:66" x14ac:dyDescent="0.25">
      <c r="A23" s="59"/>
      <c r="B23" s="67" t="str">
        <f>B21&amp; " - score"</f>
        <v>Nebraska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24</v>
      </c>
      <c r="K23" s="78">
        <v>21</v>
      </c>
      <c r="L23" s="78">
        <v>52</v>
      </c>
      <c r="M23" s="78">
        <v>17</v>
      </c>
      <c r="N23" s="80">
        <v>24</v>
      </c>
      <c r="O23" s="78">
        <v>6</v>
      </c>
      <c r="P23" s="78">
        <v>27</v>
      </c>
      <c r="Q23" s="78">
        <v>14</v>
      </c>
      <c r="R23" s="78">
        <v>13</v>
      </c>
      <c r="S23" s="78">
        <v>21</v>
      </c>
      <c r="T23" s="78">
        <v>20</v>
      </c>
      <c r="U23" s="78">
        <v>28</v>
      </c>
      <c r="V23" s="78">
        <v>21</v>
      </c>
      <c r="W23" s="78">
        <v>28</v>
      </c>
      <c r="X23" s="78">
        <v>17</v>
      </c>
      <c r="Y23" s="78">
        <v>28</v>
      </c>
      <c r="Z23" s="78">
        <v>24</v>
      </c>
      <c r="AA23" s="78">
        <v>28</v>
      </c>
      <c r="AB23" s="78">
        <v>24</v>
      </c>
      <c r="AC23" s="78">
        <v>17</v>
      </c>
      <c r="AD23" s="78">
        <v>31</v>
      </c>
      <c r="AE23" s="78"/>
      <c r="AF23" s="78">
        <v>6</v>
      </c>
      <c r="AG23" s="78">
        <v>35</v>
      </c>
      <c r="AH23" s="78">
        <v>27</v>
      </c>
      <c r="AI23" s="78">
        <v>27</v>
      </c>
      <c r="AJ23" s="78">
        <v>11</v>
      </c>
      <c r="AK23" s="78">
        <v>27</v>
      </c>
      <c r="AL23" s="78">
        <v>35</v>
      </c>
      <c r="AM23" s="78">
        <v>27</v>
      </c>
      <c r="AN23" s="78">
        <v>17</v>
      </c>
      <c r="AO23" s="78">
        <v>28</v>
      </c>
      <c r="AP23" s="78">
        <v>24</v>
      </c>
      <c r="AQ23" s="78">
        <v>22</v>
      </c>
      <c r="AR23" s="78"/>
      <c r="AS23" s="78">
        <v>31</v>
      </c>
      <c r="AT23" s="78">
        <v>24</v>
      </c>
      <c r="AU23" s="78"/>
      <c r="AV23" s="78">
        <v>17</v>
      </c>
      <c r="AW23" s="78">
        <v>24</v>
      </c>
      <c r="AX23" s="78">
        <v>24</v>
      </c>
      <c r="AY23" s="78">
        <v>27</v>
      </c>
      <c r="AZ23" s="78">
        <v>24</v>
      </c>
      <c r="BA23" s="78">
        <v>7</v>
      </c>
      <c r="BB23" s="78">
        <v>24</v>
      </c>
      <c r="BC23" s="78">
        <v>13</v>
      </c>
      <c r="BD23" s="78">
        <v>28</v>
      </c>
      <c r="BE23" s="78">
        <v>21</v>
      </c>
      <c r="BF23" s="78">
        <v>14</v>
      </c>
      <c r="BG23" s="78">
        <v>45</v>
      </c>
      <c r="BH23" s="78">
        <v>24</v>
      </c>
      <c r="BI23" s="78">
        <v>19</v>
      </c>
      <c r="BJ23" s="78">
        <v>35</v>
      </c>
      <c r="BK23" s="78">
        <v>28</v>
      </c>
      <c r="BL23" s="78">
        <v>18</v>
      </c>
      <c r="BM23" s="78">
        <v>24</v>
      </c>
      <c r="BN23" s="78">
        <v>24</v>
      </c>
    </row>
    <row r="24" spans="1:66" x14ac:dyDescent="0.25">
      <c r="A24" s="61"/>
      <c r="B24" s="68" t="str">
        <f>B22&amp; " - score"</f>
        <v>Michigan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24</v>
      </c>
      <c r="G24" s="61"/>
      <c r="H24" s="62"/>
      <c r="I24" s="63"/>
      <c r="J24" s="79">
        <v>27</v>
      </c>
      <c r="K24" s="79">
        <v>28</v>
      </c>
      <c r="L24" s="79">
        <v>54</v>
      </c>
      <c r="M24" s="79">
        <v>21</v>
      </c>
      <c r="N24" s="79">
        <v>20</v>
      </c>
      <c r="O24" s="79">
        <v>14</v>
      </c>
      <c r="P24" s="79">
        <v>17</v>
      </c>
      <c r="Q24" s="79">
        <v>21</v>
      </c>
      <c r="R24" s="79">
        <v>16</v>
      </c>
      <c r="S24" s="79">
        <v>17</v>
      </c>
      <c r="T24" s="79">
        <v>24</v>
      </c>
      <c r="U24" s="79">
        <v>24</v>
      </c>
      <c r="V24" s="79">
        <v>31</v>
      </c>
      <c r="W24" s="79">
        <v>21</v>
      </c>
      <c r="X24" s="79">
        <v>24</v>
      </c>
      <c r="Y24" s="79">
        <v>24</v>
      </c>
      <c r="Z24" s="79">
        <v>31</v>
      </c>
      <c r="AA24" s="79">
        <v>24</v>
      </c>
      <c r="AB24" s="79">
        <v>21</v>
      </c>
      <c r="AC24" s="79">
        <v>24</v>
      </c>
      <c r="AD24" s="79">
        <v>21</v>
      </c>
      <c r="AE24" s="79"/>
      <c r="AF24" s="79">
        <v>21</v>
      </c>
      <c r="AG24" s="79">
        <v>24</v>
      </c>
      <c r="AH24" s="79">
        <v>31</v>
      </c>
      <c r="AI24" s="79">
        <v>31</v>
      </c>
      <c r="AJ24" s="79">
        <v>23</v>
      </c>
      <c r="AK24" s="79">
        <v>25</v>
      </c>
      <c r="AL24" s="79">
        <v>24</v>
      </c>
      <c r="AM24" s="79">
        <v>21</v>
      </c>
      <c r="AN24" s="79">
        <v>24</v>
      </c>
      <c r="AO24" s="79">
        <v>21</v>
      </c>
      <c r="AP24" s="79">
        <v>20</v>
      </c>
      <c r="AQ24" s="79">
        <v>27</v>
      </c>
      <c r="AR24" s="79"/>
      <c r="AS24" s="79">
        <v>28</v>
      </c>
      <c r="AT24" s="79">
        <v>20</v>
      </c>
      <c r="AU24" s="79"/>
      <c r="AV24" s="79">
        <v>20</v>
      </c>
      <c r="AW24" s="79">
        <v>28</v>
      </c>
      <c r="AX24" s="79">
        <v>35</v>
      </c>
      <c r="AY24" s="79">
        <v>14</v>
      </c>
      <c r="AZ24" s="79">
        <v>20</v>
      </c>
      <c r="BA24" s="79">
        <v>14</v>
      </c>
      <c r="BB24" s="79">
        <v>17</v>
      </c>
      <c r="BC24" s="79">
        <v>17</v>
      </c>
      <c r="BD24" s="79">
        <v>21</v>
      </c>
      <c r="BE24" s="79">
        <v>20</v>
      </c>
      <c r="BF24" s="79">
        <v>24</v>
      </c>
      <c r="BG24" s="79">
        <v>48</v>
      </c>
      <c r="BH24" s="79">
        <v>27</v>
      </c>
      <c r="BI24" s="79">
        <v>27</v>
      </c>
      <c r="BJ24" s="79">
        <v>28</v>
      </c>
      <c r="BK24" s="79">
        <v>21</v>
      </c>
      <c r="BL24" s="79">
        <v>35</v>
      </c>
      <c r="BM24" s="79">
        <v>27</v>
      </c>
      <c r="BN24" s="79">
        <v>31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1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5</v>
      </c>
      <c r="Q25" s="36">
        <f t="shared" si="3"/>
        <v>5</v>
      </c>
      <c r="R25" s="36">
        <f t="shared" si="3"/>
        <v>3</v>
      </c>
      <c r="S25" s="36">
        <f t="shared" si="3"/>
        <v>4</v>
      </c>
      <c r="T25" s="36">
        <f t="shared" si="3"/>
        <v>5</v>
      </c>
      <c r="U25" s="36">
        <f t="shared" si="3"/>
        <v>6</v>
      </c>
      <c r="V25" s="36">
        <f t="shared" si="3"/>
        <v>4</v>
      </c>
      <c r="W25" s="36">
        <f t="shared" si="3"/>
        <v>2</v>
      </c>
      <c r="X25" s="36">
        <f t="shared" si="3"/>
        <v>8</v>
      </c>
      <c r="Y25" s="36">
        <f t="shared" si="3"/>
        <v>4</v>
      </c>
      <c r="Z25" s="36">
        <f t="shared" si="3"/>
        <v>5</v>
      </c>
      <c r="AA25" s="36">
        <f t="shared" si="3"/>
        <v>5</v>
      </c>
      <c r="AB25" s="36">
        <f t="shared" si="3"/>
        <v>6</v>
      </c>
      <c r="AC25" s="36">
        <f t="shared" si="3"/>
        <v>6</v>
      </c>
      <c r="AD25" s="36">
        <f t="shared" si="3"/>
        <v>6</v>
      </c>
      <c r="AE25" s="36">
        <f t="shared" si="3"/>
        <v>1</v>
      </c>
      <c r="AF25" s="36">
        <f t="shared" si="3"/>
        <v>6</v>
      </c>
      <c r="AG25" s="36">
        <f t="shared" si="3"/>
        <v>6</v>
      </c>
      <c r="AH25" s="36">
        <f t="shared" si="3"/>
        <v>6</v>
      </c>
      <c r="AI25" s="36">
        <f t="shared" si="3"/>
        <v>5</v>
      </c>
      <c r="AJ25" s="36">
        <f t="shared" si="3"/>
        <v>7</v>
      </c>
      <c r="AK25" s="36">
        <f t="shared" si="3"/>
        <v>3</v>
      </c>
      <c r="AL25" s="36">
        <f t="shared" si="3"/>
        <v>3</v>
      </c>
      <c r="AM25" s="36">
        <f t="shared" si="3"/>
        <v>5</v>
      </c>
      <c r="AN25" s="36">
        <f t="shared" si="3"/>
        <v>6</v>
      </c>
      <c r="AO25" s="36">
        <f t="shared" si="3"/>
        <v>6</v>
      </c>
      <c r="AP25" s="36">
        <f t="shared" si="3"/>
        <v>5</v>
      </c>
      <c r="AQ25" s="36">
        <f t="shared" si="3"/>
        <v>7</v>
      </c>
      <c r="AR25" s="36">
        <f t="shared" si="3"/>
        <v>1</v>
      </c>
      <c r="AS25" s="36">
        <f t="shared" si="3"/>
        <v>6</v>
      </c>
      <c r="AT25" s="36">
        <f t="shared" si="3"/>
        <v>6</v>
      </c>
      <c r="AU25" s="36">
        <f t="shared" si="3"/>
        <v>1</v>
      </c>
      <c r="AV25" s="36">
        <f t="shared" si="3"/>
        <v>4</v>
      </c>
      <c r="AW25" s="36">
        <f t="shared" si="3"/>
        <v>4</v>
      </c>
      <c r="AX25" s="36">
        <f t="shared" si="3"/>
        <v>4</v>
      </c>
      <c r="AY25" s="36">
        <f t="shared" si="3"/>
        <v>5</v>
      </c>
      <c r="AZ25" s="36">
        <f t="shared" si="3"/>
        <v>6</v>
      </c>
      <c r="BA25" s="36">
        <f t="shared" si="3"/>
        <v>4</v>
      </c>
      <c r="BB25" s="36">
        <f t="shared" si="3"/>
        <v>3</v>
      </c>
      <c r="BC25" s="36">
        <f t="shared" si="3"/>
        <v>7</v>
      </c>
      <c r="BD25" s="36">
        <f t="shared" si="3"/>
        <v>3</v>
      </c>
      <c r="BE25" s="36">
        <f t="shared" si="3"/>
        <v>6</v>
      </c>
      <c r="BF25" s="36">
        <f t="shared" si="3"/>
        <v>5</v>
      </c>
      <c r="BG25" s="36">
        <f t="shared" si="3"/>
        <v>5</v>
      </c>
      <c r="BH25" s="36">
        <f t="shared" si="3"/>
        <v>7</v>
      </c>
      <c r="BI25" s="36">
        <f t="shared" si="3"/>
        <v>6</v>
      </c>
      <c r="BJ25" s="36">
        <f t="shared" si="3"/>
        <v>6</v>
      </c>
      <c r="BK25" s="36">
        <f t="shared" si="3"/>
        <v>5</v>
      </c>
      <c r="BL25" s="36">
        <f t="shared" si="3"/>
        <v>4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5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BN26" si="4">ABS((L23-L24)-($D21-$D22))</f>
        <v>26</v>
      </c>
      <c r="M26" s="71">
        <f t="shared" si="4"/>
        <v>24</v>
      </c>
      <c r="N26" s="71">
        <f t="shared" si="4"/>
        <v>32</v>
      </c>
      <c r="O26" s="71">
        <f t="shared" si="4"/>
        <v>20</v>
      </c>
      <c r="P26" s="71">
        <f t="shared" si="4"/>
        <v>38</v>
      </c>
      <c r="Q26" s="71">
        <f t="shared" si="4"/>
        <v>21</v>
      </c>
      <c r="R26" s="71">
        <f t="shared" si="4"/>
        <v>25</v>
      </c>
      <c r="S26" s="71">
        <f t="shared" si="4"/>
        <v>32</v>
      </c>
      <c r="T26" s="71">
        <f t="shared" si="4"/>
        <v>24</v>
      </c>
      <c r="U26" s="71">
        <f t="shared" si="4"/>
        <v>32</v>
      </c>
      <c r="V26" s="71">
        <f t="shared" si="4"/>
        <v>18</v>
      </c>
      <c r="W26" s="71">
        <f t="shared" si="4"/>
        <v>35</v>
      </c>
      <c r="X26" s="71">
        <f t="shared" si="4"/>
        <v>21</v>
      </c>
      <c r="Y26" s="71">
        <f t="shared" si="4"/>
        <v>32</v>
      </c>
      <c r="Z26" s="71">
        <f t="shared" si="4"/>
        <v>21</v>
      </c>
      <c r="AA26" s="71">
        <f t="shared" si="4"/>
        <v>32</v>
      </c>
      <c r="AB26" s="71">
        <f t="shared" si="4"/>
        <v>31</v>
      </c>
      <c r="AC26" s="71">
        <f t="shared" si="4"/>
        <v>21</v>
      </c>
      <c r="AD26" s="71">
        <f t="shared" si="4"/>
        <v>38</v>
      </c>
      <c r="AE26" s="71">
        <f t="shared" si="4"/>
        <v>28</v>
      </c>
      <c r="AF26" s="71">
        <f t="shared" si="4"/>
        <v>13</v>
      </c>
      <c r="AG26" s="71">
        <f t="shared" si="4"/>
        <v>39</v>
      </c>
      <c r="AH26" s="71">
        <f t="shared" si="4"/>
        <v>24</v>
      </c>
      <c r="AI26" s="71">
        <f t="shared" si="4"/>
        <v>24</v>
      </c>
      <c r="AJ26" s="71">
        <f t="shared" si="4"/>
        <v>16</v>
      </c>
      <c r="AK26" s="71">
        <f t="shared" si="4"/>
        <v>30</v>
      </c>
      <c r="AL26" s="71">
        <f t="shared" si="4"/>
        <v>39</v>
      </c>
      <c r="AM26" s="71">
        <f t="shared" si="4"/>
        <v>34</v>
      </c>
      <c r="AN26" s="71">
        <f t="shared" si="4"/>
        <v>21</v>
      </c>
      <c r="AO26" s="71">
        <f t="shared" si="4"/>
        <v>35</v>
      </c>
      <c r="AP26" s="71">
        <f t="shared" si="4"/>
        <v>32</v>
      </c>
      <c r="AQ26" s="71">
        <f t="shared" si="4"/>
        <v>23</v>
      </c>
      <c r="AR26" s="71">
        <f t="shared" si="4"/>
        <v>28</v>
      </c>
      <c r="AS26" s="71">
        <f t="shared" si="4"/>
        <v>31</v>
      </c>
      <c r="AT26" s="71">
        <f t="shared" si="4"/>
        <v>32</v>
      </c>
      <c r="AU26" s="71">
        <f t="shared" si="4"/>
        <v>28</v>
      </c>
      <c r="AV26" s="71">
        <f t="shared" si="4"/>
        <v>25</v>
      </c>
      <c r="AW26" s="71">
        <f t="shared" si="4"/>
        <v>24</v>
      </c>
      <c r="AX26" s="71">
        <f t="shared" si="4"/>
        <v>17</v>
      </c>
      <c r="AY26" s="71">
        <f t="shared" si="4"/>
        <v>41</v>
      </c>
      <c r="AZ26" s="71">
        <f t="shared" si="4"/>
        <v>32</v>
      </c>
      <c r="BA26" s="71">
        <f t="shared" si="4"/>
        <v>21</v>
      </c>
      <c r="BB26" s="71">
        <f t="shared" si="4"/>
        <v>35</v>
      </c>
      <c r="BC26" s="71">
        <f t="shared" si="4"/>
        <v>24</v>
      </c>
      <c r="BD26" s="71">
        <f t="shared" si="4"/>
        <v>35</v>
      </c>
      <c r="BE26" s="71">
        <f t="shared" si="4"/>
        <v>29</v>
      </c>
      <c r="BF26" s="71">
        <f t="shared" si="4"/>
        <v>18</v>
      </c>
      <c r="BG26" s="71">
        <f t="shared" si="4"/>
        <v>25</v>
      </c>
      <c r="BH26" s="71">
        <f t="shared" si="4"/>
        <v>25</v>
      </c>
      <c r="BI26" s="71">
        <f t="shared" si="4"/>
        <v>20</v>
      </c>
      <c r="BJ26" s="71">
        <f t="shared" si="4"/>
        <v>35</v>
      </c>
      <c r="BK26" s="71">
        <f t="shared" si="4"/>
        <v>35</v>
      </c>
      <c r="BL26" s="71">
        <f t="shared" si="4"/>
        <v>11</v>
      </c>
      <c r="BM26" s="71">
        <f t="shared" si="4"/>
        <v>25</v>
      </c>
      <c r="BN26" s="71">
        <f t="shared" si="4"/>
        <v>21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13</v>
      </c>
      <c r="L27" s="71">
        <f t="shared" ref="L27:BN27" si="5">ABS(($D21+$D22)-(L23+L24))</f>
        <v>44</v>
      </c>
      <c r="M27" s="71">
        <f t="shared" si="5"/>
        <v>24</v>
      </c>
      <c r="N27" s="71">
        <f t="shared" si="5"/>
        <v>18</v>
      </c>
      <c r="O27" s="71">
        <f t="shared" si="5"/>
        <v>42</v>
      </c>
      <c r="P27" s="71">
        <f t="shared" si="5"/>
        <v>18</v>
      </c>
      <c r="Q27" s="71">
        <f t="shared" si="5"/>
        <v>27</v>
      </c>
      <c r="R27" s="71">
        <f t="shared" si="5"/>
        <v>33</v>
      </c>
      <c r="S27" s="71">
        <f t="shared" si="5"/>
        <v>24</v>
      </c>
      <c r="T27" s="71">
        <f t="shared" si="5"/>
        <v>18</v>
      </c>
      <c r="U27" s="71">
        <f t="shared" si="5"/>
        <v>10</v>
      </c>
      <c r="V27" s="71">
        <f t="shared" si="5"/>
        <v>10</v>
      </c>
      <c r="W27" s="71">
        <f t="shared" si="5"/>
        <v>13</v>
      </c>
      <c r="X27" s="71">
        <f t="shared" si="5"/>
        <v>21</v>
      </c>
      <c r="Y27" s="71">
        <f t="shared" si="5"/>
        <v>10</v>
      </c>
      <c r="Z27" s="71">
        <f t="shared" si="5"/>
        <v>7</v>
      </c>
      <c r="AA27" s="71">
        <f t="shared" si="5"/>
        <v>10</v>
      </c>
      <c r="AB27" s="71">
        <f t="shared" si="5"/>
        <v>17</v>
      </c>
      <c r="AC27" s="71">
        <f t="shared" si="5"/>
        <v>21</v>
      </c>
      <c r="AD27" s="71">
        <f t="shared" si="5"/>
        <v>10</v>
      </c>
      <c r="AE27" s="71">
        <f t="shared" si="5"/>
        <v>62</v>
      </c>
      <c r="AF27" s="71">
        <f t="shared" si="5"/>
        <v>35</v>
      </c>
      <c r="AG27" s="71">
        <f t="shared" si="5"/>
        <v>3</v>
      </c>
      <c r="AH27" s="71">
        <f t="shared" si="5"/>
        <v>4</v>
      </c>
      <c r="AI27" s="71">
        <f t="shared" si="5"/>
        <v>4</v>
      </c>
      <c r="AJ27" s="71">
        <f t="shared" si="5"/>
        <v>28</v>
      </c>
      <c r="AK27" s="71">
        <f t="shared" si="5"/>
        <v>10</v>
      </c>
      <c r="AL27" s="71">
        <f t="shared" si="5"/>
        <v>3</v>
      </c>
      <c r="AM27" s="71">
        <f t="shared" si="5"/>
        <v>14</v>
      </c>
      <c r="AN27" s="71">
        <f t="shared" si="5"/>
        <v>21</v>
      </c>
      <c r="AO27" s="71">
        <f t="shared" si="5"/>
        <v>13</v>
      </c>
      <c r="AP27" s="71">
        <f t="shared" si="5"/>
        <v>18</v>
      </c>
      <c r="AQ27" s="71">
        <f t="shared" si="5"/>
        <v>13</v>
      </c>
      <c r="AR27" s="71">
        <f t="shared" si="5"/>
        <v>62</v>
      </c>
      <c r="AS27" s="71">
        <f t="shared" si="5"/>
        <v>3</v>
      </c>
      <c r="AT27" s="71">
        <f t="shared" si="5"/>
        <v>18</v>
      </c>
      <c r="AU27" s="71">
        <f t="shared" si="5"/>
        <v>62</v>
      </c>
      <c r="AV27" s="71">
        <f t="shared" si="5"/>
        <v>25</v>
      </c>
      <c r="AW27" s="71">
        <f t="shared" si="5"/>
        <v>10</v>
      </c>
      <c r="AX27" s="71">
        <f t="shared" si="5"/>
        <v>3</v>
      </c>
      <c r="AY27" s="71">
        <f t="shared" si="5"/>
        <v>21</v>
      </c>
      <c r="AZ27" s="71">
        <f t="shared" si="5"/>
        <v>18</v>
      </c>
      <c r="BA27" s="71">
        <f t="shared" si="5"/>
        <v>41</v>
      </c>
      <c r="BB27" s="71">
        <f t="shared" si="5"/>
        <v>21</v>
      </c>
      <c r="BC27" s="71">
        <f t="shared" si="5"/>
        <v>32</v>
      </c>
      <c r="BD27" s="71">
        <f t="shared" si="5"/>
        <v>13</v>
      </c>
      <c r="BE27" s="71">
        <f t="shared" si="5"/>
        <v>21</v>
      </c>
      <c r="BF27" s="71">
        <f t="shared" si="5"/>
        <v>24</v>
      </c>
      <c r="BG27" s="71">
        <f t="shared" si="5"/>
        <v>31</v>
      </c>
      <c r="BH27" s="71">
        <f t="shared" si="5"/>
        <v>11</v>
      </c>
      <c r="BI27" s="71">
        <f t="shared" si="5"/>
        <v>16</v>
      </c>
      <c r="BJ27" s="71">
        <f t="shared" si="5"/>
        <v>1</v>
      </c>
      <c r="BK27" s="71">
        <f t="shared" si="5"/>
        <v>13</v>
      </c>
      <c r="BL27" s="71">
        <f t="shared" si="5"/>
        <v>9</v>
      </c>
      <c r="BM27" s="71">
        <f t="shared" si="5"/>
        <v>11</v>
      </c>
      <c r="BN27" s="71">
        <f t="shared" si="5"/>
        <v>7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0.4732142857142857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N29" si="7">COUNTA(L$3,L$5,L$7,L$9,L$11,L$13,L$15,L$17,L$19,L$21)</f>
        <v>5</v>
      </c>
      <c r="M29" s="71">
        <f t="shared" si="7"/>
        <v>5</v>
      </c>
      <c r="N29" s="71">
        <f t="shared" si="7"/>
        <v>3</v>
      </c>
      <c r="O29" s="71">
        <f t="shared" si="7"/>
        <v>3</v>
      </c>
      <c r="P29" s="71">
        <f t="shared" si="7"/>
        <v>5</v>
      </c>
      <c r="Q29" s="71">
        <f t="shared" si="7"/>
        <v>5</v>
      </c>
      <c r="R29" s="71">
        <f t="shared" si="7"/>
        <v>9</v>
      </c>
      <c r="S29" s="71">
        <f t="shared" si="7"/>
        <v>6</v>
      </c>
      <c r="T29" s="71">
        <f t="shared" si="7"/>
        <v>7</v>
      </c>
      <c r="U29" s="71">
        <f t="shared" si="7"/>
        <v>8</v>
      </c>
      <c r="V29" s="71">
        <f t="shared" si="7"/>
        <v>6</v>
      </c>
      <c r="W29" s="71">
        <f t="shared" si="7"/>
        <v>6</v>
      </c>
      <c r="X29" s="71">
        <f t="shared" si="7"/>
        <v>4</v>
      </c>
      <c r="Y29" s="71">
        <f t="shared" si="7"/>
        <v>8</v>
      </c>
      <c r="Z29" s="71">
        <f t="shared" si="7"/>
        <v>5</v>
      </c>
      <c r="AA29" s="71">
        <f t="shared" si="7"/>
        <v>7</v>
      </c>
      <c r="AB29" s="71">
        <f t="shared" si="7"/>
        <v>6</v>
      </c>
      <c r="AC29" s="71">
        <f t="shared" si="7"/>
        <v>4</v>
      </c>
      <c r="AD29" s="71">
        <f t="shared" si="7"/>
        <v>6</v>
      </c>
      <c r="AE29" s="71">
        <f t="shared" si="7"/>
        <v>5</v>
      </c>
      <c r="AF29" s="71">
        <f t="shared" si="7"/>
        <v>4</v>
      </c>
      <c r="AG29" s="71">
        <f t="shared" si="7"/>
        <v>6</v>
      </c>
      <c r="AH29" s="71">
        <f t="shared" si="7"/>
        <v>4</v>
      </c>
      <c r="AI29" s="71">
        <f t="shared" si="7"/>
        <v>5</v>
      </c>
      <c r="AJ29" s="71">
        <f t="shared" si="7"/>
        <v>7</v>
      </c>
      <c r="AK29" s="71">
        <f t="shared" si="7"/>
        <v>5</v>
      </c>
      <c r="AL29" s="71">
        <f t="shared" si="7"/>
        <v>3</v>
      </c>
      <c r="AM29" s="71">
        <f t="shared" si="7"/>
        <v>5</v>
      </c>
      <c r="AN29" s="71">
        <f t="shared" si="7"/>
        <v>6</v>
      </c>
      <c r="AO29" s="71">
        <f t="shared" si="7"/>
        <v>6</v>
      </c>
      <c r="AP29" s="71">
        <f t="shared" si="7"/>
        <v>3</v>
      </c>
      <c r="AQ29" s="71">
        <f t="shared" si="7"/>
        <v>5</v>
      </c>
      <c r="AR29" s="71">
        <f t="shared" si="7"/>
        <v>5</v>
      </c>
      <c r="AS29" s="71">
        <f t="shared" si="7"/>
        <v>8</v>
      </c>
      <c r="AT29" s="71">
        <f t="shared" si="7"/>
        <v>8</v>
      </c>
      <c r="AU29" s="71">
        <f t="shared" si="7"/>
        <v>5</v>
      </c>
      <c r="AV29" s="71">
        <f t="shared" si="7"/>
        <v>4</v>
      </c>
      <c r="AW29" s="71">
        <f t="shared" si="7"/>
        <v>6</v>
      </c>
      <c r="AX29" s="71">
        <f t="shared" si="7"/>
        <v>4</v>
      </c>
      <c r="AY29" s="71">
        <f t="shared" si="7"/>
        <v>7</v>
      </c>
      <c r="AZ29" s="71">
        <f t="shared" si="7"/>
        <v>6</v>
      </c>
      <c r="BA29" s="71">
        <f t="shared" si="7"/>
        <v>4</v>
      </c>
      <c r="BB29" s="71">
        <f t="shared" si="7"/>
        <v>5</v>
      </c>
      <c r="BC29" s="71">
        <f t="shared" si="7"/>
        <v>5</v>
      </c>
      <c r="BD29" s="71">
        <f t="shared" si="7"/>
        <v>3</v>
      </c>
      <c r="BE29" s="71">
        <f t="shared" si="7"/>
        <v>4</v>
      </c>
      <c r="BF29" s="71">
        <f t="shared" si="7"/>
        <v>9</v>
      </c>
      <c r="BG29" s="71">
        <f t="shared" si="7"/>
        <v>5</v>
      </c>
      <c r="BH29" s="71">
        <f t="shared" si="7"/>
        <v>5</v>
      </c>
      <c r="BI29" s="71">
        <f t="shared" si="7"/>
        <v>4</v>
      </c>
      <c r="BJ29" s="71">
        <f t="shared" si="7"/>
        <v>6</v>
      </c>
      <c r="BK29" s="71">
        <f t="shared" si="7"/>
        <v>7</v>
      </c>
      <c r="BL29" s="71">
        <f t="shared" si="7"/>
        <v>2</v>
      </c>
      <c r="BM29" s="71">
        <f t="shared" si="7"/>
        <v>6</v>
      </c>
      <c r="BN29" s="71">
        <f t="shared" si="7"/>
        <v>5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-15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1</v>
      </c>
      <c r="N30" s="73">
        <f t="shared" si="8"/>
        <v>5</v>
      </c>
      <c r="O30" s="73">
        <f t="shared" si="8"/>
        <v>3</v>
      </c>
      <c r="P30" s="73">
        <f t="shared" si="8"/>
        <v>7</v>
      </c>
      <c r="Q30" s="73">
        <f t="shared" si="8"/>
        <v>3</v>
      </c>
      <c r="R30" s="73">
        <f t="shared" si="8"/>
        <v>7</v>
      </c>
      <c r="S30" s="73">
        <f t="shared" si="8"/>
        <v>2</v>
      </c>
      <c r="T30" s="73">
        <f t="shared" si="8"/>
        <v>5</v>
      </c>
      <c r="U30" s="73">
        <f t="shared" si="8"/>
        <v>6</v>
      </c>
      <c r="V30" s="73">
        <f t="shared" si="8"/>
        <v>2</v>
      </c>
      <c r="W30" s="73">
        <f t="shared" si="8"/>
        <v>4</v>
      </c>
      <c r="X30" s="73">
        <f t="shared" si="8"/>
        <v>4</v>
      </c>
      <c r="Y30" s="73">
        <f t="shared" si="8"/>
        <v>4</v>
      </c>
      <c r="Z30" s="73">
        <f t="shared" si="8"/>
        <v>7</v>
      </c>
      <c r="AA30" s="73">
        <f t="shared" si="8"/>
        <v>5</v>
      </c>
      <c r="AB30" s="73">
        <f t="shared" si="8"/>
        <v>4</v>
      </c>
      <c r="AC30" s="73">
        <f t="shared" si="8"/>
        <v>4</v>
      </c>
      <c r="AD30" s="73">
        <f t="shared" si="8"/>
        <v>4</v>
      </c>
      <c r="AE30" s="73">
        <f t="shared" si="8"/>
        <v>5</v>
      </c>
      <c r="AF30" s="73">
        <f t="shared" si="8"/>
        <v>4</v>
      </c>
      <c r="AG30" s="73">
        <f t="shared" si="8"/>
        <v>4</v>
      </c>
      <c r="AH30" s="73">
        <f t="shared" si="8"/>
        <v>4</v>
      </c>
      <c r="AI30" s="73">
        <f t="shared" si="8"/>
        <v>1</v>
      </c>
      <c r="AJ30" s="73">
        <f t="shared" si="8"/>
        <v>5</v>
      </c>
      <c r="AK30" s="73">
        <f t="shared" si="8"/>
        <v>3</v>
      </c>
      <c r="AL30" s="73">
        <f t="shared" si="8"/>
        <v>3</v>
      </c>
      <c r="AM30" s="73">
        <f t="shared" si="8"/>
        <v>3</v>
      </c>
      <c r="AN30" s="73">
        <f t="shared" si="8"/>
        <v>2</v>
      </c>
      <c r="AO30" s="73">
        <f t="shared" si="8"/>
        <v>4</v>
      </c>
      <c r="AP30" s="73">
        <f t="shared" si="8"/>
        <v>5</v>
      </c>
      <c r="AQ30" s="73">
        <f t="shared" si="8"/>
        <v>5</v>
      </c>
      <c r="AR30" s="73">
        <f t="shared" si="8"/>
        <v>5</v>
      </c>
      <c r="AS30" s="73">
        <f t="shared" si="8"/>
        <v>6</v>
      </c>
      <c r="AT30" s="73">
        <f t="shared" si="8"/>
        <v>6</v>
      </c>
      <c r="AU30" s="73">
        <f t="shared" si="8"/>
        <v>5</v>
      </c>
      <c r="AV30" s="73">
        <f t="shared" si="8"/>
        <v>4</v>
      </c>
      <c r="AW30" s="73">
        <f t="shared" si="8"/>
        <v>6</v>
      </c>
      <c r="AX30" s="73">
        <f t="shared" si="8"/>
        <v>2</v>
      </c>
      <c r="AY30" s="73">
        <f t="shared" si="8"/>
        <v>3</v>
      </c>
      <c r="AZ30" s="73">
        <f t="shared" si="8"/>
        <v>4</v>
      </c>
      <c r="BA30" s="73">
        <f t="shared" si="8"/>
        <v>4</v>
      </c>
      <c r="BB30" s="73">
        <f t="shared" si="8"/>
        <v>1</v>
      </c>
      <c r="BC30" s="73">
        <f t="shared" si="8"/>
        <v>3</v>
      </c>
      <c r="BD30" s="73">
        <f t="shared" si="8"/>
        <v>3</v>
      </c>
      <c r="BE30" s="73">
        <f t="shared" si="8"/>
        <v>4</v>
      </c>
      <c r="BF30" s="73">
        <f t="shared" si="8"/>
        <v>5</v>
      </c>
      <c r="BG30" s="73">
        <f t="shared" si="8"/>
        <v>5</v>
      </c>
      <c r="BH30" s="73">
        <f t="shared" si="8"/>
        <v>7</v>
      </c>
      <c r="BI30" s="73">
        <f t="shared" si="8"/>
        <v>2</v>
      </c>
      <c r="BJ30" s="73">
        <f t="shared" si="8"/>
        <v>4</v>
      </c>
      <c r="BK30" s="73">
        <f t="shared" si="8"/>
        <v>5</v>
      </c>
      <c r="BL30" s="73">
        <f t="shared" si="8"/>
        <v>2</v>
      </c>
      <c r="BM30" s="73">
        <f t="shared" si="8"/>
        <v>4</v>
      </c>
      <c r="BN30" s="73">
        <f t="shared" si="8"/>
        <v>1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3</v>
      </c>
      <c r="N31" s="71">
        <f t="shared" ca="1" si="9"/>
        <v>5</v>
      </c>
      <c r="O31" s="71">
        <f t="shared" ca="1" si="9"/>
        <v>5</v>
      </c>
      <c r="P31" s="71">
        <f t="shared" ca="1" si="9"/>
        <v>5</v>
      </c>
      <c r="Q31" s="71">
        <f t="shared" ca="1" si="9"/>
        <v>5</v>
      </c>
      <c r="R31" s="71">
        <f t="shared" ca="1" si="9"/>
        <v>5</v>
      </c>
      <c r="S31" s="71">
        <f t="shared" ca="1" si="9"/>
        <v>0</v>
      </c>
      <c r="T31" s="71">
        <f t="shared" ca="1" si="9"/>
        <v>5</v>
      </c>
      <c r="U31" s="71">
        <f t="shared" ca="1" si="9"/>
        <v>4</v>
      </c>
      <c r="V31" s="71">
        <f t="shared" ca="1" si="9"/>
        <v>4</v>
      </c>
      <c r="W31" s="71">
        <f t="shared" ca="1" si="9"/>
        <v>4</v>
      </c>
      <c r="X31" s="71">
        <f t="shared" ca="1" si="9"/>
        <v>4</v>
      </c>
      <c r="Y31" s="71">
        <f t="shared" ca="1" si="9"/>
        <v>2</v>
      </c>
      <c r="Z31" s="71">
        <f t="shared" ca="1" si="9"/>
        <v>9</v>
      </c>
      <c r="AA31" s="71">
        <f t="shared" ca="1" si="9"/>
        <v>3</v>
      </c>
      <c r="AB31" s="71">
        <f t="shared" ca="1" si="9"/>
        <v>2</v>
      </c>
      <c r="AC31" s="71">
        <f t="shared" ca="1" si="9"/>
        <v>4</v>
      </c>
      <c r="AD31" s="71">
        <f t="shared" ca="1" si="9"/>
        <v>2</v>
      </c>
      <c r="AE31" s="71">
        <f t="shared" ca="1" si="9"/>
        <v>5</v>
      </c>
      <c r="AF31" s="71">
        <f t="shared" ca="1" si="9"/>
        <v>4</v>
      </c>
      <c r="AG31" s="71">
        <f t="shared" ca="1" si="9"/>
        <v>2</v>
      </c>
      <c r="AH31" s="71">
        <f t="shared" ca="1" si="9"/>
        <v>4</v>
      </c>
      <c r="AI31" s="71">
        <f t="shared" ca="1" si="9"/>
        <v>1</v>
      </c>
      <c r="AJ31" s="71">
        <f t="shared" ca="1" si="9"/>
        <v>5</v>
      </c>
      <c r="AK31" s="71">
        <f t="shared" ca="1" si="9"/>
        <v>3</v>
      </c>
      <c r="AL31" s="71">
        <f t="shared" ca="1" si="9"/>
        <v>3</v>
      </c>
      <c r="AM31" s="71">
        <f t="shared" ca="1" si="9"/>
        <v>1</v>
      </c>
      <c r="AN31" s="71">
        <f t="shared" ca="1" si="9"/>
        <v>2</v>
      </c>
      <c r="AO31" s="71">
        <f t="shared" ca="1" si="9"/>
        <v>4</v>
      </c>
      <c r="AP31" s="71">
        <f t="shared" ca="1" si="9"/>
        <v>3</v>
      </c>
      <c r="AQ31" s="71">
        <f t="shared" ca="1" si="9"/>
        <v>5</v>
      </c>
      <c r="AR31" s="71">
        <f t="shared" ca="1" si="9"/>
        <v>5</v>
      </c>
      <c r="AS31" s="71">
        <f t="shared" ca="1" si="9"/>
        <v>4</v>
      </c>
      <c r="AT31" s="71">
        <f t="shared" ca="1" si="9"/>
        <v>4</v>
      </c>
      <c r="AU31" s="71">
        <f t="shared" ca="1" si="9"/>
        <v>5</v>
      </c>
      <c r="AV31" s="71">
        <f t="shared" ca="1" si="9"/>
        <v>4</v>
      </c>
      <c r="AW31" s="71">
        <f t="shared" ca="1" si="9"/>
        <v>6</v>
      </c>
      <c r="AX31" s="71">
        <f t="shared" ca="1" si="9"/>
        <v>4</v>
      </c>
      <c r="AY31" s="71">
        <f t="shared" ca="1" si="9"/>
        <v>1</v>
      </c>
      <c r="AZ31" s="71">
        <f t="shared" ca="1" si="9"/>
        <v>2</v>
      </c>
      <c r="BA31" s="71">
        <f t="shared" ca="1" si="9"/>
        <v>6</v>
      </c>
      <c r="BB31" s="71">
        <f t="shared" ca="1" si="9"/>
        <v>1</v>
      </c>
      <c r="BC31" s="71">
        <f t="shared" ca="1" si="9"/>
        <v>3</v>
      </c>
      <c r="BD31" s="71">
        <f t="shared" ca="1" si="9"/>
        <v>3</v>
      </c>
      <c r="BE31" s="71">
        <f t="shared" ca="1" si="9"/>
        <v>2</v>
      </c>
      <c r="BF31" s="71">
        <f t="shared" ca="1" si="9"/>
        <v>5</v>
      </c>
      <c r="BG31" s="71">
        <f t="shared" ca="1" si="9"/>
        <v>3</v>
      </c>
      <c r="BH31" s="71">
        <f t="shared" ca="1" si="9"/>
        <v>5</v>
      </c>
      <c r="BI31" s="71">
        <f t="shared" ca="1" si="9"/>
        <v>2</v>
      </c>
      <c r="BJ31" s="71">
        <f t="shared" ca="1" si="9"/>
        <v>2</v>
      </c>
      <c r="BK31" s="71">
        <f t="shared" ca="1" si="9"/>
        <v>3</v>
      </c>
      <c r="BL31" s="71">
        <f t="shared" ca="1" si="9"/>
        <v>4</v>
      </c>
      <c r="BM31" s="71">
        <f t="shared" ca="1" si="9"/>
        <v>2</v>
      </c>
      <c r="BN31" s="71">
        <f t="shared" ca="1" si="9"/>
        <v>3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81915948</v>
      </c>
      <c r="L36" s="32">
        <f t="shared" ref="L36:BN36" si="12">COUNTA(L23:L24)*((10000000*L25)+(1000000*(COUNTA(L21)*$E21+COUNTA(L22)*$E22))-(COUNTA($D$21:$D$22)*1000*L26)-(COUNTA($D$21:$D$22)*L27))</f>
        <v>19895824</v>
      </c>
      <c r="M36" s="32">
        <f t="shared" si="12"/>
        <v>101903904</v>
      </c>
      <c r="N36" s="32">
        <f t="shared" si="12"/>
        <v>99871928</v>
      </c>
      <c r="O36" s="32">
        <f t="shared" si="12"/>
        <v>61919832</v>
      </c>
      <c r="P36" s="32">
        <f t="shared" si="12"/>
        <v>99847928</v>
      </c>
      <c r="Q36" s="32">
        <f t="shared" si="12"/>
        <v>101915892</v>
      </c>
      <c r="R36" s="32">
        <f t="shared" si="12"/>
        <v>59899868</v>
      </c>
      <c r="S36" s="32">
        <f t="shared" si="12"/>
        <v>79871904</v>
      </c>
      <c r="T36" s="32">
        <f t="shared" si="12"/>
        <v>101903928</v>
      </c>
      <c r="U36" s="32">
        <f t="shared" si="12"/>
        <v>119871960</v>
      </c>
      <c r="V36" s="32">
        <f t="shared" si="12"/>
        <v>81927960</v>
      </c>
      <c r="W36" s="32">
        <f t="shared" si="12"/>
        <v>39859948</v>
      </c>
      <c r="X36" s="32">
        <f t="shared" si="12"/>
        <v>161915916</v>
      </c>
      <c r="Y36" s="32">
        <f t="shared" si="12"/>
        <v>79871960</v>
      </c>
      <c r="Z36" s="32">
        <f t="shared" si="12"/>
        <v>101915972</v>
      </c>
      <c r="AA36" s="32">
        <f t="shared" si="12"/>
        <v>99871960</v>
      </c>
      <c r="AB36" s="32">
        <f t="shared" si="12"/>
        <v>119875932</v>
      </c>
      <c r="AC36" s="32">
        <f t="shared" si="12"/>
        <v>121915916</v>
      </c>
      <c r="AD36" s="32">
        <f t="shared" si="12"/>
        <v>119847960</v>
      </c>
      <c r="AE36" s="32">
        <f t="shared" si="12"/>
        <v>0</v>
      </c>
      <c r="AF36" s="32">
        <f t="shared" si="12"/>
        <v>121947860</v>
      </c>
      <c r="AG36" s="32">
        <f t="shared" si="12"/>
        <v>119843988</v>
      </c>
      <c r="AH36" s="32">
        <f t="shared" si="12"/>
        <v>121903984</v>
      </c>
      <c r="AI36" s="32">
        <f t="shared" si="12"/>
        <v>101903984</v>
      </c>
      <c r="AJ36" s="32">
        <f t="shared" si="12"/>
        <v>141935888</v>
      </c>
      <c r="AK36" s="32">
        <f t="shared" si="12"/>
        <v>59879960</v>
      </c>
      <c r="AL36" s="32">
        <f t="shared" si="12"/>
        <v>59843988</v>
      </c>
      <c r="AM36" s="32">
        <f t="shared" si="12"/>
        <v>99863944</v>
      </c>
      <c r="AN36" s="32">
        <f t="shared" si="12"/>
        <v>121915916</v>
      </c>
      <c r="AO36" s="32">
        <f t="shared" si="12"/>
        <v>119859948</v>
      </c>
      <c r="AP36" s="32">
        <f t="shared" si="12"/>
        <v>99871928</v>
      </c>
      <c r="AQ36" s="32">
        <f t="shared" si="12"/>
        <v>141907948</v>
      </c>
      <c r="AR36" s="32">
        <f t="shared" si="12"/>
        <v>0</v>
      </c>
      <c r="AS36" s="32">
        <f t="shared" si="12"/>
        <v>119875988</v>
      </c>
      <c r="AT36" s="32">
        <f t="shared" si="12"/>
        <v>119871928</v>
      </c>
      <c r="AU36" s="32">
        <f t="shared" si="12"/>
        <v>0</v>
      </c>
      <c r="AV36" s="32">
        <f t="shared" si="12"/>
        <v>79899900</v>
      </c>
      <c r="AW36" s="32">
        <f t="shared" si="12"/>
        <v>81903960</v>
      </c>
      <c r="AX36" s="32">
        <f t="shared" si="12"/>
        <v>81931988</v>
      </c>
      <c r="AY36" s="32">
        <f t="shared" si="12"/>
        <v>99835916</v>
      </c>
      <c r="AZ36" s="32">
        <f t="shared" si="12"/>
        <v>119871928</v>
      </c>
      <c r="BA36" s="32">
        <f t="shared" si="12"/>
        <v>81915836</v>
      </c>
      <c r="BB36" s="32">
        <f t="shared" si="12"/>
        <v>59859916</v>
      </c>
      <c r="BC36" s="32">
        <f t="shared" si="12"/>
        <v>141903872</v>
      </c>
      <c r="BD36" s="32">
        <f t="shared" si="12"/>
        <v>59859948</v>
      </c>
      <c r="BE36" s="32">
        <f t="shared" si="12"/>
        <v>119883916</v>
      </c>
      <c r="BF36" s="32">
        <f t="shared" si="12"/>
        <v>101927904</v>
      </c>
      <c r="BG36" s="32">
        <f t="shared" si="12"/>
        <v>99899876</v>
      </c>
      <c r="BH36" s="32">
        <f t="shared" si="12"/>
        <v>139899956</v>
      </c>
      <c r="BI36" s="32">
        <f t="shared" si="12"/>
        <v>121919936</v>
      </c>
      <c r="BJ36" s="32">
        <f t="shared" si="12"/>
        <v>119859996</v>
      </c>
      <c r="BK36" s="32">
        <f t="shared" si="12"/>
        <v>99859948</v>
      </c>
      <c r="BL36" s="32">
        <f t="shared" si="12"/>
        <v>81955964</v>
      </c>
      <c r="BM36" s="32">
        <f t="shared" si="12"/>
        <v>79899956</v>
      </c>
      <c r="BN36" s="32">
        <f t="shared" si="12"/>
        <v>101915972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 x14ac:dyDescent="0.25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Brent;Holley, Jeremy Remote;Hucks, Jason;Inabinet, Greg;James, Larry C;Johnson, Robert J;Kandela, Marwan;Locklear,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38" priority="92" stopIfTrue="1" operator="equal">
      <formula>0</formula>
    </cfRule>
  </conditionalFormatting>
  <conditionalFormatting sqref="B12:C12 B14:C14 B16:C16 B18:C18 B20:C20 B22:C22 B24:C24 E24 H24:I24 B10:C10 B4:C4 B6:C6 B8:C8 AO24:BE24">
    <cfRule type="cellIs" dxfId="137" priority="91" stopIfTrue="1" operator="equal">
      <formula>0</formula>
    </cfRule>
  </conditionalFormatting>
  <conditionalFormatting sqref="D26:J28 K28:BE28">
    <cfRule type="cellIs" dxfId="136" priority="90" stopIfTrue="1" operator="equal">
      <formula>1</formula>
    </cfRule>
  </conditionalFormatting>
  <conditionalFormatting sqref="H3:I3 F23 H5:I5 H7:I7 H9:I9 H11:I11 H13:I13 H15:I15 H17:I17 H19:I19 H21:I21">
    <cfRule type="cellIs" dxfId="135" priority="89" stopIfTrue="1" operator="equal">
      <formula>0</formula>
    </cfRule>
  </conditionalFormatting>
  <conditionalFormatting sqref="H4:I4 F24 H6:I6 H8:I8 H10:I10 H12:I12 H14:I14 H16:I16 H18:I18 H20:I20 H22:I22">
    <cfRule type="cellIs" dxfId="134" priority="88" stopIfTrue="1" operator="equal">
      <formula>0</formula>
    </cfRule>
  </conditionalFormatting>
  <conditionalFormatting sqref="F3 F5 F7 F9 F11 F13 F15 F17 F19 F21">
    <cfRule type="cellIs" dxfId="133" priority="87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32" priority="86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8:BE8 J12:BE12 J16:BE16 J22:BE22 J4:BE4 J6:BE6 J10:BE10 J14:BE14 J18:BE18 J20:BE20">
    <cfRule type="expression" dxfId="131" priority="84" stopIfTrue="1">
      <formula>AND(COUNTA(J4)=1,$E4=1,SUM($E3:$E4)=1)</formula>
    </cfRule>
    <cfRule type="expression" dxfId="130" priority="85" stopIfTrue="1">
      <formula>AND(COUNTA(J4)=1,$E4=0,SUM($E3:$E4)=1)</formula>
    </cfRule>
  </conditionalFormatting>
  <conditionalFormatting sqref="J5:BE5 J9:BE9 J13:BE13 J17:BE17 J19:BE19 J21:BE21 J3:BE3 J7:BE7 J11:BE11 J15:BE15">
    <cfRule type="expression" dxfId="129" priority="82" stopIfTrue="1">
      <formula>AND(COUNTA(J3)=1,$E3=1,SUM($E3:$E4)=1)</formula>
    </cfRule>
    <cfRule type="expression" dxfId="128" priority="83" stopIfTrue="1">
      <formula>AND(COUNTA(J3)=1,$E3=0,SUM($E3:$E4)=1)</formula>
    </cfRule>
  </conditionalFormatting>
  <conditionalFormatting sqref="BF23:BN23">
    <cfRule type="cellIs" dxfId="127" priority="81" stopIfTrue="1" operator="equal">
      <formula>0</formula>
    </cfRule>
  </conditionalFormatting>
  <conditionalFormatting sqref="BF24:BN24">
    <cfRule type="cellIs" dxfId="126" priority="80" stopIfTrue="1" operator="equal">
      <formula>0</formula>
    </cfRule>
  </conditionalFormatting>
  <conditionalFormatting sqref="BF28:BN28">
    <cfRule type="cellIs" dxfId="125" priority="79" stopIfTrue="1" operator="equal">
      <formula>1</formula>
    </cfRule>
  </conditionalFormatting>
  <conditionalFormatting sqref="BF12:BN12 BF14:BN14 BF16:BN16 BF18:BN18 BF20:BN20 BF22:BN22 BF4:BN4 BF6:BN6 BF8:BN8 BF10:BN10">
    <cfRule type="expression" dxfId="124" priority="77" stopIfTrue="1">
      <formula>AND(COUNTA(BF4)=1,$E4=1,SUM($E3:$E4)=1)</formula>
    </cfRule>
    <cfRule type="expression" dxfId="123" priority="78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22" priority="75" stopIfTrue="1">
      <formula>AND(COUNTA(BF3)=1,$E3=1,SUM($E3:$E4)=1)</formula>
    </cfRule>
    <cfRule type="expression" dxfId="121" priority="76" stopIfTrue="1">
      <formula>AND(COUNTA(BF3)=1,$E3=0,SUM($E3:$E4)=1)</formula>
    </cfRule>
  </conditionalFormatting>
  <conditionalFormatting sqref="AU6">
    <cfRule type="expression" dxfId="120" priority="73" stopIfTrue="1">
      <formula>AND(COUNTA(AU6)=1,$E6=1,SUM($E6:$E7)=1)</formula>
    </cfRule>
    <cfRule type="expression" dxfId="119" priority="74" stopIfTrue="1">
      <formula>AND(COUNTA(AU6)=1,$E6=0,SUM($E6:$E7)=1)</formula>
    </cfRule>
  </conditionalFormatting>
  <conditionalFormatting sqref="AU10">
    <cfRule type="expression" dxfId="118" priority="71" stopIfTrue="1">
      <formula>AND(COUNTA(AU10)=1,$E10=1,SUM($E10:$E11)=1)</formula>
    </cfRule>
    <cfRule type="expression" dxfId="117" priority="72" stopIfTrue="1">
      <formula>AND(COUNTA(AU10)=1,$E10=0,SUM($E10:$E11)=1)</formula>
    </cfRule>
  </conditionalFormatting>
  <conditionalFormatting sqref="AU14">
    <cfRule type="expression" dxfId="116" priority="69" stopIfTrue="1">
      <formula>AND(COUNTA(AU14)=1,$E14=1,SUM($E14:$E15)=1)</formula>
    </cfRule>
    <cfRule type="expression" dxfId="115" priority="70" stopIfTrue="1">
      <formula>AND(COUNTA(AU14)=1,$E14=0,SUM($E14:$E15)=1)</formula>
    </cfRule>
  </conditionalFormatting>
  <conditionalFormatting sqref="AU18">
    <cfRule type="expression" dxfId="114" priority="67" stopIfTrue="1">
      <formula>AND(COUNTA(AU18)=1,$E18=1,SUM($E18:$E19)=1)</formula>
    </cfRule>
    <cfRule type="expression" dxfId="113" priority="68" stopIfTrue="1">
      <formula>AND(COUNTA(AU18)=1,$E18=0,SUM($E18:$E19)=1)</formula>
    </cfRule>
  </conditionalFormatting>
  <conditionalFormatting sqref="AU20">
    <cfRule type="expression" dxfId="112" priority="65" stopIfTrue="1">
      <formula>AND(COUNTA(AU20)=1,$E20=1,SUM($E20:$E21)=1)</formula>
    </cfRule>
    <cfRule type="expression" dxfId="111" priority="66" stopIfTrue="1">
      <formula>AND(COUNTA(AU20)=1,$E20=0,SUM($E20:$E21)=1)</formula>
    </cfRule>
  </conditionalFormatting>
  <conditionalFormatting sqref="AU21">
    <cfRule type="expression" dxfId="110" priority="63" stopIfTrue="1">
      <formula>AND(COUNTA(AU21)=1,$E21=1,SUM($E20:$E21)=1)</formula>
    </cfRule>
    <cfRule type="expression" dxfId="109" priority="64" stopIfTrue="1">
      <formula>AND(COUNTA(AU21)=1,$E21=0,SUM($E20:$E21)=1)</formula>
    </cfRule>
  </conditionalFormatting>
  <conditionalFormatting sqref="AU21">
    <cfRule type="expression" dxfId="108" priority="61" stopIfTrue="1">
      <formula>AND(COUNTA(AU21)=1,$E21=1,SUM($E21:$E22)=1)</formula>
    </cfRule>
    <cfRule type="expression" dxfId="107" priority="62" stopIfTrue="1">
      <formula>AND(COUNTA(AU21)=1,$E21=0,SUM($E21:$E22)=1)</formula>
    </cfRule>
  </conditionalFormatting>
  <conditionalFormatting sqref="AE3">
    <cfRule type="expression" dxfId="106" priority="59" stopIfTrue="1">
      <formula>AND(COUNTA(AE3)=1,$E3=1,SUM($E2:$E3)=1)</formula>
    </cfRule>
    <cfRule type="expression" dxfId="105" priority="60" stopIfTrue="1">
      <formula>AND(COUNTA(AE3)=1,$E3=0,SUM($E2:$E3)=1)</formula>
    </cfRule>
  </conditionalFormatting>
  <conditionalFormatting sqref="AE3">
    <cfRule type="expression" dxfId="104" priority="57" stopIfTrue="1">
      <formula>AND(COUNTA(AE3)=1,$E3=1,SUM($E3:$E4)=1)</formula>
    </cfRule>
    <cfRule type="expression" dxfId="103" priority="58" stopIfTrue="1">
      <formula>AND(COUNTA(AE3)=1,$E3=0,SUM($E3:$E4)=1)</formula>
    </cfRule>
  </conditionalFormatting>
  <conditionalFormatting sqref="AE6">
    <cfRule type="expression" dxfId="102" priority="55" stopIfTrue="1">
      <formula>AND(COUNTA(AE6)=1,$E6=1,SUM($E6:$E7)=1)</formula>
    </cfRule>
    <cfRule type="expression" dxfId="101" priority="56" stopIfTrue="1">
      <formula>AND(COUNTA(AE6)=1,$E6=0,SUM($E6:$E7)=1)</formula>
    </cfRule>
  </conditionalFormatting>
  <conditionalFormatting sqref="AE7">
    <cfRule type="expression" dxfId="100" priority="53" stopIfTrue="1">
      <formula>AND(COUNTA(AE7)=1,$E7=1,SUM($E6:$E7)=1)</formula>
    </cfRule>
    <cfRule type="expression" dxfId="99" priority="54" stopIfTrue="1">
      <formula>AND(COUNTA(AE7)=1,$E7=0,SUM($E6:$E7)=1)</formula>
    </cfRule>
  </conditionalFormatting>
  <conditionalFormatting sqref="AE7">
    <cfRule type="expression" dxfId="98" priority="51" stopIfTrue="1">
      <formula>AND(COUNTA(AE7)=1,$E7=1,SUM($E7:$E8)=1)</formula>
    </cfRule>
    <cfRule type="expression" dxfId="97" priority="52" stopIfTrue="1">
      <formula>AND(COUNTA(AE7)=1,$E7=0,SUM($E7:$E8)=1)</formula>
    </cfRule>
  </conditionalFormatting>
  <conditionalFormatting sqref="AE10">
    <cfRule type="expression" dxfId="96" priority="49" stopIfTrue="1">
      <formula>AND(COUNTA(AE10)=1,$E10=1,SUM($E10:$E11)=1)</formula>
    </cfRule>
    <cfRule type="expression" dxfId="95" priority="50" stopIfTrue="1">
      <formula>AND(COUNTA(AE10)=1,$E10=0,SUM($E10:$E11)=1)</formula>
    </cfRule>
  </conditionalFormatting>
  <conditionalFormatting sqref="AE11">
    <cfRule type="expression" dxfId="94" priority="47" stopIfTrue="1">
      <formula>AND(COUNTA(AE11)=1,$E11=1,SUM($E10:$E11)=1)</formula>
    </cfRule>
    <cfRule type="expression" dxfId="93" priority="48" stopIfTrue="1">
      <formula>AND(COUNTA(AE11)=1,$E11=0,SUM($E10:$E11)=1)</formula>
    </cfRule>
  </conditionalFormatting>
  <conditionalFormatting sqref="AE11">
    <cfRule type="expression" dxfId="92" priority="45" stopIfTrue="1">
      <formula>AND(COUNTA(AE11)=1,$E11=1,SUM($E11:$E12)=1)</formula>
    </cfRule>
    <cfRule type="expression" dxfId="91" priority="46" stopIfTrue="1">
      <formula>AND(COUNTA(AE11)=1,$E11=0,SUM($E11:$E12)=1)</formula>
    </cfRule>
  </conditionalFormatting>
  <conditionalFormatting sqref="AE14">
    <cfRule type="expression" dxfId="90" priority="43" stopIfTrue="1">
      <formula>AND(COUNTA(AE14)=1,$E14=1,SUM($E14:$E15)=1)</formula>
    </cfRule>
    <cfRule type="expression" dxfId="89" priority="44" stopIfTrue="1">
      <formula>AND(COUNTA(AE14)=1,$E14=0,SUM($E14:$E15)=1)</formula>
    </cfRule>
  </conditionalFormatting>
  <conditionalFormatting sqref="AE15">
    <cfRule type="expression" dxfId="88" priority="41" stopIfTrue="1">
      <formula>AND(COUNTA(AE15)=1,$E15=1,SUM($E14:$E15)=1)</formula>
    </cfRule>
    <cfRule type="expression" dxfId="87" priority="42" stopIfTrue="1">
      <formula>AND(COUNTA(AE15)=1,$E15=0,SUM($E14:$E15)=1)</formula>
    </cfRule>
  </conditionalFormatting>
  <conditionalFormatting sqref="AE15">
    <cfRule type="expression" dxfId="86" priority="39" stopIfTrue="1">
      <formula>AND(COUNTA(AE15)=1,$E15=1,SUM($E15:$E16)=1)</formula>
    </cfRule>
    <cfRule type="expression" dxfId="85" priority="40" stopIfTrue="1">
      <formula>AND(COUNTA(AE15)=1,$E15=0,SUM($E15:$E16)=1)</formula>
    </cfRule>
  </conditionalFormatting>
  <conditionalFormatting sqref="AE18">
    <cfRule type="expression" dxfId="84" priority="37" stopIfTrue="1">
      <formula>AND(COUNTA(AE18)=1,$E18=1,SUM($E18:$E19)=1)</formula>
    </cfRule>
    <cfRule type="expression" dxfId="83" priority="38" stopIfTrue="1">
      <formula>AND(COUNTA(AE18)=1,$E18=0,SUM($E18:$E19)=1)</formula>
    </cfRule>
  </conditionalFormatting>
  <conditionalFormatting sqref="AE20">
    <cfRule type="expression" dxfId="82" priority="35" stopIfTrue="1">
      <formula>AND(COUNTA(AE20)=1,$E20=1,SUM($E20:$E21)=1)</formula>
    </cfRule>
    <cfRule type="expression" dxfId="81" priority="36" stopIfTrue="1">
      <formula>AND(COUNTA(AE20)=1,$E20=0,SUM($E20:$E21)=1)</formula>
    </cfRule>
  </conditionalFormatting>
  <conditionalFormatting sqref="AE21">
    <cfRule type="expression" dxfId="80" priority="33" stopIfTrue="1">
      <formula>AND(COUNTA(AE21)=1,$E21=1,SUM($E20:$E21)=1)</formula>
    </cfRule>
    <cfRule type="expression" dxfId="79" priority="34" stopIfTrue="1">
      <formula>AND(COUNTA(AE21)=1,$E21=0,SUM($E20:$E21)=1)</formula>
    </cfRule>
  </conditionalFormatting>
  <conditionalFormatting sqref="AE21">
    <cfRule type="expression" dxfId="78" priority="31" stopIfTrue="1">
      <formula>AND(COUNTA(AE21)=1,$E21=1,SUM($E21:$E22)=1)</formula>
    </cfRule>
    <cfRule type="expression" dxfId="77" priority="32" stopIfTrue="1">
      <formula>AND(COUNTA(AE21)=1,$E21=0,SUM($E21:$E22)=1)</formula>
    </cfRule>
  </conditionalFormatting>
  <conditionalFormatting sqref="AR3">
    <cfRule type="expression" dxfId="76" priority="29" stopIfTrue="1">
      <formula>AND(COUNTA(AR3)=1,$E3=1,SUM($E2:$E3)=1)</formula>
    </cfRule>
    <cfRule type="expression" dxfId="75" priority="30" stopIfTrue="1">
      <formula>AND(COUNTA(AR3)=1,$E3=0,SUM($E2:$E3)=1)</formula>
    </cfRule>
  </conditionalFormatting>
  <conditionalFormatting sqref="AR3">
    <cfRule type="expression" dxfId="74" priority="27" stopIfTrue="1">
      <formula>AND(COUNTA(AR3)=1,$E3=1,SUM($E3:$E4)=1)</formula>
    </cfRule>
    <cfRule type="expression" dxfId="73" priority="28" stopIfTrue="1">
      <formula>AND(COUNTA(AR3)=1,$E3=0,SUM($E3:$E4)=1)</formula>
    </cfRule>
  </conditionalFormatting>
  <conditionalFormatting sqref="AR6">
    <cfRule type="expression" dxfId="72" priority="25" stopIfTrue="1">
      <formula>AND(COUNTA(AR6)=1,$E6=1,SUM($E6:$E7)=1)</formula>
    </cfRule>
    <cfRule type="expression" dxfId="71" priority="26" stopIfTrue="1">
      <formula>AND(COUNTA(AR6)=1,$E6=0,SUM($E6:$E7)=1)</formula>
    </cfRule>
  </conditionalFormatting>
  <conditionalFormatting sqref="AR7">
    <cfRule type="expression" dxfId="70" priority="23" stopIfTrue="1">
      <formula>AND(COUNTA(AR7)=1,$E7=1,SUM($E6:$E7)=1)</formula>
    </cfRule>
    <cfRule type="expression" dxfId="69" priority="24" stopIfTrue="1">
      <formula>AND(COUNTA(AR7)=1,$E7=0,SUM($E6:$E7)=1)</formula>
    </cfRule>
  </conditionalFormatting>
  <conditionalFormatting sqref="AR7">
    <cfRule type="expression" dxfId="68" priority="21" stopIfTrue="1">
      <formula>AND(COUNTA(AR7)=1,$E7=1,SUM($E7:$E8)=1)</formula>
    </cfRule>
    <cfRule type="expression" dxfId="67" priority="22" stopIfTrue="1">
      <formula>AND(COUNTA(AR7)=1,$E7=0,SUM($E7:$E8)=1)</formula>
    </cfRule>
  </conditionalFormatting>
  <conditionalFormatting sqref="AR10">
    <cfRule type="expression" dxfId="66" priority="19" stopIfTrue="1">
      <formula>AND(COUNTA(AR10)=1,$E10=1,SUM($E10:$E11)=1)</formula>
    </cfRule>
    <cfRule type="expression" dxfId="65" priority="20" stopIfTrue="1">
      <formula>AND(COUNTA(AR10)=1,$E10=0,SUM($E10:$E11)=1)</formula>
    </cfRule>
  </conditionalFormatting>
  <conditionalFormatting sqref="AR11">
    <cfRule type="expression" dxfId="64" priority="17" stopIfTrue="1">
      <formula>AND(COUNTA(AR11)=1,$E11=1,SUM($E10:$E11)=1)</formula>
    </cfRule>
    <cfRule type="expression" dxfId="63" priority="18" stopIfTrue="1">
      <formula>AND(COUNTA(AR11)=1,$E11=0,SUM($E10:$E11)=1)</formula>
    </cfRule>
  </conditionalFormatting>
  <conditionalFormatting sqref="AR11">
    <cfRule type="expression" dxfId="62" priority="15" stopIfTrue="1">
      <formula>AND(COUNTA(AR11)=1,$E11=1,SUM($E11:$E12)=1)</formula>
    </cfRule>
    <cfRule type="expression" dxfId="61" priority="16" stopIfTrue="1">
      <formula>AND(COUNTA(AR11)=1,$E11=0,SUM($E11:$E12)=1)</formula>
    </cfRule>
  </conditionalFormatting>
  <conditionalFormatting sqref="AR14">
    <cfRule type="expression" dxfId="60" priority="13" stopIfTrue="1">
      <formula>AND(COUNTA(AR14)=1,$E14=1,SUM($E14:$E15)=1)</formula>
    </cfRule>
    <cfRule type="expression" dxfId="59" priority="14" stopIfTrue="1">
      <formula>AND(COUNTA(AR14)=1,$E14=0,SUM($E14:$E15)=1)</formula>
    </cfRule>
  </conditionalFormatting>
  <conditionalFormatting sqref="AR15">
    <cfRule type="expression" dxfId="58" priority="11" stopIfTrue="1">
      <formula>AND(COUNTA(AR15)=1,$E15=1,SUM($E14:$E15)=1)</formula>
    </cfRule>
    <cfRule type="expression" dxfId="57" priority="12" stopIfTrue="1">
      <formula>AND(COUNTA(AR15)=1,$E15=0,SUM($E14:$E15)=1)</formula>
    </cfRule>
  </conditionalFormatting>
  <conditionalFormatting sqref="AR15">
    <cfRule type="expression" dxfId="56" priority="9" stopIfTrue="1">
      <formula>AND(COUNTA(AR15)=1,$E15=1,SUM($E15:$E16)=1)</formula>
    </cfRule>
    <cfRule type="expression" dxfId="55" priority="10" stopIfTrue="1">
      <formula>AND(COUNTA(AR15)=1,$E15=0,SUM($E15:$E16)=1)</formula>
    </cfRule>
  </conditionalFormatting>
  <conditionalFormatting sqref="AR18">
    <cfRule type="expression" dxfId="54" priority="7" stopIfTrue="1">
      <formula>AND(COUNTA(AR18)=1,$E18=1,SUM($E18:$E19)=1)</formula>
    </cfRule>
    <cfRule type="expression" dxfId="53" priority="8" stopIfTrue="1">
      <formula>AND(COUNTA(AR18)=1,$E18=0,SUM($E18:$E19)=1)</formula>
    </cfRule>
  </conditionalFormatting>
  <conditionalFormatting sqref="AR20">
    <cfRule type="expression" dxfId="52" priority="5" stopIfTrue="1">
      <formula>AND(COUNTA(AR20)=1,$E20=1,SUM($E20:$E21)=1)</formula>
    </cfRule>
    <cfRule type="expression" dxfId="51" priority="6" stopIfTrue="1">
      <formula>AND(COUNTA(AR20)=1,$E20=0,SUM($E20:$E21)=1)</formula>
    </cfRule>
  </conditionalFormatting>
  <conditionalFormatting sqref="AR21">
    <cfRule type="expression" dxfId="50" priority="3" stopIfTrue="1">
      <formula>AND(COUNTA(AR21)=1,$E21=1,SUM($E20:$E21)=1)</formula>
    </cfRule>
    <cfRule type="expression" dxfId="49" priority="4" stopIfTrue="1">
      <formula>AND(COUNTA(AR21)=1,$E21=0,SUM($E20:$E21)=1)</formula>
    </cfRule>
  </conditionalFormatting>
  <conditionalFormatting sqref="AR21">
    <cfRule type="expression" dxfId="48" priority="1" stopIfTrue="1">
      <formula>AND(COUNTA(AR21)=1,$E21=1,SUM($E21:$E22)=1)</formula>
    </cfRule>
    <cfRule type="expression" dxfId="47" priority="2" stopIfTrue="1">
      <formula>AND(COUNTA(AR21)=1,$E21=0,SUM($E21:$E22)=1)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49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22860</xdr:colOff>
                    <xdr:row>1</xdr:row>
                    <xdr:rowOff>106680</xdr:rowOff>
                  </from>
                  <to>
                    <xdr:col>1</xdr:col>
                    <xdr:colOff>624840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22860</xdr:colOff>
                    <xdr:row>1</xdr:row>
                    <xdr:rowOff>381000</xdr:rowOff>
                  </from>
                  <to>
                    <xdr:col>1</xdr:col>
                    <xdr:colOff>624840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64" r:id="rId6" name="Button 4">
              <controlPr defaultSize="0" print="0" autoFill="0" autoPict="0" macro="[0]!grabSayings">
                <anchor moveWithCells="1" sizeWithCells="1">
                  <from>
                    <xdr:col>1</xdr:col>
                    <xdr:colOff>22860</xdr:colOff>
                    <xdr:row>1</xdr:row>
                    <xdr:rowOff>678180</xdr:rowOff>
                  </from>
                  <to>
                    <xdr:col>1</xdr:col>
                    <xdr:colOff>739140</xdr:colOff>
                    <xdr:row>1</xdr:row>
                    <xdr:rowOff>883920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N58"/>
  <sheetViews>
    <sheetView zoomScale="90" zoomScaleNormal="100" zoomScaleSheetLayoutView="100" workbookViewId="0">
      <selection activeCell="A33" sqref="A3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6" x14ac:dyDescent="0.25">
      <c r="B1" s="6"/>
      <c r="I1">
        <f>COUNTA(K1:BL1)</f>
        <v>0</v>
      </c>
      <c r="J1">
        <f>SUM(K1:BL1)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Adams, Daniel O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Brokaw, Brantley A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Desetto, Daniel</v>
      </c>
      <c r="S2" s="4" t="str">
        <f t="shared" ca="1" si="0"/>
        <v>Edwards, Christopher S</v>
      </c>
      <c r="T2" s="4" t="str">
        <f t="shared" ca="1" si="0"/>
        <v>Emptage, Nick</v>
      </c>
      <c r="U2" s="4" t="str">
        <f t="shared" ca="1" si="0"/>
        <v>Farren, Kevin M</v>
      </c>
      <c r="V2" s="4" t="str">
        <f t="shared" ca="1" si="0"/>
        <v>Farren, Leslie Remote</v>
      </c>
      <c r="W2" s="4" t="str">
        <f t="shared" ca="1" si="0"/>
        <v>Ferguson, Scott Remote</v>
      </c>
      <c r="X2" s="4" t="str">
        <f t="shared" ca="1" si="0"/>
        <v>Fonville, Chris</v>
      </c>
      <c r="Y2" s="4" t="str">
        <f t="shared" ca="1" si="0"/>
        <v>Gilmer, Justin T</v>
      </c>
      <c r="Z2" s="4" t="str">
        <f t="shared" ca="1" si="0"/>
        <v>Gindlesperger, Jeffrey C</v>
      </c>
      <c r="AA2" s="4" t="str">
        <f t="shared" ca="1" si="0"/>
        <v>Gore, Brandon</v>
      </c>
      <c r="AB2" s="4" t="str">
        <f t="shared" ca="1" si="0"/>
        <v>Gregory, Adam J</v>
      </c>
      <c r="AC2" s="4" t="str">
        <f t="shared" ca="1" si="0"/>
        <v>Hendrick, Matt R</v>
      </c>
      <c r="AD2" s="4" t="str">
        <f t="shared" ca="1" si="0"/>
        <v>Holden, Brent</v>
      </c>
      <c r="AE2" s="4" t="str">
        <f t="shared" ca="1" si="0"/>
        <v>Holley, Jeremy Remote</v>
      </c>
      <c r="AF2" s="4" t="str">
        <f t="shared" ca="1" si="0"/>
        <v>Hucks, Jason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Nagorniak, Kristen M</v>
      </c>
      <c r="AR2" s="4" t="str">
        <f t="shared" ca="1" si="0"/>
        <v>Nance, Rob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Shuey, Jeffrey M</v>
      </c>
      <c r="BE2" s="4" t="str">
        <f t="shared" ca="1" si="0"/>
        <v>Staub, Kevin</v>
      </c>
      <c r="BF2" s="4" t="str">
        <f t="shared" ca="1" si="0"/>
        <v>Steel, Van Remote</v>
      </c>
      <c r="BG2" s="4" t="str">
        <f t="shared" ca="1" si="0"/>
        <v>Steele, David L</v>
      </c>
      <c r="BH2" s="4" t="str">
        <f t="shared" ca="1" si="0"/>
        <v>Straw, Adam D</v>
      </c>
      <c r="BI2" s="4" t="str">
        <f t="shared" ca="1" si="0"/>
        <v>Strom, Brooker</v>
      </c>
      <c r="BJ2" s="4" t="str">
        <f t="shared" ca="1" si="0"/>
        <v>Teasdell, Brian K</v>
      </c>
      <c r="BK2" s="4" t="str">
        <f t="shared" ca="1" si="0"/>
        <v>Warren, Todd Remote</v>
      </c>
      <c r="BL2" s="4" t="str">
        <f t="shared" ca="1" si="0"/>
        <v>Wells, Jennifer</v>
      </c>
      <c r="BM2" s="4" t="str">
        <f t="shared" ca="1" si="0"/>
        <v>Wells, Seth Remote</v>
      </c>
      <c r="BN2" s="4" t="str">
        <f t="shared" ca="1" si="0"/>
        <v>White, Jarred</v>
      </c>
    </row>
    <row r="3" spans="1:66" x14ac:dyDescent="0.25">
      <c r="A3" s="59">
        <v>1</v>
      </c>
      <c r="B3" s="67" t="s">
        <v>220</v>
      </c>
      <c r="C3" s="65"/>
      <c r="D3" s="64">
        <v>7</v>
      </c>
      <c r="E3" s="64">
        <f>IF(ISBLANK($D3),"0",IF(($D4-$D3)&lt;($C4-$C3),1,0))</f>
        <v>0</v>
      </c>
      <c r="F3" s="64">
        <f ca="1">COUNTA(INDIRECT("RC11:RC"&amp;11+playercnt-1,FALSE))</f>
        <v>34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311</v>
      </c>
      <c r="K3" s="69" t="s">
        <v>312</v>
      </c>
      <c r="L3" s="69"/>
      <c r="M3" s="69" t="s">
        <v>312</v>
      </c>
      <c r="N3" s="69"/>
      <c r="O3" s="69"/>
      <c r="P3" s="69" t="s">
        <v>317</v>
      </c>
      <c r="Q3" s="69" t="s">
        <v>312</v>
      </c>
      <c r="R3" s="69" t="s">
        <v>331</v>
      </c>
      <c r="S3" s="69"/>
      <c r="T3" s="69" t="s">
        <v>327</v>
      </c>
      <c r="U3" s="69" t="s">
        <v>319</v>
      </c>
      <c r="V3" s="69"/>
      <c r="W3" s="69"/>
      <c r="X3" s="69" t="s">
        <v>312</v>
      </c>
      <c r="Y3" s="69"/>
      <c r="Z3" s="69"/>
      <c r="AA3" s="69" t="s">
        <v>354</v>
      </c>
      <c r="AB3" s="69"/>
      <c r="AC3" s="69" t="s">
        <v>312</v>
      </c>
      <c r="AD3" s="69" t="s">
        <v>312</v>
      </c>
      <c r="AE3" s="69" t="s">
        <v>355</v>
      </c>
      <c r="AF3" s="69" t="s">
        <v>312</v>
      </c>
      <c r="AG3" s="69"/>
      <c r="AH3" s="69" t="s">
        <v>319</v>
      </c>
      <c r="AI3" s="69" t="s">
        <v>312</v>
      </c>
      <c r="AJ3" s="69" t="s">
        <v>312</v>
      </c>
      <c r="AK3" s="69" t="s">
        <v>317</v>
      </c>
      <c r="AL3" s="69" t="s">
        <v>347</v>
      </c>
      <c r="AM3" s="69"/>
      <c r="AN3" s="69" t="s">
        <v>317</v>
      </c>
      <c r="AO3" s="69" t="s">
        <v>317</v>
      </c>
      <c r="AP3" s="69"/>
      <c r="AQ3" s="69" t="s">
        <v>354</v>
      </c>
      <c r="AR3" s="99"/>
      <c r="AS3" s="69" t="s">
        <v>327</v>
      </c>
      <c r="AT3" s="69"/>
      <c r="AU3" s="69" t="s">
        <v>312</v>
      </c>
      <c r="AV3" s="69" t="s">
        <v>312</v>
      </c>
      <c r="AW3" s="69" t="s">
        <v>332</v>
      </c>
      <c r="AX3" s="69" t="s">
        <v>312</v>
      </c>
      <c r="AY3" s="69"/>
      <c r="AZ3" s="69" t="s">
        <v>338</v>
      </c>
      <c r="BA3" s="69"/>
      <c r="BB3" s="69" t="s">
        <v>312</v>
      </c>
      <c r="BC3" s="69" t="s">
        <v>375</v>
      </c>
      <c r="BD3" s="69" t="s">
        <v>312</v>
      </c>
      <c r="BE3" s="69"/>
      <c r="BF3" s="69" t="s">
        <v>387</v>
      </c>
      <c r="BG3" s="69"/>
      <c r="BH3" s="69"/>
      <c r="BI3" s="69" t="s">
        <v>312</v>
      </c>
      <c r="BJ3" s="69"/>
      <c r="BK3" s="69"/>
      <c r="BL3" s="69"/>
      <c r="BM3" s="69" t="s">
        <v>388</v>
      </c>
      <c r="BN3" s="69" t="s">
        <v>312</v>
      </c>
    </row>
    <row r="4" spans="1:66" x14ac:dyDescent="0.25">
      <c r="A4" s="61" t="s">
        <v>3</v>
      </c>
      <c r="B4" s="68" t="s">
        <v>207</v>
      </c>
      <c r="C4" s="66">
        <v>9.5</v>
      </c>
      <c r="D4" s="64">
        <v>20</v>
      </c>
      <c r="E4" s="64">
        <f>IF(ISBLANK($D4),"0",IF(($D4-$D3)&gt;($C4-$C3),1,0))</f>
        <v>1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313</v>
      </c>
      <c r="M4" s="70"/>
      <c r="N4" s="70" t="s">
        <v>416</v>
      </c>
      <c r="O4" s="70" t="s">
        <v>413</v>
      </c>
      <c r="P4" s="70"/>
      <c r="Q4" s="70"/>
      <c r="R4" s="70"/>
      <c r="S4" s="70" t="s">
        <v>319</v>
      </c>
      <c r="T4" s="70"/>
      <c r="U4" s="70"/>
      <c r="V4" s="70" t="s">
        <v>364</v>
      </c>
      <c r="W4" s="70" t="s">
        <v>317</v>
      </c>
      <c r="X4" s="70"/>
      <c r="Y4" s="70" t="s">
        <v>331</v>
      </c>
      <c r="Z4" s="70" t="s">
        <v>360</v>
      </c>
      <c r="AA4" s="70"/>
      <c r="AB4" s="70" t="s">
        <v>317</v>
      </c>
      <c r="AC4" s="70"/>
      <c r="AD4" s="70"/>
      <c r="AE4" s="70"/>
      <c r="AF4" s="70"/>
      <c r="AG4" s="70" t="s">
        <v>319</v>
      </c>
      <c r="AH4" s="70"/>
      <c r="AI4" s="70"/>
      <c r="AJ4" s="70"/>
      <c r="AK4" s="70"/>
      <c r="AL4" s="70"/>
      <c r="AM4" s="70" t="s">
        <v>332</v>
      </c>
      <c r="AN4" s="70"/>
      <c r="AO4" s="70"/>
      <c r="AP4" s="70" t="s">
        <v>351</v>
      </c>
      <c r="AQ4" s="70"/>
      <c r="AR4" s="70" t="s">
        <v>317</v>
      </c>
      <c r="AS4" s="70"/>
      <c r="AT4" s="70" t="s">
        <v>334</v>
      </c>
      <c r="AU4" s="70"/>
      <c r="AV4" s="70"/>
      <c r="AW4" s="70"/>
      <c r="AX4" s="70"/>
      <c r="AY4" s="70" t="s">
        <v>327</v>
      </c>
      <c r="AZ4" s="70"/>
      <c r="BA4" s="70" t="s">
        <v>317</v>
      </c>
      <c r="BB4" s="70"/>
      <c r="BC4" s="70"/>
      <c r="BD4" s="70"/>
      <c r="BE4" s="70" t="s">
        <v>367</v>
      </c>
      <c r="BF4" s="70"/>
      <c r="BG4" s="70" t="s">
        <v>321</v>
      </c>
      <c r="BH4" s="70" t="s">
        <v>317</v>
      </c>
      <c r="BI4" s="70"/>
      <c r="BJ4" s="70" t="s">
        <v>321</v>
      </c>
      <c r="BK4" s="70" t="s">
        <v>472</v>
      </c>
      <c r="BL4" s="70" t="s">
        <v>317</v>
      </c>
      <c r="BM4" s="70"/>
      <c r="BN4" s="70"/>
    </row>
    <row r="5" spans="1:66" x14ac:dyDescent="0.25">
      <c r="A5" s="59">
        <v>2</v>
      </c>
      <c r="B5" s="67" t="s">
        <v>215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14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/>
      <c r="K5" s="69"/>
      <c r="L5" s="69"/>
      <c r="M5" s="69"/>
      <c r="N5" s="69"/>
      <c r="O5" s="69"/>
      <c r="P5" s="69"/>
      <c r="Q5" s="69"/>
      <c r="R5" s="69" t="s">
        <v>343</v>
      </c>
      <c r="S5" s="69"/>
      <c r="T5" s="69" t="s">
        <v>324</v>
      </c>
      <c r="U5" s="69" t="s">
        <v>320</v>
      </c>
      <c r="V5" s="69"/>
      <c r="W5" s="69"/>
      <c r="X5" s="69"/>
      <c r="Y5" s="69"/>
      <c r="Z5" s="69"/>
      <c r="AA5" s="69"/>
      <c r="AB5" s="69"/>
      <c r="AC5" s="69"/>
      <c r="AD5" s="69"/>
      <c r="AE5" s="69" t="s">
        <v>355</v>
      </c>
      <c r="AF5" s="69"/>
      <c r="AG5" s="69" t="s">
        <v>324</v>
      </c>
      <c r="AH5" s="69" t="s">
        <v>320</v>
      </c>
      <c r="AI5" s="69"/>
      <c r="AJ5" s="69"/>
      <c r="AK5" s="69" t="s">
        <v>317</v>
      </c>
      <c r="AL5" s="69"/>
      <c r="AM5" s="69"/>
      <c r="AN5" s="69"/>
      <c r="AO5" s="69"/>
      <c r="AP5" s="69" t="s">
        <v>324</v>
      </c>
      <c r="AQ5" s="69"/>
      <c r="AR5" s="99"/>
      <c r="AS5" s="69" t="s">
        <v>338</v>
      </c>
      <c r="AT5" s="69" t="s">
        <v>334</v>
      </c>
      <c r="AU5" s="69"/>
      <c r="AV5" s="69"/>
      <c r="AW5" s="69"/>
      <c r="AX5" s="69"/>
      <c r="AY5" s="69"/>
      <c r="AZ5" s="69" t="s">
        <v>322</v>
      </c>
      <c r="BA5" s="69"/>
      <c r="BB5" s="69"/>
      <c r="BC5" s="69"/>
      <c r="BD5" s="69"/>
      <c r="BE5" s="69" t="s">
        <v>367</v>
      </c>
      <c r="BF5" s="69" t="s">
        <v>387</v>
      </c>
      <c r="BG5" s="69"/>
      <c r="BH5" s="69"/>
      <c r="BI5" s="69"/>
      <c r="BJ5" s="69"/>
      <c r="BK5" s="69" t="s">
        <v>472</v>
      </c>
      <c r="BL5" s="69"/>
      <c r="BM5" s="69"/>
      <c r="BN5" s="69"/>
    </row>
    <row r="6" spans="1:66" x14ac:dyDescent="0.25">
      <c r="A6" s="61" t="s">
        <v>3</v>
      </c>
      <c r="B6" s="68" t="s">
        <v>217</v>
      </c>
      <c r="C6" s="66">
        <v>7.5</v>
      </c>
      <c r="D6" s="64">
        <v>21</v>
      </c>
      <c r="E6" s="64">
        <f>IF(ISBLANK($D6),"0",IF(($D6-$D5)&gt;($C6-$C5),1,0))</f>
        <v>0</v>
      </c>
      <c r="F6" s="64">
        <f t="shared" ca="1" si="1"/>
        <v>42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311</v>
      </c>
      <c r="K6" s="70" t="s">
        <v>312</v>
      </c>
      <c r="L6" s="70" t="s">
        <v>313</v>
      </c>
      <c r="M6" s="70" t="s">
        <v>312</v>
      </c>
      <c r="N6" s="70" t="s">
        <v>416</v>
      </c>
      <c r="O6" s="70" t="s">
        <v>371</v>
      </c>
      <c r="P6" s="70" t="s">
        <v>317</v>
      </c>
      <c r="Q6" s="70" t="s">
        <v>312</v>
      </c>
      <c r="R6" s="70"/>
      <c r="S6" s="70" t="s">
        <v>320</v>
      </c>
      <c r="T6" s="70"/>
      <c r="U6" s="70"/>
      <c r="V6" s="70" t="s">
        <v>322</v>
      </c>
      <c r="W6" s="70" t="s">
        <v>317</v>
      </c>
      <c r="X6" s="70" t="s">
        <v>312</v>
      </c>
      <c r="Y6" s="70" t="s">
        <v>343</v>
      </c>
      <c r="Z6" s="70" t="s">
        <v>347</v>
      </c>
      <c r="AA6" s="70" t="s">
        <v>354</v>
      </c>
      <c r="AB6" s="70" t="s">
        <v>317</v>
      </c>
      <c r="AC6" s="70" t="s">
        <v>312</v>
      </c>
      <c r="AD6" s="70" t="s">
        <v>312</v>
      </c>
      <c r="AE6" s="70"/>
      <c r="AF6" s="70" t="s">
        <v>312</v>
      </c>
      <c r="AG6" s="70"/>
      <c r="AH6" s="70"/>
      <c r="AI6" s="70" t="s">
        <v>312</v>
      </c>
      <c r="AJ6" s="70" t="s">
        <v>312</v>
      </c>
      <c r="AK6" s="70"/>
      <c r="AL6" s="70" t="s">
        <v>347</v>
      </c>
      <c r="AM6" s="70" t="s">
        <v>324</v>
      </c>
      <c r="AN6" s="70" t="s">
        <v>317</v>
      </c>
      <c r="AO6" s="70" t="s">
        <v>317</v>
      </c>
      <c r="AP6" s="70"/>
      <c r="AQ6" s="70" t="s">
        <v>354</v>
      </c>
      <c r="AR6" s="70" t="s">
        <v>317</v>
      </c>
      <c r="AS6" s="70"/>
      <c r="AT6" s="70"/>
      <c r="AU6" s="70" t="s">
        <v>312</v>
      </c>
      <c r="AV6" s="70" t="s">
        <v>312</v>
      </c>
      <c r="AW6" s="70" t="s">
        <v>324</v>
      </c>
      <c r="AX6" s="70" t="s">
        <v>312</v>
      </c>
      <c r="AY6" s="70" t="s">
        <v>324</v>
      </c>
      <c r="AZ6" s="70"/>
      <c r="BA6" s="70" t="s">
        <v>317</v>
      </c>
      <c r="BB6" s="70" t="s">
        <v>312</v>
      </c>
      <c r="BC6" s="70" t="s">
        <v>375</v>
      </c>
      <c r="BD6" s="70" t="s">
        <v>312</v>
      </c>
      <c r="BE6" s="70"/>
      <c r="BF6" s="70"/>
      <c r="BG6" s="70" t="s">
        <v>321</v>
      </c>
      <c r="BH6" s="70" t="s">
        <v>317</v>
      </c>
      <c r="BI6" s="70" t="s">
        <v>312</v>
      </c>
      <c r="BJ6" s="70" t="s">
        <v>321</v>
      </c>
      <c r="BK6" s="70"/>
      <c r="BL6" s="70" t="s">
        <v>317</v>
      </c>
      <c r="BM6" s="70" t="s">
        <v>388</v>
      </c>
      <c r="BN6" s="70" t="s">
        <v>312</v>
      </c>
    </row>
    <row r="7" spans="1:66" x14ac:dyDescent="0.25">
      <c r="A7" s="59">
        <v>3</v>
      </c>
      <c r="B7" s="67" t="s">
        <v>270</v>
      </c>
      <c r="C7" s="65"/>
      <c r="D7" s="64">
        <v>17</v>
      </c>
      <c r="E7" s="64">
        <f>IF(ISBLANK($D7),"0",IF(($D8-$D7)&lt;($C8-$C7),1,0))</f>
        <v>0</v>
      </c>
      <c r="F7" s="64">
        <f t="shared" ca="1" si="1"/>
        <v>43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311</v>
      </c>
      <c r="K7" s="69" t="s">
        <v>312</v>
      </c>
      <c r="L7" s="69" t="s">
        <v>313</v>
      </c>
      <c r="M7" s="69" t="s">
        <v>312</v>
      </c>
      <c r="N7" s="69"/>
      <c r="O7" s="69"/>
      <c r="P7" s="69" t="s">
        <v>317</v>
      </c>
      <c r="Q7" s="69" t="s">
        <v>312</v>
      </c>
      <c r="R7" s="69" t="s">
        <v>315</v>
      </c>
      <c r="S7" s="69" t="s">
        <v>320</v>
      </c>
      <c r="T7" s="69" t="s">
        <v>339</v>
      </c>
      <c r="U7" s="69" t="s">
        <v>320</v>
      </c>
      <c r="V7" s="69" t="s">
        <v>351</v>
      </c>
      <c r="W7" s="69"/>
      <c r="X7" s="69" t="s">
        <v>312</v>
      </c>
      <c r="Y7" s="69" t="s">
        <v>319</v>
      </c>
      <c r="Z7" s="69"/>
      <c r="AA7" s="69" t="s">
        <v>354</v>
      </c>
      <c r="AB7" s="69"/>
      <c r="AC7" s="69" t="s">
        <v>312</v>
      </c>
      <c r="AD7" s="69" t="s">
        <v>312</v>
      </c>
      <c r="AE7" s="69"/>
      <c r="AF7" s="69" t="s">
        <v>312</v>
      </c>
      <c r="AG7" s="69" t="s">
        <v>319</v>
      </c>
      <c r="AH7" s="69" t="s">
        <v>320</v>
      </c>
      <c r="AI7" s="69" t="s">
        <v>312</v>
      </c>
      <c r="AJ7" s="69" t="s">
        <v>312</v>
      </c>
      <c r="AK7" s="69" t="s">
        <v>317</v>
      </c>
      <c r="AL7" s="69"/>
      <c r="AM7" s="69"/>
      <c r="AN7" s="69" t="s">
        <v>317</v>
      </c>
      <c r="AO7" s="69" t="s">
        <v>317</v>
      </c>
      <c r="AP7" s="69"/>
      <c r="AQ7" s="69" t="s">
        <v>354</v>
      </c>
      <c r="AR7" s="99" t="s">
        <v>317</v>
      </c>
      <c r="AS7" s="69"/>
      <c r="AT7" s="69" t="s">
        <v>334</v>
      </c>
      <c r="AU7" s="69" t="s">
        <v>312</v>
      </c>
      <c r="AV7" s="69" t="s">
        <v>312</v>
      </c>
      <c r="AW7" s="69" t="s">
        <v>350</v>
      </c>
      <c r="AX7" s="69" t="s">
        <v>312</v>
      </c>
      <c r="AY7" s="69" t="s">
        <v>342</v>
      </c>
      <c r="AZ7" s="69" t="s">
        <v>364</v>
      </c>
      <c r="BA7" s="69"/>
      <c r="BB7" s="69" t="s">
        <v>312</v>
      </c>
      <c r="BC7" s="69" t="s">
        <v>375</v>
      </c>
      <c r="BD7" s="69" t="s">
        <v>312</v>
      </c>
      <c r="BE7" s="69" t="s">
        <v>367</v>
      </c>
      <c r="BF7" s="69" t="s">
        <v>387</v>
      </c>
      <c r="BG7" s="69" t="s">
        <v>321</v>
      </c>
      <c r="BH7" s="69"/>
      <c r="BI7" s="69" t="s">
        <v>312</v>
      </c>
      <c r="BJ7" s="69" t="s">
        <v>321</v>
      </c>
      <c r="BK7" s="69" t="s">
        <v>472</v>
      </c>
      <c r="BL7" s="69"/>
      <c r="BM7" s="69" t="s">
        <v>388</v>
      </c>
      <c r="BN7" s="69" t="s">
        <v>312</v>
      </c>
    </row>
    <row r="8" spans="1:66" x14ac:dyDescent="0.25">
      <c r="A8" s="61" t="s">
        <v>3</v>
      </c>
      <c r="B8" s="68" t="s">
        <v>156</v>
      </c>
      <c r="C8" s="66">
        <v>13.5</v>
      </c>
      <c r="D8" s="64">
        <v>41</v>
      </c>
      <c r="E8" s="64">
        <f>IF(ISBLANK($D8),"0",IF(($D8-$D7)&gt;($C8-$C7),1,0))</f>
        <v>1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416</v>
      </c>
      <c r="O8" s="70" t="s">
        <v>371</v>
      </c>
      <c r="P8" s="70"/>
      <c r="Q8" s="70"/>
      <c r="R8" s="70"/>
      <c r="S8" s="70"/>
      <c r="T8" s="70"/>
      <c r="U8" s="70"/>
      <c r="V8" s="70"/>
      <c r="W8" s="70" t="s">
        <v>317</v>
      </c>
      <c r="X8" s="70"/>
      <c r="Y8" s="70"/>
      <c r="Z8" s="70" t="s">
        <v>387</v>
      </c>
      <c r="AA8" s="70"/>
      <c r="AB8" s="70" t="s">
        <v>317</v>
      </c>
      <c r="AC8" s="70"/>
      <c r="AD8" s="70"/>
      <c r="AE8" s="70" t="s">
        <v>355</v>
      </c>
      <c r="AF8" s="70"/>
      <c r="AG8" s="70"/>
      <c r="AH8" s="70"/>
      <c r="AI8" s="70"/>
      <c r="AJ8" s="70"/>
      <c r="AK8" s="70"/>
      <c r="AL8" s="70" t="s">
        <v>347</v>
      </c>
      <c r="AM8" s="70" t="s">
        <v>334</v>
      </c>
      <c r="AN8" s="70"/>
      <c r="AO8" s="70"/>
      <c r="AP8" s="70" t="s">
        <v>340</v>
      </c>
      <c r="AQ8" s="70"/>
      <c r="AR8" s="70"/>
      <c r="AS8" s="70" t="s">
        <v>334</v>
      </c>
      <c r="AT8" s="70"/>
      <c r="AU8" s="70"/>
      <c r="AV8" s="70"/>
      <c r="AW8" s="70"/>
      <c r="AX8" s="70"/>
      <c r="AY8" s="70"/>
      <c r="AZ8" s="70"/>
      <c r="BA8" s="70" t="s">
        <v>317</v>
      </c>
      <c r="BB8" s="70"/>
      <c r="BC8" s="70"/>
      <c r="BD8" s="70"/>
      <c r="BE8" s="70"/>
      <c r="BF8" s="70"/>
      <c r="BG8" s="70"/>
      <c r="BH8" s="70" t="s">
        <v>317</v>
      </c>
      <c r="BI8" s="70"/>
      <c r="BJ8" s="70"/>
      <c r="BK8" s="70"/>
      <c r="BL8" s="70" t="s">
        <v>317</v>
      </c>
      <c r="BM8" s="70"/>
      <c r="BN8" s="70"/>
    </row>
    <row r="9" spans="1:66" x14ac:dyDescent="0.25">
      <c r="A9" s="59">
        <v>4</v>
      </c>
      <c r="B9" s="67" t="s">
        <v>224</v>
      </c>
      <c r="C9" s="65"/>
      <c r="D9" s="81">
        <v>34</v>
      </c>
      <c r="E9" s="64">
        <f>IF(ISBLANK($D9),"0",IF(($D10-$D9)&lt;($C10-$C9),1,0))</f>
        <v>1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/>
      <c r="L9" s="69"/>
      <c r="M9" s="69" t="s">
        <v>312</v>
      </c>
      <c r="N9" s="69"/>
      <c r="O9" s="69"/>
      <c r="P9" s="69"/>
      <c r="Q9" s="69"/>
      <c r="R9" s="69"/>
      <c r="S9" s="69"/>
      <c r="T9" s="69" t="s">
        <v>320</v>
      </c>
      <c r="U9" s="69" t="s">
        <v>397</v>
      </c>
      <c r="V9" s="69"/>
      <c r="W9" s="69"/>
      <c r="X9" s="69"/>
      <c r="Y9" s="69"/>
      <c r="Z9" s="69"/>
      <c r="AA9" s="69"/>
      <c r="AB9" s="69"/>
      <c r="AC9" s="69"/>
      <c r="AD9" s="69"/>
      <c r="AE9" s="69" t="s">
        <v>355</v>
      </c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9"/>
      <c r="AS9" s="69"/>
      <c r="AT9" s="69"/>
      <c r="AU9" s="69"/>
      <c r="AV9" s="69"/>
      <c r="AW9" s="69"/>
      <c r="AX9" s="69"/>
      <c r="AY9" s="69"/>
      <c r="AZ9" s="69" t="s">
        <v>331</v>
      </c>
      <c r="BA9" s="69"/>
      <c r="BB9" s="69"/>
      <c r="BC9" s="69"/>
      <c r="BD9" s="69"/>
      <c r="BE9" s="69"/>
      <c r="BF9" s="69" t="s">
        <v>387</v>
      </c>
      <c r="BG9" s="69" t="s">
        <v>321</v>
      </c>
      <c r="BH9" s="69"/>
      <c r="BI9" s="69"/>
      <c r="BJ9" s="69"/>
      <c r="BK9" s="69"/>
      <c r="BL9" s="69" t="s">
        <v>317</v>
      </c>
      <c r="BM9" s="69"/>
      <c r="BN9" s="69"/>
    </row>
    <row r="10" spans="1:66" x14ac:dyDescent="0.25">
      <c r="A10" s="61" t="s">
        <v>3</v>
      </c>
      <c r="B10" s="68" t="s">
        <v>182</v>
      </c>
      <c r="C10" s="66">
        <v>7.5</v>
      </c>
      <c r="D10" s="64">
        <v>40</v>
      </c>
      <c r="E10" s="64">
        <f>IF(ISBLANK($D10),"0",IF(($D10-$D9)&gt;($C10-$C9),1,0))</f>
        <v>0</v>
      </c>
      <c r="F10" s="64">
        <f t="shared" ca="1" si="1"/>
        <v>48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311</v>
      </c>
      <c r="K10" s="70" t="s">
        <v>312</v>
      </c>
      <c r="L10" s="70" t="s">
        <v>313</v>
      </c>
      <c r="M10" s="70"/>
      <c r="N10" s="70" t="s">
        <v>416</v>
      </c>
      <c r="O10" s="70" t="s">
        <v>371</v>
      </c>
      <c r="P10" s="70" t="s">
        <v>317</v>
      </c>
      <c r="Q10" s="70" t="s">
        <v>312</v>
      </c>
      <c r="R10" s="70" t="s">
        <v>328</v>
      </c>
      <c r="S10" s="70" t="s">
        <v>397</v>
      </c>
      <c r="T10" s="70"/>
      <c r="U10" s="70"/>
      <c r="V10" s="70" t="s">
        <v>322</v>
      </c>
      <c r="W10" s="70" t="s">
        <v>317</v>
      </c>
      <c r="X10" s="70" t="s">
        <v>312</v>
      </c>
      <c r="Y10" s="70" t="s">
        <v>379</v>
      </c>
      <c r="Z10" s="70" t="s">
        <v>322</v>
      </c>
      <c r="AA10" s="70" t="s">
        <v>354</v>
      </c>
      <c r="AB10" s="70" t="s">
        <v>317</v>
      </c>
      <c r="AC10" s="70" t="s">
        <v>312</v>
      </c>
      <c r="AD10" s="70" t="s">
        <v>312</v>
      </c>
      <c r="AE10" s="70"/>
      <c r="AF10" s="70" t="s">
        <v>312</v>
      </c>
      <c r="AG10" s="70" t="s">
        <v>324</v>
      </c>
      <c r="AH10" s="70" t="s">
        <v>397</v>
      </c>
      <c r="AI10" s="70" t="s">
        <v>312</v>
      </c>
      <c r="AJ10" s="70" t="s">
        <v>312</v>
      </c>
      <c r="AK10" s="70" t="s">
        <v>317</v>
      </c>
      <c r="AL10" s="70" t="s">
        <v>347</v>
      </c>
      <c r="AM10" s="70" t="s">
        <v>335</v>
      </c>
      <c r="AN10" s="70" t="s">
        <v>317</v>
      </c>
      <c r="AO10" s="70" t="s">
        <v>317</v>
      </c>
      <c r="AP10" s="70" t="s">
        <v>349</v>
      </c>
      <c r="AQ10" s="70" t="s">
        <v>354</v>
      </c>
      <c r="AR10" s="70" t="s">
        <v>317</v>
      </c>
      <c r="AS10" s="70" t="s">
        <v>331</v>
      </c>
      <c r="AT10" s="70" t="s">
        <v>334</v>
      </c>
      <c r="AU10" s="70" t="s">
        <v>312</v>
      </c>
      <c r="AV10" s="70" t="s">
        <v>312</v>
      </c>
      <c r="AW10" s="70" t="s">
        <v>350</v>
      </c>
      <c r="AX10" s="70" t="s">
        <v>312</v>
      </c>
      <c r="AY10" s="70" t="s">
        <v>335</v>
      </c>
      <c r="AZ10" s="70"/>
      <c r="BA10" s="70" t="s">
        <v>317</v>
      </c>
      <c r="BB10" s="70" t="s">
        <v>312</v>
      </c>
      <c r="BC10" s="70" t="s">
        <v>375</v>
      </c>
      <c r="BD10" s="70" t="s">
        <v>312</v>
      </c>
      <c r="BE10" s="70" t="s">
        <v>367</v>
      </c>
      <c r="BF10" s="70"/>
      <c r="BG10" s="70"/>
      <c r="BH10" s="70" t="s">
        <v>317</v>
      </c>
      <c r="BI10" s="70" t="s">
        <v>312</v>
      </c>
      <c r="BJ10" s="70" t="s">
        <v>321</v>
      </c>
      <c r="BK10" s="70" t="s">
        <v>472</v>
      </c>
      <c r="BL10" s="70"/>
      <c r="BM10" s="70" t="s">
        <v>388</v>
      </c>
      <c r="BN10" s="70" t="s">
        <v>312</v>
      </c>
    </row>
    <row r="11" spans="1:66" x14ac:dyDescent="0.25">
      <c r="A11" s="59">
        <v>5</v>
      </c>
      <c r="B11" s="67" t="s">
        <v>167</v>
      </c>
      <c r="C11" s="65">
        <v>5.5</v>
      </c>
      <c r="D11" s="64">
        <v>31</v>
      </c>
      <c r="E11" s="64">
        <f>IF(ISBLANK($D11),"0",IF(($D12-$D11)&lt;($C12-$C11),1,0))</f>
        <v>1</v>
      </c>
      <c r="F11" s="64">
        <f t="shared" ca="1" si="1"/>
        <v>29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311</v>
      </c>
      <c r="K11" s="69"/>
      <c r="L11" s="69" t="s">
        <v>313</v>
      </c>
      <c r="M11" s="69" t="s">
        <v>312</v>
      </c>
      <c r="N11" s="69"/>
      <c r="O11" s="69"/>
      <c r="P11" s="69" t="s">
        <v>317</v>
      </c>
      <c r="Q11" s="69"/>
      <c r="R11" s="69" t="s">
        <v>361</v>
      </c>
      <c r="S11" s="69"/>
      <c r="T11" s="69"/>
      <c r="U11" s="69"/>
      <c r="V11" s="69" t="s">
        <v>350</v>
      </c>
      <c r="W11" s="69" t="s">
        <v>317</v>
      </c>
      <c r="X11" s="69" t="s">
        <v>312</v>
      </c>
      <c r="Y11" s="69"/>
      <c r="Z11" s="69" t="s">
        <v>334</v>
      </c>
      <c r="AA11" s="69" t="s">
        <v>354</v>
      </c>
      <c r="AB11" s="69"/>
      <c r="AC11" s="69"/>
      <c r="AD11" s="69"/>
      <c r="AE11" s="69"/>
      <c r="AF11" s="69"/>
      <c r="AG11" s="69" t="s">
        <v>319</v>
      </c>
      <c r="AH11" s="69" t="s">
        <v>331</v>
      </c>
      <c r="AI11" s="69"/>
      <c r="AJ11" s="69"/>
      <c r="AK11" s="69" t="s">
        <v>317</v>
      </c>
      <c r="AL11" s="69" t="s">
        <v>347</v>
      </c>
      <c r="AM11" s="69" t="s">
        <v>348</v>
      </c>
      <c r="AN11" s="69" t="s">
        <v>317</v>
      </c>
      <c r="AO11" s="69"/>
      <c r="AP11" s="69" t="s">
        <v>397</v>
      </c>
      <c r="AQ11" s="69" t="s">
        <v>354</v>
      </c>
      <c r="AR11" s="69" t="s">
        <v>317</v>
      </c>
      <c r="AS11" s="69"/>
      <c r="AT11" s="69" t="s">
        <v>334</v>
      </c>
      <c r="AU11" s="69"/>
      <c r="AV11" s="69"/>
      <c r="AW11" s="69" t="s">
        <v>323</v>
      </c>
      <c r="AX11" s="69"/>
      <c r="AY11" s="69" t="s">
        <v>385</v>
      </c>
      <c r="AZ11" s="69" t="s">
        <v>335</v>
      </c>
      <c r="BA11" s="69" t="s">
        <v>317</v>
      </c>
      <c r="BB11" s="69"/>
      <c r="BC11" s="69" t="s">
        <v>375</v>
      </c>
      <c r="BD11" s="69"/>
      <c r="BE11" s="69"/>
      <c r="BF11" s="69" t="s">
        <v>387</v>
      </c>
      <c r="BG11" s="69" t="s">
        <v>321</v>
      </c>
      <c r="BH11" s="69"/>
      <c r="BI11" s="69"/>
      <c r="BJ11" s="69"/>
      <c r="BK11" s="69" t="s">
        <v>472</v>
      </c>
      <c r="BL11" s="69" t="s">
        <v>317</v>
      </c>
      <c r="BM11" s="69" t="s">
        <v>388</v>
      </c>
      <c r="BN11" s="69"/>
    </row>
    <row r="12" spans="1:66" x14ac:dyDescent="0.25">
      <c r="A12" s="61" t="s">
        <v>3</v>
      </c>
      <c r="B12" s="68" t="s">
        <v>158</v>
      </c>
      <c r="C12" s="66"/>
      <c r="D12" s="64">
        <v>17</v>
      </c>
      <c r="E12" s="64">
        <f>IF(ISBLANK($D12),"0",IF(($D12-$D11)&gt;($C12-$C11),1,0))</f>
        <v>0</v>
      </c>
      <c r="F12" s="64">
        <f t="shared" ca="1" si="1"/>
        <v>27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312</v>
      </c>
      <c r="L12" s="70"/>
      <c r="M12" s="70"/>
      <c r="N12" s="70" t="s">
        <v>416</v>
      </c>
      <c r="O12" s="70" t="s">
        <v>371</v>
      </c>
      <c r="P12" s="70"/>
      <c r="Q12" s="70" t="s">
        <v>312</v>
      </c>
      <c r="R12" s="70"/>
      <c r="S12" s="70" t="s">
        <v>442</v>
      </c>
      <c r="T12" s="70" t="s">
        <v>390</v>
      </c>
      <c r="U12" s="70" t="s">
        <v>347</v>
      </c>
      <c r="V12" s="70"/>
      <c r="W12" s="70"/>
      <c r="X12" s="70"/>
      <c r="Y12" s="70" t="s">
        <v>343</v>
      </c>
      <c r="Z12" s="70"/>
      <c r="AA12" s="70"/>
      <c r="AB12" s="70" t="s">
        <v>317</v>
      </c>
      <c r="AC12" s="70" t="s">
        <v>312</v>
      </c>
      <c r="AD12" s="70" t="s">
        <v>312</v>
      </c>
      <c r="AE12" s="70" t="s">
        <v>355</v>
      </c>
      <c r="AF12" s="70" t="s">
        <v>312</v>
      </c>
      <c r="AG12" s="70"/>
      <c r="AH12" s="70"/>
      <c r="AI12" s="70" t="s">
        <v>312</v>
      </c>
      <c r="AJ12" s="70" t="s">
        <v>312</v>
      </c>
      <c r="AK12" s="70"/>
      <c r="AL12" s="70"/>
      <c r="AM12" s="70"/>
      <c r="AN12" s="70"/>
      <c r="AO12" s="70" t="s">
        <v>317</v>
      </c>
      <c r="AP12" s="70"/>
      <c r="AQ12" s="70"/>
      <c r="AR12" s="100"/>
      <c r="AS12" s="70" t="s">
        <v>353</v>
      </c>
      <c r="AT12" s="70"/>
      <c r="AU12" s="70" t="s">
        <v>312</v>
      </c>
      <c r="AV12" s="70" t="s">
        <v>312</v>
      </c>
      <c r="AW12" s="70"/>
      <c r="AX12" s="70" t="s">
        <v>312</v>
      </c>
      <c r="AY12" s="70"/>
      <c r="AZ12" s="70"/>
      <c r="BA12" s="70"/>
      <c r="BB12" s="70" t="s">
        <v>312</v>
      </c>
      <c r="BC12" s="70"/>
      <c r="BD12" s="70" t="s">
        <v>312</v>
      </c>
      <c r="BE12" s="70" t="s">
        <v>367</v>
      </c>
      <c r="BF12" s="70"/>
      <c r="BG12" s="70"/>
      <c r="BH12" s="70" t="s">
        <v>317</v>
      </c>
      <c r="BI12" s="70" t="s">
        <v>312</v>
      </c>
      <c r="BJ12" s="70" t="s">
        <v>321</v>
      </c>
      <c r="BK12" s="70"/>
      <c r="BL12" s="70"/>
      <c r="BM12" s="70"/>
      <c r="BN12" s="70" t="s">
        <v>312</v>
      </c>
    </row>
    <row r="13" spans="1:66" x14ac:dyDescent="0.25">
      <c r="A13" s="59">
        <v>6</v>
      </c>
      <c r="B13" s="67" t="s">
        <v>187</v>
      </c>
      <c r="C13" s="65">
        <v>5.5</v>
      </c>
      <c r="D13" s="64">
        <v>38</v>
      </c>
      <c r="E13" s="64">
        <f>IF(ISBLANK($D13),"0",IF(($D14-$D13)&lt;($C14-$C13),1,0))</f>
        <v>1</v>
      </c>
      <c r="F13" s="64">
        <f t="shared" ca="1" si="1"/>
        <v>43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311</v>
      </c>
      <c r="K13" s="69" t="s">
        <v>312</v>
      </c>
      <c r="L13" s="69"/>
      <c r="M13" s="69" t="s">
        <v>312</v>
      </c>
      <c r="N13" s="69"/>
      <c r="O13" s="69" t="s">
        <v>371</v>
      </c>
      <c r="P13" s="69" t="s">
        <v>317</v>
      </c>
      <c r="Q13" s="69" t="s">
        <v>312</v>
      </c>
      <c r="R13" s="69" t="s">
        <v>328</v>
      </c>
      <c r="S13" s="69"/>
      <c r="T13" s="69" t="s">
        <v>336</v>
      </c>
      <c r="U13" s="69" t="s">
        <v>334</v>
      </c>
      <c r="V13" s="69" t="s">
        <v>351</v>
      </c>
      <c r="W13" s="69" t="s">
        <v>317</v>
      </c>
      <c r="X13" s="69" t="s">
        <v>312</v>
      </c>
      <c r="Y13" s="69" t="s">
        <v>319</v>
      </c>
      <c r="Z13" s="69" t="s">
        <v>333</v>
      </c>
      <c r="AA13" s="69"/>
      <c r="AB13" s="69" t="s">
        <v>317</v>
      </c>
      <c r="AC13" s="69" t="s">
        <v>312</v>
      </c>
      <c r="AD13" s="69" t="s">
        <v>312</v>
      </c>
      <c r="AE13" s="69"/>
      <c r="AF13" s="69" t="s">
        <v>312</v>
      </c>
      <c r="AG13" s="69" t="s">
        <v>324</v>
      </c>
      <c r="AH13" s="69"/>
      <c r="AI13" s="69" t="s">
        <v>312</v>
      </c>
      <c r="AJ13" s="69" t="s">
        <v>312</v>
      </c>
      <c r="AK13" s="69"/>
      <c r="AL13" s="69"/>
      <c r="AM13" s="69" t="s">
        <v>320</v>
      </c>
      <c r="AN13" s="69" t="s">
        <v>317</v>
      </c>
      <c r="AO13" s="69" t="s">
        <v>317</v>
      </c>
      <c r="AP13" s="69"/>
      <c r="AQ13" s="69" t="s">
        <v>354</v>
      </c>
      <c r="AR13" s="99" t="s">
        <v>317</v>
      </c>
      <c r="AS13" s="69"/>
      <c r="AT13" s="69" t="s">
        <v>334</v>
      </c>
      <c r="AU13" s="69" t="s">
        <v>312</v>
      </c>
      <c r="AV13" s="69" t="s">
        <v>312</v>
      </c>
      <c r="AW13" s="69" t="s">
        <v>316</v>
      </c>
      <c r="AX13" s="69" t="s">
        <v>312</v>
      </c>
      <c r="AY13" s="69" t="s">
        <v>337</v>
      </c>
      <c r="AZ13" s="69"/>
      <c r="BA13" s="69" t="s">
        <v>317</v>
      </c>
      <c r="BB13" s="69" t="s">
        <v>312</v>
      </c>
      <c r="BC13" s="69" t="s">
        <v>375</v>
      </c>
      <c r="BD13" s="69" t="s">
        <v>312</v>
      </c>
      <c r="BE13" s="69" t="s">
        <v>367</v>
      </c>
      <c r="BF13" s="69" t="s">
        <v>387</v>
      </c>
      <c r="BG13" s="69" t="s">
        <v>321</v>
      </c>
      <c r="BH13" s="69"/>
      <c r="BI13" s="69" t="s">
        <v>312</v>
      </c>
      <c r="BJ13" s="69" t="s">
        <v>321</v>
      </c>
      <c r="BK13" s="69" t="s">
        <v>472</v>
      </c>
      <c r="BL13" s="69"/>
      <c r="BM13" s="69" t="s">
        <v>388</v>
      </c>
      <c r="BN13" s="69" t="s">
        <v>312</v>
      </c>
    </row>
    <row r="14" spans="1:66" x14ac:dyDescent="0.25">
      <c r="A14" s="61" t="s">
        <v>3</v>
      </c>
      <c r="B14" s="68" t="s">
        <v>203</v>
      </c>
      <c r="C14" s="66"/>
      <c r="D14" s="64">
        <v>0</v>
      </c>
      <c r="E14" s="64">
        <f>IF(ISBLANK($D14),"0",IF(($D14-$D13)&gt;($C14-$C13),1,0))</f>
        <v>0</v>
      </c>
      <c r="F14" s="64">
        <f t="shared" ca="1" si="1"/>
        <v>13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313</v>
      </c>
      <c r="M14" s="70"/>
      <c r="N14" s="70" t="s">
        <v>416</v>
      </c>
      <c r="O14" s="70"/>
      <c r="P14" s="70"/>
      <c r="Q14" s="70"/>
      <c r="R14" s="70"/>
      <c r="S14" s="70" t="s">
        <v>334</v>
      </c>
      <c r="T14" s="70"/>
      <c r="U14" s="70"/>
      <c r="V14" s="70"/>
      <c r="W14" s="70"/>
      <c r="X14" s="70"/>
      <c r="Y14" s="70"/>
      <c r="Z14" s="70"/>
      <c r="AA14" s="70" t="s">
        <v>354</v>
      </c>
      <c r="AB14" s="70"/>
      <c r="AC14" s="70"/>
      <c r="AD14" s="70"/>
      <c r="AE14" s="70" t="s">
        <v>355</v>
      </c>
      <c r="AF14" s="70"/>
      <c r="AG14" s="70"/>
      <c r="AH14" s="70" t="s">
        <v>323</v>
      </c>
      <c r="AI14" s="70"/>
      <c r="AJ14" s="70"/>
      <c r="AK14" s="70" t="s">
        <v>317</v>
      </c>
      <c r="AL14" s="70" t="s">
        <v>347</v>
      </c>
      <c r="AM14" s="70"/>
      <c r="AN14" s="70"/>
      <c r="AO14" s="70"/>
      <c r="AP14" s="70" t="s">
        <v>316</v>
      </c>
      <c r="AQ14" s="70"/>
      <c r="AR14" s="70"/>
      <c r="AS14" s="70" t="s">
        <v>351</v>
      </c>
      <c r="AT14" s="70"/>
      <c r="AU14" s="70"/>
      <c r="AV14" s="70"/>
      <c r="AW14" s="70"/>
      <c r="AX14" s="70"/>
      <c r="AY14" s="70"/>
      <c r="AZ14" s="70" t="s">
        <v>349</v>
      </c>
      <c r="BA14" s="70"/>
      <c r="BB14" s="70"/>
      <c r="BC14" s="70"/>
      <c r="BD14" s="70"/>
      <c r="BE14" s="70"/>
      <c r="BF14" s="70"/>
      <c r="BG14" s="70"/>
      <c r="BH14" s="70" t="s">
        <v>317</v>
      </c>
      <c r="BI14" s="70"/>
      <c r="BJ14" s="70"/>
      <c r="BK14" s="70"/>
      <c r="BL14" s="70" t="s">
        <v>317</v>
      </c>
      <c r="BM14" s="70"/>
      <c r="BN14" s="70"/>
    </row>
    <row r="15" spans="1:66" x14ac:dyDescent="0.25">
      <c r="A15" s="59">
        <v>7</v>
      </c>
      <c r="B15" s="67" t="s">
        <v>225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311</v>
      </c>
      <c r="K15" s="69" t="s">
        <v>312</v>
      </c>
      <c r="L15" s="69"/>
      <c r="M15" s="69"/>
      <c r="N15" s="69" t="s">
        <v>416</v>
      </c>
      <c r="O15" s="69" t="s">
        <v>371</v>
      </c>
      <c r="P15" s="69"/>
      <c r="Q15" s="69" t="s">
        <v>312</v>
      </c>
      <c r="R15" s="69" t="s">
        <v>360</v>
      </c>
      <c r="S15" s="69"/>
      <c r="T15" s="69"/>
      <c r="U15" s="69" t="s">
        <v>320</v>
      </c>
      <c r="V15" s="69"/>
      <c r="W15" s="69"/>
      <c r="X15" s="69" t="s">
        <v>312</v>
      </c>
      <c r="Y15" s="69"/>
      <c r="Z15" s="69"/>
      <c r="AA15" s="69"/>
      <c r="AB15" s="69" t="s">
        <v>317</v>
      </c>
      <c r="AC15" s="69" t="s">
        <v>312</v>
      </c>
      <c r="AD15" s="69" t="s">
        <v>312</v>
      </c>
      <c r="AE15" s="69" t="s">
        <v>355</v>
      </c>
      <c r="AF15" s="69" t="s">
        <v>312</v>
      </c>
      <c r="AG15" s="69" t="s">
        <v>315</v>
      </c>
      <c r="AH15" s="69"/>
      <c r="AI15" s="69" t="s">
        <v>312</v>
      </c>
      <c r="AJ15" s="69" t="s">
        <v>312</v>
      </c>
      <c r="AK15" s="69"/>
      <c r="AL15" s="69"/>
      <c r="AM15" s="69"/>
      <c r="AN15" s="69" t="s">
        <v>317</v>
      </c>
      <c r="AO15" s="69" t="s">
        <v>317</v>
      </c>
      <c r="AP15" s="69" t="s">
        <v>364</v>
      </c>
      <c r="AQ15" s="69"/>
      <c r="AR15" s="69" t="s">
        <v>317</v>
      </c>
      <c r="AS15" s="69" t="s">
        <v>319</v>
      </c>
      <c r="AT15" s="69" t="s">
        <v>334</v>
      </c>
      <c r="AU15" s="69" t="s">
        <v>312</v>
      </c>
      <c r="AV15" s="69" t="s">
        <v>312</v>
      </c>
      <c r="AW15" s="69" t="s">
        <v>320</v>
      </c>
      <c r="AX15" s="69" t="s">
        <v>312</v>
      </c>
      <c r="AY15" s="69" t="s">
        <v>311</v>
      </c>
      <c r="AZ15" s="69" t="s">
        <v>397</v>
      </c>
      <c r="BA15" s="69" t="s">
        <v>317</v>
      </c>
      <c r="BB15" s="69" t="s">
        <v>312</v>
      </c>
      <c r="BC15" s="69" t="s">
        <v>375</v>
      </c>
      <c r="BD15" s="69" t="s">
        <v>312</v>
      </c>
      <c r="BE15" s="69"/>
      <c r="BF15" s="69" t="s">
        <v>387</v>
      </c>
      <c r="BG15" s="69"/>
      <c r="BH15" s="69"/>
      <c r="BI15" s="69" t="s">
        <v>312</v>
      </c>
      <c r="BJ15" s="69" t="s">
        <v>321</v>
      </c>
      <c r="BK15" s="69"/>
      <c r="BL15" s="69"/>
      <c r="BM15" s="69" t="s">
        <v>388</v>
      </c>
      <c r="BN15" s="69" t="s">
        <v>312</v>
      </c>
    </row>
    <row r="16" spans="1:66" x14ac:dyDescent="0.25">
      <c r="A16" s="61" t="s">
        <v>3</v>
      </c>
      <c r="B16" s="68" t="s">
        <v>227</v>
      </c>
      <c r="C16" s="66">
        <v>14.5</v>
      </c>
      <c r="D16" s="64">
        <v>45</v>
      </c>
      <c r="E16" s="64">
        <f>IF(ISBLANK($D16),"0",IF(($D16-$D15)&gt;($C16-$C15),1,0))</f>
        <v>1</v>
      </c>
      <c r="F16" s="64">
        <f t="shared" ca="1" si="1"/>
        <v>20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/>
      <c r="L16" s="70" t="s">
        <v>313</v>
      </c>
      <c r="M16" s="70" t="s">
        <v>312</v>
      </c>
      <c r="N16" s="70"/>
      <c r="O16" s="70"/>
      <c r="P16" s="70" t="s">
        <v>317</v>
      </c>
      <c r="Q16" s="70"/>
      <c r="R16" s="70"/>
      <c r="S16" s="70" t="s">
        <v>324</v>
      </c>
      <c r="T16" s="70" t="s">
        <v>323</v>
      </c>
      <c r="U16" s="70"/>
      <c r="V16" s="70" t="s">
        <v>377</v>
      </c>
      <c r="W16" s="70" t="s">
        <v>317</v>
      </c>
      <c r="X16" s="70"/>
      <c r="Y16" s="70" t="s">
        <v>347</v>
      </c>
      <c r="Z16" s="70" t="s">
        <v>331</v>
      </c>
      <c r="AA16" s="70" t="s">
        <v>354</v>
      </c>
      <c r="AB16" s="70"/>
      <c r="AC16" s="70"/>
      <c r="AD16" s="70"/>
      <c r="AE16" s="70"/>
      <c r="AF16" s="70"/>
      <c r="AG16" s="70"/>
      <c r="AH16" s="70" t="s">
        <v>350</v>
      </c>
      <c r="AI16" s="70"/>
      <c r="AJ16" s="70"/>
      <c r="AK16" s="70" t="s">
        <v>317</v>
      </c>
      <c r="AL16" s="70" t="s">
        <v>347</v>
      </c>
      <c r="AM16" s="70" t="s">
        <v>341</v>
      </c>
      <c r="AN16" s="70"/>
      <c r="AO16" s="70"/>
      <c r="AP16" s="70"/>
      <c r="AQ16" s="70" t="s">
        <v>354</v>
      </c>
      <c r="AR16" s="10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 t="s">
        <v>367</v>
      </c>
      <c r="BF16" s="70"/>
      <c r="BG16" s="70" t="s">
        <v>321</v>
      </c>
      <c r="BH16" s="70" t="s">
        <v>317</v>
      </c>
      <c r="BI16" s="70"/>
      <c r="BJ16" s="70"/>
      <c r="BK16" s="70" t="s">
        <v>472</v>
      </c>
      <c r="BL16" s="70" t="s">
        <v>317</v>
      </c>
      <c r="BM16" s="70"/>
      <c r="BN16" s="70"/>
    </row>
    <row r="17" spans="1:66" x14ac:dyDescent="0.25">
      <c r="A17" s="59">
        <v>8</v>
      </c>
      <c r="B17" s="67" t="s">
        <v>174</v>
      </c>
      <c r="C17" s="65">
        <v>2.5</v>
      </c>
      <c r="D17" s="64">
        <v>21</v>
      </c>
      <c r="E17" s="64">
        <f>IF(ISBLANK($D17),"0",IF(($D18-$D17)&lt;($C18-$C17),1,0))</f>
        <v>1</v>
      </c>
      <c r="F17" s="64">
        <f t="shared" ca="1" si="1"/>
        <v>35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312</v>
      </c>
      <c r="L17" s="69"/>
      <c r="M17" s="69"/>
      <c r="N17" s="69" t="s">
        <v>416</v>
      </c>
      <c r="O17" s="69"/>
      <c r="P17" s="69" t="s">
        <v>317</v>
      </c>
      <c r="Q17" s="69" t="s">
        <v>312</v>
      </c>
      <c r="R17" s="69" t="s">
        <v>334</v>
      </c>
      <c r="S17" s="69" t="s">
        <v>331</v>
      </c>
      <c r="T17" s="69" t="s">
        <v>325</v>
      </c>
      <c r="U17" s="69" t="s">
        <v>325</v>
      </c>
      <c r="V17" s="69" t="s">
        <v>323</v>
      </c>
      <c r="W17" s="69"/>
      <c r="X17" s="69"/>
      <c r="Y17" s="69"/>
      <c r="Z17" s="69" t="s">
        <v>343</v>
      </c>
      <c r="AA17" s="69"/>
      <c r="AB17" s="69"/>
      <c r="AC17" s="69" t="s">
        <v>312</v>
      </c>
      <c r="AD17" s="69" t="s">
        <v>312</v>
      </c>
      <c r="AE17" s="69" t="s">
        <v>355</v>
      </c>
      <c r="AF17" s="69" t="s">
        <v>312</v>
      </c>
      <c r="AG17" s="69"/>
      <c r="AH17" s="69"/>
      <c r="AI17" s="69" t="s">
        <v>312</v>
      </c>
      <c r="AJ17" s="69" t="s">
        <v>312</v>
      </c>
      <c r="AK17" s="69" t="s">
        <v>317</v>
      </c>
      <c r="AL17" s="69"/>
      <c r="AM17" s="69" t="s">
        <v>311</v>
      </c>
      <c r="AN17" s="69"/>
      <c r="AO17" s="69" t="s">
        <v>317</v>
      </c>
      <c r="AP17" s="69" t="s">
        <v>348</v>
      </c>
      <c r="AQ17" s="69"/>
      <c r="AR17" s="99"/>
      <c r="AS17" s="69" t="s">
        <v>322</v>
      </c>
      <c r="AT17" s="69"/>
      <c r="AU17" s="69" t="s">
        <v>312</v>
      </c>
      <c r="AV17" s="69" t="s">
        <v>312</v>
      </c>
      <c r="AW17" s="69" t="s">
        <v>440</v>
      </c>
      <c r="AX17" s="69" t="s">
        <v>312</v>
      </c>
      <c r="AY17" s="69" t="s">
        <v>324</v>
      </c>
      <c r="AZ17" s="69" t="s">
        <v>351</v>
      </c>
      <c r="BA17" s="69"/>
      <c r="BB17" s="69" t="s">
        <v>312</v>
      </c>
      <c r="BC17" s="69" t="s">
        <v>375</v>
      </c>
      <c r="BD17" s="69" t="s">
        <v>312</v>
      </c>
      <c r="BE17" s="69"/>
      <c r="BF17" s="69"/>
      <c r="BG17" s="69"/>
      <c r="BH17" s="69"/>
      <c r="BI17" s="69" t="s">
        <v>312</v>
      </c>
      <c r="BJ17" s="69" t="s">
        <v>321</v>
      </c>
      <c r="BK17" s="69" t="s">
        <v>472</v>
      </c>
      <c r="BL17" s="69"/>
      <c r="BM17" s="69" t="s">
        <v>388</v>
      </c>
      <c r="BN17" s="69" t="s">
        <v>312</v>
      </c>
    </row>
    <row r="18" spans="1:66" x14ac:dyDescent="0.25">
      <c r="A18" s="61" t="s">
        <v>3</v>
      </c>
      <c r="B18" s="68" t="s">
        <v>268</v>
      </c>
      <c r="C18" s="66"/>
      <c r="D18" s="64">
        <v>7</v>
      </c>
      <c r="E18" s="64">
        <f>IF(ISBLANK($D18),"0",IF(($D18-$D17)&gt;($C18-$C17),1,0))</f>
        <v>0</v>
      </c>
      <c r="F18" s="64">
        <f t="shared" ca="1" si="1"/>
        <v>21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311</v>
      </c>
      <c r="K18" s="70"/>
      <c r="L18" s="70" t="s">
        <v>313</v>
      </c>
      <c r="M18" s="70" t="s">
        <v>312</v>
      </c>
      <c r="N18" s="70"/>
      <c r="O18" s="70" t="s">
        <v>371</v>
      </c>
      <c r="P18" s="70"/>
      <c r="Q18" s="70"/>
      <c r="R18" s="70"/>
      <c r="S18" s="70"/>
      <c r="T18" s="70"/>
      <c r="U18" s="70"/>
      <c r="V18" s="70"/>
      <c r="W18" s="70" t="s">
        <v>317</v>
      </c>
      <c r="X18" s="70" t="s">
        <v>312</v>
      </c>
      <c r="Y18" s="70" t="s">
        <v>329</v>
      </c>
      <c r="Z18" s="70"/>
      <c r="AA18" s="70" t="s">
        <v>354</v>
      </c>
      <c r="AB18" s="70" t="s">
        <v>317</v>
      </c>
      <c r="AC18" s="70"/>
      <c r="AD18" s="70"/>
      <c r="AE18" s="70"/>
      <c r="AF18" s="70"/>
      <c r="AG18" s="70" t="s">
        <v>323</v>
      </c>
      <c r="AH18" s="70" t="s">
        <v>339</v>
      </c>
      <c r="AI18" s="70"/>
      <c r="AJ18" s="70"/>
      <c r="AK18" s="70"/>
      <c r="AL18" s="70" t="s">
        <v>347</v>
      </c>
      <c r="AM18" s="70"/>
      <c r="AN18" s="70" t="s">
        <v>317</v>
      </c>
      <c r="AO18" s="70"/>
      <c r="AP18" s="70"/>
      <c r="AQ18" s="70" t="s">
        <v>354</v>
      </c>
      <c r="AR18" s="70" t="s">
        <v>317</v>
      </c>
      <c r="AS18" s="70"/>
      <c r="AT18" s="70" t="s">
        <v>334</v>
      </c>
      <c r="AU18" s="70"/>
      <c r="AV18" s="70"/>
      <c r="AW18" s="70"/>
      <c r="AX18" s="70"/>
      <c r="AY18" s="70"/>
      <c r="AZ18" s="70"/>
      <c r="BA18" s="70" t="s">
        <v>317</v>
      </c>
      <c r="BB18" s="70"/>
      <c r="BC18" s="70"/>
      <c r="BD18" s="70"/>
      <c r="BE18" s="70" t="s">
        <v>367</v>
      </c>
      <c r="BF18" s="70" t="s">
        <v>387</v>
      </c>
      <c r="BG18" s="70" t="s">
        <v>321</v>
      </c>
      <c r="BH18" s="70" t="s">
        <v>317</v>
      </c>
      <c r="BI18" s="70"/>
      <c r="BJ18" s="70"/>
      <c r="BK18" s="70"/>
      <c r="BL18" s="70" t="s">
        <v>317</v>
      </c>
      <c r="BM18" s="70"/>
      <c r="BN18" s="70"/>
    </row>
    <row r="19" spans="1:66" x14ac:dyDescent="0.25">
      <c r="A19" s="59">
        <v>9</v>
      </c>
      <c r="B19" s="67" t="s">
        <v>159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312</v>
      </c>
      <c r="L19" s="69"/>
      <c r="M19" s="69" t="s">
        <v>312</v>
      </c>
      <c r="N19" s="69"/>
      <c r="O19" s="69"/>
      <c r="P19" s="69"/>
      <c r="Q19" s="69" t="s">
        <v>312</v>
      </c>
      <c r="R19" s="69" t="s">
        <v>344</v>
      </c>
      <c r="S19" s="69"/>
      <c r="T19" s="69"/>
      <c r="U19" s="69" t="s">
        <v>337</v>
      </c>
      <c r="V19" s="69"/>
      <c r="W19" s="69"/>
      <c r="X19" s="69"/>
      <c r="Y19" s="69"/>
      <c r="Z19" s="69"/>
      <c r="AA19" s="69"/>
      <c r="AB19" s="69" t="s">
        <v>317</v>
      </c>
      <c r="AC19" s="69" t="s">
        <v>312</v>
      </c>
      <c r="AD19" s="69" t="s">
        <v>312</v>
      </c>
      <c r="AE19" s="69" t="s">
        <v>355</v>
      </c>
      <c r="AF19" s="69" t="s">
        <v>312</v>
      </c>
      <c r="AG19" s="69"/>
      <c r="AH19" s="69"/>
      <c r="AI19" s="69" t="s">
        <v>312</v>
      </c>
      <c r="AJ19" s="69" t="s">
        <v>312</v>
      </c>
      <c r="AK19" s="69"/>
      <c r="AL19" s="69"/>
      <c r="AM19" s="69"/>
      <c r="AN19" s="69"/>
      <c r="AO19" s="69"/>
      <c r="AP19" s="69" t="s">
        <v>349</v>
      </c>
      <c r="AQ19" s="69" t="s">
        <v>354</v>
      </c>
      <c r="AR19" s="69"/>
      <c r="AS19" s="69" t="s">
        <v>360</v>
      </c>
      <c r="AT19" s="69"/>
      <c r="AU19" s="69" t="s">
        <v>312</v>
      </c>
      <c r="AV19" s="69" t="s">
        <v>312</v>
      </c>
      <c r="AW19" s="69"/>
      <c r="AX19" s="69" t="s">
        <v>312</v>
      </c>
      <c r="AY19" s="69"/>
      <c r="AZ19" s="69"/>
      <c r="BA19" s="69"/>
      <c r="BB19" s="69" t="s">
        <v>312</v>
      </c>
      <c r="BC19" s="69"/>
      <c r="BD19" s="69" t="s">
        <v>312</v>
      </c>
      <c r="BE19" s="69"/>
      <c r="BF19" s="69"/>
      <c r="BG19" s="69"/>
      <c r="BH19" s="69"/>
      <c r="BI19" s="69" t="s">
        <v>312</v>
      </c>
      <c r="BJ19" s="69"/>
      <c r="BK19" s="69"/>
      <c r="BL19" s="69"/>
      <c r="BM19" s="69"/>
      <c r="BN19" s="69" t="s">
        <v>312</v>
      </c>
    </row>
    <row r="20" spans="1:66" x14ac:dyDescent="0.25">
      <c r="A20" s="61" t="s">
        <v>3</v>
      </c>
      <c r="B20" s="68" t="s">
        <v>265</v>
      </c>
      <c r="C20" s="66">
        <v>6.5</v>
      </c>
      <c r="D20" s="64">
        <v>28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311</v>
      </c>
      <c r="K20" s="70"/>
      <c r="L20" s="70" t="s">
        <v>313</v>
      </c>
      <c r="M20" s="70"/>
      <c r="N20" s="70" t="s">
        <v>416</v>
      </c>
      <c r="O20" s="70" t="s">
        <v>371</v>
      </c>
      <c r="P20" s="70" t="s">
        <v>317</v>
      </c>
      <c r="Q20" s="70"/>
      <c r="R20" s="70"/>
      <c r="S20" s="70" t="s">
        <v>335</v>
      </c>
      <c r="T20" s="70" t="s">
        <v>335</v>
      </c>
      <c r="U20" s="70"/>
      <c r="V20" s="70" t="s">
        <v>336</v>
      </c>
      <c r="W20" s="70" t="s">
        <v>317</v>
      </c>
      <c r="X20" s="70" t="s">
        <v>312</v>
      </c>
      <c r="Y20" s="70" t="s">
        <v>333</v>
      </c>
      <c r="Z20" s="70" t="s">
        <v>319</v>
      </c>
      <c r="AA20" s="70" t="s">
        <v>354</v>
      </c>
      <c r="AB20" s="70"/>
      <c r="AC20" s="70"/>
      <c r="AD20" s="70"/>
      <c r="AE20" s="70"/>
      <c r="AF20" s="70"/>
      <c r="AG20" s="70" t="s">
        <v>363</v>
      </c>
      <c r="AH20" s="70" t="s">
        <v>335</v>
      </c>
      <c r="AI20" s="70"/>
      <c r="AJ20" s="70"/>
      <c r="AK20" s="70" t="s">
        <v>317</v>
      </c>
      <c r="AL20" s="70" t="s">
        <v>347</v>
      </c>
      <c r="AM20" s="70" t="s">
        <v>326</v>
      </c>
      <c r="AN20" s="70" t="s">
        <v>317</v>
      </c>
      <c r="AO20" s="70" t="s">
        <v>317</v>
      </c>
      <c r="AP20" s="70"/>
      <c r="AQ20" s="70"/>
      <c r="AR20" s="100" t="s">
        <v>317</v>
      </c>
      <c r="AS20" s="70"/>
      <c r="AT20" s="70" t="s">
        <v>334</v>
      </c>
      <c r="AU20" s="70"/>
      <c r="AV20" s="70"/>
      <c r="AW20" s="70" t="s">
        <v>490</v>
      </c>
      <c r="AX20" s="70"/>
      <c r="AY20" s="70" t="s">
        <v>491</v>
      </c>
      <c r="AZ20" s="70" t="s">
        <v>323</v>
      </c>
      <c r="BA20" s="70" t="s">
        <v>317</v>
      </c>
      <c r="BB20" s="70"/>
      <c r="BC20" s="70" t="s">
        <v>375</v>
      </c>
      <c r="BD20" s="70"/>
      <c r="BE20" s="70" t="s">
        <v>367</v>
      </c>
      <c r="BF20" s="70" t="s">
        <v>387</v>
      </c>
      <c r="BG20" s="70" t="s">
        <v>321</v>
      </c>
      <c r="BH20" s="70" t="s">
        <v>317</v>
      </c>
      <c r="BI20" s="70"/>
      <c r="BJ20" s="70" t="s">
        <v>321</v>
      </c>
      <c r="BK20" s="70" t="s">
        <v>472</v>
      </c>
      <c r="BL20" s="70" t="s">
        <v>317</v>
      </c>
      <c r="BM20" s="70" t="s">
        <v>388</v>
      </c>
      <c r="BN20" s="70"/>
    </row>
    <row r="21" spans="1:66" x14ac:dyDescent="0.25">
      <c r="A21" s="59">
        <v>10</v>
      </c>
      <c r="B21" s="67" t="s">
        <v>175</v>
      </c>
      <c r="C21" s="65"/>
      <c r="D21" s="64">
        <v>13</v>
      </c>
      <c r="E21" s="64">
        <f>IF(ISBLANK($D21),"0",IF(($D22-$D21)&lt;($C22-$C21),1,0))</f>
        <v>0</v>
      </c>
      <c r="F21" s="64">
        <f t="shared" ca="1" si="1"/>
        <v>31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312</v>
      </c>
      <c r="L21" s="69" t="s">
        <v>313</v>
      </c>
      <c r="M21" s="69"/>
      <c r="N21" s="69"/>
      <c r="O21" s="69" t="s">
        <v>413</v>
      </c>
      <c r="P21" s="69" t="s">
        <v>317</v>
      </c>
      <c r="Q21" s="69" t="s">
        <v>312</v>
      </c>
      <c r="R21" s="69" t="s">
        <v>408</v>
      </c>
      <c r="S21" s="69" t="s">
        <v>325</v>
      </c>
      <c r="T21" s="69"/>
      <c r="U21" s="69" t="s">
        <v>367</v>
      </c>
      <c r="V21" s="69"/>
      <c r="W21" s="69" t="s">
        <v>317</v>
      </c>
      <c r="X21" s="69" t="s">
        <v>312</v>
      </c>
      <c r="Y21" s="69" t="s">
        <v>331</v>
      </c>
      <c r="Z21" s="69"/>
      <c r="AA21" s="69"/>
      <c r="AB21" s="69"/>
      <c r="AC21" s="69" t="s">
        <v>312</v>
      </c>
      <c r="AD21" s="69" t="s">
        <v>312</v>
      </c>
      <c r="AE21" s="69"/>
      <c r="AF21" s="69" t="s">
        <v>312</v>
      </c>
      <c r="AG21" s="69"/>
      <c r="AH21" s="69" t="s">
        <v>489</v>
      </c>
      <c r="AI21" s="69" t="s">
        <v>312</v>
      </c>
      <c r="AJ21" s="69" t="s">
        <v>312</v>
      </c>
      <c r="AK21" s="69"/>
      <c r="AL21" s="69"/>
      <c r="AM21" s="69" t="s">
        <v>326</v>
      </c>
      <c r="AN21" s="69"/>
      <c r="AO21" s="69" t="s">
        <v>317</v>
      </c>
      <c r="AP21" s="69" t="s">
        <v>346</v>
      </c>
      <c r="AQ21" s="69"/>
      <c r="AR21" s="99"/>
      <c r="AS21" s="69" t="s">
        <v>322</v>
      </c>
      <c r="AT21" s="69"/>
      <c r="AU21" s="69" t="s">
        <v>312</v>
      </c>
      <c r="AV21" s="69" t="s">
        <v>312</v>
      </c>
      <c r="AW21" s="69"/>
      <c r="AX21" s="69" t="s">
        <v>312</v>
      </c>
      <c r="AY21" s="69"/>
      <c r="AZ21" s="69"/>
      <c r="BA21" s="69"/>
      <c r="BB21" s="69" t="s">
        <v>312</v>
      </c>
      <c r="BC21" s="69" t="s">
        <v>375</v>
      </c>
      <c r="BD21" s="69" t="s">
        <v>312</v>
      </c>
      <c r="BE21" s="69" t="s">
        <v>367</v>
      </c>
      <c r="BF21" s="69"/>
      <c r="BG21" s="69"/>
      <c r="BH21" s="69"/>
      <c r="BI21" s="69" t="s">
        <v>312</v>
      </c>
      <c r="BJ21" s="69"/>
      <c r="BK21" s="69" t="s">
        <v>472</v>
      </c>
      <c r="BL21" s="69"/>
      <c r="BM21" s="69"/>
      <c r="BN21" s="69" t="s">
        <v>312</v>
      </c>
    </row>
    <row r="22" spans="1:66" x14ac:dyDescent="0.25">
      <c r="A22" s="61" t="s">
        <v>3</v>
      </c>
      <c r="B22" s="68" t="s">
        <v>169</v>
      </c>
      <c r="C22" s="66">
        <v>4.5</v>
      </c>
      <c r="D22" s="64">
        <v>34</v>
      </c>
      <c r="E22" s="64">
        <f>IF(ISBLANK($D22),"0",IF(($D22-$D21)&gt;($C22-$C21),1,0))</f>
        <v>1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311</v>
      </c>
      <c r="K22" s="70"/>
      <c r="L22" s="70"/>
      <c r="M22" s="70" t="s">
        <v>312</v>
      </c>
      <c r="N22" s="70" t="s">
        <v>416</v>
      </c>
      <c r="O22" s="70"/>
      <c r="P22" s="70"/>
      <c r="Q22" s="70"/>
      <c r="R22" s="70"/>
      <c r="S22" s="70"/>
      <c r="T22" s="70" t="s">
        <v>323</v>
      </c>
      <c r="U22" s="70"/>
      <c r="V22" s="70" t="s">
        <v>342</v>
      </c>
      <c r="W22" s="70"/>
      <c r="X22" s="70"/>
      <c r="Y22" s="70"/>
      <c r="Z22" s="70" t="s">
        <v>326</v>
      </c>
      <c r="AA22" s="70" t="s">
        <v>354</v>
      </c>
      <c r="AB22" s="70" t="s">
        <v>317</v>
      </c>
      <c r="AC22" s="70"/>
      <c r="AD22" s="70"/>
      <c r="AE22" s="70" t="s">
        <v>355</v>
      </c>
      <c r="AF22" s="70"/>
      <c r="AG22" s="70" t="s">
        <v>324</v>
      </c>
      <c r="AH22" s="70"/>
      <c r="AI22" s="70"/>
      <c r="AJ22" s="70"/>
      <c r="AK22" s="70" t="s">
        <v>317</v>
      </c>
      <c r="AL22" s="70" t="s">
        <v>347</v>
      </c>
      <c r="AM22" s="70"/>
      <c r="AN22" s="70" t="s">
        <v>317</v>
      </c>
      <c r="AO22" s="70"/>
      <c r="AP22" s="70"/>
      <c r="AQ22" s="70" t="s">
        <v>354</v>
      </c>
      <c r="AR22" s="70" t="s">
        <v>317</v>
      </c>
      <c r="AS22" s="70"/>
      <c r="AT22" s="70" t="s">
        <v>334</v>
      </c>
      <c r="AU22" s="70"/>
      <c r="AV22" s="70"/>
      <c r="AW22" s="70" t="s">
        <v>412</v>
      </c>
      <c r="AX22" s="70"/>
      <c r="AY22" s="70" t="s">
        <v>367</v>
      </c>
      <c r="AZ22" s="70" t="s">
        <v>350</v>
      </c>
      <c r="BA22" s="70" t="s">
        <v>317</v>
      </c>
      <c r="BB22" s="70"/>
      <c r="BC22" s="70"/>
      <c r="BD22" s="70"/>
      <c r="BE22" s="70"/>
      <c r="BF22" s="70" t="s">
        <v>387</v>
      </c>
      <c r="BG22" s="70" t="s">
        <v>321</v>
      </c>
      <c r="BH22" s="70" t="s">
        <v>317</v>
      </c>
      <c r="BI22" s="70"/>
      <c r="BJ22" s="70" t="s">
        <v>321</v>
      </c>
      <c r="BK22" s="70"/>
      <c r="BL22" s="70" t="s">
        <v>317</v>
      </c>
      <c r="BM22" s="70" t="s">
        <v>388</v>
      </c>
      <c r="BN22" s="70"/>
    </row>
    <row r="23" spans="1:66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20</v>
      </c>
      <c r="K23" s="78">
        <v>27</v>
      </c>
      <c r="L23" s="78">
        <v>44</v>
      </c>
      <c r="M23" s="78">
        <v>17</v>
      </c>
      <c r="N23" s="80">
        <v>20</v>
      </c>
      <c r="O23" s="78">
        <v>21</v>
      </c>
      <c r="P23" s="78">
        <v>17</v>
      </c>
      <c r="Q23" s="78">
        <v>27</v>
      </c>
      <c r="R23" s="78">
        <v>22</v>
      </c>
      <c r="S23" s="78">
        <v>31</v>
      </c>
      <c r="T23" s="78">
        <v>10</v>
      </c>
      <c r="U23" s="78">
        <v>21</v>
      </c>
      <c r="V23" s="78">
        <v>14</v>
      </c>
      <c r="W23" s="78">
        <v>28</v>
      </c>
      <c r="X23" s="78">
        <v>35</v>
      </c>
      <c r="Y23" s="78">
        <v>44</v>
      </c>
      <c r="Z23" s="78">
        <v>37</v>
      </c>
      <c r="AA23" s="78">
        <v>17</v>
      </c>
      <c r="AB23" s="78">
        <v>21</v>
      </c>
      <c r="AC23" s="78">
        <v>27</v>
      </c>
      <c r="AD23" s="78">
        <v>27</v>
      </c>
      <c r="AE23" s="78">
        <v>17</v>
      </c>
      <c r="AF23" s="78">
        <v>27</v>
      </c>
      <c r="AG23" s="78">
        <v>17</v>
      </c>
      <c r="AH23" s="78">
        <v>35</v>
      </c>
      <c r="AI23" s="78">
        <v>27</v>
      </c>
      <c r="AJ23" s="78">
        <v>27</v>
      </c>
      <c r="AK23" s="78">
        <v>17</v>
      </c>
      <c r="AL23" s="78">
        <v>20</v>
      </c>
      <c r="AM23" s="78">
        <v>27</v>
      </c>
      <c r="AN23" s="78">
        <v>17</v>
      </c>
      <c r="AO23" s="78">
        <v>24</v>
      </c>
      <c r="AP23" s="78">
        <v>13</v>
      </c>
      <c r="AQ23" s="78">
        <v>28</v>
      </c>
      <c r="AR23" s="78">
        <v>17</v>
      </c>
      <c r="AS23" s="78">
        <v>17</v>
      </c>
      <c r="AT23" s="78">
        <v>21</v>
      </c>
      <c r="AU23" s="78">
        <v>27</v>
      </c>
      <c r="AV23" s="78">
        <v>27</v>
      </c>
      <c r="AW23" s="78">
        <v>20</v>
      </c>
      <c r="AX23" s="78">
        <v>27</v>
      </c>
      <c r="AY23" s="78">
        <v>17</v>
      </c>
      <c r="AZ23" s="78">
        <v>17</v>
      </c>
      <c r="BA23" s="78">
        <v>21</v>
      </c>
      <c r="BB23" s="78">
        <v>27</v>
      </c>
      <c r="BC23" s="78">
        <v>27</v>
      </c>
      <c r="BD23" s="78">
        <v>27</v>
      </c>
      <c r="BE23" s="78">
        <v>20</v>
      </c>
      <c r="BF23" s="78">
        <v>14</v>
      </c>
      <c r="BG23" s="78">
        <v>22</v>
      </c>
      <c r="BH23" s="78">
        <v>12</v>
      </c>
      <c r="BI23" s="78">
        <v>27</v>
      </c>
      <c r="BJ23" s="78">
        <v>17</v>
      </c>
      <c r="BK23" s="78">
        <v>31</v>
      </c>
      <c r="BL23" s="78">
        <v>15</v>
      </c>
      <c r="BM23" s="78">
        <v>20</v>
      </c>
      <c r="BN23" s="78">
        <v>27</v>
      </c>
    </row>
    <row r="24" spans="1:66" x14ac:dyDescent="0.2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28</v>
      </c>
      <c r="K24" s="79">
        <v>31</v>
      </c>
      <c r="L24" s="79">
        <v>30</v>
      </c>
      <c r="M24" s="79">
        <v>24</v>
      </c>
      <c r="N24" s="79">
        <v>26</v>
      </c>
      <c r="O24" s="79">
        <v>17</v>
      </c>
      <c r="P24" s="79">
        <v>16</v>
      </c>
      <c r="Q24" s="79">
        <v>31</v>
      </c>
      <c r="R24" s="79">
        <v>24</v>
      </c>
      <c r="S24" s="79">
        <v>27</v>
      </c>
      <c r="T24" s="79">
        <v>24</v>
      </c>
      <c r="U24" s="79">
        <v>24</v>
      </c>
      <c r="V24" s="79">
        <v>28</v>
      </c>
      <c r="W24" s="79">
        <v>21</v>
      </c>
      <c r="X24" s="79">
        <v>17</v>
      </c>
      <c r="Y24" s="79">
        <v>39</v>
      </c>
      <c r="Z24" s="79">
        <v>42</v>
      </c>
      <c r="AA24" s="79">
        <v>27</v>
      </c>
      <c r="AB24" s="79">
        <v>27</v>
      </c>
      <c r="AC24" s="79">
        <v>31</v>
      </c>
      <c r="AD24" s="79">
        <v>31</v>
      </c>
      <c r="AE24" s="79">
        <v>28</v>
      </c>
      <c r="AF24" s="79">
        <v>31</v>
      </c>
      <c r="AG24" s="79">
        <v>36</v>
      </c>
      <c r="AH24" s="79">
        <v>31</v>
      </c>
      <c r="AI24" s="79">
        <v>31</v>
      </c>
      <c r="AJ24" s="79">
        <v>31</v>
      </c>
      <c r="AK24" s="79">
        <v>24</v>
      </c>
      <c r="AL24" s="79">
        <v>31</v>
      </c>
      <c r="AM24" s="79">
        <v>24</v>
      </c>
      <c r="AN24" s="79">
        <v>24</v>
      </c>
      <c r="AO24" s="79">
        <v>21</v>
      </c>
      <c r="AP24" s="79">
        <v>17</v>
      </c>
      <c r="AQ24" s="79">
        <v>35</v>
      </c>
      <c r="AR24" s="79">
        <v>24</v>
      </c>
      <c r="AS24" s="79">
        <v>20</v>
      </c>
      <c r="AT24" s="79">
        <v>33</v>
      </c>
      <c r="AU24" s="79">
        <v>31</v>
      </c>
      <c r="AV24" s="79">
        <v>31</v>
      </c>
      <c r="AW24" s="79">
        <v>28</v>
      </c>
      <c r="AX24" s="79">
        <v>31</v>
      </c>
      <c r="AY24" s="79">
        <v>28</v>
      </c>
      <c r="AZ24" s="79">
        <v>24</v>
      </c>
      <c r="BA24" s="79">
        <v>35</v>
      </c>
      <c r="BB24" s="79">
        <v>31</v>
      </c>
      <c r="BC24" s="79">
        <v>21</v>
      </c>
      <c r="BD24" s="79">
        <v>31</v>
      </c>
      <c r="BE24" s="79">
        <v>21</v>
      </c>
      <c r="BF24" s="79">
        <v>21</v>
      </c>
      <c r="BG24" s="79">
        <v>34</v>
      </c>
      <c r="BH24" s="79">
        <v>20</v>
      </c>
      <c r="BI24" s="79">
        <v>31</v>
      </c>
      <c r="BJ24" s="79">
        <v>24</v>
      </c>
      <c r="BK24" s="79">
        <v>17</v>
      </c>
      <c r="BL24" s="79">
        <v>31</v>
      </c>
      <c r="BM24" s="79">
        <v>27</v>
      </c>
      <c r="BN24" s="79">
        <v>31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8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2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5</v>
      </c>
      <c r="Q25" s="36">
        <f t="shared" si="3"/>
        <v>2</v>
      </c>
      <c r="R25" s="36">
        <f t="shared" si="3"/>
        <v>4</v>
      </c>
      <c r="S25" s="36">
        <f t="shared" si="3"/>
        <v>4</v>
      </c>
      <c r="T25" s="36">
        <f t="shared" si="3"/>
        <v>7</v>
      </c>
      <c r="U25" s="36">
        <f t="shared" si="3"/>
        <v>4</v>
      </c>
      <c r="V25" s="36">
        <f t="shared" si="3"/>
        <v>7</v>
      </c>
      <c r="W25" s="36">
        <f t="shared" si="3"/>
        <v>6</v>
      </c>
      <c r="X25" s="36">
        <f t="shared" si="3"/>
        <v>3</v>
      </c>
      <c r="Y25" s="36">
        <f t="shared" si="3"/>
        <v>4</v>
      </c>
      <c r="Z25" s="36">
        <f t="shared" si="3"/>
        <v>8</v>
      </c>
      <c r="AA25" s="36">
        <f t="shared" si="3"/>
        <v>4</v>
      </c>
      <c r="AB25" s="36">
        <f t="shared" si="3"/>
        <v>4</v>
      </c>
      <c r="AC25" s="36">
        <f t="shared" si="3"/>
        <v>2</v>
      </c>
      <c r="AD25" s="36">
        <f t="shared" si="3"/>
        <v>2</v>
      </c>
      <c r="AE25" s="36">
        <f t="shared" si="3"/>
        <v>5</v>
      </c>
      <c r="AF25" s="36">
        <f t="shared" si="3"/>
        <v>2</v>
      </c>
      <c r="AG25" s="36">
        <f t="shared" si="3"/>
        <v>6</v>
      </c>
      <c r="AH25" s="36">
        <f t="shared" si="3"/>
        <v>4</v>
      </c>
      <c r="AI25" s="36">
        <f t="shared" si="3"/>
        <v>2</v>
      </c>
      <c r="AJ25" s="36">
        <f t="shared" si="3"/>
        <v>2</v>
      </c>
      <c r="AK25" s="36">
        <f t="shared" si="3"/>
        <v>6</v>
      </c>
      <c r="AL25" s="36">
        <f t="shared" si="3"/>
        <v>5</v>
      </c>
      <c r="AM25" s="36">
        <f t="shared" si="3"/>
        <v>7</v>
      </c>
      <c r="AN25" s="36">
        <f t="shared" si="3"/>
        <v>4</v>
      </c>
      <c r="AO25" s="36">
        <f t="shared" si="3"/>
        <v>3</v>
      </c>
      <c r="AP25" s="36">
        <f t="shared" si="3"/>
        <v>5</v>
      </c>
      <c r="AQ25" s="36">
        <f t="shared" si="3"/>
        <v>4</v>
      </c>
      <c r="AR25" s="36">
        <f t="shared" si="3"/>
        <v>5</v>
      </c>
      <c r="AS25" s="36">
        <f t="shared" si="3"/>
        <v>3</v>
      </c>
      <c r="AT25" s="36">
        <f t="shared" si="3"/>
        <v>6</v>
      </c>
      <c r="AU25" s="36">
        <f t="shared" si="3"/>
        <v>2</v>
      </c>
      <c r="AV25" s="36">
        <f t="shared" si="3"/>
        <v>2</v>
      </c>
      <c r="AW25" s="36">
        <f t="shared" si="3"/>
        <v>5</v>
      </c>
      <c r="AX25" s="36">
        <f t="shared" si="3"/>
        <v>2</v>
      </c>
      <c r="AY25" s="36">
        <f t="shared" si="3"/>
        <v>6</v>
      </c>
      <c r="AZ25" s="36">
        <f t="shared" si="3"/>
        <v>6</v>
      </c>
      <c r="BA25" s="36">
        <f t="shared" si="3"/>
        <v>6</v>
      </c>
      <c r="BB25" s="36">
        <f t="shared" si="3"/>
        <v>2</v>
      </c>
      <c r="BC25" s="36">
        <f t="shared" si="3"/>
        <v>4</v>
      </c>
      <c r="BD25" s="36">
        <f t="shared" si="3"/>
        <v>2</v>
      </c>
      <c r="BE25" s="36">
        <f t="shared" si="3"/>
        <v>5</v>
      </c>
      <c r="BF25" s="36">
        <f t="shared" si="3"/>
        <v>6</v>
      </c>
      <c r="BG25" s="36">
        <f t="shared" si="3"/>
        <v>7</v>
      </c>
      <c r="BH25" s="36">
        <f t="shared" si="3"/>
        <v>5</v>
      </c>
      <c r="BI25" s="36">
        <f t="shared" si="3"/>
        <v>2</v>
      </c>
      <c r="BJ25" s="36">
        <f t="shared" si="3"/>
        <v>5</v>
      </c>
      <c r="BK25" s="36">
        <f t="shared" si="3"/>
        <v>7</v>
      </c>
      <c r="BL25" s="36">
        <f t="shared" si="3"/>
        <v>7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  <c r="BN25" s="36">
        <f>(COUNTA(BN3)*$E3)+(COUNTA(BN4)*$E4)+(COUNTA(BN5)*$E5)+(COUNTA(BN6)*$E6)+(COUNTA(BN7)*$E7)+(COUNTA(BN8)*$E8)+(COUNTA(BN9)*$E9)+(COUNTA(BN10)*$E10)+(COUNTA(BN11)*$E11)+(COUNTA(BN12)*$E12)+(COUNTA(BN13)*$E13)+(COUNTA(BN14)*$E14)+(COUNTA(BN15)*$E15)+(COUNTA(BN16)*$E16)+(COUNTA(BN17)*$E17)+(COUNTA(BN18)*$E18)+(COUNTA(BN19)*$E19)+(COUNTA(BN20)*$E20)+(COUNTA(BN21)*$E21)+(COUNTA(BN22)*$E22)</f>
        <v>2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17</v>
      </c>
      <c r="L26" s="71">
        <f t="shared" ref="L26:BN26" si="4">ABS((L23-L24)-($D21-$D22))</f>
        <v>35</v>
      </c>
      <c r="M26" s="71">
        <f t="shared" si="4"/>
        <v>14</v>
      </c>
      <c r="N26" s="71">
        <f t="shared" si="4"/>
        <v>15</v>
      </c>
      <c r="O26" s="71">
        <f t="shared" si="4"/>
        <v>25</v>
      </c>
      <c r="P26" s="71">
        <f t="shared" si="4"/>
        <v>22</v>
      </c>
      <c r="Q26" s="71">
        <f t="shared" si="4"/>
        <v>17</v>
      </c>
      <c r="R26" s="71">
        <f t="shared" si="4"/>
        <v>19</v>
      </c>
      <c r="S26" s="71">
        <f t="shared" si="4"/>
        <v>25</v>
      </c>
      <c r="T26" s="71">
        <f t="shared" si="4"/>
        <v>7</v>
      </c>
      <c r="U26" s="71">
        <f t="shared" si="4"/>
        <v>18</v>
      </c>
      <c r="V26" s="71">
        <f t="shared" si="4"/>
        <v>7</v>
      </c>
      <c r="W26" s="71">
        <f t="shared" si="4"/>
        <v>28</v>
      </c>
      <c r="X26" s="71">
        <f t="shared" si="4"/>
        <v>39</v>
      </c>
      <c r="Y26" s="71">
        <f t="shared" si="4"/>
        <v>26</v>
      </c>
      <c r="Z26" s="71">
        <f t="shared" si="4"/>
        <v>16</v>
      </c>
      <c r="AA26" s="71">
        <f t="shared" si="4"/>
        <v>11</v>
      </c>
      <c r="AB26" s="71">
        <f t="shared" si="4"/>
        <v>15</v>
      </c>
      <c r="AC26" s="71">
        <f t="shared" si="4"/>
        <v>17</v>
      </c>
      <c r="AD26" s="71">
        <f t="shared" si="4"/>
        <v>17</v>
      </c>
      <c r="AE26" s="71">
        <f t="shared" si="4"/>
        <v>10</v>
      </c>
      <c r="AF26" s="71">
        <f t="shared" si="4"/>
        <v>17</v>
      </c>
      <c r="AG26" s="71">
        <f t="shared" si="4"/>
        <v>2</v>
      </c>
      <c r="AH26" s="71">
        <f t="shared" si="4"/>
        <v>25</v>
      </c>
      <c r="AI26" s="71">
        <f t="shared" si="4"/>
        <v>17</v>
      </c>
      <c r="AJ26" s="71">
        <f t="shared" si="4"/>
        <v>17</v>
      </c>
      <c r="AK26" s="71">
        <f t="shared" si="4"/>
        <v>14</v>
      </c>
      <c r="AL26" s="71">
        <f t="shared" si="4"/>
        <v>10</v>
      </c>
      <c r="AM26" s="71">
        <f t="shared" si="4"/>
        <v>24</v>
      </c>
      <c r="AN26" s="71">
        <f t="shared" si="4"/>
        <v>14</v>
      </c>
      <c r="AO26" s="71">
        <f t="shared" si="4"/>
        <v>24</v>
      </c>
      <c r="AP26" s="71">
        <f t="shared" si="4"/>
        <v>17</v>
      </c>
      <c r="AQ26" s="71">
        <f t="shared" si="4"/>
        <v>14</v>
      </c>
      <c r="AR26" s="71">
        <f t="shared" si="4"/>
        <v>14</v>
      </c>
      <c r="AS26" s="71">
        <f t="shared" si="4"/>
        <v>18</v>
      </c>
      <c r="AT26" s="71">
        <f t="shared" si="4"/>
        <v>9</v>
      </c>
      <c r="AU26" s="71">
        <f t="shared" si="4"/>
        <v>17</v>
      </c>
      <c r="AV26" s="71">
        <f t="shared" si="4"/>
        <v>17</v>
      </c>
      <c r="AW26" s="71">
        <f t="shared" si="4"/>
        <v>13</v>
      </c>
      <c r="AX26" s="71">
        <f t="shared" si="4"/>
        <v>17</v>
      </c>
      <c r="AY26" s="71">
        <f t="shared" si="4"/>
        <v>10</v>
      </c>
      <c r="AZ26" s="71">
        <f t="shared" si="4"/>
        <v>14</v>
      </c>
      <c r="BA26" s="71">
        <f t="shared" si="4"/>
        <v>7</v>
      </c>
      <c r="BB26" s="71">
        <f t="shared" si="4"/>
        <v>17</v>
      </c>
      <c r="BC26" s="71">
        <f t="shared" si="4"/>
        <v>27</v>
      </c>
      <c r="BD26" s="71">
        <f t="shared" si="4"/>
        <v>17</v>
      </c>
      <c r="BE26" s="71">
        <f t="shared" si="4"/>
        <v>20</v>
      </c>
      <c r="BF26" s="71">
        <f t="shared" si="4"/>
        <v>14</v>
      </c>
      <c r="BG26" s="71">
        <f t="shared" si="4"/>
        <v>9</v>
      </c>
      <c r="BH26" s="71">
        <f t="shared" si="4"/>
        <v>13</v>
      </c>
      <c r="BI26" s="71">
        <f t="shared" si="4"/>
        <v>17</v>
      </c>
      <c r="BJ26" s="71">
        <f t="shared" si="4"/>
        <v>14</v>
      </c>
      <c r="BK26" s="71">
        <f t="shared" si="4"/>
        <v>35</v>
      </c>
      <c r="BL26" s="71">
        <f t="shared" si="4"/>
        <v>5</v>
      </c>
      <c r="BM26" s="71">
        <f t="shared" si="4"/>
        <v>14</v>
      </c>
      <c r="BN26" s="71">
        <f t="shared" si="4"/>
        <v>17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11</v>
      </c>
      <c r="L27" s="71">
        <f t="shared" ref="L27:BN27" si="5">ABS(($D21+$D22)-(L23+L24))</f>
        <v>27</v>
      </c>
      <c r="M27" s="71">
        <f t="shared" si="5"/>
        <v>6</v>
      </c>
      <c r="N27" s="71">
        <f t="shared" si="5"/>
        <v>1</v>
      </c>
      <c r="O27" s="71">
        <f t="shared" si="5"/>
        <v>9</v>
      </c>
      <c r="P27" s="71">
        <f t="shared" si="5"/>
        <v>14</v>
      </c>
      <c r="Q27" s="71">
        <f t="shared" si="5"/>
        <v>11</v>
      </c>
      <c r="R27" s="71">
        <f t="shared" si="5"/>
        <v>1</v>
      </c>
      <c r="S27" s="71">
        <f t="shared" si="5"/>
        <v>11</v>
      </c>
      <c r="T27" s="71">
        <f t="shared" si="5"/>
        <v>13</v>
      </c>
      <c r="U27" s="71">
        <f t="shared" si="5"/>
        <v>2</v>
      </c>
      <c r="V27" s="71">
        <f t="shared" si="5"/>
        <v>5</v>
      </c>
      <c r="W27" s="71">
        <f t="shared" si="5"/>
        <v>2</v>
      </c>
      <c r="X27" s="71">
        <f t="shared" si="5"/>
        <v>5</v>
      </c>
      <c r="Y27" s="71">
        <f t="shared" si="5"/>
        <v>36</v>
      </c>
      <c r="Z27" s="71">
        <f t="shared" si="5"/>
        <v>32</v>
      </c>
      <c r="AA27" s="71">
        <f t="shared" si="5"/>
        <v>3</v>
      </c>
      <c r="AB27" s="71">
        <f t="shared" si="5"/>
        <v>1</v>
      </c>
      <c r="AC27" s="71">
        <f t="shared" si="5"/>
        <v>11</v>
      </c>
      <c r="AD27" s="71">
        <f t="shared" si="5"/>
        <v>11</v>
      </c>
      <c r="AE27" s="71">
        <f t="shared" si="5"/>
        <v>2</v>
      </c>
      <c r="AF27" s="71">
        <f t="shared" si="5"/>
        <v>11</v>
      </c>
      <c r="AG27" s="71">
        <f t="shared" si="5"/>
        <v>6</v>
      </c>
      <c r="AH27" s="71">
        <f t="shared" si="5"/>
        <v>19</v>
      </c>
      <c r="AI27" s="71">
        <f t="shared" si="5"/>
        <v>11</v>
      </c>
      <c r="AJ27" s="71">
        <f t="shared" si="5"/>
        <v>11</v>
      </c>
      <c r="AK27" s="71">
        <f t="shared" si="5"/>
        <v>6</v>
      </c>
      <c r="AL27" s="71">
        <f t="shared" si="5"/>
        <v>4</v>
      </c>
      <c r="AM27" s="71">
        <f t="shared" si="5"/>
        <v>4</v>
      </c>
      <c r="AN27" s="71">
        <f t="shared" si="5"/>
        <v>6</v>
      </c>
      <c r="AO27" s="71">
        <f t="shared" si="5"/>
        <v>2</v>
      </c>
      <c r="AP27" s="71">
        <f t="shared" si="5"/>
        <v>17</v>
      </c>
      <c r="AQ27" s="71">
        <f t="shared" si="5"/>
        <v>16</v>
      </c>
      <c r="AR27" s="71">
        <f t="shared" si="5"/>
        <v>6</v>
      </c>
      <c r="AS27" s="71">
        <f t="shared" si="5"/>
        <v>10</v>
      </c>
      <c r="AT27" s="71">
        <f t="shared" si="5"/>
        <v>7</v>
      </c>
      <c r="AU27" s="71">
        <f t="shared" si="5"/>
        <v>11</v>
      </c>
      <c r="AV27" s="71">
        <f t="shared" si="5"/>
        <v>11</v>
      </c>
      <c r="AW27" s="71">
        <f t="shared" si="5"/>
        <v>1</v>
      </c>
      <c r="AX27" s="71">
        <f t="shared" si="5"/>
        <v>11</v>
      </c>
      <c r="AY27" s="71">
        <f t="shared" si="5"/>
        <v>2</v>
      </c>
      <c r="AZ27" s="71">
        <f t="shared" si="5"/>
        <v>6</v>
      </c>
      <c r="BA27" s="71">
        <f t="shared" si="5"/>
        <v>9</v>
      </c>
      <c r="BB27" s="71">
        <f t="shared" si="5"/>
        <v>11</v>
      </c>
      <c r="BC27" s="71">
        <f t="shared" si="5"/>
        <v>1</v>
      </c>
      <c r="BD27" s="71">
        <f t="shared" si="5"/>
        <v>11</v>
      </c>
      <c r="BE27" s="71">
        <f t="shared" si="5"/>
        <v>6</v>
      </c>
      <c r="BF27" s="71">
        <f t="shared" si="5"/>
        <v>12</v>
      </c>
      <c r="BG27" s="71">
        <f t="shared" si="5"/>
        <v>9</v>
      </c>
      <c r="BH27" s="71">
        <f t="shared" si="5"/>
        <v>15</v>
      </c>
      <c r="BI27" s="71">
        <f t="shared" si="5"/>
        <v>11</v>
      </c>
      <c r="BJ27" s="71">
        <f t="shared" si="5"/>
        <v>6</v>
      </c>
      <c r="BK27" s="71">
        <f t="shared" si="5"/>
        <v>1</v>
      </c>
      <c r="BL27" s="71">
        <f t="shared" si="5"/>
        <v>1</v>
      </c>
      <c r="BM27" s="71">
        <f t="shared" si="5"/>
        <v>0</v>
      </c>
      <c r="BN27" s="71">
        <f t="shared" si="5"/>
        <v>11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N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0.43392857142857144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N29" si="7">COUNTA(L$3,L$5,L$7,L$9,L$11,L$13,L$15,L$17,L$19,L$21)</f>
        <v>3</v>
      </c>
      <c r="M29" s="71">
        <f t="shared" si="7"/>
        <v>6</v>
      </c>
      <c r="N29" s="71">
        <f t="shared" si="7"/>
        <v>2</v>
      </c>
      <c r="O29" s="71">
        <f t="shared" si="7"/>
        <v>3</v>
      </c>
      <c r="P29" s="71">
        <f t="shared" si="7"/>
        <v>6</v>
      </c>
      <c r="Q29" s="71">
        <f t="shared" si="7"/>
        <v>7</v>
      </c>
      <c r="R29" s="71">
        <f t="shared" si="7"/>
        <v>9</v>
      </c>
      <c r="S29" s="71">
        <f t="shared" si="7"/>
        <v>3</v>
      </c>
      <c r="T29" s="71">
        <f t="shared" si="7"/>
        <v>6</v>
      </c>
      <c r="U29" s="71">
        <f t="shared" si="7"/>
        <v>9</v>
      </c>
      <c r="V29" s="71">
        <f t="shared" si="7"/>
        <v>4</v>
      </c>
      <c r="W29" s="71">
        <f t="shared" si="7"/>
        <v>3</v>
      </c>
      <c r="X29" s="71">
        <f t="shared" si="7"/>
        <v>6</v>
      </c>
      <c r="Y29" s="71">
        <f t="shared" si="7"/>
        <v>3</v>
      </c>
      <c r="Z29" s="71">
        <f t="shared" si="7"/>
        <v>3</v>
      </c>
      <c r="AA29" s="71">
        <f t="shared" si="7"/>
        <v>3</v>
      </c>
      <c r="AB29" s="71">
        <f t="shared" si="7"/>
        <v>3</v>
      </c>
      <c r="AC29" s="71">
        <f t="shared" si="7"/>
        <v>7</v>
      </c>
      <c r="AD29" s="71">
        <f t="shared" si="7"/>
        <v>7</v>
      </c>
      <c r="AE29" s="71">
        <f t="shared" si="7"/>
        <v>6</v>
      </c>
      <c r="AF29" s="71">
        <f t="shared" si="7"/>
        <v>7</v>
      </c>
      <c r="AG29" s="71">
        <f t="shared" si="7"/>
        <v>5</v>
      </c>
      <c r="AH29" s="71">
        <f t="shared" si="7"/>
        <v>5</v>
      </c>
      <c r="AI29" s="71">
        <f t="shared" si="7"/>
        <v>7</v>
      </c>
      <c r="AJ29" s="71">
        <f t="shared" si="7"/>
        <v>7</v>
      </c>
      <c r="AK29" s="71">
        <f t="shared" si="7"/>
        <v>5</v>
      </c>
      <c r="AL29" s="71">
        <f t="shared" si="7"/>
        <v>2</v>
      </c>
      <c r="AM29" s="71">
        <f t="shared" si="7"/>
        <v>4</v>
      </c>
      <c r="AN29" s="71">
        <f t="shared" si="7"/>
        <v>5</v>
      </c>
      <c r="AO29" s="71">
        <f t="shared" si="7"/>
        <v>6</v>
      </c>
      <c r="AP29" s="71">
        <f t="shared" si="7"/>
        <v>6</v>
      </c>
      <c r="AQ29" s="71">
        <f t="shared" si="7"/>
        <v>5</v>
      </c>
      <c r="AR29" s="71">
        <f t="shared" si="7"/>
        <v>4</v>
      </c>
      <c r="AS29" s="71">
        <f t="shared" si="7"/>
        <v>6</v>
      </c>
      <c r="AT29" s="71">
        <f t="shared" si="7"/>
        <v>5</v>
      </c>
      <c r="AU29" s="71">
        <f t="shared" si="7"/>
        <v>7</v>
      </c>
      <c r="AV29" s="71">
        <f t="shared" si="7"/>
        <v>7</v>
      </c>
      <c r="AW29" s="71">
        <f t="shared" si="7"/>
        <v>6</v>
      </c>
      <c r="AX29" s="71">
        <f t="shared" si="7"/>
        <v>7</v>
      </c>
      <c r="AY29" s="71">
        <f t="shared" si="7"/>
        <v>5</v>
      </c>
      <c r="AZ29" s="71">
        <f t="shared" si="7"/>
        <v>7</v>
      </c>
      <c r="BA29" s="71">
        <f t="shared" si="7"/>
        <v>3</v>
      </c>
      <c r="BB29" s="71">
        <f t="shared" si="7"/>
        <v>7</v>
      </c>
      <c r="BC29" s="71">
        <f t="shared" si="7"/>
        <v>7</v>
      </c>
      <c r="BD29" s="71">
        <f t="shared" si="7"/>
        <v>7</v>
      </c>
      <c r="BE29" s="71">
        <f t="shared" si="7"/>
        <v>4</v>
      </c>
      <c r="BF29" s="71">
        <f t="shared" si="7"/>
        <v>7</v>
      </c>
      <c r="BG29" s="71">
        <f t="shared" si="7"/>
        <v>4</v>
      </c>
      <c r="BH29" s="71">
        <f t="shared" si="7"/>
        <v>0</v>
      </c>
      <c r="BI29" s="71">
        <f t="shared" si="7"/>
        <v>7</v>
      </c>
      <c r="BJ29" s="71">
        <f t="shared" si="7"/>
        <v>4</v>
      </c>
      <c r="BK29" s="71">
        <f t="shared" si="7"/>
        <v>6</v>
      </c>
      <c r="BL29" s="71">
        <f t="shared" si="7"/>
        <v>2</v>
      </c>
      <c r="BM29" s="71">
        <f t="shared" si="7"/>
        <v>6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-37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3</v>
      </c>
      <c r="O30" s="73">
        <f t="shared" si="8"/>
        <v>4</v>
      </c>
      <c r="P30" s="73">
        <f t="shared" si="8"/>
        <v>3</v>
      </c>
      <c r="Q30" s="73">
        <f t="shared" si="8"/>
        <v>6</v>
      </c>
      <c r="R30" s="73">
        <f t="shared" si="8"/>
        <v>6</v>
      </c>
      <c r="S30" s="73">
        <f t="shared" si="8"/>
        <v>4</v>
      </c>
      <c r="T30" s="73">
        <f t="shared" si="8"/>
        <v>5</v>
      </c>
      <c r="U30" s="73">
        <f t="shared" si="8"/>
        <v>8</v>
      </c>
      <c r="V30" s="73">
        <f t="shared" si="8"/>
        <v>1</v>
      </c>
      <c r="W30" s="73">
        <f t="shared" si="8"/>
        <v>2</v>
      </c>
      <c r="X30" s="73">
        <f t="shared" si="8"/>
        <v>5</v>
      </c>
      <c r="Y30" s="73">
        <f t="shared" si="8"/>
        <v>4</v>
      </c>
      <c r="Z30" s="73">
        <f t="shared" si="8"/>
        <v>0</v>
      </c>
      <c r="AA30" s="73">
        <f t="shared" si="8"/>
        <v>4</v>
      </c>
      <c r="AB30" s="73">
        <f t="shared" si="8"/>
        <v>4</v>
      </c>
      <c r="AC30" s="73">
        <f t="shared" si="8"/>
        <v>6</v>
      </c>
      <c r="AD30" s="73">
        <f t="shared" si="8"/>
        <v>6</v>
      </c>
      <c r="AE30" s="73">
        <f t="shared" si="8"/>
        <v>7</v>
      </c>
      <c r="AF30" s="73">
        <f t="shared" si="8"/>
        <v>6</v>
      </c>
      <c r="AG30" s="73">
        <f t="shared" si="8"/>
        <v>4</v>
      </c>
      <c r="AH30" s="73">
        <f t="shared" si="8"/>
        <v>6</v>
      </c>
      <c r="AI30" s="73">
        <f t="shared" si="8"/>
        <v>6</v>
      </c>
      <c r="AJ30" s="73">
        <f t="shared" si="8"/>
        <v>6</v>
      </c>
      <c r="AK30" s="73">
        <f t="shared" si="8"/>
        <v>4</v>
      </c>
      <c r="AL30" s="73">
        <f t="shared" si="8"/>
        <v>3</v>
      </c>
      <c r="AM30" s="73">
        <f t="shared" si="8"/>
        <v>1</v>
      </c>
      <c r="AN30" s="73">
        <f t="shared" si="8"/>
        <v>4</v>
      </c>
      <c r="AO30" s="73">
        <f t="shared" si="8"/>
        <v>5</v>
      </c>
      <c r="AP30" s="73">
        <f t="shared" si="8"/>
        <v>5</v>
      </c>
      <c r="AQ30" s="73">
        <f t="shared" si="8"/>
        <v>4</v>
      </c>
      <c r="AR30" s="73">
        <f t="shared" si="8"/>
        <v>3</v>
      </c>
      <c r="AS30" s="73">
        <f t="shared" si="8"/>
        <v>7</v>
      </c>
      <c r="AT30" s="73">
        <f t="shared" si="8"/>
        <v>4</v>
      </c>
      <c r="AU30" s="73">
        <f t="shared" si="8"/>
        <v>6</v>
      </c>
      <c r="AV30" s="73">
        <f t="shared" si="8"/>
        <v>6</v>
      </c>
      <c r="AW30" s="73">
        <f t="shared" si="8"/>
        <v>3</v>
      </c>
      <c r="AX30" s="73">
        <f t="shared" si="8"/>
        <v>6</v>
      </c>
      <c r="AY30" s="73">
        <f t="shared" si="8"/>
        <v>2</v>
      </c>
      <c r="AZ30" s="73">
        <f t="shared" si="8"/>
        <v>6</v>
      </c>
      <c r="BA30" s="73">
        <f t="shared" si="8"/>
        <v>2</v>
      </c>
      <c r="BB30" s="73">
        <f t="shared" si="8"/>
        <v>6</v>
      </c>
      <c r="BC30" s="73">
        <f t="shared" si="8"/>
        <v>4</v>
      </c>
      <c r="BD30" s="73">
        <f t="shared" si="8"/>
        <v>6</v>
      </c>
      <c r="BE30" s="73">
        <f t="shared" si="8"/>
        <v>5</v>
      </c>
      <c r="BF30" s="73">
        <f t="shared" si="8"/>
        <v>6</v>
      </c>
      <c r="BG30" s="73">
        <f t="shared" si="8"/>
        <v>3</v>
      </c>
      <c r="BH30" s="73">
        <f t="shared" si="8"/>
        <v>3</v>
      </c>
      <c r="BI30" s="73">
        <f t="shared" si="8"/>
        <v>6</v>
      </c>
      <c r="BJ30" s="73">
        <f t="shared" si="8"/>
        <v>3</v>
      </c>
      <c r="BK30" s="73">
        <f t="shared" si="8"/>
        <v>3</v>
      </c>
      <c r="BL30" s="73">
        <f t="shared" si="8"/>
        <v>3</v>
      </c>
      <c r="BM30" s="73">
        <f t="shared" si="8"/>
        <v>3</v>
      </c>
      <c r="BN30" s="73">
        <f t="shared" si="8"/>
        <v>6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5</v>
      </c>
      <c r="N31" s="71">
        <f t="shared" ca="1" si="9"/>
        <v>5</v>
      </c>
      <c r="O31" s="71">
        <f t="shared" ca="1" si="9"/>
        <v>4</v>
      </c>
      <c r="P31" s="71">
        <f t="shared" ca="1" si="9"/>
        <v>1</v>
      </c>
      <c r="Q31" s="71">
        <f t="shared" ca="1" si="9"/>
        <v>2</v>
      </c>
      <c r="R31" s="71">
        <f t="shared" ca="1" si="9"/>
        <v>2</v>
      </c>
      <c r="S31" s="71">
        <f t="shared" ca="1" si="9"/>
        <v>4</v>
      </c>
      <c r="T31" s="71">
        <f t="shared" ca="1" si="9"/>
        <v>5</v>
      </c>
      <c r="U31" s="71">
        <f t="shared" ca="1" si="9"/>
        <v>4</v>
      </c>
      <c r="V31" s="71">
        <f t="shared" ca="1" si="9"/>
        <v>3</v>
      </c>
      <c r="W31" s="71">
        <f t="shared" ca="1" si="9"/>
        <v>4</v>
      </c>
      <c r="X31" s="71">
        <f t="shared" ca="1" si="9"/>
        <v>1</v>
      </c>
      <c r="Y31" s="71">
        <f t="shared" ca="1" si="9"/>
        <v>4</v>
      </c>
      <c r="Z31" s="71">
        <f t="shared" ca="1" si="9"/>
        <v>4</v>
      </c>
      <c r="AA31" s="71">
        <f t="shared" ca="1" si="9"/>
        <v>4</v>
      </c>
      <c r="AB31" s="71">
        <f t="shared" ca="1" si="9"/>
        <v>6</v>
      </c>
      <c r="AC31" s="71">
        <f t="shared" ca="1" si="9"/>
        <v>2</v>
      </c>
      <c r="AD31" s="71">
        <f t="shared" ca="1" si="9"/>
        <v>2</v>
      </c>
      <c r="AE31" s="71">
        <f t="shared" ca="1" si="9"/>
        <v>7</v>
      </c>
      <c r="AF31" s="71">
        <f t="shared" ca="1" si="9"/>
        <v>2</v>
      </c>
      <c r="AG31" s="71">
        <f t="shared" ca="1" si="9"/>
        <v>4</v>
      </c>
      <c r="AH31" s="71">
        <f t="shared" ca="1" si="9"/>
        <v>4</v>
      </c>
      <c r="AI31" s="71">
        <f t="shared" ca="1" si="9"/>
        <v>2</v>
      </c>
      <c r="AJ31" s="71">
        <f t="shared" ca="1" si="9"/>
        <v>2</v>
      </c>
      <c r="AK31" s="71">
        <f t="shared" ca="1" si="9"/>
        <v>4</v>
      </c>
      <c r="AL31" s="71">
        <f t="shared" ca="1" si="9"/>
        <v>5</v>
      </c>
      <c r="AM31" s="71">
        <f t="shared" ca="1" si="9"/>
        <v>3</v>
      </c>
      <c r="AN31" s="71">
        <f t="shared" ca="1" si="9"/>
        <v>2</v>
      </c>
      <c r="AO31" s="71">
        <f t="shared" ca="1" si="9"/>
        <v>1</v>
      </c>
      <c r="AP31" s="71">
        <f t="shared" ca="1" si="9"/>
        <v>5</v>
      </c>
      <c r="AQ31" s="71">
        <f t="shared" ca="1" si="9"/>
        <v>4</v>
      </c>
      <c r="AR31" s="71">
        <f t="shared" ca="1" si="9"/>
        <v>3</v>
      </c>
      <c r="AS31" s="71">
        <f t="shared" ca="1" si="9"/>
        <v>5</v>
      </c>
      <c r="AT31" s="71">
        <f t="shared" ca="1" si="9"/>
        <v>4</v>
      </c>
      <c r="AU31" s="71">
        <f t="shared" ca="1" si="9"/>
        <v>2</v>
      </c>
      <c r="AV31" s="71">
        <f t="shared" ca="1" si="9"/>
        <v>2</v>
      </c>
      <c r="AW31" s="71">
        <f t="shared" ca="1" si="9"/>
        <v>1</v>
      </c>
      <c r="AX31" s="71">
        <f t="shared" ca="1" si="9"/>
        <v>2</v>
      </c>
      <c r="AY31" s="71">
        <f t="shared" ca="1" si="9"/>
        <v>2</v>
      </c>
      <c r="AZ31" s="71">
        <f t="shared" ca="1" si="9"/>
        <v>4</v>
      </c>
      <c r="BA31" s="71">
        <f t="shared" ca="1" si="9"/>
        <v>4</v>
      </c>
      <c r="BB31" s="71">
        <f t="shared" ca="1" si="9"/>
        <v>2</v>
      </c>
      <c r="BC31" s="71">
        <f t="shared" ca="1" si="9"/>
        <v>0</v>
      </c>
      <c r="BD31" s="71">
        <f t="shared" ca="1" si="9"/>
        <v>2</v>
      </c>
      <c r="BE31" s="71">
        <f t="shared" ca="1" si="9"/>
        <v>5</v>
      </c>
      <c r="BF31" s="71">
        <f t="shared" ca="1" si="9"/>
        <v>4</v>
      </c>
      <c r="BG31" s="71">
        <f t="shared" ca="1" si="9"/>
        <v>5</v>
      </c>
      <c r="BH31" s="71">
        <f t="shared" ca="1" si="9"/>
        <v>7</v>
      </c>
      <c r="BI31" s="71">
        <f t="shared" ca="1" si="9"/>
        <v>2</v>
      </c>
      <c r="BJ31" s="71">
        <f t="shared" ca="1" si="9"/>
        <v>3</v>
      </c>
      <c r="BK31" s="71">
        <f t="shared" ca="1" si="9"/>
        <v>3</v>
      </c>
      <c r="BL31" s="71">
        <f t="shared" ca="1" si="9"/>
        <v>7</v>
      </c>
      <c r="BM31" s="71">
        <f t="shared" ca="1" si="9"/>
        <v>1</v>
      </c>
      <c r="BN31" s="71">
        <f t="shared" ca="1" si="9"/>
        <v>2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39931956</v>
      </c>
      <c r="L36" s="32">
        <f t="shared" ref="L36:BN36" si="12">COUNTA(L23:L24)*((10000000*L25)+(1000000*(COUNTA(L21)*$E21+COUNTA(L22)*$E22))-(COUNTA($D$21:$D$22)*1000*L26)-(COUNTA($D$21:$D$22)*L27))</f>
        <v>79859892</v>
      </c>
      <c r="M36" s="32">
        <f t="shared" si="12"/>
        <v>101943976</v>
      </c>
      <c r="N36" s="32">
        <f t="shared" si="12"/>
        <v>101939996</v>
      </c>
      <c r="O36" s="32">
        <f t="shared" si="12"/>
        <v>79899964</v>
      </c>
      <c r="P36" s="32">
        <f t="shared" si="12"/>
        <v>99911944</v>
      </c>
      <c r="Q36" s="32">
        <f t="shared" si="12"/>
        <v>39931956</v>
      </c>
      <c r="R36" s="32">
        <f t="shared" si="12"/>
        <v>79923996</v>
      </c>
      <c r="S36" s="32">
        <f t="shared" si="12"/>
        <v>79899956</v>
      </c>
      <c r="T36" s="32">
        <f t="shared" si="12"/>
        <v>141971948</v>
      </c>
      <c r="U36" s="32">
        <f t="shared" si="12"/>
        <v>79927992</v>
      </c>
      <c r="V36" s="32">
        <f t="shared" si="12"/>
        <v>141971980</v>
      </c>
      <c r="W36" s="32">
        <f t="shared" si="12"/>
        <v>119887992</v>
      </c>
      <c r="X36" s="32">
        <f t="shared" si="12"/>
        <v>59843980</v>
      </c>
      <c r="Y36" s="32">
        <f t="shared" si="12"/>
        <v>79895856</v>
      </c>
      <c r="Z36" s="32">
        <f t="shared" si="12"/>
        <v>161935872</v>
      </c>
      <c r="AA36" s="32">
        <f t="shared" si="12"/>
        <v>81955988</v>
      </c>
      <c r="AB36" s="32">
        <f t="shared" si="12"/>
        <v>81939996</v>
      </c>
      <c r="AC36" s="32">
        <f t="shared" si="12"/>
        <v>39931956</v>
      </c>
      <c r="AD36" s="32">
        <f t="shared" si="12"/>
        <v>39931956</v>
      </c>
      <c r="AE36" s="32">
        <f t="shared" si="12"/>
        <v>101959992</v>
      </c>
      <c r="AF36" s="32">
        <f t="shared" si="12"/>
        <v>39931956</v>
      </c>
      <c r="AG36" s="32">
        <f t="shared" si="12"/>
        <v>121991976</v>
      </c>
      <c r="AH36" s="32">
        <f t="shared" si="12"/>
        <v>79899924</v>
      </c>
      <c r="AI36" s="32">
        <f t="shared" si="12"/>
        <v>39931956</v>
      </c>
      <c r="AJ36" s="32">
        <f t="shared" si="12"/>
        <v>39931956</v>
      </c>
      <c r="AK36" s="32">
        <f t="shared" si="12"/>
        <v>121943976</v>
      </c>
      <c r="AL36" s="32">
        <f t="shared" si="12"/>
        <v>101959984</v>
      </c>
      <c r="AM36" s="32">
        <f t="shared" si="12"/>
        <v>139903984</v>
      </c>
      <c r="AN36" s="32">
        <f t="shared" si="12"/>
        <v>81943976</v>
      </c>
      <c r="AO36" s="32">
        <f t="shared" si="12"/>
        <v>59903992</v>
      </c>
      <c r="AP36" s="32">
        <f t="shared" si="12"/>
        <v>99931932</v>
      </c>
      <c r="AQ36" s="32">
        <f t="shared" si="12"/>
        <v>81943936</v>
      </c>
      <c r="AR36" s="32">
        <f t="shared" si="12"/>
        <v>101943976</v>
      </c>
      <c r="AS36" s="32">
        <f t="shared" si="12"/>
        <v>59927960</v>
      </c>
      <c r="AT36" s="32">
        <f t="shared" si="12"/>
        <v>121963972</v>
      </c>
      <c r="AU36" s="32">
        <f t="shared" si="12"/>
        <v>39931956</v>
      </c>
      <c r="AV36" s="32">
        <f t="shared" si="12"/>
        <v>39931956</v>
      </c>
      <c r="AW36" s="32">
        <f t="shared" si="12"/>
        <v>101947996</v>
      </c>
      <c r="AX36" s="32">
        <f t="shared" si="12"/>
        <v>39931956</v>
      </c>
      <c r="AY36" s="32">
        <f t="shared" si="12"/>
        <v>121959992</v>
      </c>
      <c r="AZ36" s="32">
        <f t="shared" si="12"/>
        <v>121943976</v>
      </c>
      <c r="BA36" s="32">
        <f t="shared" si="12"/>
        <v>121971964</v>
      </c>
      <c r="BB36" s="32">
        <f t="shared" si="12"/>
        <v>39931956</v>
      </c>
      <c r="BC36" s="32">
        <f t="shared" si="12"/>
        <v>79891996</v>
      </c>
      <c r="BD36" s="32">
        <f t="shared" si="12"/>
        <v>39931956</v>
      </c>
      <c r="BE36" s="32">
        <f t="shared" si="12"/>
        <v>99919976</v>
      </c>
      <c r="BF36" s="32">
        <f t="shared" si="12"/>
        <v>121943952</v>
      </c>
      <c r="BG36" s="32">
        <f t="shared" si="12"/>
        <v>141963964</v>
      </c>
      <c r="BH36" s="32">
        <f t="shared" si="12"/>
        <v>101947940</v>
      </c>
      <c r="BI36" s="32">
        <f t="shared" si="12"/>
        <v>39931956</v>
      </c>
      <c r="BJ36" s="32">
        <f t="shared" si="12"/>
        <v>101943976</v>
      </c>
      <c r="BK36" s="32">
        <f t="shared" si="12"/>
        <v>139859996</v>
      </c>
      <c r="BL36" s="32">
        <f t="shared" si="12"/>
        <v>141979996</v>
      </c>
      <c r="BM36" s="32">
        <f t="shared" si="12"/>
        <v>101944000</v>
      </c>
      <c r="BN36" s="32">
        <f t="shared" si="12"/>
        <v>39931956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136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/>
      <c r="C40" s="3"/>
      <c r="D40" s="3"/>
      <c r="E40" s="3"/>
      <c r="F40" s="3"/>
      <c r="G40" s="3"/>
      <c r="H40" s="3"/>
      <c r="I40" s="3"/>
      <c r="J40" s="3"/>
      <c r="K40" s="3" t="str">
        <f ca="1">IF(COUNTA(K$1) = 0, K$2,"")</f>
        <v>Aaron, Chip</v>
      </c>
      <c r="L40" s="3" t="str">
        <f t="shared" ref="L40:BN40" ca="1" si="14">IF(COUNTA(L$1) = 0, L$2,"")</f>
        <v>Adams, Daniel O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Brokaw, Brantley A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Desetto, Daniel</v>
      </c>
      <c r="S40" s="3" t="str">
        <f t="shared" ca="1" si="14"/>
        <v>Edwards, Christopher S</v>
      </c>
      <c r="T40" s="3" t="str">
        <f t="shared" ca="1" si="14"/>
        <v>Emptage, Nick</v>
      </c>
      <c r="U40" s="3" t="str">
        <f t="shared" ca="1" si="14"/>
        <v>Farren, Kevin M</v>
      </c>
      <c r="V40" s="3" t="str">
        <f t="shared" ca="1" si="14"/>
        <v>Farren, Leslie Remote</v>
      </c>
      <c r="W40" s="3" t="str">
        <f t="shared" ca="1" si="14"/>
        <v>Ferguson, Scott Remote</v>
      </c>
      <c r="X40" s="3" t="str">
        <f t="shared" ca="1" si="14"/>
        <v>Fonville, Chris</v>
      </c>
      <c r="Y40" s="3" t="str">
        <f t="shared" ca="1" si="14"/>
        <v>Gilmer, Justin T</v>
      </c>
      <c r="Z40" s="3" t="str">
        <f t="shared" ca="1" si="14"/>
        <v>Gindlesperger, Jeffrey C</v>
      </c>
      <c r="AA40" s="3" t="str">
        <f t="shared" ca="1" si="14"/>
        <v>Gore, Brandon</v>
      </c>
      <c r="AB40" s="3" t="str">
        <f t="shared" ca="1" si="14"/>
        <v>Gregory, Adam J</v>
      </c>
      <c r="AC40" s="3" t="str">
        <f t="shared" ca="1" si="14"/>
        <v>Hendrick, Matt R</v>
      </c>
      <c r="AD40" s="3" t="str">
        <f t="shared" ca="1" si="14"/>
        <v>Holden, Brent</v>
      </c>
      <c r="AE40" s="3" t="str">
        <f t="shared" ca="1" si="14"/>
        <v>Holley, Jeremy Remote</v>
      </c>
      <c r="AF40" s="3" t="str">
        <f t="shared" ca="1" si="14"/>
        <v>Hucks, Jason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Nagorniak, Kristen M</v>
      </c>
      <c r="AR40" s="3" t="str">
        <f t="shared" ca="1" si="14"/>
        <v>Nance, Rob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Shuey, Jeffrey M</v>
      </c>
      <c r="BE40" s="3" t="str">
        <f t="shared" ca="1" si="14"/>
        <v>Staub, Kevin</v>
      </c>
      <c r="BF40" s="3" t="str">
        <f t="shared" ca="1" si="14"/>
        <v>Steel, Van Remote</v>
      </c>
      <c r="BG40" s="3" t="str">
        <f t="shared" ca="1" si="14"/>
        <v>Steele, David L</v>
      </c>
      <c r="BH40" s="3" t="str">
        <f t="shared" ca="1" si="14"/>
        <v>Straw, Adam D</v>
      </c>
      <c r="BI40" s="3" t="str">
        <f t="shared" ca="1" si="14"/>
        <v>Strom, Brooker</v>
      </c>
      <c r="BJ40" s="3" t="str">
        <f t="shared" ca="1" si="14"/>
        <v>Teasdell, Brian K</v>
      </c>
      <c r="BK40" s="3" t="str">
        <f t="shared" ca="1" si="14"/>
        <v>Warren, Todd Remote</v>
      </c>
      <c r="BL40" s="3" t="str">
        <f t="shared" ca="1" si="14"/>
        <v>Wells, Jennifer</v>
      </c>
      <c r="BM40" s="3" t="str">
        <f t="shared" ca="1" si="14"/>
        <v>Wells, Seth Remote</v>
      </c>
      <c r="BN40" s="3" t="str">
        <f t="shared" ca="1" si="14"/>
        <v>White, Jarred</v>
      </c>
    </row>
    <row r="41" spans="1:66" x14ac:dyDescent="0.25">
      <c r="B41" s="8" t="s">
        <v>137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/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Chip;Adams, Daniel O;Bowers, Martin L;Boykin, Jerome W;Brokaw, Brantley A;Carter, Chris;Chan, Simon;Desetto, Daniel;Edwards, Christopher S;Emptage, Nick;Farren, Kevin M;Farren, Leslie Remote;Ferguson, Scott Remote;Fonville, Chris;Gilmer, Justin T;Gindlesperger, Jeffrey C;Gore, Brandon;Gregory, Adam J;Hendrick, Matt R;Holden, Brent;Holley, Jeremy Remote;Hucks, Jason;Inabinet, Greg;James, Larry C;Johnson, Robert J;Kandela, Marwan;Locklear, Dave Remote;Marsh, Alexander Remote;Martin, Douglas C;McGee, Steve;Moore, Kevin B;Murphy, William A;Nagorniak, Kristen M;Nance, Rob;Nguyen, Thai;Penrose, Tim Remote;Powell, LaMar;Puga, Moises;Reams, Byron L;Redys, David Remote;Robbins, Dale;Robbins, Thomas D;Ruffin, Chris;Sams, David;Sapp, Carl G;Shuey, Jeffrey M;Staub, Kevin;Steel, Van Remote;Steele, David L;Straw, Adam D;Strom, Brooker;Teasdell, Brian K;Warren, Todd Remote;Wells, Jennifer;Wells, Seth Remote;White, Jarred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46" priority="44" stopIfTrue="1" operator="equal">
      <formula>0</formula>
    </cfRule>
  </conditionalFormatting>
  <conditionalFormatting sqref="B12:C12 B14:C14 B16:C16 B18:C18 B20:C20 B22:C22 B24:C24 E24 H24:I24 B10:C10 B4:C4 B6:C6 B8:C8 AO24:BE24">
    <cfRule type="cellIs" dxfId="45" priority="43" stopIfTrue="1" operator="equal">
      <formula>0</formula>
    </cfRule>
  </conditionalFormatting>
  <conditionalFormatting sqref="D26:J28 K28:BE28">
    <cfRule type="cellIs" dxfId="44" priority="42" stopIfTrue="1" operator="equal">
      <formula>1</formula>
    </cfRule>
  </conditionalFormatting>
  <conditionalFormatting sqref="H3:I3 F23 H5:I5 H7:I7 H9:I9 H11:I11 H13:I13 H15:I15 H17:I17 H19:I19 H21:I21">
    <cfRule type="cellIs" dxfId="43" priority="41" stopIfTrue="1" operator="equal">
      <formula>0</formula>
    </cfRule>
  </conditionalFormatting>
  <conditionalFormatting sqref="H4:I4 F24 H6:I6 H8:I8 H10:I10 H12:I12 H14:I14 H16:I16 H18:I18 H20:I20 H22:I22">
    <cfRule type="cellIs" dxfId="42" priority="40" stopIfTrue="1" operator="equal">
      <formula>0</formula>
    </cfRule>
  </conditionalFormatting>
  <conditionalFormatting sqref="F3 F5 F7 F9 F11 F13 F15 F17 F19 F21">
    <cfRule type="cellIs" dxfId="41" priority="39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0" priority="38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9" priority="36" stopIfTrue="1">
      <formula>AND(COUNTA(J4)=1,$E4=1,SUM($E3:$E4)=1)</formula>
    </cfRule>
    <cfRule type="expression" dxfId="3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37" priority="34" stopIfTrue="1">
      <formula>AND(COUNTA(J3)=1,$E3=1,SUM($E3:$E4)=1)</formula>
    </cfRule>
    <cfRule type="expression" dxfId="36" priority="35" stopIfTrue="1">
      <formula>AND(COUNTA(J3)=1,$E3=0,SUM($E3:$E4)=1)</formula>
    </cfRule>
  </conditionalFormatting>
  <conditionalFormatting sqref="BF23:BN23">
    <cfRule type="cellIs" dxfId="35" priority="33" stopIfTrue="1" operator="equal">
      <formula>0</formula>
    </cfRule>
  </conditionalFormatting>
  <conditionalFormatting sqref="BF24:BN24">
    <cfRule type="cellIs" dxfId="34" priority="32" stopIfTrue="1" operator="equal">
      <formula>0</formula>
    </cfRule>
  </conditionalFormatting>
  <conditionalFormatting sqref="BF28:BN28">
    <cfRule type="cellIs" dxfId="33" priority="31" stopIfTrue="1" operator="equal">
      <formula>1</formula>
    </cfRule>
  </conditionalFormatting>
  <conditionalFormatting sqref="BF12:BN12 BF14:BN14 BF16:BN16 BF18:BN18 BF20:BN20 BF22:BN22 BF4:BN4 BF6:BN6 BF8:BN8 BF10:BN10">
    <cfRule type="expression" dxfId="32" priority="29" stopIfTrue="1">
      <formula>AND(COUNTA(BF4)=1,$E4=1,SUM($E3:$E4)=1)</formula>
    </cfRule>
    <cfRule type="expression" dxfId="31" priority="30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30" priority="27" stopIfTrue="1">
      <formula>AND(COUNTA(BF3)=1,$E3=1,SUM($E3:$E4)=1)</formula>
    </cfRule>
    <cfRule type="expression" dxfId="29" priority="28" stopIfTrue="1">
      <formula>AND(COUNTA(BF3)=1,$E3=0,SUM($E3:$E4)=1)</formula>
    </cfRule>
  </conditionalFormatting>
  <conditionalFormatting sqref="BN23">
    <cfRule type="cellIs" dxfId="28" priority="26" stopIfTrue="1" operator="equal">
      <formula>0</formula>
    </cfRule>
  </conditionalFormatting>
  <conditionalFormatting sqref="BN24">
    <cfRule type="cellIs" dxfId="27" priority="25" stopIfTrue="1" operator="equal">
      <formula>0</formula>
    </cfRule>
  </conditionalFormatting>
  <conditionalFormatting sqref="BN6 BN8 BN10 BN12 BN14 BN16 BN18 BN20 BN22 BN4">
    <cfRule type="expression" dxfId="26" priority="23" stopIfTrue="1">
      <formula>AND(COUNTA(BN4)=1,$E4=1,SUM($E3:$E4)=1)</formula>
    </cfRule>
    <cfRule type="expression" dxfId="25" priority="24" stopIfTrue="1">
      <formula>AND(COUNTA(BN4)=1,$E4=0,SUM($E3:$E4)=1)</formula>
    </cfRule>
  </conditionalFormatting>
  <conditionalFormatting sqref="BN5 BN7 BN9 BN11 BN13 BN15 BN17 BN19 BN21 BN3">
    <cfRule type="expression" dxfId="24" priority="21" stopIfTrue="1">
      <formula>AND(COUNTA(BN3)=1,$E3=1,SUM($E3:$E4)=1)</formula>
    </cfRule>
    <cfRule type="expression" dxfId="23" priority="22" stopIfTrue="1">
      <formula>AND(COUNTA(BN3)=1,$E3=0,SUM($E3:$E4)=1)</formula>
    </cfRule>
  </conditionalFormatting>
  <conditionalFormatting sqref="BI23">
    <cfRule type="cellIs" dxfId="22" priority="20" stopIfTrue="1" operator="equal">
      <formula>0</formula>
    </cfRule>
  </conditionalFormatting>
  <conditionalFormatting sqref="BI24">
    <cfRule type="cellIs" dxfId="21" priority="19" stopIfTrue="1" operator="equal">
      <formula>0</formula>
    </cfRule>
  </conditionalFormatting>
  <conditionalFormatting sqref="BI6 BI8 BI10 BI12 BI14 BI16 BI18 BI20 BI22 BI4">
    <cfRule type="expression" dxfId="20" priority="17" stopIfTrue="1">
      <formula>AND(COUNTA(BI4)=1,$E4=1,SUM($E3:$E4)=1)</formula>
    </cfRule>
    <cfRule type="expression" dxfId="19" priority="18" stopIfTrue="1">
      <formula>AND(COUNTA(BI4)=1,$E4=0,SUM($E3:$E4)=1)</formula>
    </cfRule>
  </conditionalFormatting>
  <conditionalFormatting sqref="BI5 BI7 BI9 BI11 BI13 BI15 BI17 BI19 BI21 BI3">
    <cfRule type="expression" dxfId="18" priority="15" stopIfTrue="1">
      <formula>AND(COUNTA(BI3)=1,$E3=1,SUM($E3:$E4)=1)</formula>
    </cfRule>
    <cfRule type="expression" dxfId="17" priority="16" stopIfTrue="1">
      <formula>AND(COUNTA(BI3)=1,$E3=0,SUM($E3:$E4)=1)</formula>
    </cfRule>
  </conditionalFormatting>
  <conditionalFormatting sqref="AJ23">
    <cfRule type="cellIs" dxfId="16" priority="14" stopIfTrue="1" operator="equal">
      <formula>0</formula>
    </cfRule>
  </conditionalFormatting>
  <conditionalFormatting sqref="AJ24">
    <cfRule type="cellIs" dxfId="15" priority="13" stopIfTrue="1" operator="equal">
      <formula>0</formula>
    </cfRule>
  </conditionalFormatting>
  <conditionalFormatting sqref="AI23">
    <cfRule type="cellIs" dxfId="14" priority="12" stopIfTrue="1" operator="equal">
      <formula>0</formula>
    </cfRule>
  </conditionalFormatting>
  <conditionalFormatting sqref="AI24">
    <cfRule type="cellIs" dxfId="13" priority="11" stopIfTrue="1" operator="equal">
      <formula>0</formula>
    </cfRule>
  </conditionalFormatting>
  <conditionalFormatting sqref="AF23">
    <cfRule type="cellIs" dxfId="12" priority="10" stopIfTrue="1" operator="equal">
      <formula>0</formula>
    </cfRule>
  </conditionalFormatting>
  <conditionalFormatting sqref="AF24">
    <cfRule type="cellIs" dxfId="11" priority="9" stopIfTrue="1" operator="equal">
      <formula>0</formula>
    </cfRule>
  </conditionalFormatting>
  <conditionalFormatting sqref="AD23">
    <cfRule type="cellIs" dxfId="10" priority="8" stopIfTrue="1" operator="equal">
      <formula>0</formula>
    </cfRule>
  </conditionalFormatting>
  <conditionalFormatting sqref="AD24">
    <cfRule type="cellIs" dxfId="9" priority="7" stopIfTrue="1" operator="equal">
      <formula>0</formula>
    </cfRule>
  </conditionalFormatting>
  <conditionalFormatting sqref="AC23">
    <cfRule type="cellIs" dxfId="8" priority="6" stopIfTrue="1" operator="equal">
      <formula>0</formula>
    </cfRule>
  </conditionalFormatting>
  <conditionalFormatting sqref="AC24">
    <cfRule type="cellIs" dxfId="7" priority="5" stopIfTrue="1" operator="equal">
      <formula>0</formula>
    </cfRule>
  </conditionalFormatting>
  <conditionalFormatting sqref="Q23">
    <cfRule type="cellIs" dxfId="6" priority="4" stopIfTrue="1" operator="equal">
      <formula>0</formula>
    </cfRule>
  </conditionalFormatting>
  <conditionalFormatting sqref="Q24">
    <cfRule type="cellIs" dxfId="5" priority="3" stopIfTrue="1" operator="equal">
      <formula>0</formula>
    </cfRule>
  </conditionalFormatting>
  <conditionalFormatting sqref="K23">
    <cfRule type="cellIs" dxfId="4" priority="2" stopIfTrue="1" operator="equal">
      <formula>0</formula>
    </cfRule>
  </conditionalFormatting>
  <conditionalFormatting sqref="K24">
    <cfRule type="cellIs" dxfId="3" priority="1" stopIfTrue="1" operator="equal">
      <formula>0</formula>
    </cfRule>
  </conditionalFormatting>
  <printOptions horizontalCentered="1" verticalCentered="1"/>
  <pageMargins left="0.5" right="0.5" top="0.5" bottom="0.5" header="0" footer="0"/>
  <pageSetup scale="48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59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22860</xdr:colOff>
                    <xdr:row>1</xdr:row>
                    <xdr:rowOff>106680</xdr:rowOff>
                  </from>
                  <to>
                    <xdr:col>1</xdr:col>
                    <xdr:colOff>624840</xdr:colOff>
                    <xdr:row>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22860</xdr:colOff>
                    <xdr:row>1</xdr:row>
                    <xdr:rowOff>381000</xdr:rowOff>
                  </from>
                  <to>
                    <xdr:col>1</xdr:col>
                    <xdr:colOff>624840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88" r:id="rId6" name="Button 4">
              <controlPr defaultSize="0" print="0" autoFill="0" autoPict="0" macro="[0]!grabSayings">
                <anchor moveWithCells="1" sizeWithCells="1">
                  <from>
                    <xdr:col>1</xdr:col>
                    <xdr:colOff>22860</xdr:colOff>
                    <xdr:row>1</xdr:row>
                    <xdr:rowOff>678180</xdr:rowOff>
                  </from>
                  <to>
                    <xdr:col>1</xdr:col>
                    <xdr:colOff>739140</xdr:colOff>
                    <xdr:row>1</xdr:row>
                    <xdr:rowOff>883920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Q45" sqref="Q45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139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193"/>
  <sheetViews>
    <sheetView workbookViewId="0">
      <selection activeCell="B20" sqref="B20"/>
    </sheetView>
  </sheetViews>
  <sheetFormatPr defaultRowHeight="13.2" x14ac:dyDescent="0.25"/>
  <cols>
    <col min="1" max="1" width="16.33203125" customWidth="1"/>
    <col min="2" max="14" width="6.5546875" bestFit="1" customWidth="1"/>
    <col min="15" max="15" width="11.33203125" style="92" customWidth="1"/>
    <col min="16" max="23" width="3.33203125" customWidth="1"/>
  </cols>
  <sheetData>
    <row r="2" spans="1:23" ht="27" thickBot="1" x14ac:dyDescent="0.3">
      <c r="A2" s="87"/>
      <c r="B2" s="91" t="s">
        <v>16</v>
      </c>
      <c r="C2" s="91" t="s">
        <v>17</v>
      </c>
      <c r="D2" s="91" t="s">
        <v>18</v>
      </c>
      <c r="E2" s="91" t="s">
        <v>19</v>
      </c>
      <c r="F2" s="91" t="s">
        <v>20</v>
      </c>
      <c r="G2" s="91" t="s">
        <v>21</v>
      </c>
      <c r="H2" s="91" t="s">
        <v>22</v>
      </c>
      <c r="I2" s="91" t="s">
        <v>23</v>
      </c>
      <c r="J2" s="91" t="s">
        <v>24</v>
      </c>
      <c r="K2" s="91" t="s">
        <v>25</v>
      </c>
      <c r="L2" s="91" t="s">
        <v>26</v>
      </c>
      <c r="M2" s="91" t="s">
        <v>27</v>
      </c>
      <c r="N2" s="91" t="s">
        <v>28</v>
      </c>
      <c r="O2" s="93" t="s">
        <v>287</v>
      </c>
    </row>
    <row r="3" spans="1:23" x14ac:dyDescent="0.25">
      <c r="A3" s="88" t="str">
        <f t="shared" ref="A3:N3" si="0">A$155</f>
        <v>Southeastern</v>
      </c>
      <c r="B3" s="86">
        <f t="shared" ca="1" si="0"/>
        <v>4</v>
      </c>
      <c r="C3" s="86">
        <f t="shared" ca="1" si="0"/>
        <v>5</v>
      </c>
      <c r="D3" s="86">
        <f t="shared" ca="1" si="0"/>
        <v>5</v>
      </c>
      <c r="E3" s="86">
        <f t="shared" ca="1" si="0"/>
        <v>5</v>
      </c>
      <c r="F3" s="86">
        <f t="shared" ca="1" si="0"/>
        <v>5</v>
      </c>
      <c r="G3" s="86">
        <f t="shared" ca="1" si="0"/>
        <v>6</v>
      </c>
      <c r="H3" s="86">
        <f t="shared" ca="1" si="0"/>
        <v>4</v>
      </c>
      <c r="I3" s="86">
        <f t="shared" ca="1" si="0"/>
        <v>3</v>
      </c>
      <c r="J3" s="86">
        <f t="shared" ca="1" si="0"/>
        <v>4</v>
      </c>
      <c r="K3" s="86">
        <f t="shared" ca="1" si="0"/>
        <v>6</v>
      </c>
      <c r="L3" s="86">
        <f t="shared" ca="1" si="0"/>
        <v>4</v>
      </c>
      <c r="M3" s="86">
        <f t="shared" ca="1" si="0"/>
        <v>4</v>
      </c>
      <c r="N3" s="86">
        <f t="shared" ca="1" si="0"/>
        <v>5</v>
      </c>
      <c r="O3" s="94">
        <f t="shared" ref="O3:O14" ca="1" si="1">SUM(B3:N3)</f>
        <v>60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 t="shared" ref="A4:N4" si="2">A$65</f>
        <v>Big Ten</v>
      </c>
      <c r="B4" s="86">
        <f t="shared" ca="1" si="2"/>
        <v>1</v>
      </c>
      <c r="C4" s="86">
        <f t="shared" ca="1" si="2"/>
        <v>3</v>
      </c>
      <c r="D4" s="86">
        <f t="shared" ca="1" si="2"/>
        <v>3</v>
      </c>
      <c r="E4" s="86">
        <f t="shared" ca="1" si="2"/>
        <v>0</v>
      </c>
      <c r="F4" s="86">
        <f t="shared" ca="1" si="2"/>
        <v>6</v>
      </c>
      <c r="G4" s="86">
        <f t="shared" ca="1" si="2"/>
        <v>4</v>
      </c>
      <c r="H4" s="86">
        <f t="shared" ca="1" si="2"/>
        <v>6</v>
      </c>
      <c r="I4" s="86">
        <f t="shared" ca="1" si="2"/>
        <v>6</v>
      </c>
      <c r="J4" s="86">
        <f t="shared" ca="1" si="2"/>
        <v>6</v>
      </c>
      <c r="K4" s="86">
        <f t="shared" ca="1" si="2"/>
        <v>2</v>
      </c>
      <c r="L4" s="86">
        <f t="shared" ca="1" si="2"/>
        <v>4</v>
      </c>
      <c r="M4" s="86">
        <f t="shared" ca="1" si="2"/>
        <v>4</v>
      </c>
      <c r="N4" s="86">
        <f t="shared" ca="1" si="2"/>
        <v>6</v>
      </c>
      <c r="O4" s="94">
        <f t="shared" ca="1" si="1"/>
        <v>51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 t="shared" ref="A5:N5" si="3">A$19</f>
        <v>Atlantic Coast</v>
      </c>
      <c r="B5" s="86">
        <f t="shared" ca="1" si="3"/>
        <v>3</v>
      </c>
      <c r="C5" s="86">
        <f t="shared" ca="1" si="3"/>
        <v>0</v>
      </c>
      <c r="D5" s="86">
        <f t="shared" ca="1" si="3"/>
        <v>3</v>
      </c>
      <c r="E5" s="86">
        <f t="shared" ca="1" si="3"/>
        <v>5</v>
      </c>
      <c r="F5" s="86">
        <f t="shared" ca="1" si="3"/>
        <v>4</v>
      </c>
      <c r="G5" s="86">
        <f t="shared" ca="1" si="3"/>
        <v>2</v>
      </c>
      <c r="H5" s="86">
        <f t="shared" ca="1" si="3"/>
        <v>4</v>
      </c>
      <c r="I5" s="86">
        <f t="shared" ca="1" si="3"/>
        <v>4</v>
      </c>
      <c r="J5" s="86">
        <f t="shared" ca="1" si="3"/>
        <v>4</v>
      </c>
      <c r="K5" s="86">
        <f t="shared" ca="1" si="3"/>
        <v>4</v>
      </c>
      <c r="L5" s="86">
        <f t="shared" ca="1" si="3"/>
        <v>6</v>
      </c>
      <c r="M5" s="86">
        <f t="shared" ca="1" si="3"/>
        <v>3</v>
      </c>
      <c r="N5" s="86">
        <f t="shared" ca="1" si="3"/>
        <v>5</v>
      </c>
      <c r="O5" s="94">
        <f t="shared" ca="1" si="1"/>
        <v>47</v>
      </c>
    </row>
    <row r="6" spans="1:23" x14ac:dyDescent="0.25">
      <c r="A6" s="88" t="str">
        <f t="shared" ref="A6:N6" si="4">A$34</f>
        <v>Big 12</v>
      </c>
      <c r="B6" s="86">
        <f t="shared" ca="1" si="4"/>
        <v>1</v>
      </c>
      <c r="C6" s="86">
        <f t="shared" ca="1" si="4"/>
        <v>3</v>
      </c>
      <c r="D6" s="86">
        <f t="shared" ca="1" si="4"/>
        <v>2</v>
      </c>
      <c r="E6" s="86">
        <f t="shared" ca="1" si="4"/>
        <v>2</v>
      </c>
      <c r="F6" s="86">
        <f t="shared" ca="1" si="4"/>
        <v>3</v>
      </c>
      <c r="G6" s="86">
        <f t="shared" ca="1" si="4"/>
        <v>4</v>
      </c>
      <c r="H6" s="86">
        <f t="shared" ca="1" si="4"/>
        <v>4</v>
      </c>
      <c r="I6" s="86">
        <f t="shared" ca="1" si="4"/>
        <v>2</v>
      </c>
      <c r="J6" s="86">
        <f t="shared" ca="1" si="4"/>
        <v>2</v>
      </c>
      <c r="K6" s="86">
        <f t="shared" ca="1" si="4"/>
        <v>4</v>
      </c>
      <c r="L6" s="86">
        <f t="shared" ca="1" si="4"/>
        <v>2</v>
      </c>
      <c r="M6" s="86">
        <f t="shared" ca="1" si="4"/>
        <v>2</v>
      </c>
      <c r="N6" s="86">
        <f t="shared" ca="1" si="4"/>
        <v>0</v>
      </c>
      <c r="O6" s="94">
        <f t="shared" ca="1" si="1"/>
        <v>31</v>
      </c>
    </row>
    <row r="7" spans="1:23" x14ac:dyDescent="0.25">
      <c r="A7" s="88" t="str">
        <f t="shared" ref="A7:N7" si="5">A$140</f>
        <v>Pacific 12</v>
      </c>
      <c r="B7" s="86">
        <f t="shared" ca="1" si="5"/>
        <v>2</v>
      </c>
      <c r="C7" s="86">
        <f t="shared" ca="1" si="5"/>
        <v>5</v>
      </c>
      <c r="D7" s="86">
        <f t="shared" ca="1" si="5"/>
        <v>3</v>
      </c>
      <c r="E7" s="86">
        <f t="shared" ca="1" si="5"/>
        <v>4</v>
      </c>
      <c r="F7" s="86">
        <f t="shared" ca="1" si="5"/>
        <v>0</v>
      </c>
      <c r="G7" s="86">
        <f t="shared" ca="1" si="5"/>
        <v>4</v>
      </c>
      <c r="H7" s="86">
        <f t="shared" ca="1" si="5"/>
        <v>2</v>
      </c>
      <c r="I7" s="86">
        <f t="shared" ca="1" si="5"/>
        <v>1</v>
      </c>
      <c r="J7" s="86">
        <f t="shared" ca="1" si="5"/>
        <v>2</v>
      </c>
      <c r="K7" s="86">
        <f t="shared" ca="1" si="5"/>
        <v>0</v>
      </c>
      <c r="L7" s="86">
        <f t="shared" ca="1" si="5"/>
        <v>2</v>
      </c>
      <c r="M7" s="86">
        <f t="shared" ca="1" si="5"/>
        <v>4</v>
      </c>
      <c r="N7" s="86">
        <f t="shared" ca="1" si="5"/>
        <v>1</v>
      </c>
      <c r="O7" s="94">
        <f t="shared" ca="1" si="1"/>
        <v>30</v>
      </c>
    </row>
    <row r="8" spans="1:23" x14ac:dyDescent="0.25">
      <c r="A8" s="88" t="str">
        <f t="shared" ref="A8:N8" si="6">A$50</f>
        <v>Big East</v>
      </c>
      <c r="B8" s="86">
        <f t="shared" ca="1" si="6"/>
        <v>2</v>
      </c>
      <c r="C8" s="86">
        <f t="shared" ca="1" si="6"/>
        <v>0</v>
      </c>
      <c r="D8" s="86">
        <f t="shared" ca="1" si="6"/>
        <v>2</v>
      </c>
      <c r="E8" s="86">
        <f t="shared" ca="1" si="6"/>
        <v>3</v>
      </c>
      <c r="F8" s="86">
        <f t="shared" ca="1" si="6"/>
        <v>2</v>
      </c>
      <c r="G8" s="86">
        <f t="shared" ca="1" si="6"/>
        <v>0</v>
      </c>
      <c r="H8" s="86">
        <f t="shared" ca="1" si="6"/>
        <v>0</v>
      </c>
      <c r="I8" s="86">
        <f t="shared" ca="1" si="6"/>
        <v>2</v>
      </c>
      <c r="J8" s="86">
        <f t="shared" ca="1" si="6"/>
        <v>2</v>
      </c>
      <c r="K8" s="86">
        <f t="shared" ca="1" si="6"/>
        <v>4</v>
      </c>
      <c r="L8" s="86">
        <f t="shared" ca="1" si="6"/>
        <v>2</v>
      </c>
      <c r="M8" s="86">
        <f t="shared" ca="1" si="6"/>
        <v>1</v>
      </c>
      <c r="N8" s="86">
        <f t="shared" ca="1" si="6"/>
        <v>2</v>
      </c>
      <c r="O8" s="94">
        <f t="shared" ca="1" si="1"/>
        <v>22</v>
      </c>
    </row>
    <row r="9" spans="1:23" x14ac:dyDescent="0.25">
      <c r="A9" s="88" t="str">
        <f t="shared" ref="A9:N9" si="7">A$95</f>
        <v>Independents</v>
      </c>
      <c r="B9" s="86">
        <f t="shared" ca="1" si="7"/>
        <v>2</v>
      </c>
      <c r="C9" s="86">
        <f t="shared" ca="1" si="7"/>
        <v>2</v>
      </c>
      <c r="D9" s="86">
        <f t="shared" ca="1" si="7"/>
        <v>2</v>
      </c>
      <c r="E9" s="86">
        <f t="shared" ca="1" si="7"/>
        <v>1</v>
      </c>
      <c r="F9" s="86">
        <f t="shared" ca="1" si="7"/>
        <v>0</v>
      </c>
      <c r="G9" s="86">
        <f t="shared" ca="1" si="7"/>
        <v>0</v>
      </c>
      <c r="H9" s="86">
        <f t="shared" ca="1" si="7"/>
        <v>0</v>
      </c>
      <c r="I9" s="86">
        <f t="shared" ca="1" si="7"/>
        <v>2</v>
      </c>
      <c r="J9" s="86">
        <f t="shared" ca="1" si="7"/>
        <v>0</v>
      </c>
      <c r="K9" s="86">
        <f t="shared" ca="1" si="7"/>
        <v>0</v>
      </c>
      <c r="L9" s="86">
        <f t="shared" ca="1" si="7"/>
        <v>0</v>
      </c>
      <c r="M9" s="86">
        <f t="shared" ca="1" si="7"/>
        <v>0</v>
      </c>
      <c r="N9" s="86">
        <f t="shared" ca="1" si="7"/>
        <v>1</v>
      </c>
      <c r="O9" s="94">
        <f t="shared" ca="1" si="1"/>
        <v>10</v>
      </c>
    </row>
    <row r="10" spans="1:23" x14ac:dyDescent="0.25">
      <c r="A10" s="88" t="str">
        <f t="shared" ref="A10:N10" si="8">A$125</f>
        <v>Mountain West</v>
      </c>
      <c r="B10" s="86">
        <f t="shared" ca="1" si="8"/>
        <v>2</v>
      </c>
      <c r="C10" s="86">
        <f t="shared" ca="1" si="8"/>
        <v>2</v>
      </c>
      <c r="D10" s="86">
        <f t="shared" ca="1" si="8"/>
        <v>0</v>
      </c>
      <c r="E10" s="86">
        <f t="shared" ca="1" si="8"/>
        <v>0</v>
      </c>
      <c r="F10" s="86">
        <f t="shared" ca="1" si="8"/>
        <v>0</v>
      </c>
      <c r="G10" s="86">
        <f t="shared" ca="1" si="8"/>
        <v>0</v>
      </c>
      <c r="H10" s="86">
        <f t="shared" ca="1" si="8"/>
        <v>0</v>
      </c>
      <c r="I10" s="86">
        <f t="shared" ca="1" si="8"/>
        <v>0</v>
      </c>
      <c r="J10" s="86">
        <f t="shared" ca="1" si="8"/>
        <v>0</v>
      </c>
      <c r="K10" s="86">
        <f t="shared" ca="1" si="8"/>
        <v>0</v>
      </c>
      <c r="L10" s="86">
        <f t="shared" ca="1" si="8"/>
        <v>0</v>
      </c>
      <c r="M10" s="86">
        <f t="shared" ca="1" si="8"/>
        <v>0</v>
      </c>
      <c r="N10" s="86">
        <f t="shared" ca="1" si="8"/>
        <v>0</v>
      </c>
      <c r="O10" s="94">
        <f t="shared" ca="1" si="1"/>
        <v>4</v>
      </c>
    </row>
    <row r="11" spans="1:23" x14ac:dyDescent="0.25">
      <c r="A11" s="88" t="str">
        <f t="shared" ref="A11:N11" si="9">A$80</f>
        <v>Conference USA</v>
      </c>
      <c r="B11" s="86">
        <f t="shared" ca="1" si="9"/>
        <v>2</v>
      </c>
      <c r="C11" s="86">
        <f t="shared" ca="1" si="9"/>
        <v>0</v>
      </c>
      <c r="D11" s="86">
        <f t="shared" ca="1" si="9"/>
        <v>0</v>
      </c>
      <c r="E11" s="86">
        <f t="shared" ca="1" si="9"/>
        <v>0</v>
      </c>
      <c r="F11" s="86">
        <f t="shared" ca="1" si="9"/>
        <v>0</v>
      </c>
      <c r="G11" s="86">
        <f t="shared" ca="1" si="9"/>
        <v>0</v>
      </c>
      <c r="H11" s="86">
        <f t="shared" ca="1" si="9"/>
        <v>0</v>
      </c>
      <c r="I11" s="86">
        <f t="shared" ca="1" si="9"/>
        <v>0</v>
      </c>
      <c r="J11" s="86">
        <f t="shared" ca="1" si="9"/>
        <v>0</v>
      </c>
      <c r="K11" s="86">
        <f t="shared" ca="1" si="9"/>
        <v>0</v>
      </c>
      <c r="L11" s="86">
        <f t="shared" ca="1" si="9"/>
        <v>0</v>
      </c>
      <c r="M11" s="86">
        <f t="shared" ca="1" si="9"/>
        <v>2</v>
      </c>
      <c r="N11" s="86">
        <f t="shared" ca="1" si="9"/>
        <v>0</v>
      </c>
      <c r="O11" s="94">
        <f t="shared" ca="1" si="1"/>
        <v>4</v>
      </c>
    </row>
    <row r="12" spans="1:23" x14ac:dyDescent="0.25">
      <c r="A12" s="88" t="str">
        <f t="shared" ref="A12:N12" si="10">A$170</f>
        <v>Sun Belt</v>
      </c>
      <c r="B12" s="86">
        <f t="shared" ca="1" si="10"/>
        <v>1</v>
      </c>
      <c r="C12" s="86">
        <f t="shared" ca="1" si="10"/>
        <v>0</v>
      </c>
      <c r="D12" s="86">
        <f t="shared" ca="1" si="10"/>
        <v>0</v>
      </c>
      <c r="E12" s="86">
        <f t="shared" ca="1" si="10"/>
        <v>0</v>
      </c>
      <c r="F12" s="86">
        <f t="shared" ca="1" si="10"/>
        <v>0</v>
      </c>
      <c r="G12" s="86">
        <f t="shared" ca="1" si="10"/>
        <v>0</v>
      </c>
      <c r="H12" s="86">
        <f t="shared" ca="1" si="10"/>
        <v>0</v>
      </c>
      <c r="I12" s="86">
        <f t="shared" ca="1" si="10"/>
        <v>0</v>
      </c>
      <c r="J12" s="86">
        <f t="shared" ca="1" si="10"/>
        <v>0</v>
      </c>
      <c r="K12" s="86">
        <f t="shared" ca="1" si="10"/>
        <v>0</v>
      </c>
      <c r="L12" s="86">
        <f t="shared" ca="1" si="10"/>
        <v>0</v>
      </c>
      <c r="M12" s="86">
        <f t="shared" ca="1" si="10"/>
        <v>0</v>
      </c>
      <c r="N12" s="86">
        <f t="shared" ca="1" si="10"/>
        <v>0</v>
      </c>
      <c r="O12" s="94">
        <f t="shared" ca="1" si="1"/>
        <v>1</v>
      </c>
    </row>
    <row r="13" spans="1:23" x14ac:dyDescent="0.25">
      <c r="A13" s="88" t="str">
        <f t="shared" ref="A13:N13" si="11">A$185</f>
        <v>Western Athletic</v>
      </c>
      <c r="B13" s="86">
        <f t="shared" ca="1" si="11"/>
        <v>0</v>
      </c>
      <c r="C13" s="86">
        <f t="shared" ca="1" si="11"/>
        <v>0</v>
      </c>
      <c r="D13" s="86">
        <f t="shared" ca="1" si="11"/>
        <v>0</v>
      </c>
      <c r="E13" s="86">
        <f t="shared" ca="1" si="11"/>
        <v>0</v>
      </c>
      <c r="F13" s="86">
        <f t="shared" ca="1" si="11"/>
        <v>0</v>
      </c>
      <c r="G13" s="86">
        <f t="shared" ca="1" si="11"/>
        <v>0</v>
      </c>
      <c r="H13" s="86">
        <f t="shared" ca="1" si="11"/>
        <v>0</v>
      </c>
      <c r="I13" s="86">
        <f t="shared" ca="1" si="11"/>
        <v>0</v>
      </c>
      <c r="J13" s="86">
        <f t="shared" ca="1" si="11"/>
        <v>0</v>
      </c>
      <c r="K13" s="86">
        <f t="shared" ca="1" si="11"/>
        <v>0</v>
      </c>
      <c r="L13" s="86">
        <f t="shared" ca="1" si="11"/>
        <v>0</v>
      </c>
      <c r="M13" s="86">
        <f t="shared" ca="1" si="11"/>
        <v>0</v>
      </c>
      <c r="N13" s="86">
        <f t="shared" ca="1" si="11"/>
        <v>0</v>
      </c>
      <c r="O13" s="94">
        <f t="shared" ca="1" si="1"/>
        <v>0</v>
      </c>
    </row>
    <row r="14" spans="1:23" x14ac:dyDescent="0.25">
      <c r="A14" s="88" t="str">
        <f t="shared" ref="A14:N14" si="12">A$110</f>
        <v>Mid American</v>
      </c>
      <c r="B14" s="86">
        <f t="shared" ca="1" si="12"/>
        <v>0</v>
      </c>
      <c r="C14" s="86">
        <f t="shared" ca="1" si="12"/>
        <v>0</v>
      </c>
      <c r="D14" s="86">
        <f t="shared" ca="1" si="12"/>
        <v>0</v>
      </c>
      <c r="E14" s="86">
        <f t="shared" ca="1" si="12"/>
        <v>0</v>
      </c>
      <c r="F14" s="86">
        <f t="shared" ca="1" si="12"/>
        <v>0</v>
      </c>
      <c r="G14" s="86">
        <f t="shared" ca="1" si="12"/>
        <v>0</v>
      </c>
      <c r="H14" s="86">
        <f t="shared" ca="1" si="12"/>
        <v>0</v>
      </c>
      <c r="I14" s="86">
        <f t="shared" ca="1" si="12"/>
        <v>0</v>
      </c>
      <c r="J14" s="86">
        <f t="shared" ca="1" si="12"/>
        <v>0</v>
      </c>
      <c r="K14" s="86">
        <f t="shared" ca="1" si="12"/>
        <v>0</v>
      </c>
      <c r="L14" s="86">
        <f t="shared" ca="1" si="12"/>
        <v>0</v>
      </c>
      <c r="M14" s="86">
        <f t="shared" ca="1" si="12"/>
        <v>0</v>
      </c>
      <c r="N14" s="86">
        <f t="shared" ca="1" si="12"/>
        <v>0</v>
      </c>
      <c r="O14" s="94">
        <f t="shared" ca="1" si="1"/>
        <v>0</v>
      </c>
    </row>
    <row r="15" spans="1:23" ht="13.8" thickBot="1" x14ac:dyDescent="0.3">
      <c r="A15" s="90"/>
      <c r="B15" s="89">
        <f ca="1">SUM(B3:B14)</f>
        <v>20</v>
      </c>
      <c r="C15" s="89">
        <f t="shared" ref="C15:N15" ca="1" si="13">SUM(C3:C14)</f>
        <v>20</v>
      </c>
      <c r="D15" s="89">
        <f t="shared" ca="1" si="13"/>
        <v>20</v>
      </c>
      <c r="E15" s="89">
        <f t="shared" ca="1" si="13"/>
        <v>20</v>
      </c>
      <c r="F15" s="89">
        <f t="shared" ca="1" si="13"/>
        <v>20</v>
      </c>
      <c r="G15" s="89">
        <f t="shared" ca="1" si="13"/>
        <v>20</v>
      </c>
      <c r="H15" s="89">
        <f t="shared" ca="1" si="13"/>
        <v>20</v>
      </c>
      <c r="I15" s="89">
        <f t="shared" ca="1" si="13"/>
        <v>20</v>
      </c>
      <c r="J15" s="89">
        <f t="shared" ca="1" si="13"/>
        <v>20</v>
      </c>
      <c r="K15" s="89">
        <f t="shared" ca="1" si="13"/>
        <v>20</v>
      </c>
      <c r="L15" s="89">
        <f t="shared" ca="1" si="13"/>
        <v>20</v>
      </c>
      <c r="M15" s="89">
        <f t="shared" ca="1" si="13"/>
        <v>20</v>
      </c>
      <c r="N15" s="89">
        <f t="shared" ca="1" si="13"/>
        <v>20</v>
      </c>
      <c r="O15" s="95">
        <f t="shared" ref="O15" ca="1" si="14">SUM(B15:N15)</f>
        <v>260</v>
      </c>
    </row>
    <row r="19" spans="1:15" s="28" customFormat="1" ht="13.8" thickBot="1" x14ac:dyDescent="0.3">
      <c r="A19" s="97" t="s">
        <v>199</v>
      </c>
      <c r="B19" s="91">
        <f ca="1">SUM(B20:B32)</f>
        <v>3</v>
      </c>
      <c r="C19" s="91">
        <f t="shared" ref="C19:N19" ca="1" si="15">SUM(C20:C32)</f>
        <v>0</v>
      </c>
      <c r="D19" s="91">
        <f t="shared" ca="1" si="15"/>
        <v>3</v>
      </c>
      <c r="E19" s="91">
        <f t="shared" ca="1" si="15"/>
        <v>5</v>
      </c>
      <c r="F19" s="91">
        <f t="shared" ca="1" si="15"/>
        <v>4</v>
      </c>
      <c r="G19" s="91">
        <f t="shared" ca="1" si="15"/>
        <v>2</v>
      </c>
      <c r="H19" s="91">
        <f t="shared" ca="1" si="15"/>
        <v>4</v>
      </c>
      <c r="I19" s="91">
        <f t="shared" ca="1" si="15"/>
        <v>4</v>
      </c>
      <c r="J19" s="91">
        <f t="shared" ca="1" si="15"/>
        <v>4</v>
      </c>
      <c r="K19" s="91">
        <f t="shared" ca="1" si="15"/>
        <v>4</v>
      </c>
      <c r="L19" s="91">
        <f t="shared" ca="1" si="15"/>
        <v>6</v>
      </c>
      <c r="M19" s="91">
        <f t="shared" ca="1" si="15"/>
        <v>3</v>
      </c>
      <c r="N19" s="91">
        <f t="shared" ca="1" si="15"/>
        <v>5</v>
      </c>
      <c r="O19" s="93"/>
    </row>
    <row r="20" spans="1:15" x14ac:dyDescent="0.25">
      <c r="A20" s="98" t="s">
        <v>175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1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0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1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1</v>
      </c>
      <c r="O20" s="94">
        <f t="shared" ref="O20:O31" ca="1" si="16">SUM(B20:N20)</f>
        <v>10</v>
      </c>
    </row>
    <row r="21" spans="1:15" x14ac:dyDescent="0.25">
      <c r="A21" s="98" t="s">
        <v>184</v>
      </c>
      <c r="B21" s="86">
        <f ca="1">COUNTIF(INDIRECT(ADDRESS(3,2,1,,B$2)):INDIRECT(ADDRESS(22,2,1,,B$2)),$A21)</f>
        <v>0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0</v>
      </c>
      <c r="E21" s="86">
        <f ca="1">COUNTIF(INDIRECT(ADDRESS(3,2,1,,E$2)):INDIRECT(ADDRESS(22,2,1,,E$2)),$A21)</f>
        <v>1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0</v>
      </c>
      <c r="H21" s="86">
        <f ca="1">COUNTIF(INDIRECT(ADDRESS(3,2,1,,H$2)):INDIRECT(ADDRESS(22,2,1,,H$2)),$A21)</f>
        <v>1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1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0</v>
      </c>
      <c r="O21" s="94">
        <f t="shared" ca="1" si="16"/>
        <v>5</v>
      </c>
    </row>
    <row r="22" spans="1:15" x14ac:dyDescent="0.25">
      <c r="A22" s="98" t="s">
        <v>162</v>
      </c>
      <c r="B22" s="86">
        <f ca="1">COUNTIF(INDIRECT(ADDRESS(3,2,1,,B$2)):INDIRECT(ADDRESS(22,2,1,,B$2)),$A22)</f>
        <v>1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1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1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1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4">
        <f t="shared" ca="1" si="16"/>
        <v>4</v>
      </c>
    </row>
    <row r="23" spans="1:15" x14ac:dyDescent="0.25">
      <c r="A23" s="98" t="s">
        <v>177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0</v>
      </c>
      <c r="G23" s="86">
        <f ca="1">COUNTIF(INDIRECT(ADDRESS(3,2,1,,G$2)):INDIRECT(ADDRESS(22,2,1,,G$2)),$A23)</f>
        <v>1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1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1</v>
      </c>
      <c r="N23" s="86">
        <f ca="1">COUNTIF(INDIRECT(ADDRESS(3,2,1,,N$2)):INDIRECT(ADDRESS(22,2,1,,N$2)),$A23)</f>
        <v>0</v>
      </c>
      <c r="O23" s="94">
        <f t="shared" ca="1" si="16"/>
        <v>5</v>
      </c>
    </row>
    <row r="24" spans="1:15" x14ac:dyDescent="0.25">
      <c r="A24" s="98" t="s">
        <v>201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1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1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0</v>
      </c>
      <c r="O24" s="94">
        <f t="shared" ca="1" si="16"/>
        <v>3</v>
      </c>
    </row>
    <row r="25" spans="1:15" x14ac:dyDescent="0.25">
      <c r="A25" s="98" t="s">
        <v>158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1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0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1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1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1</v>
      </c>
      <c r="O25" s="94">
        <f t="shared" ca="1" si="16"/>
        <v>5</v>
      </c>
    </row>
    <row r="26" spans="1:15" x14ac:dyDescent="0.25">
      <c r="A26" s="98" t="s">
        <v>163</v>
      </c>
      <c r="B26" s="86">
        <f ca="1">COUNTIF(INDIRECT(ADDRESS(3,2,1,,B$2)):INDIRECT(ADDRESS(22,2,1,,B$2)),$A26)</f>
        <v>1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1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4">
        <f t="shared" ca="1" si="16"/>
        <v>2</v>
      </c>
    </row>
    <row r="27" spans="1:15" x14ac:dyDescent="0.25">
      <c r="A27" s="98" t="s">
        <v>174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1</v>
      </c>
      <c r="E27" s="86">
        <f ca="1">COUNTIF(INDIRECT(ADDRESS(3,2,1,,E$2)):INDIRECT(ADDRESS(22,2,1,,E$2)),$A27)</f>
        <v>1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1</v>
      </c>
      <c r="O27" s="94">
        <f t="shared" ca="1" si="16"/>
        <v>4</v>
      </c>
    </row>
    <row r="28" spans="1:15" x14ac:dyDescent="0.25">
      <c r="A28" s="98" t="s">
        <v>187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1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1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1</v>
      </c>
      <c r="O28" s="94">
        <f t="shared" ca="1" si="16"/>
        <v>4</v>
      </c>
    </row>
    <row r="29" spans="1:15" x14ac:dyDescent="0.25">
      <c r="A29" s="98" t="s">
        <v>189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1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1</v>
      </c>
      <c r="N29" s="86">
        <f ca="1">COUNTIF(INDIRECT(ADDRESS(3,2,1,,N$2)):INDIRECT(ADDRESS(22,2,1,,N$2)),$A29)</f>
        <v>0</v>
      </c>
      <c r="O29" s="94">
        <f t="shared" ca="1" si="16"/>
        <v>3</v>
      </c>
    </row>
    <row r="30" spans="1:15" x14ac:dyDescent="0.25">
      <c r="A30" s="98" t="s">
        <v>203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1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1</v>
      </c>
      <c r="O30" s="94">
        <f t="shared" ca="1" si="16"/>
        <v>2</v>
      </c>
    </row>
    <row r="31" spans="1:15" x14ac:dyDescent="0.25">
      <c r="A31" s="98" t="s">
        <v>202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4">
        <f t="shared" ca="1" si="16"/>
        <v>0</v>
      </c>
    </row>
    <row r="34" spans="1:23" ht="13.8" thickBot="1" x14ac:dyDescent="0.3">
      <c r="A34" s="97" t="s">
        <v>200</v>
      </c>
      <c r="B34" s="91">
        <f t="shared" ref="B34:N34" ca="1" si="17">SUM(B35:B47)</f>
        <v>1</v>
      </c>
      <c r="C34" s="91">
        <f t="shared" ca="1" si="17"/>
        <v>3</v>
      </c>
      <c r="D34" s="91">
        <f t="shared" ca="1" si="17"/>
        <v>2</v>
      </c>
      <c r="E34" s="91">
        <f t="shared" ca="1" si="17"/>
        <v>2</v>
      </c>
      <c r="F34" s="91">
        <f t="shared" ca="1" si="17"/>
        <v>3</v>
      </c>
      <c r="G34" s="91">
        <f t="shared" ca="1" si="17"/>
        <v>4</v>
      </c>
      <c r="H34" s="91">
        <f t="shared" ca="1" si="17"/>
        <v>4</v>
      </c>
      <c r="I34" s="91">
        <f t="shared" ca="1" si="17"/>
        <v>2</v>
      </c>
      <c r="J34" s="91">
        <f t="shared" ca="1" si="17"/>
        <v>2</v>
      </c>
      <c r="K34" s="91">
        <f t="shared" ca="1" si="17"/>
        <v>4</v>
      </c>
      <c r="L34" s="91">
        <f t="shared" ca="1" si="17"/>
        <v>2</v>
      </c>
      <c r="M34" s="91">
        <f t="shared" ca="1" si="17"/>
        <v>2</v>
      </c>
      <c r="N34" s="91">
        <f t="shared" ca="1" si="17"/>
        <v>0</v>
      </c>
      <c r="O34" s="93"/>
    </row>
    <row r="35" spans="1:23" s="28" customFormat="1" x14ac:dyDescent="0.25">
      <c r="A35" s="98" t="s">
        <v>170</v>
      </c>
      <c r="B35" s="86">
        <f ca="1">COUNTIF(INDIRECT(ADDRESS(3,2,1,,B$2)):INDIRECT(ADDRESS(22,2,1,,B$2)),$A35)</f>
        <v>0</v>
      </c>
      <c r="C35" s="86">
        <f ca="1">COUNTIF(INDIRECT(ADDRESS(3,2,1,,C$2)):INDIRECT(ADDRESS(22,2,1,,C$2)),$A35)</f>
        <v>0</v>
      </c>
      <c r="D35" s="86">
        <f ca="1">COUNTIF(INDIRECT(ADDRESS(3,2,1,,D$2)):INDIRECT(ADDRESS(22,2,1,,D$2)),$A35)</f>
        <v>0</v>
      </c>
      <c r="E35" s="86">
        <f ca="1">COUNTIF(INDIRECT(ADDRESS(3,2,1,,E$2)):INDIRECT(ADDRESS(22,2,1,,E$2)),$A35)</f>
        <v>0</v>
      </c>
      <c r="F35" s="86">
        <f ca="1">COUNTIF(INDIRECT(ADDRESS(3,2,1,,F$2)):INDIRECT(ADDRESS(22,2,1,,F$2)),$A35)</f>
        <v>1</v>
      </c>
      <c r="G35" s="86">
        <f ca="1">COUNTIF(INDIRECT(ADDRESS(3,2,1,,G$2)):INDIRECT(ADDRESS(22,2,1,,G$2)),$A35)</f>
        <v>1</v>
      </c>
      <c r="H35" s="86">
        <f ca="1">COUNTIF(INDIRECT(ADDRESS(3,2,1,,H$2)):INDIRECT(ADDRESS(22,2,1,,H$2)),$A35)</f>
        <v>1</v>
      </c>
      <c r="I35" s="86">
        <f ca="1">COUNTIF(INDIRECT(ADDRESS(3,2,1,,I$2)):INDIRECT(ADDRESS(22,2,1,,I$2)),$A35)</f>
        <v>0</v>
      </c>
      <c r="J35" s="86">
        <f ca="1">COUNTIF(INDIRECT(ADDRESS(3,2,1,,J$2)):INDIRECT(ADDRESS(22,2,1,,J$2)),$A35)</f>
        <v>1</v>
      </c>
      <c r="K35" s="86">
        <f ca="1">COUNTIF(INDIRECT(ADDRESS(3,2,1,,K$2)):INDIRECT(ADDRESS(22,2,1,,K$2)),$A35)</f>
        <v>1</v>
      </c>
      <c r="L35" s="86">
        <f ca="1">COUNTIF(INDIRECT(ADDRESS(3,2,1,,L$2)):INDIRECT(ADDRESS(22,2,1,,L$2)),$A35)</f>
        <v>0</v>
      </c>
      <c r="M35" s="86">
        <f ca="1">COUNTIF(INDIRECT(ADDRESS(3,2,1,,M$2)):INDIRECT(ADDRESS(22,2,1,,M$2)),$A35)</f>
        <v>1</v>
      </c>
      <c r="N35" s="86">
        <f ca="1">COUNTIF(INDIRECT(ADDRESS(3,2,1,,N$2)):INDIRECT(ADDRESS(22,2,1,,N$2)),$A35)</f>
        <v>0</v>
      </c>
      <c r="O35" s="94">
        <f t="shared" ref="O35:O44" ca="1" si="18">SUM(B35:N35)</f>
        <v>6</v>
      </c>
    </row>
    <row r="36" spans="1:23" x14ac:dyDescent="0.25">
      <c r="A36" s="98" t="s">
        <v>209</v>
      </c>
      <c r="B36" s="86">
        <f ca="1">COUNTIF(INDIRECT(ADDRESS(3,2,1,,B$2)):INDIRECT(ADDRESS(22,2,1,,B$2)),$A36)</f>
        <v>0</v>
      </c>
      <c r="C36" s="86">
        <f ca="1">COUNTIF(INDIRECT(ADDRESS(3,2,1,,C$2)):INDIRECT(ADDRESS(22,2,1,,C$2)),$A36)</f>
        <v>1</v>
      </c>
      <c r="D36" s="86">
        <f ca="1">COUNTIF(INDIRECT(ADDRESS(3,2,1,,D$2)):INDIRECT(ADDRESS(22,2,1,,D$2)),$A36)</f>
        <v>1</v>
      </c>
      <c r="E36" s="86">
        <f ca="1">COUNTIF(INDIRECT(ADDRESS(3,2,1,,E$2)):INDIRECT(ADDRESS(22,2,1,,E$2)),$A36)</f>
        <v>0</v>
      </c>
      <c r="F36" s="86">
        <f ca="1">COUNTIF(INDIRECT(ADDRESS(3,2,1,,F$2)):INDIRECT(ADDRESS(22,2,1,,F$2)),$A36)</f>
        <v>0</v>
      </c>
      <c r="G36" s="86">
        <f ca="1">COUNTIF(INDIRECT(ADDRESS(3,2,1,,G$2)):INDIRECT(ADDRESS(22,2,1,,G$2)),$A36)</f>
        <v>1</v>
      </c>
      <c r="H36" s="86">
        <f ca="1">COUNTIF(INDIRECT(ADDRESS(3,2,1,,H$2)):INDIRECT(ADDRESS(22,2,1,,H$2)),$A36)</f>
        <v>1</v>
      </c>
      <c r="I36" s="86">
        <f ca="1">COUNTIF(INDIRECT(ADDRESS(3,2,1,,I$2)):INDIRECT(ADDRESS(22,2,1,,I$2)),$A36)</f>
        <v>0</v>
      </c>
      <c r="J36" s="86">
        <f ca="1">COUNTIF(INDIRECT(ADDRESS(3,2,1,,J$2)):INDIRECT(ADDRESS(22,2,1,,J$2)),$A36)</f>
        <v>0</v>
      </c>
      <c r="K36" s="86">
        <f ca="1">COUNTIF(INDIRECT(ADDRESS(3,2,1,,K$2)):INDIRECT(ADDRESS(22,2,1,,K$2)),$A36)</f>
        <v>0</v>
      </c>
      <c r="L36" s="86">
        <f ca="1">COUNTIF(INDIRECT(ADDRESS(3,2,1,,L$2)):INDIRECT(ADDRESS(22,2,1,,L$2)),$A36)</f>
        <v>1</v>
      </c>
      <c r="M36" s="86">
        <f ca="1">COUNTIF(INDIRECT(ADDRESS(3,2,1,,M$2)):INDIRECT(ADDRESS(22,2,1,,M$2)),$A36)</f>
        <v>1</v>
      </c>
      <c r="N36" s="86">
        <f ca="1">COUNTIF(INDIRECT(ADDRESS(3,2,1,,N$2)):INDIRECT(ADDRESS(22,2,1,,N$2)),$A36)</f>
        <v>0</v>
      </c>
      <c r="O36" s="94">
        <f t="shared" ca="1" si="18"/>
        <v>6</v>
      </c>
      <c r="P36" s="2"/>
      <c r="Q36" s="2"/>
      <c r="R36" s="2"/>
      <c r="S36" s="2"/>
      <c r="T36" s="2"/>
      <c r="U36" s="2"/>
      <c r="V36" s="2"/>
      <c r="W36" s="2"/>
    </row>
    <row r="37" spans="1:23" x14ac:dyDescent="0.25">
      <c r="A37" s="98" t="s">
        <v>178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1</v>
      </c>
      <c r="K37" s="86">
        <f ca="1">COUNTIF(INDIRECT(ADDRESS(3,2,1,,K$2)):INDIRECT(ADDRESS(22,2,1,,K$2)),$A37)</f>
        <v>1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4">
        <f t="shared" ca="1" si="18"/>
        <v>4</v>
      </c>
    </row>
    <row r="38" spans="1:23" x14ac:dyDescent="0.25">
      <c r="A38" s="98" t="s">
        <v>166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1</v>
      </c>
      <c r="I38" s="86">
        <f ca="1">COUNTIF(INDIRECT(ADDRESS(3,2,1,,I$2)):INDIRECT(ADDRESS(22,2,1,,I$2)),$A38)</f>
        <v>1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1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4">
        <f t="shared" ca="1" si="18"/>
        <v>4</v>
      </c>
    </row>
    <row r="39" spans="1:23" x14ac:dyDescent="0.25">
      <c r="A39" s="98" t="s">
        <v>206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1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1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4">
        <f t="shared" ca="1" si="18"/>
        <v>4</v>
      </c>
    </row>
    <row r="40" spans="1:23" x14ac:dyDescent="0.25">
      <c r="A40" s="98" t="s">
        <v>210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1</v>
      </c>
      <c r="F40" s="86">
        <f ca="1">COUNTIF(INDIRECT(ADDRESS(3,2,1,,F$2)):INDIRECT(ADDRESS(22,2,1,,F$2)),$A40)</f>
        <v>1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1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4">
        <f t="shared" ca="1" si="18"/>
        <v>3</v>
      </c>
    </row>
    <row r="41" spans="1:23" x14ac:dyDescent="0.25">
      <c r="A41" s="98" t="s">
        <v>208</v>
      </c>
      <c r="B41" s="86">
        <f ca="1">COUNTIF(INDIRECT(ADDRESS(3,2,1,,B$2)):INDIRECT(ADDRESS(22,2,1,,B$2)),$A41)</f>
        <v>1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1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4">
        <f t="shared" ca="1" si="18"/>
        <v>2</v>
      </c>
    </row>
    <row r="42" spans="1:23" x14ac:dyDescent="0.25">
      <c r="A42" s="98" t="s">
        <v>211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1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4">
        <f t="shared" ca="1" si="18"/>
        <v>1</v>
      </c>
    </row>
    <row r="43" spans="1:23" x14ac:dyDescent="0.25">
      <c r="A43" s="98" t="s">
        <v>204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1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4">
        <f t="shared" ca="1" si="18"/>
        <v>1</v>
      </c>
    </row>
    <row r="44" spans="1:23" x14ac:dyDescent="0.25">
      <c r="A44" s="98" t="s">
        <v>205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4">
        <f t="shared" ca="1" si="18"/>
        <v>0</v>
      </c>
    </row>
    <row r="45" spans="1:23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96"/>
    </row>
    <row r="46" spans="1:23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96"/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6"/>
    </row>
    <row r="50" spans="1:15" s="28" customFormat="1" ht="13.8" thickBot="1" x14ac:dyDescent="0.3">
      <c r="A50" s="97" t="s">
        <v>190</v>
      </c>
      <c r="B50" s="91">
        <f t="shared" ref="B50:N50" ca="1" si="19">SUM(B51:B63)</f>
        <v>2</v>
      </c>
      <c r="C50" s="91">
        <f t="shared" ca="1" si="19"/>
        <v>0</v>
      </c>
      <c r="D50" s="91">
        <f t="shared" ca="1" si="19"/>
        <v>2</v>
      </c>
      <c r="E50" s="91">
        <f t="shared" ca="1" si="19"/>
        <v>3</v>
      </c>
      <c r="F50" s="91">
        <f t="shared" ca="1" si="19"/>
        <v>2</v>
      </c>
      <c r="G50" s="91">
        <f t="shared" ca="1" si="19"/>
        <v>0</v>
      </c>
      <c r="H50" s="91">
        <f t="shared" ca="1" si="19"/>
        <v>0</v>
      </c>
      <c r="I50" s="91">
        <f t="shared" ca="1" si="19"/>
        <v>2</v>
      </c>
      <c r="J50" s="91">
        <f t="shared" ca="1" si="19"/>
        <v>2</v>
      </c>
      <c r="K50" s="91">
        <f t="shared" ca="1" si="19"/>
        <v>4</v>
      </c>
      <c r="L50" s="91">
        <f t="shared" ca="1" si="19"/>
        <v>2</v>
      </c>
      <c r="M50" s="91">
        <f t="shared" ca="1" si="19"/>
        <v>1</v>
      </c>
      <c r="N50" s="91">
        <f t="shared" ca="1" si="19"/>
        <v>2</v>
      </c>
      <c r="O50" s="93"/>
    </row>
    <row r="51" spans="1:15" x14ac:dyDescent="0.25">
      <c r="A51" s="98" t="s">
        <v>215</v>
      </c>
      <c r="B51" s="86">
        <f ca="1">COUNTIF(INDIRECT(ADDRESS(3,2,1,,B$2)):INDIRECT(ADDRESS(22,2,1,,B$2)),$A51)</f>
        <v>0</v>
      </c>
      <c r="C51" s="86">
        <f ca="1">COUNTIF(INDIRECT(ADDRESS(3,2,1,,C$2)):INDIRECT(ADDRESS(22,2,1,,C$2)),$A51)</f>
        <v>0</v>
      </c>
      <c r="D51" s="86">
        <f ca="1">COUNTIF(INDIRECT(ADDRESS(3,2,1,,D$2)):INDIRECT(ADDRESS(22,2,1,,D$2)),$A51)</f>
        <v>1</v>
      </c>
      <c r="E51" s="86">
        <f ca="1">COUNTIF(INDIRECT(ADDRESS(3,2,1,,E$2)):INDIRECT(ADDRESS(22,2,1,,E$2)),$A51)</f>
        <v>1</v>
      </c>
      <c r="F51" s="86">
        <f ca="1">COUNTIF(INDIRECT(ADDRESS(3,2,1,,F$2)):INDIRECT(ADDRESS(22,2,1,,F$2)),$A51)</f>
        <v>1</v>
      </c>
      <c r="G51" s="86">
        <f ca="1">COUNTIF(INDIRECT(ADDRESS(3,2,1,,G$2)):INDIRECT(ADDRESS(22,2,1,,G$2)),$A51)</f>
        <v>0</v>
      </c>
      <c r="H51" s="86">
        <f ca="1">COUNTIF(INDIRECT(ADDRESS(3,2,1,,H$2)):INDIRECT(ADDRESS(22,2,1,,H$2)),$A51)</f>
        <v>0</v>
      </c>
      <c r="I51" s="86">
        <f ca="1">COUNTIF(INDIRECT(ADDRESS(3,2,1,,I$2)):INDIRECT(ADDRESS(22,2,1,,I$2)),$A51)</f>
        <v>0</v>
      </c>
      <c r="J51" s="86">
        <f ca="1">COUNTIF(INDIRECT(ADDRESS(3,2,1,,J$2)):INDIRECT(ADDRESS(22,2,1,,J$2)),$A51)</f>
        <v>0</v>
      </c>
      <c r="K51" s="86">
        <f ca="1">COUNTIF(INDIRECT(ADDRESS(3,2,1,,K$2)):INDIRECT(ADDRESS(22,2,1,,K$2)),$A51)</f>
        <v>1</v>
      </c>
      <c r="L51" s="86">
        <f ca="1">COUNTIF(INDIRECT(ADDRESS(3,2,1,,L$2)):INDIRECT(ADDRESS(22,2,1,,L$2)),$A51)</f>
        <v>0</v>
      </c>
      <c r="M51" s="86">
        <f ca="1">COUNTIF(INDIRECT(ADDRESS(3,2,1,,M$2)):INDIRECT(ADDRESS(22,2,1,,M$2)),$A51)</f>
        <v>0</v>
      </c>
      <c r="N51" s="86">
        <f ca="1">COUNTIF(INDIRECT(ADDRESS(3,2,1,,N$2)):INDIRECT(ADDRESS(22,2,1,,N$2)),$A51)</f>
        <v>1</v>
      </c>
      <c r="O51" s="94">
        <f t="shared" ref="O51:O58" ca="1" si="20">SUM(B51:N51)</f>
        <v>5</v>
      </c>
    </row>
    <row r="52" spans="1:15" x14ac:dyDescent="0.25">
      <c r="A52" s="98" t="s">
        <v>186</v>
      </c>
      <c r="B52" s="86">
        <f ca="1">COUNTIF(INDIRECT(ADDRESS(3,2,1,,B$2)):INDIRECT(ADDRESS(22,2,1,,B$2)),$A52)</f>
        <v>1</v>
      </c>
      <c r="C52" s="86">
        <f ca="1">COUNTIF(INDIRECT(ADDRESS(3,2,1,,C$2)):INDIRECT(ADDRESS(22,2,1,,C$2)),$A52)</f>
        <v>0</v>
      </c>
      <c r="D52" s="86">
        <f ca="1">COUNTIF(INDIRECT(ADDRESS(3,2,1,,D$2)):INDIRECT(ADDRESS(22,2,1,,D$2)),$A52)</f>
        <v>0</v>
      </c>
      <c r="E52" s="86">
        <f ca="1">COUNTIF(INDIRECT(ADDRESS(3,2,1,,E$2)):INDIRECT(ADDRESS(22,2,1,,E$2)),$A52)</f>
        <v>0</v>
      </c>
      <c r="F52" s="86">
        <f ca="1">COUNTIF(INDIRECT(ADDRESS(3,2,1,,F$2)):INDIRECT(ADDRESS(22,2,1,,F$2)),$A52)</f>
        <v>1</v>
      </c>
      <c r="G52" s="86">
        <f ca="1">COUNTIF(INDIRECT(ADDRESS(3,2,1,,G$2)):INDIRECT(ADDRESS(22,2,1,,G$2)),$A52)</f>
        <v>0</v>
      </c>
      <c r="H52" s="86">
        <f ca="1">COUNTIF(INDIRECT(ADDRESS(3,2,1,,H$2)):INDIRECT(ADDRESS(22,2,1,,H$2)),$A52)</f>
        <v>0</v>
      </c>
      <c r="I52" s="86">
        <f ca="1">COUNTIF(INDIRECT(ADDRESS(3,2,1,,I$2)):INDIRECT(ADDRESS(22,2,1,,I$2)),$A52)</f>
        <v>1</v>
      </c>
      <c r="J52" s="86">
        <f ca="1">COUNTIF(INDIRECT(ADDRESS(3,2,1,,J$2)):INDIRECT(ADDRESS(22,2,1,,J$2)),$A52)</f>
        <v>0</v>
      </c>
      <c r="K52" s="86">
        <f ca="1">COUNTIF(INDIRECT(ADDRESS(3,2,1,,K$2)):INDIRECT(ADDRESS(22,2,1,,K$2)),$A52)</f>
        <v>0</v>
      </c>
      <c r="L52" s="86">
        <f ca="1">COUNTIF(INDIRECT(ADDRESS(3,2,1,,L$2)):INDIRECT(ADDRESS(22,2,1,,L$2)),$A52)</f>
        <v>0</v>
      </c>
      <c r="M52" s="86">
        <f ca="1">COUNTIF(INDIRECT(ADDRESS(3,2,1,,M$2)):INDIRECT(ADDRESS(22,2,1,,M$2)),$A52)</f>
        <v>1</v>
      </c>
      <c r="N52" s="86">
        <f ca="1">COUNTIF(INDIRECT(ADDRESS(3,2,1,,N$2)):INDIRECT(ADDRESS(22,2,1,,N$2)),$A52)</f>
        <v>0</v>
      </c>
      <c r="O52" s="94">
        <f t="shared" ca="1" si="20"/>
        <v>4</v>
      </c>
    </row>
    <row r="53" spans="1:15" x14ac:dyDescent="0.25">
      <c r="A53" s="98" t="s">
        <v>217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1</v>
      </c>
      <c r="E53" s="86">
        <f ca="1">COUNTIF(INDIRECT(ADDRESS(3,2,1,,E$2)):INDIRECT(ADDRESS(22,2,1,,E$2)),$A53)</f>
        <v>1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1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1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1</v>
      </c>
      <c r="O53" s="94">
        <f t="shared" ca="1" si="20"/>
        <v>5</v>
      </c>
    </row>
    <row r="54" spans="1:15" x14ac:dyDescent="0.25">
      <c r="A54" s="98" t="s">
        <v>212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0</v>
      </c>
      <c r="E54" s="86">
        <f ca="1">COUNTIF(INDIRECT(ADDRESS(3,2,1,,E$2)):INDIRECT(ADDRESS(22,2,1,,E$2)),$A54)</f>
        <v>1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1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1</v>
      </c>
      <c r="L54" s="86">
        <f ca="1">COUNTIF(INDIRECT(ADDRESS(3,2,1,,L$2)):INDIRECT(ADDRESS(22,2,1,,L$2)),$A54)</f>
        <v>1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4">
        <f t="shared" ca="1" si="20"/>
        <v>4</v>
      </c>
    </row>
    <row r="55" spans="1:15" x14ac:dyDescent="0.25">
      <c r="A55" s="98" t="s">
        <v>165</v>
      </c>
      <c r="B55" s="86">
        <f ca="1">COUNTIF(INDIRECT(ADDRESS(3,2,1,,B$2)):INDIRECT(ADDRESS(22,2,1,,B$2)),$A55)</f>
        <v>1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1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4">
        <f t="shared" ca="1" si="20"/>
        <v>2</v>
      </c>
    </row>
    <row r="56" spans="1:15" x14ac:dyDescent="0.25">
      <c r="A56" s="98" t="s">
        <v>213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1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4">
        <f t="shared" ca="1" si="20"/>
        <v>1</v>
      </c>
    </row>
    <row r="57" spans="1:15" x14ac:dyDescent="0.25">
      <c r="A57" s="98" t="s">
        <v>216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1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4">
        <f t="shared" ca="1" si="20"/>
        <v>1</v>
      </c>
    </row>
    <row r="58" spans="1:15" x14ac:dyDescent="0.25">
      <c r="A58" s="98" t="s">
        <v>214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4">
        <f t="shared" ca="1" si="20"/>
        <v>0</v>
      </c>
    </row>
    <row r="65" spans="1:15" s="28" customFormat="1" ht="13.8" thickBot="1" x14ac:dyDescent="0.3">
      <c r="A65" s="97" t="s">
        <v>191</v>
      </c>
      <c r="B65" s="91">
        <f t="shared" ref="B65:N65" ca="1" si="21">SUM(B66:B78)</f>
        <v>1</v>
      </c>
      <c r="C65" s="91">
        <f t="shared" ca="1" si="21"/>
        <v>3</v>
      </c>
      <c r="D65" s="91">
        <f t="shared" ca="1" si="21"/>
        <v>3</v>
      </c>
      <c r="E65" s="91">
        <f t="shared" ca="1" si="21"/>
        <v>0</v>
      </c>
      <c r="F65" s="91">
        <f t="shared" ca="1" si="21"/>
        <v>6</v>
      </c>
      <c r="G65" s="91">
        <f t="shared" ca="1" si="21"/>
        <v>4</v>
      </c>
      <c r="H65" s="91">
        <f t="shared" ca="1" si="21"/>
        <v>6</v>
      </c>
      <c r="I65" s="91">
        <f t="shared" ca="1" si="21"/>
        <v>6</v>
      </c>
      <c r="J65" s="91">
        <f t="shared" ca="1" si="21"/>
        <v>6</v>
      </c>
      <c r="K65" s="91">
        <f t="shared" ca="1" si="21"/>
        <v>2</v>
      </c>
      <c r="L65" s="91">
        <f t="shared" ca="1" si="21"/>
        <v>4</v>
      </c>
      <c r="M65" s="91">
        <f t="shared" ca="1" si="21"/>
        <v>4</v>
      </c>
      <c r="N65" s="91">
        <f t="shared" ca="1" si="21"/>
        <v>6</v>
      </c>
      <c r="O65" s="93"/>
    </row>
    <row r="66" spans="1:15" x14ac:dyDescent="0.25">
      <c r="A66" s="98" t="s">
        <v>220</v>
      </c>
      <c r="B66" s="86">
        <f ca="1">COUNTIF(INDIRECT(ADDRESS(3,2,1,,B$2)):INDIRECT(ADDRESS(22,2,1,,B$2)),$A66)</f>
        <v>0</v>
      </c>
      <c r="C66" s="86">
        <f ca="1">COUNTIF(INDIRECT(ADDRESS(3,2,1,,C$2)):INDIRECT(ADDRESS(22,2,1,,C$2)),$A66)</f>
        <v>1</v>
      </c>
      <c r="D66" s="86">
        <f ca="1">COUNTIF(INDIRECT(ADDRESS(3,2,1,,D$2)):INDIRECT(ADDRESS(22,2,1,,D$2)),$A66)</f>
        <v>1</v>
      </c>
      <c r="E66" s="86">
        <f ca="1">COUNTIF(INDIRECT(ADDRESS(3,2,1,,E$2)):INDIRECT(ADDRESS(22,2,1,,E$2)),$A66)</f>
        <v>0</v>
      </c>
      <c r="F66" s="86">
        <f ca="1">COUNTIF(INDIRECT(ADDRESS(3,2,1,,F$2)):INDIRECT(ADDRESS(22,2,1,,F$2)),$A66)</f>
        <v>0</v>
      </c>
      <c r="G66" s="86">
        <f ca="1">COUNTIF(INDIRECT(ADDRESS(3,2,1,,G$2)):INDIRECT(ADDRESS(22,2,1,,G$2)),$A66)</f>
        <v>1</v>
      </c>
      <c r="H66" s="86">
        <f ca="1">COUNTIF(INDIRECT(ADDRESS(3,2,1,,H$2)):INDIRECT(ADDRESS(22,2,1,,H$2)),$A66)</f>
        <v>1</v>
      </c>
      <c r="I66" s="86">
        <f ca="1">COUNTIF(INDIRECT(ADDRESS(3,2,1,,I$2)):INDIRECT(ADDRESS(22,2,1,,I$2)),$A66)</f>
        <v>0</v>
      </c>
      <c r="J66" s="86">
        <f ca="1">COUNTIF(INDIRECT(ADDRESS(3,2,1,,J$2)):INDIRECT(ADDRESS(22,2,1,,J$2)),$A66)</f>
        <v>0</v>
      </c>
      <c r="K66" s="86">
        <f ca="1">COUNTIF(INDIRECT(ADDRESS(3,2,1,,K$2)):INDIRECT(ADDRESS(22,2,1,,K$2)),$A66)</f>
        <v>1</v>
      </c>
      <c r="L66" s="86">
        <f ca="1">COUNTIF(INDIRECT(ADDRESS(3,2,1,,L$2)):INDIRECT(ADDRESS(22,2,1,,L$2)),$A66)</f>
        <v>1</v>
      </c>
      <c r="M66" s="86">
        <f ca="1">COUNTIF(INDIRECT(ADDRESS(3,2,1,,M$2)):INDIRECT(ADDRESS(22,2,1,,M$2)),$A66)</f>
        <v>0</v>
      </c>
      <c r="N66" s="86">
        <f ca="1">COUNTIF(INDIRECT(ADDRESS(3,2,1,,N$2)):INDIRECT(ADDRESS(22,2,1,,N$2)),$A66)</f>
        <v>1</v>
      </c>
      <c r="O66" s="94">
        <f t="shared" ref="O66:O77" ca="1" si="22">SUM(B66:N66)</f>
        <v>7</v>
      </c>
    </row>
    <row r="67" spans="1:15" x14ac:dyDescent="0.25">
      <c r="A67" s="98" t="s">
        <v>221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1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1</v>
      </c>
      <c r="I67" s="86">
        <f ca="1">COUNTIF(INDIRECT(ADDRESS(3,2,1,,I$2)):INDIRECT(ADDRESS(22,2,1,,I$2)),$A67)</f>
        <v>1</v>
      </c>
      <c r="J67" s="86">
        <f ca="1">COUNTIF(INDIRECT(ADDRESS(3,2,1,,J$2)):INDIRECT(ADDRESS(22,2,1,,J$2)),$A67)</f>
        <v>1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4">
        <f t="shared" ca="1" si="22"/>
        <v>6</v>
      </c>
    </row>
    <row r="68" spans="1:15" x14ac:dyDescent="0.25">
      <c r="A68" s="98" t="s">
        <v>218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1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1</v>
      </c>
      <c r="I68" s="86">
        <f ca="1">COUNTIF(INDIRECT(ADDRESS(3,2,1,,I$2)):INDIRECT(ADDRESS(22,2,1,,I$2)),$A68)</f>
        <v>1</v>
      </c>
      <c r="J68" s="86">
        <f ca="1">COUNTIF(INDIRECT(ADDRESS(3,2,1,,J$2)):INDIRECT(ADDRESS(22,2,1,,J$2)),$A68)</f>
        <v>1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4">
        <f t="shared" ca="1" si="22"/>
        <v>5</v>
      </c>
    </row>
    <row r="69" spans="1:15" x14ac:dyDescent="0.25">
      <c r="A69" s="98" t="s">
        <v>223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1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4">
        <f t="shared" ca="1" si="22"/>
        <v>4</v>
      </c>
    </row>
    <row r="70" spans="1:15" x14ac:dyDescent="0.25">
      <c r="A70" s="98" t="s">
        <v>224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1</v>
      </c>
      <c r="G70" s="86">
        <f ca="1">COUNTIF(INDIRECT(ADDRESS(3,2,1,,G$2)):INDIRECT(ADDRESS(22,2,1,,G$2)),$A70)</f>
        <v>1</v>
      </c>
      <c r="H70" s="86">
        <f ca="1">COUNTIF(INDIRECT(ADDRESS(3,2,1,,H$2)):INDIRECT(ADDRESS(22,2,1,,H$2)),$A70)</f>
        <v>1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1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1</v>
      </c>
      <c r="N70" s="86">
        <f ca="1">COUNTIF(INDIRECT(ADDRESS(3,2,1,,N$2)):INDIRECT(ADDRESS(22,2,1,,N$2)),$A70)</f>
        <v>1</v>
      </c>
      <c r="O70" s="94">
        <f t="shared" ca="1" si="22"/>
        <v>6</v>
      </c>
    </row>
    <row r="71" spans="1:15" x14ac:dyDescent="0.25">
      <c r="A71" s="98" t="s">
        <v>225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1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1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1</v>
      </c>
      <c r="J71" s="86">
        <f ca="1">COUNTIF(INDIRECT(ADDRESS(3,2,1,,J$2)):INDIRECT(ADDRESS(22,2,1,,J$2)),$A71)</f>
        <v>1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1</v>
      </c>
      <c r="M71" s="86">
        <f ca="1">COUNTIF(INDIRECT(ADDRESS(3,2,1,,M$2)):INDIRECT(ADDRESS(22,2,1,,M$2)),$A71)</f>
        <v>1</v>
      </c>
      <c r="N71" s="86">
        <f ca="1">COUNTIF(INDIRECT(ADDRESS(3,2,1,,N$2)):INDIRECT(ADDRESS(22,2,1,,N$2)),$A71)</f>
        <v>1</v>
      </c>
      <c r="O71" s="94">
        <f t="shared" ca="1" si="22"/>
        <v>7</v>
      </c>
    </row>
    <row r="72" spans="1:15" x14ac:dyDescent="0.25">
      <c r="A72" s="98" t="s">
        <v>182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1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1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1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1</v>
      </c>
      <c r="N72" s="86">
        <f ca="1">COUNTIF(INDIRECT(ADDRESS(3,2,1,,N$2)):INDIRECT(ADDRESS(22,2,1,,N$2)),$A72)</f>
        <v>1</v>
      </c>
      <c r="O72" s="94">
        <f t="shared" ca="1" si="22"/>
        <v>5</v>
      </c>
    </row>
    <row r="73" spans="1:15" x14ac:dyDescent="0.25">
      <c r="A73" s="98" t="s">
        <v>207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1</v>
      </c>
      <c r="G73" s="86">
        <f ca="1">COUNTIF(INDIRECT(ADDRESS(3,2,1,,G$2)):INDIRECT(ADDRESS(22,2,1,,G$2)),$A73)</f>
        <v>1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1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1</v>
      </c>
      <c r="M73" s="86">
        <f ca="1">COUNTIF(INDIRECT(ADDRESS(3,2,1,,M$2)):INDIRECT(ADDRESS(22,2,1,,M$2)),$A73)</f>
        <v>1</v>
      </c>
      <c r="N73" s="86">
        <f ca="1">COUNTIF(INDIRECT(ADDRESS(3,2,1,,N$2)):INDIRECT(ADDRESS(22,2,1,,N$2)),$A73)</f>
        <v>1</v>
      </c>
      <c r="O73" s="94">
        <f t="shared" ca="1" si="22"/>
        <v>6</v>
      </c>
    </row>
    <row r="74" spans="1:15" x14ac:dyDescent="0.25">
      <c r="A74" s="98" t="s">
        <v>227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1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1</v>
      </c>
      <c r="J74" s="86">
        <f ca="1">COUNTIF(INDIRECT(ADDRESS(3,2,1,,J$2)):INDIRECT(ADDRESS(22,2,1,,J$2)),$A74)</f>
        <v>1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1</v>
      </c>
      <c r="O74" s="94">
        <f t="shared" ca="1" si="22"/>
        <v>4</v>
      </c>
    </row>
    <row r="75" spans="1:15" x14ac:dyDescent="0.25">
      <c r="A75" s="98" t="s">
        <v>226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1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4">
        <f t="shared" ca="1" si="22"/>
        <v>1</v>
      </c>
    </row>
    <row r="76" spans="1:15" x14ac:dyDescent="0.25">
      <c r="A76" s="98" t="s">
        <v>222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4">
        <f t="shared" ca="1" si="22"/>
        <v>0</v>
      </c>
    </row>
    <row r="77" spans="1:15" x14ac:dyDescent="0.25">
      <c r="A77" s="98" t="s">
        <v>219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4">
        <f t="shared" ca="1" si="22"/>
        <v>0</v>
      </c>
    </row>
    <row r="80" spans="1:15" s="28" customFormat="1" ht="13.8" thickBot="1" x14ac:dyDescent="0.3">
      <c r="A80" s="97" t="s">
        <v>192</v>
      </c>
      <c r="B80" s="91">
        <f t="shared" ref="B80:N80" ca="1" si="23">SUM(B81:B93)</f>
        <v>2</v>
      </c>
      <c r="C80" s="91">
        <f t="shared" ca="1" si="23"/>
        <v>0</v>
      </c>
      <c r="D80" s="91">
        <f t="shared" ca="1" si="23"/>
        <v>0</v>
      </c>
      <c r="E80" s="91">
        <f t="shared" ca="1" si="23"/>
        <v>0</v>
      </c>
      <c r="F80" s="91">
        <f t="shared" ca="1" si="23"/>
        <v>0</v>
      </c>
      <c r="G80" s="91">
        <f t="shared" ca="1" si="23"/>
        <v>0</v>
      </c>
      <c r="H80" s="91">
        <f t="shared" ca="1" si="23"/>
        <v>0</v>
      </c>
      <c r="I80" s="91">
        <f t="shared" ca="1" si="23"/>
        <v>0</v>
      </c>
      <c r="J80" s="91">
        <f t="shared" ca="1" si="23"/>
        <v>0</v>
      </c>
      <c r="K80" s="91">
        <f t="shared" ca="1" si="23"/>
        <v>0</v>
      </c>
      <c r="L80" s="91">
        <f t="shared" ca="1" si="23"/>
        <v>0</v>
      </c>
      <c r="M80" s="91">
        <f t="shared" ca="1" si="23"/>
        <v>2</v>
      </c>
      <c r="N80" s="91">
        <f t="shared" ca="1" si="23"/>
        <v>0</v>
      </c>
      <c r="O80" s="93"/>
    </row>
    <row r="81" spans="1:15" x14ac:dyDescent="0.25">
      <c r="A81" s="98" t="s">
        <v>185</v>
      </c>
      <c r="B81" s="86">
        <f ca="1">COUNTIF(INDIRECT(ADDRESS(3,2,1,,B$2)):INDIRECT(ADDRESS(22,2,1,,B$2)),$A81)</f>
        <v>1</v>
      </c>
      <c r="C81" s="86">
        <f ca="1">COUNTIF(INDIRECT(ADDRESS(3,2,1,,C$2)):INDIRECT(ADDRESS(22,2,1,,C$2)),$A81)</f>
        <v>0</v>
      </c>
      <c r="D81" s="86">
        <f ca="1">COUNTIF(INDIRECT(ADDRESS(3,2,1,,D$2)):INDIRECT(ADDRESS(22,2,1,,D$2)),$A81)</f>
        <v>0</v>
      </c>
      <c r="E81" s="86">
        <f ca="1">COUNTIF(INDIRECT(ADDRESS(3,2,1,,E$2)):INDIRECT(ADDRESS(22,2,1,,E$2)),$A81)</f>
        <v>0</v>
      </c>
      <c r="F81" s="86">
        <f ca="1">COUNTIF(INDIRECT(ADDRESS(3,2,1,,F$2)):INDIRECT(ADDRESS(22,2,1,,F$2)),$A81)</f>
        <v>0</v>
      </c>
      <c r="G81" s="86">
        <f ca="1">COUNTIF(INDIRECT(ADDRESS(3,2,1,,G$2)):INDIRECT(ADDRESS(22,2,1,,G$2)),$A81)</f>
        <v>0</v>
      </c>
      <c r="H81" s="86">
        <f ca="1">COUNTIF(INDIRECT(ADDRESS(3,2,1,,H$2)):INDIRECT(ADDRESS(22,2,1,,H$2)),$A81)</f>
        <v>0</v>
      </c>
      <c r="I81" s="86">
        <f ca="1">COUNTIF(INDIRECT(ADDRESS(3,2,1,,I$2)):INDIRECT(ADDRESS(22,2,1,,I$2)),$A81)</f>
        <v>0</v>
      </c>
      <c r="J81" s="86">
        <f ca="1">COUNTIF(INDIRECT(ADDRESS(3,2,1,,J$2)):INDIRECT(ADDRESS(22,2,1,,J$2)),$A81)</f>
        <v>0</v>
      </c>
      <c r="K81" s="86">
        <f ca="1">COUNTIF(INDIRECT(ADDRESS(3,2,1,,K$2)):INDIRECT(ADDRESS(22,2,1,,K$2)),$A81)</f>
        <v>0</v>
      </c>
      <c r="L81" s="86">
        <f ca="1">COUNTIF(INDIRECT(ADDRESS(3,2,1,,L$2)):INDIRECT(ADDRESS(22,2,1,,L$2)),$A81)</f>
        <v>0</v>
      </c>
      <c r="M81" s="86">
        <f ca="1">COUNTIF(INDIRECT(ADDRESS(3,2,1,,M$2)):INDIRECT(ADDRESS(22,2,1,,M$2)),$A81)</f>
        <v>0</v>
      </c>
      <c r="N81" s="86">
        <f ca="1">COUNTIF(INDIRECT(ADDRESS(3,2,1,,N$2)):INDIRECT(ADDRESS(22,2,1,,N$2)),$A81)</f>
        <v>0</v>
      </c>
      <c r="O81" s="94">
        <f t="shared" ref="O81:O92" ca="1" si="24">SUM(B81:N81)</f>
        <v>1</v>
      </c>
    </row>
    <row r="82" spans="1:15" x14ac:dyDescent="0.25">
      <c r="A82" s="98" t="s">
        <v>232</v>
      </c>
      <c r="B82" s="86">
        <f ca="1">COUNTIF(INDIRECT(ADDRESS(3,2,1,,B$2)):INDIRECT(ADDRESS(22,2,1,,B$2)),$A82)</f>
        <v>1</v>
      </c>
      <c r="C82" s="86">
        <f ca="1">COUNTIF(INDIRECT(ADDRESS(3,2,1,,C$2)):INDIRECT(ADDRESS(22,2,1,,C$2)),$A82)</f>
        <v>0</v>
      </c>
      <c r="D82" s="86">
        <f ca="1">COUNTIF(INDIRECT(ADDRESS(3,2,1,,D$2)):INDIRECT(ADDRESS(22,2,1,,D$2)),$A82)</f>
        <v>0</v>
      </c>
      <c r="E82" s="86">
        <f ca="1">COUNTIF(INDIRECT(ADDRESS(3,2,1,,E$2)):INDIRECT(ADDRESS(22,2,1,,E$2)),$A82)</f>
        <v>0</v>
      </c>
      <c r="F82" s="86">
        <f ca="1">COUNTIF(INDIRECT(ADDRESS(3,2,1,,F$2)):INDIRECT(ADDRESS(22,2,1,,F$2)),$A82)</f>
        <v>0</v>
      </c>
      <c r="G82" s="86">
        <f ca="1">COUNTIF(INDIRECT(ADDRESS(3,2,1,,G$2)):INDIRECT(ADDRESS(22,2,1,,G$2)),$A82)</f>
        <v>0</v>
      </c>
      <c r="H82" s="86">
        <f ca="1">COUNTIF(INDIRECT(ADDRESS(3,2,1,,H$2)):INDIRECT(ADDRESS(22,2,1,,H$2)),$A82)</f>
        <v>0</v>
      </c>
      <c r="I82" s="86">
        <f ca="1">COUNTIF(INDIRECT(ADDRESS(3,2,1,,I$2)):INDIRECT(ADDRESS(22,2,1,,I$2)),$A82)</f>
        <v>0</v>
      </c>
      <c r="J82" s="86">
        <f ca="1">COUNTIF(INDIRECT(ADDRESS(3,2,1,,J$2)):INDIRECT(ADDRESS(22,2,1,,J$2)),$A82)</f>
        <v>0</v>
      </c>
      <c r="K82" s="86">
        <f ca="1">COUNTIF(INDIRECT(ADDRESS(3,2,1,,K$2)):INDIRECT(ADDRESS(22,2,1,,K$2)),$A82)</f>
        <v>0</v>
      </c>
      <c r="L82" s="86">
        <f ca="1">COUNTIF(INDIRECT(ADDRESS(3,2,1,,L$2)):INDIRECT(ADDRESS(22,2,1,,L$2)),$A82)</f>
        <v>0</v>
      </c>
      <c r="M82" s="86">
        <f ca="1">COUNTIF(INDIRECT(ADDRESS(3,2,1,,M$2)):INDIRECT(ADDRESS(22,2,1,,M$2)),$A82)</f>
        <v>1</v>
      </c>
      <c r="N82" s="86">
        <f ca="1">COUNTIF(INDIRECT(ADDRESS(3,2,1,,N$2)):INDIRECT(ADDRESS(22,2,1,,N$2)),$A82)</f>
        <v>0</v>
      </c>
      <c r="O82" s="94">
        <f t="shared" ca="1" si="24"/>
        <v>2</v>
      </c>
    </row>
    <row r="83" spans="1:15" x14ac:dyDescent="0.25">
      <c r="A83" s="98" t="s">
        <v>183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4">
        <f t="shared" ca="1" si="24"/>
        <v>0</v>
      </c>
    </row>
    <row r="84" spans="1:15" x14ac:dyDescent="0.25">
      <c r="A84" s="98" t="s">
        <v>229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4">
        <f t="shared" ca="1" si="24"/>
        <v>0</v>
      </c>
    </row>
    <row r="85" spans="1:15" x14ac:dyDescent="0.25">
      <c r="A85" s="98" t="s">
        <v>228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4">
        <f t="shared" ca="1" si="24"/>
        <v>0</v>
      </c>
    </row>
    <row r="86" spans="1:15" x14ac:dyDescent="0.25">
      <c r="A86" s="98" t="s">
        <v>230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4">
        <f t="shared" ca="1" si="24"/>
        <v>0</v>
      </c>
    </row>
    <row r="87" spans="1:15" x14ac:dyDescent="0.25">
      <c r="A87" s="98" t="s">
        <v>231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4">
        <f t="shared" ca="1" si="24"/>
        <v>0</v>
      </c>
    </row>
    <row r="88" spans="1:15" x14ac:dyDescent="0.25">
      <c r="A88" s="98" t="s">
        <v>233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4">
        <f t="shared" ca="1" si="24"/>
        <v>0</v>
      </c>
    </row>
    <row r="89" spans="1:15" x14ac:dyDescent="0.25">
      <c r="A89" s="98" t="s">
        <v>234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1</v>
      </c>
      <c r="N89" s="86">
        <f ca="1">COUNTIF(INDIRECT(ADDRESS(3,2,1,,N$2)):INDIRECT(ADDRESS(22,2,1,,N$2)),$A89)</f>
        <v>0</v>
      </c>
      <c r="O89" s="94">
        <f t="shared" ca="1" si="24"/>
        <v>1</v>
      </c>
    </row>
    <row r="90" spans="1:15" x14ac:dyDescent="0.25">
      <c r="A90" s="98" t="s">
        <v>235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4">
        <f t="shared" ca="1" si="24"/>
        <v>0</v>
      </c>
    </row>
    <row r="91" spans="1:15" x14ac:dyDescent="0.25">
      <c r="A91" s="98" t="s">
        <v>236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4">
        <f t="shared" ca="1" si="24"/>
        <v>0</v>
      </c>
    </row>
    <row r="92" spans="1:15" x14ac:dyDescent="0.25">
      <c r="A92" s="98" t="s">
        <v>237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4">
        <f t="shared" ca="1" si="24"/>
        <v>0</v>
      </c>
    </row>
    <row r="95" spans="1:15" s="28" customFormat="1" ht="13.8" thickBot="1" x14ac:dyDescent="0.3">
      <c r="A95" s="97" t="s">
        <v>193</v>
      </c>
      <c r="B95" s="91">
        <f t="shared" ref="B95:N95" ca="1" si="25">SUM(B96:B108)</f>
        <v>2</v>
      </c>
      <c r="C95" s="91">
        <f t="shared" ca="1" si="25"/>
        <v>2</v>
      </c>
      <c r="D95" s="91">
        <f t="shared" ca="1" si="25"/>
        <v>2</v>
      </c>
      <c r="E95" s="91">
        <f t="shared" ca="1" si="25"/>
        <v>1</v>
      </c>
      <c r="F95" s="91">
        <f t="shared" ca="1" si="25"/>
        <v>0</v>
      </c>
      <c r="G95" s="91">
        <f t="shared" ca="1" si="25"/>
        <v>0</v>
      </c>
      <c r="H95" s="91">
        <f t="shared" ca="1" si="25"/>
        <v>0</v>
      </c>
      <c r="I95" s="91">
        <f t="shared" ca="1" si="25"/>
        <v>2</v>
      </c>
      <c r="J95" s="91">
        <f t="shared" ca="1" si="25"/>
        <v>0</v>
      </c>
      <c r="K95" s="91">
        <f t="shared" ca="1" si="25"/>
        <v>0</v>
      </c>
      <c r="L95" s="91">
        <f t="shared" ca="1" si="25"/>
        <v>0</v>
      </c>
      <c r="M95" s="91">
        <f t="shared" ca="1" si="25"/>
        <v>0</v>
      </c>
      <c r="N95" s="91">
        <f t="shared" ca="1" si="25"/>
        <v>1</v>
      </c>
      <c r="O95" s="93"/>
    </row>
    <row r="96" spans="1:15" x14ac:dyDescent="0.25">
      <c r="A96" s="98" t="s">
        <v>159</v>
      </c>
      <c r="B96" s="86">
        <f ca="1">COUNTIF(INDIRECT(ADDRESS(3,2,1,,B$2)):INDIRECT(ADDRESS(22,2,1,,B$2)),$A96)</f>
        <v>1</v>
      </c>
      <c r="C96" s="86">
        <f ca="1">COUNTIF(INDIRECT(ADDRESS(3,2,1,,C$2)):INDIRECT(ADDRESS(22,2,1,,C$2)),$A96)</f>
        <v>1</v>
      </c>
      <c r="D96" s="86">
        <f ca="1">COUNTIF(INDIRECT(ADDRESS(3,2,1,,D$2)):INDIRECT(ADDRESS(22,2,1,,D$2)),$A96)</f>
        <v>1</v>
      </c>
      <c r="E96" s="86">
        <f ca="1">COUNTIF(INDIRECT(ADDRESS(3,2,1,,E$2)):INDIRECT(ADDRESS(22,2,1,,E$2)),$A96)</f>
        <v>1</v>
      </c>
      <c r="F96" s="86">
        <f ca="1">COUNTIF(INDIRECT(ADDRESS(3,2,1,,F$2)):INDIRECT(ADDRESS(22,2,1,,F$2)),$A96)</f>
        <v>0</v>
      </c>
      <c r="G96" s="86">
        <f ca="1">COUNTIF(INDIRECT(ADDRESS(3,2,1,,G$2)):INDIRECT(ADDRESS(22,2,1,,G$2)),$A96)</f>
        <v>0</v>
      </c>
      <c r="H96" s="86">
        <f ca="1">COUNTIF(INDIRECT(ADDRESS(3,2,1,,H$2)):INDIRECT(ADDRESS(22,2,1,,H$2)),$A96)</f>
        <v>0</v>
      </c>
      <c r="I96" s="86">
        <f ca="1">COUNTIF(INDIRECT(ADDRESS(3,2,1,,I$2)):INDIRECT(ADDRESS(22,2,1,,I$2)),$A96)</f>
        <v>1</v>
      </c>
      <c r="J96" s="86">
        <f ca="1">COUNTIF(INDIRECT(ADDRESS(3,2,1,,J$2)):INDIRECT(ADDRESS(22,2,1,,J$2)),$A96)</f>
        <v>0</v>
      </c>
      <c r="K96" s="86">
        <f ca="1">COUNTIF(INDIRECT(ADDRESS(3,2,1,,K$2)):INDIRECT(ADDRESS(22,2,1,,K$2)),$A96)</f>
        <v>0</v>
      </c>
      <c r="L96" s="86">
        <f ca="1">COUNTIF(INDIRECT(ADDRESS(3,2,1,,L$2)):INDIRECT(ADDRESS(22,2,1,,L$2)),$A96)</f>
        <v>0</v>
      </c>
      <c r="M96" s="86">
        <f ca="1">COUNTIF(INDIRECT(ADDRESS(3,2,1,,M$2)):INDIRECT(ADDRESS(22,2,1,,M$2)),$A96)</f>
        <v>0</v>
      </c>
      <c r="N96" s="86">
        <f ca="1">COUNTIF(INDIRECT(ADDRESS(3,2,1,,N$2)):INDIRECT(ADDRESS(22,2,1,,N$2)),$A96)</f>
        <v>1</v>
      </c>
      <c r="O96" s="94">
        <f ca="1">SUM(B96:N96)</f>
        <v>6</v>
      </c>
    </row>
    <row r="97" spans="1:15" x14ac:dyDescent="0.25">
      <c r="A97" s="98" t="s">
        <v>306</v>
      </c>
      <c r="B97" s="86">
        <f ca="1">COUNTIF(INDIRECT(ADDRESS(3,2,1,,B$2)):INDIRECT(ADDRESS(22,2,1,,B$2)),$A97)</f>
        <v>1</v>
      </c>
      <c r="C97" s="86">
        <f ca="1">COUNTIF(INDIRECT(ADDRESS(3,2,1,,C$2)):INDIRECT(ADDRESS(22,2,1,,C$2)),$A97)</f>
        <v>1</v>
      </c>
      <c r="D97" s="86">
        <f ca="1">COUNTIF(INDIRECT(ADDRESS(3,2,1,,D$2)):INDIRECT(ADDRESS(22,2,1,,D$2)),$A97)</f>
        <v>1</v>
      </c>
      <c r="E97" s="86">
        <f ca="1">COUNTIF(INDIRECT(ADDRESS(3,2,1,,E$2)):INDIRECT(ADDRESS(22,2,1,,E$2)),$A97)</f>
        <v>0</v>
      </c>
      <c r="F97" s="86">
        <f ca="1">COUNTIF(INDIRECT(ADDRESS(3,2,1,,F$2)):INDIRECT(ADDRESS(22,2,1,,F$2)),$A97)</f>
        <v>0</v>
      </c>
      <c r="G97" s="86">
        <f ca="1">COUNTIF(INDIRECT(ADDRESS(3,2,1,,G$2)):INDIRECT(ADDRESS(22,2,1,,G$2)),$A97)</f>
        <v>0</v>
      </c>
      <c r="H97" s="86">
        <f ca="1">COUNTIF(INDIRECT(ADDRESS(3,2,1,,H$2)):INDIRECT(ADDRESS(22,2,1,,H$2)),$A97)</f>
        <v>0</v>
      </c>
      <c r="I97" s="86">
        <f ca="1">COUNTIF(INDIRECT(ADDRESS(3,2,1,,I$2)):INDIRECT(ADDRESS(22,2,1,,I$2)),$A97)</f>
        <v>0</v>
      </c>
      <c r="J97" s="86">
        <f ca="1">COUNTIF(INDIRECT(ADDRESS(3,2,1,,J$2)):INDIRECT(ADDRESS(22,2,1,,J$2)),$A97)</f>
        <v>0</v>
      </c>
      <c r="K97" s="86">
        <f ca="1">COUNTIF(INDIRECT(ADDRESS(3,2,1,,K$2)):INDIRECT(ADDRESS(22,2,1,,K$2)),$A97)</f>
        <v>0</v>
      </c>
      <c r="L97" s="86">
        <f ca="1">COUNTIF(INDIRECT(ADDRESS(3,2,1,,L$2)):INDIRECT(ADDRESS(22,2,1,,L$2)),$A97)</f>
        <v>0</v>
      </c>
      <c r="M97" s="86">
        <f ca="1">COUNTIF(INDIRECT(ADDRESS(3,2,1,,M$2)):INDIRECT(ADDRESS(22,2,1,,M$2)),$A97)</f>
        <v>0</v>
      </c>
      <c r="N97" s="86">
        <f ca="1">COUNTIF(INDIRECT(ADDRESS(3,2,1,,N$2)):INDIRECT(ADDRESS(22,2,1,,N$2)),$A97)</f>
        <v>0</v>
      </c>
      <c r="O97" s="94">
        <f ca="1">SUM(B97:N97)</f>
        <v>3</v>
      </c>
    </row>
    <row r="98" spans="1:15" x14ac:dyDescent="0.25">
      <c r="A98" s="98" t="s">
        <v>238</v>
      </c>
      <c r="B98" s="86">
        <f ca="1">COUNTIF(INDIRECT(ADDRESS(3,2,1,,B$2)):INDIRECT(ADDRESS(22,2,1,,B$2)),$A98)</f>
        <v>0</v>
      </c>
      <c r="C98" s="86">
        <f ca="1">COUNTIF(INDIRECT(ADDRESS(3,2,1,,C$2)):INDIRECT(ADDRESS(22,2,1,,C$2)),$A98)</f>
        <v>0</v>
      </c>
      <c r="D98" s="86">
        <f ca="1">COUNTIF(INDIRECT(ADDRESS(3,2,1,,D$2)):INDIRECT(ADDRESS(22,2,1,,D$2)),$A98)</f>
        <v>0</v>
      </c>
      <c r="E98" s="86">
        <f ca="1">COUNTIF(INDIRECT(ADDRESS(3,2,1,,E$2)):INDIRECT(ADDRESS(22,2,1,,E$2)),$A98)</f>
        <v>0</v>
      </c>
      <c r="F98" s="86">
        <f ca="1">COUNTIF(INDIRECT(ADDRESS(3,2,1,,F$2)):INDIRECT(ADDRESS(22,2,1,,F$2)),$A98)</f>
        <v>0</v>
      </c>
      <c r="G98" s="86">
        <f ca="1">COUNTIF(INDIRECT(ADDRESS(3,2,1,,G$2)):INDIRECT(ADDRESS(22,2,1,,G$2)),$A98)</f>
        <v>0</v>
      </c>
      <c r="H98" s="86">
        <f ca="1">COUNTIF(INDIRECT(ADDRESS(3,2,1,,H$2)):INDIRECT(ADDRESS(22,2,1,,H$2)),$A98)</f>
        <v>0</v>
      </c>
      <c r="I98" s="86">
        <f ca="1">COUNTIF(INDIRECT(ADDRESS(3,2,1,,I$2)):INDIRECT(ADDRESS(22,2,1,,I$2)),$A98)</f>
        <v>1</v>
      </c>
      <c r="J98" s="86">
        <f ca="1">COUNTIF(INDIRECT(ADDRESS(3,2,1,,J$2)):INDIRECT(ADDRESS(22,2,1,,J$2)),$A98)</f>
        <v>0</v>
      </c>
      <c r="K98" s="86">
        <f ca="1">COUNTIF(INDIRECT(ADDRESS(3,2,1,,K$2)):INDIRECT(ADDRESS(22,2,1,,K$2)),$A98)</f>
        <v>0</v>
      </c>
      <c r="L98" s="86">
        <f ca="1">COUNTIF(INDIRECT(ADDRESS(3,2,1,,L$2)):INDIRECT(ADDRESS(22,2,1,,L$2)),$A98)</f>
        <v>0</v>
      </c>
      <c r="M98" s="86">
        <f ca="1">COUNTIF(INDIRECT(ADDRESS(3,2,1,,M$2)):INDIRECT(ADDRESS(22,2,1,,M$2)),$A98)</f>
        <v>0</v>
      </c>
      <c r="N98" s="86">
        <f ca="1">COUNTIF(INDIRECT(ADDRESS(3,2,1,,N$2)):INDIRECT(ADDRESS(22,2,1,,N$2)),$A98)</f>
        <v>0</v>
      </c>
      <c r="O98" s="94">
        <f ca="1">SUM(B98:N98)</f>
        <v>1</v>
      </c>
    </row>
    <row r="99" spans="1:15" x14ac:dyDescent="0.25">
      <c r="A99" s="98" t="s">
        <v>239</v>
      </c>
      <c r="B99" s="86">
        <f ca="1">COUNTIF(INDIRECT(ADDRESS(3,2,1,,B$2)):INDIRECT(ADDRESS(22,2,1,,B$2)),$A99)</f>
        <v>0</v>
      </c>
      <c r="C99" s="86">
        <f ca="1">COUNTIF(INDIRECT(ADDRESS(3,2,1,,C$2)):INDIRECT(ADDRESS(22,2,1,,C$2)),$A99)</f>
        <v>0</v>
      </c>
      <c r="D99" s="86">
        <f ca="1">COUNTIF(INDIRECT(ADDRESS(3,2,1,,D$2)):INDIRECT(ADDRESS(22,2,1,,D$2)),$A99)</f>
        <v>0</v>
      </c>
      <c r="E99" s="86">
        <f ca="1">COUNTIF(INDIRECT(ADDRESS(3,2,1,,E$2)):INDIRECT(ADDRESS(22,2,1,,E$2)),$A99)</f>
        <v>0</v>
      </c>
      <c r="F99" s="86">
        <f ca="1">COUNTIF(INDIRECT(ADDRESS(3,2,1,,F$2)):INDIRECT(ADDRESS(22,2,1,,F$2)),$A99)</f>
        <v>0</v>
      </c>
      <c r="G99" s="86">
        <f ca="1">COUNTIF(INDIRECT(ADDRESS(3,2,1,,G$2)):INDIRECT(ADDRESS(22,2,1,,G$2)),$A99)</f>
        <v>0</v>
      </c>
      <c r="H99" s="86">
        <f ca="1">COUNTIF(INDIRECT(ADDRESS(3,2,1,,H$2)):INDIRECT(ADDRESS(22,2,1,,H$2)),$A99)</f>
        <v>0</v>
      </c>
      <c r="I99" s="86">
        <f ca="1">COUNTIF(INDIRECT(ADDRESS(3,2,1,,I$2)):INDIRECT(ADDRESS(22,2,1,,I$2)),$A99)</f>
        <v>0</v>
      </c>
      <c r="J99" s="86">
        <f ca="1">COUNTIF(INDIRECT(ADDRESS(3,2,1,,J$2)):INDIRECT(ADDRESS(22,2,1,,J$2)),$A99)</f>
        <v>0</v>
      </c>
      <c r="K99" s="86">
        <f ca="1">COUNTIF(INDIRECT(ADDRESS(3,2,1,,K$2)):INDIRECT(ADDRESS(22,2,1,,K$2)),$A99)</f>
        <v>0</v>
      </c>
      <c r="L99" s="86">
        <f ca="1">COUNTIF(INDIRECT(ADDRESS(3,2,1,,L$2)):INDIRECT(ADDRESS(22,2,1,,L$2)),$A99)</f>
        <v>0</v>
      </c>
      <c r="M99" s="86">
        <f ca="1">COUNTIF(INDIRECT(ADDRESS(3,2,1,,M$2)):INDIRECT(ADDRESS(22,2,1,,M$2)),$A99)</f>
        <v>0</v>
      </c>
      <c r="N99" s="86">
        <f ca="1">COUNTIF(INDIRECT(ADDRESS(3,2,1,,N$2)):INDIRECT(ADDRESS(22,2,1,,N$2)),$A99)</f>
        <v>0</v>
      </c>
      <c r="O99" s="94">
        <f ca="1">SUM(B99:N99)</f>
        <v>0</v>
      </c>
    </row>
    <row r="110" spans="1:15" s="28" customFormat="1" ht="13.8" thickBot="1" x14ac:dyDescent="0.3">
      <c r="A110" s="97" t="s">
        <v>194</v>
      </c>
      <c r="B110" s="91">
        <f t="shared" ref="B110:N110" ca="1" si="26">SUM(B111:B123)</f>
        <v>0</v>
      </c>
      <c r="C110" s="91">
        <f t="shared" ca="1" si="26"/>
        <v>0</v>
      </c>
      <c r="D110" s="91">
        <f t="shared" ca="1" si="26"/>
        <v>0</v>
      </c>
      <c r="E110" s="91">
        <f t="shared" ca="1" si="26"/>
        <v>0</v>
      </c>
      <c r="F110" s="91">
        <f t="shared" ca="1" si="26"/>
        <v>0</v>
      </c>
      <c r="G110" s="91">
        <f t="shared" ca="1" si="26"/>
        <v>0</v>
      </c>
      <c r="H110" s="91">
        <f t="shared" ca="1" si="26"/>
        <v>0</v>
      </c>
      <c r="I110" s="91">
        <f t="shared" ca="1" si="26"/>
        <v>0</v>
      </c>
      <c r="J110" s="91">
        <f t="shared" ca="1" si="26"/>
        <v>0</v>
      </c>
      <c r="K110" s="91">
        <f t="shared" ca="1" si="26"/>
        <v>0</v>
      </c>
      <c r="L110" s="91">
        <f t="shared" ca="1" si="26"/>
        <v>0</v>
      </c>
      <c r="M110" s="91">
        <f t="shared" ca="1" si="26"/>
        <v>0</v>
      </c>
      <c r="N110" s="91">
        <f t="shared" ca="1" si="26"/>
        <v>0</v>
      </c>
      <c r="O110" s="93"/>
    </row>
    <row r="111" spans="1:15" x14ac:dyDescent="0.25">
      <c r="A111" s="98" t="s">
        <v>247</v>
      </c>
      <c r="B111" s="86">
        <f ca="1">COUNTIF(INDIRECT(ADDRESS(3,2,1,,B$2)):INDIRECT(ADDRESS(22,2,1,,B$2)),$A111)</f>
        <v>0</v>
      </c>
      <c r="C111" s="86">
        <f ca="1">COUNTIF(INDIRECT(ADDRESS(3,2,1,,C$2)):INDIRECT(ADDRESS(22,2,1,,C$2)),$A111)</f>
        <v>0</v>
      </c>
      <c r="D111" s="86">
        <f ca="1">COUNTIF(INDIRECT(ADDRESS(3,2,1,,D$2)):INDIRECT(ADDRESS(22,2,1,,D$2)),$A111)</f>
        <v>0</v>
      </c>
      <c r="E111" s="86">
        <f ca="1">COUNTIF(INDIRECT(ADDRESS(3,2,1,,E$2)):INDIRECT(ADDRESS(22,2,1,,E$2)),$A111)</f>
        <v>0</v>
      </c>
      <c r="F111" s="86">
        <f ca="1">COUNTIF(INDIRECT(ADDRESS(3,2,1,,F$2)):INDIRECT(ADDRESS(22,2,1,,F$2)),$A111)</f>
        <v>0</v>
      </c>
      <c r="G111" s="86">
        <f ca="1">COUNTIF(INDIRECT(ADDRESS(3,2,1,,G$2)):INDIRECT(ADDRESS(22,2,1,,G$2)),$A111)</f>
        <v>0</v>
      </c>
      <c r="H111" s="86">
        <f ca="1">COUNTIF(INDIRECT(ADDRESS(3,2,1,,H$2)):INDIRECT(ADDRESS(22,2,1,,H$2)),$A111)</f>
        <v>0</v>
      </c>
      <c r="I111" s="86">
        <f ca="1">COUNTIF(INDIRECT(ADDRESS(3,2,1,,I$2)):INDIRECT(ADDRESS(22,2,1,,I$2)),$A111)</f>
        <v>0</v>
      </c>
      <c r="J111" s="86">
        <f ca="1">COUNTIF(INDIRECT(ADDRESS(3,2,1,,J$2)):INDIRECT(ADDRESS(22,2,1,,J$2)),$A111)</f>
        <v>0</v>
      </c>
      <c r="K111" s="86">
        <f ca="1">COUNTIF(INDIRECT(ADDRESS(3,2,1,,K$2)):INDIRECT(ADDRESS(22,2,1,,K$2)),$A111)</f>
        <v>0</v>
      </c>
      <c r="L111" s="86">
        <f ca="1">COUNTIF(INDIRECT(ADDRESS(3,2,1,,L$2)):INDIRECT(ADDRESS(22,2,1,,L$2)),$A111)</f>
        <v>0</v>
      </c>
      <c r="M111" s="86">
        <f ca="1">COUNTIF(INDIRECT(ADDRESS(3,2,1,,M$2)):INDIRECT(ADDRESS(22,2,1,,M$2)),$A111)</f>
        <v>0</v>
      </c>
      <c r="N111" s="86">
        <f ca="1">COUNTIF(INDIRECT(ADDRESS(3,2,1,,N$2)):INDIRECT(ADDRESS(22,2,1,,N$2)),$A111)</f>
        <v>0</v>
      </c>
      <c r="O111" s="94">
        <f t="shared" ref="O111:O123" ca="1" si="27">SUM(B111:N111)</f>
        <v>0</v>
      </c>
    </row>
    <row r="112" spans="1:15" x14ac:dyDescent="0.25">
      <c r="A112" s="98" t="s">
        <v>249</v>
      </c>
      <c r="B112" s="86">
        <f ca="1">COUNTIF(INDIRECT(ADDRESS(3,2,1,,B$2)):INDIRECT(ADDRESS(22,2,1,,B$2)),$A112)</f>
        <v>0</v>
      </c>
      <c r="C112" s="86">
        <f ca="1">COUNTIF(INDIRECT(ADDRESS(3,2,1,,C$2)):INDIRECT(ADDRESS(22,2,1,,C$2)),$A112)</f>
        <v>0</v>
      </c>
      <c r="D112" s="86">
        <f ca="1">COUNTIF(INDIRECT(ADDRESS(3,2,1,,D$2)):INDIRECT(ADDRESS(22,2,1,,D$2)),$A112)</f>
        <v>0</v>
      </c>
      <c r="E112" s="86">
        <f ca="1">COUNTIF(INDIRECT(ADDRESS(3,2,1,,E$2)):INDIRECT(ADDRESS(22,2,1,,E$2)),$A112)</f>
        <v>0</v>
      </c>
      <c r="F112" s="86">
        <f ca="1">COUNTIF(INDIRECT(ADDRESS(3,2,1,,F$2)):INDIRECT(ADDRESS(22,2,1,,F$2)),$A112)</f>
        <v>0</v>
      </c>
      <c r="G112" s="86">
        <f ca="1">COUNTIF(INDIRECT(ADDRESS(3,2,1,,G$2)):INDIRECT(ADDRESS(22,2,1,,G$2)),$A112)</f>
        <v>0</v>
      </c>
      <c r="H112" s="86">
        <f ca="1">COUNTIF(INDIRECT(ADDRESS(3,2,1,,H$2)):INDIRECT(ADDRESS(22,2,1,,H$2)),$A112)</f>
        <v>0</v>
      </c>
      <c r="I112" s="86">
        <f ca="1">COUNTIF(INDIRECT(ADDRESS(3,2,1,,I$2)):INDIRECT(ADDRESS(22,2,1,,I$2)),$A112)</f>
        <v>0</v>
      </c>
      <c r="J112" s="86">
        <f ca="1">COUNTIF(INDIRECT(ADDRESS(3,2,1,,J$2)):INDIRECT(ADDRESS(22,2,1,,J$2)),$A112)</f>
        <v>0</v>
      </c>
      <c r="K112" s="86">
        <f ca="1">COUNTIF(INDIRECT(ADDRESS(3,2,1,,K$2)):INDIRECT(ADDRESS(22,2,1,,K$2)),$A112)</f>
        <v>0</v>
      </c>
      <c r="L112" s="86">
        <f ca="1">COUNTIF(INDIRECT(ADDRESS(3,2,1,,L$2)):INDIRECT(ADDRESS(22,2,1,,L$2)),$A112)</f>
        <v>0</v>
      </c>
      <c r="M112" s="86">
        <f ca="1">COUNTIF(INDIRECT(ADDRESS(3,2,1,,M$2)):INDIRECT(ADDRESS(22,2,1,,M$2)),$A112)</f>
        <v>0</v>
      </c>
      <c r="N112" s="86">
        <f ca="1">COUNTIF(INDIRECT(ADDRESS(3,2,1,,N$2)):INDIRECT(ADDRESS(22,2,1,,N$2)),$A112)</f>
        <v>0</v>
      </c>
      <c r="O112" s="94">
        <f t="shared" ca="1" si="27"/>
        <v>0</v>
      </c>
    </row>
    <row r="113" spans="1:15" x14ac:dyDescent="0.25">
      <c r="A113" s="98" t="s">
        <v>241</v>
      </c>
      <c r="B113" s="86">
        <f ca="1">COUNTIF(INDIRECT(ADDRESS(3,2,1,,B$2)):INDIRECT(ADDRESS(22,2,1,,B$2)),$A113)</f>
        <v>0</v>
      </c>
      <c r="C113" s="86">
        <f ca="1">COUNTIF(INDIRECT(ADDRESS(3,2,1,,C$2)):INDIRECT(ADDRESS(22,2,1,,C$2)),$A113)</f>
        <v>0</v>
      </c>
      <c r="D113" s="86">
        <f ca="1">COUNTIF(INDIRECT(ADDRESS(3,2,1,,D$2)):INDIRECT(ADDRESS(22,2,1,,D$2)),$A113)</f>
        <v>0</v>
      </c>
      <c r="E113" s="86">
        <f ca="1">COUNTIF(INDIRECT(ADDRESS(3,2,1,,E$2)):INDIRECT(ADDRESS(22,2,1,,E$2)),$A113)</f>
        <v>0</v>
      </c>
      <c r="F113" s="86">
        <f ca="1">COUNTIF(INDIRECT(ADDRESS(3,2,1,,F$2)):INDIRECT(ADDRESS(22,2,1,,F$2)),$A113)</f>
        <v>0</v>
      </c>
      <c r="G113" s="86">
        <f ca="1">COUNTIF(INDIRECT(ADDRESS(3,2,1,,G$2)):INDIRECT(ADDRESS(22,2,1,,G$2)),$A113)</f>
        <v>0</v>
      </c>
      <c r="H113" s="86">
        <f ca="1">COUNTIF(INDIRECT(ADDRESS(3,2,1,,H$2)):INDIRECT(ADDRESS(22,2,1,,H$2)),$A113)</f>
        <v>0</v>
      </c>
      <c r="I113" s="86">
        <f ca="1">COUNTIF(INDIRECT(ADDRESS(3,2,1,,I$2)):INDIRECT(ADDRESS(22,2,1,,I$2)),$A113)</f>
        <v>0</v>
      </c>
      <c r="J113" s="86">
        <f ca="1">COUNTIF(INDIRECT(ADDRESS(3,2,1,,J$2)):INDIRECT(ADDRESS(22,2,1,,J$2)),$A113)</f>
        <v>0</v>
      </c>
      <c r="K113" s="86">
        <f ca="1">COUNTIF(INDIRECT(ADDRESS(3,2,1,,K$2)):INDIRECT(ADDRESS(22,2,1,,K$2)),$A113)</f>
        <v>0</v>
      </c>
      <c r="L113" s="86">
        <f ca="1">COUNTIF(INDIRECT(ADDRESS(3,2,1,,L$2)):INDIRECT(ADDRESS(22,2,1,,L$2)),$A113)</f>
        <v>0</v>
      </c>
      <c r="M113" s="86">
        <f ca="1">COUNTIF(INDIRECT(ADDRESS(3,2,1,,M$2)):INDIRECT(ADDRESS(22,2,1,,M$2)),$A113)</f>
        <v>0</v>
      </c>
      <c r="N113" s="86">
        <f ca="1">COUNTIF(INDIRECT(ADDRESS(3,2,1,,N$2)):INDIRECT(ADDRESS(22,2,1,,N$2)),$A113)</f>
        <v>0</v>
      </c>
      <c r="O113" s="94">
        <f t="shared" ca="1" si="27"/>
        <v>0</v>
      </c>
    </row>
    <row r="114" spans="1:15" x14ac:dyDescent="0.25">
      <c r="A114" s="98" t="s">
        <v>242</v>
      </c>
      <c r="B114" s="86">
        <f ca="1">COUNTIF(INDIRECT(ADDRESS(3,2,1,,B$2)):INDIRECT(ADDRESS(22,2,1,,B$2)),$A114)</f>
        <v>0</v>
      </c>
      <c r="C114" s="86">
        <f ca="1">COUNTIF(INDIRECT(ADDRESS(3,2,1,,C$2)):INDIRECT(ADDRESS(22,2,1,,C$2)),$A114)</f>
        <v>0</v>
      </c>
      <c r="D114" s="86">
        <f ca="1">COUNTIF(INDIRECT(ADDRESS(3,2,1,,D$2)):INDIRECT(ADDRESS(22,2,1,,D$2)),$A114)</f>
        <v>0</v>
      </c>
      <c r="E114" s="86">
        <f ca="1">COUNTIF(INDIRECT(ADDRESS(3,2,1,,E$2)):INDIRECT(ADDRESS(22,2,1,,E$2)),$A114)</f>
        <v>0</v>
      </c>
      <c r="F114" s="86">
        <f ca="1">COUNTIF(INDIRECT(ADDRESS(3,2,1,,F$2)):INDIRECT(ADDRESS(22,2,1,,F$2)),$A114)</f>
        <v>0</v>
      </c>
      <c r="G114" s="86">
        <f ca="1">COUNTIF(INDIRECT(ADDRESS(3,2,1,,G$2)):INDIRECT(ADDRESS(22,2,1,,G$2)),$A114)</f>
        <v>0</v>
      </c>
      <c r="H114" s="86">
        <f ca="1">COUNTIF(INDIRECT(ADDRESS(3,2,1,,H$2)):INDIRECT(ADDRESS(22,2,1,,H$2)),$A114)</f>
        <v>0</v>
      </c>
      <c r="I114" s="86">
        <f ca="1">COUNTIF(INDIRECT(ADDRESS(3,2,1,,I$2)):INDIRECT(ADDRESS(22,2,1,,I$2)),$A114)</f>
        <v>0</v>
      </c>
      <c r="J114" s="86">
        <f ca="1">COUNTIF(INDIRECT(ADDRESS(3,2,1,,J$2)):INDIRECT(ADDRESS(22,2,1,,J$2)),$A114)</f>
        <v>0</v>
      </c>
      <c r="K114" s="86">
        <f ca="1">COUNTIF(INDIRECT(ADDRESS(3,2,1,,K$2)):INDIRECT(ADDRESS(22,2,1,,K$2)),$A114)</f>
        <v>0</v>
      </c>
      <c r="L114" s="86">
        <f ca="1">COUNTIF(INDIRECT(ADDRESS(3,2,1,,L$2)):INDIRECT(ADDRESS(22,2,1,,L$2)),$A114)</f>
        <v>0</v>
      </c>
      <c r="M114" s="86">
        <f ca="1">COUNTIF(INDIRECT(ADDRESS(3,2,1,,M$2)):INDIRECT(ADDRESS(22,2,1,,M$2)),$A114)</f>
        <v>0</v>
      </c>
      <c r="N114" s="86">
        <f ca="1">COUNTIF(INDIRECT(ADDRESS(3,2,1,,N$2)):INDIRECT(ADDRESS(22,2,1,,N$2)),$A114)</f>
        <v>0</v>
      </c>
      <c r="O114" s="94">
        <f t="shared" ca="1" si="27"/>
        <v>0</v>
      </c>
    </row>
    <row r="115" spans="1:15" x14ac:dyDescent="0.25">
      <c r="A115" s="98" t="s">
        <v>243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4">
        <f t="shared" ca="1" si="27"/>
        <v>0</v>
      </c>
    </row>
    <row r="116" spans="1:15" x14ac:dyDescent="0.25">
      <c r="A116" s="98" t="s">
        <v>244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4">
        <f t="shared" ca="1" si="27"/>
        <v>0</v>
      </c>
    </row>
    <row r="117" spans="1:15" x14ac:dyDescent="0.25">
      <c r="A117" s="98" t="s">
        <v>245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4">
        <f t="shared" ca="1" si="27"/>
        <v>0</v>
      </c>
    </row>
    <row r="118" spans="1:15" x14ac:dyDescent="0.25">
      <c r="A118" s="98" t="s">
        <v>246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4">
        <f t="shared" ca="1" si="27"/>
        <v>0</v>
      </c>
    </row>
    <row r="119" spans="1:15" x14ac:dyDescent="0.25">
      <c r="A119" s="98" t="s">
        <v>248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4">
        <f t="shared" ca="1" si="27"/>
        <v>0</v>
      </c>
    </row>
    <row r="120" spans="1:15" x14ac:dyDescent="0.25">
      <c r="A120" s="98" t="s">
        <v>250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4">
        <f t="shared" ca="1" si="27"/>
        <v>0</v>
      </c>
    </row>
    <row r="121" spans="1:15" x14ac:dyDescent="0.25">
      <c r="A121" s="98" t="s">
        <v>251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4">
        <f t="shared" ca="1" si="27"/>
        <v>0</v>
      </c>
    </row>
    <row r="122" spans="1:15" x14ac:dyDescent="0.25">
      <c r="A122" s="98" t="s">
        <v>252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4">
        <f t="shared" ca="1" si="27"/>
        <v>0</v>
      </c>
    </row>
    <row r="123" spans="1:15" x14ac:dyDescent="0.25">
      <c r="A123" s="98" t="s">
        <v>253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4">
        <f t="shared" ca="1" si="27"/>
        <v>0</v>
      </c>
    </row>
    <row r="125" spans="1:15" s="28" customFormat="1" ht="13.8" thickBot="1" x14ac:dyDescent="0.3">
      <c r="A125" s="97" t="s">
        <v>195</v>
      </c>
      <c r="B125" s="91">
        <f t="shared" ref="B125:N125" ca="1" si="28">SUM(B126:B138)</f>
        <v>2</v>
      </c>
      <c r="C125" s="91">
        <f t="shared" ca="1" si="28"/>
        <v>2</v>
      </c>
      <c r="D125" s="91">
        <f t="shared" ca="1" si="28"/>
        <v>0</v>
      </c>
      <c r="E125" s="91">
        <f t="shared" ca="1" si="28"/>
        <v>0</v>
      </c>
      <c r="F125" s="91">
        <f t="shared" ca="1" si="28"/>
        <v>0</v>
      </c>
      <c r="G125" s="91">
        <f t="shared" ca="1" si="28"/>
        <v>0</v>
      </c>
      <c r="H125" s="91">
        <f t="shared" ca="1" si="28"/>
        <v>0</v>
      </c>
      <c r="I125" s="91">
        <f t="shared" ca="1" si="28"/>
        <v>0</v>
      </c>
      <c r="J125" s="91">
        <f t="shared" ca="1" si="28"/>
        <v>0</v>
      </c>
      <c r="K125" s="91">
        <f t="shared" ca="1" si="28"/>
        <v>0</v>
      </c>
      <c r="L125" s="91">
        <f t="shared" ca="1" si="28"/>
        <v>0</v>
      </c>
      <c r="M125" s="91">
        <f t="shared" ca="1" si="28"/>
        <v>0</v>
      </c>
      <c r="N125" s="91">
        <f t="shared" ca="1" si="28"/>
        <v>0</v>
      </c>
      <c r="O125" s="93"/>
    </row>
    <row r="126" spans="1:15" x14ac:dyDescent="0.25">
      <c r="A126" s="98" t="s">
        <v>257</v>
      </c>
      <c r="B126" s="86">
        <f ca="1">COUNTIF(INDIRECT(ADDRESS(3,2,1,,B$2)):INDIRECT(ADDRESS(22,2,1,,B$2)),$A126)</f>
        <v>1</v>
      </c>
      <c r="C126" s="86">
        <f ca="1">COUNTIF(INDIRECT(ADDRESS(3,2,1,,C$2)):INDIRECT(ADDRESS(22,2,1,,C$2)),$A126)</f>
        <v>1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4">
        <f t="shared" ref="O126:O133" ca="1" si="29">SUM(B126:N126)</f>
        <v>2</v>
      </c>
    </row>
    <row r="127" spans="1:15" x14ac:dyDescent="0.25">
      <c r="A127" s="98" t="s">
        <v>188</v>
      </c>
      <c r="B127" s="86">
        <f ca="1">COUNTIF(INDIRECT(ADDRESS(3,2,1,,B$2)):INDIRECT(ADDRESS(22,2,1,,B$2)),$A127)</f>
        <v>1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4">
        <f t="shared" ca="1" si="29"/>
        <v>1</v>
      </c>
    </row>
    <row r="128" spans="1:15" x14ac:dyDescent="0.25">
      <c r="A128" s="98" t="s">
        <v>254</v>
      </c>
      <c r="B128" s="86">
        <f ca="1">COUNTIF(INDIRECT(ADDRESS(3,2,1,,B$2)):INDIRECT(ADDRESS(22,2,1,,B$2)),$A128)</f>
        <v>0</v>
      </c>
      <c r="C128" s="86">
        <f ca="1">COUNTIF(INDIRECT(ADDRESS(3,2,1,,C$2)):INDIRECT(ADDRESS(22,2,1,,C$2)),$A128)</f>
        <v>1</v>
      </c>
      <c r="D128" s="86">
        <f ca="1">COUNTIF(INDIRECT(ADDRESS(3,2,1,,D$2)):INDIRECT(ADDRESS(22,2,1,,D$2)),$A128)</f>
        <v>0</v>
      </c>
      <c r="E128" s="86">
        <f ca="1">COUNTIF(INDIRECT(ADDRESS(3,2,1,,E$2)):INDIRECT(ADDRESS(22,2,1,,E$2)),$A128)</f>
        <v>0</v>
      </c>
      <c r="F128" s="86">
        <f ca="1">COUNTIF(INDIRECT(ADDRESS(3,2,1,,F$2)):INDIRECT(ADDRESS(22,2,1,,F$2)),$A128)</f>
        <v>0</v>
      </c>
      <c r="G128" s="86">
        <f ca="1">COUNTIF(INDIRECT(ADDRESS(3,2,1,,G$2)):INDIRECT(ADDRESS(22,2,1,,G$2)),$A128)</f>
        <v>0</v>
      </c>
      <c r="H128" s="86">
        <f ca="1">COUNTIF(INDIRECT(ADDRESS(3,2,1,,H$2)):INDIRECT(ADDRESS(22,2,1,,H$2)),$A128)</f>
        <v>0</v>
      </c>
      <c r="I128" s="86">
        <f ca="1">COUNTIF(INDIRECT(ADDRESS(3,2,1,,I$2)):INDIRECT(ADDRESS(22,2,1,,I$2)),$A128)</f>
        <v>0</v>
      </c>
      <c r="J128" s="86">
        <f ca="1">COUNTIF(INDIRECT(ADDRESS(3,2,1,,J$2)):INDIRECT(ADDRESS(22,2,1,,J$2)),$A128)</f>
        <v>0</v>
      </c>
      <c r="K128" s="86">
        <f ca="1">COUNTIF(INDIRECT(ADDRESS(3,2,1,,K$2)):INDIRECT(ADDRESS(22,2,1,,K$2)),$A128)</f>
        <v>0</v>
      </c>
      <c r="L128" s="86">
        <f ca="1">COUNTIF(INDIRECT(ADDRESS(3,2,1,,L$2)):INDIRECT(ADDRESS(22,2,1,,L$2)),$A128)</f>
        <v>0</v>
      </c>
      <c r="M128" s="86">
        <f ca="1">COUNTIF(INDIRECT(ADDRESS(3,2,1,,M$2)):INDIRECT(ADDRESS(22,2,1,,M$2)),$A128)</f>
        <v>0</v>
      </c>
      <c r="N128" s="86">
        <f ca="1">COUNTIF(INDIRECT(ADDRESS(3,2,1,,N$2)):INDIRECT(ADDRESS(22,2,1,,N$2)),$A128)</f>
        <v>0</v>
      </c>
      <c r="O128" s="94">
        <f t="shared" ca="1" si="29"/>
        <v>1</v>
      </c>
    </row>
    <row r="129" spans="1:15" x14ac:dyDescent="0.25">
      <c r="A129" s="98" t="s">
        <v>160</v>
      </c>
      <c r="B129" s="86">
        <f ca="1">COUNTIF(INDIRECT(ADDRESS(3,2,1,,B$2)):INDIRECT(ADDRESS(22,2,1,,B$2)),$A129)</f>
        <v>0</v>
      </c>
      <c r="C129" s="86">
        <f ca="1">COUNTIF(INDIRECT(ADDRESS(3,2,1,,C$2)):INDIRECT(ADDRESS(22,2,1,,C$2)),$A129)</f>
        <v>0</v>
      </c>
      <c r="D129" s="86">
        <f ca="1">COUNTIF(INDIRECT(ADDRESS(3,2,1,,D$2)):INDIRECT(ADDRESS(22,2,1,,D$2)),$A129)</f>
        <v>0</v>
      </c>
      <c r="E129" s="86">
        <f ca="1">COUNTIF(INDIRECT(ADDRESS(3,2,1,,E$2)):INDIRECT(ADDRESS(22,2,1,,E$2)),$A129)</f>
        <v>0</v>
      </c>
      <c r="F129" s="86">
        <f ca="1">COUNTIF(INDIRECT(ADDRESS(3,2,1,,F$2)):INDIRECT(ADDRESS(22,2,1,,F$2)),$A129)</f>
        <v>0</v>
      </c>
      <c r="G129" s="86">
        <f ca="1">COUNTIF(INDIRECT(ADDRESS(3,2,1,,G$2)):INDIRECT(ADDRESS(22,2,1,,G$2)),$A129)</f>
        <v>0</v>
      </c>
      <c r="H129" s="86">
        <f ca="1">COUNTIF(INDIRECT(ADDRESS(3,2,1,,H$2)):INDIRECT(ADDRESS(22,2,1,,H$2)),$A129)</f>
        <v>0</v>
      </c>
      <c r="I129" s="86">
        <f ca="1">COUNTIF(INDIRECT(ADDRESS(3,2,1,,I$2)):INDIRECT(ADDRESS(22,2,1,,I$2)),$A129)</f>
        <v>0</v>
      </c>
      <c r="J129" s="86">
        <f ca="1">COUNTIF(INDIRECT(ADDRESS(3,2,1,,J$2)):INDIRECT(ADDRESS(22,2,1,,J$2)),$A129)</f>
        <v>0</v>
      </c>
      <c r="K129" s="86">
        <f ca="1">COUNTIF(INDIRECT(ADDRESS(3,2,1,,K$2)):INDIRECT(ADDRESS(22,2,1,,K$2)),$A129)</f>
        <v>0</v>
      </c>
      <c r="L129" s="86">
        <f ca="1">COUNTIF(INDIRECT(ADDRESS(3,2,1,,L$2)):INDIRECT(ADDRESS(22,2,1,,L$2)),$A129)</f>
        <v>0</v>
      </c>
      <c r="M129" s="86">
        <f ca="1">COUNTIF(INDIRECT(ADDRESS(3,2,1,,M$2)):INDIRECT(ADDRESS(22,2,1,,M$2)),$A129)</f>
        <v>0</v>
      </c>
      <c r="N129" s="86">
        <f ca="1">COUNTIF(INDIRECT(ADDRESS(3,2,1,,N$2)):INDIRECT(ADDRESS(22,2,1,,N$2)),$A129)</f>
        <v>0</v>
      </c>
      <c r="O129" s="94">
        <f t="shared" ca="1" si="29"/>
        <v>0</v>
      </c>
    </row>
    <row r="130" spans="1:15" x14ac:dyDescent="0.25">
      <c r="A130" s="98" t="s">
        <v>255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4">
        <f t="shared" ca="1" si="29"/>
        <v>0</v>
      </c>
    </row>
    <row r="131" spans="1:15" x14ac:dyDescent="0.25">
      <c r="A131" s="98" t="s">
        <v>260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4">
        <f t="shared" ca="1" si="29"/>
        <v>0</v>
      </c>
    </row>
    <row r="132" spans="1:15" x14ac:dyDescent="0.25">
      <c r="A132" s="98" t="s">
        <v>256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4">
        <f t="shared" ca="1" si="29"/>
        <v>0</v>
      </c>
    </row>
    <row r="133" spans="1:15" x14ac:dyDescent="0.25">
      <c r="A133" s="98" t="s">
        <v>258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4">
        <f t="shared" ca="1" si="29"/>
        <v>0</v>
      </c>
    </row>
    <row r="140" spans="1:15" s="28" customFormat="1" ht="13.8" thickBot="1" x14ac:dyDescent="0.3">
      <c r="A140" s="97" t="s">
        <v>370</v>
      </c>
      <c r="B140" s="91">
        <f t="shared" ref="B140:N140" ca="1" si="30">SUM(B141:B153)</f>
        <v>2</v>
      </c>
      <c r="C140" s="91">
        <f t="shared" ca="1" si="30"/>
        <v>5</v>
      </c>
      <c r="D140" s="91">
        <f t="shared" ca="1" si="30"/>
        <v>3</v>
      </c>
      <c r="E140" s="91">
        <f t="shared" ca="1" si="30"/>
        <v>4</v>
      </c>
      <c r="F140" s="91">
        <f t="shared" ca="1" si="30"/>
        <v>0</v>
      </c>
      <c r="G140" s="91">
        <f t="shared" ca="1" si="30"/>
        <v>4</v>
      </c>
      <c r="H140" s="91">
        <f t="shared" ca="1" si="30"/>
        <v>2</v>
      </c>
      <c r="I140" s="91">
        <f t="shared" ca="1" si="30"/>
        <v>1</v>
      </c>
      <c r="J140" s="91">
        <f t="shared" ca="1" si="30"/>
        <v>2</v>
      </c>
      <c r="K140" s="91">
        <f t="shared" ca="1" si="30"/>
        <v>0</v>
      </c>
      <c r="L140" s="91">
        <f t="shared" ca="1" si="30"/>
        <v>2</v>
      </c>
      <c r="M140" s="91">
        <f t="shared" ca="1" si="30"/>
        <v>4</v>
      </c>
      <c r="N140" s="91">
        <f t="shared" ca="1" si="30"/>
        <v>1</v>
      </c>
      <c r="O140" s="93"/>
    </row>
    <row r="141" spans="1:15" x14ac:dyDescent="0.25">
      <c r="A141" s="98" t="s">
        <v>264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1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1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1</v>
      </c>
      <c r="I141" s="86">
        <f ca="1">COUNTIF(INDIRECT(ADDRESS(3,2,1,,I$2)):INDIRECT(ADDRESS(22,2,1,,I$2)),$A141)</f>
        <v>1</v>
      </c>
      <c r="J141" s="86">
        <f ca="1">COUNTIF(INDIRECT(ADDRESS(3,2,1,,J$2)):INDIRECT(ADDRESS(22,2,1,,J$2)),$A141)</f>
        <v>1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1</v>
      </c>
      <c r="N141" s="86">
        <f ca="1">COUNTIF(INDIRECT(ADDRESS(3,2,1,,N$2)):INDIRECT(ADDRESS(22,2,1,,N$2)),$A141)</f>
        <v>0</v>
      </c>
      <c r="O141" s="94">
        <f t="shared" ref="O141:O152" ca="1" si="31">SUM(B141:N141)</f>
        <v>6</v>
      </c>
    </row>
    <row r="142" spans="1:15" x14ac:dyDescent="0.25">
      <c r="A142" s="98" t="s">
        <v>261</v>
      </c>
      <c r="B142" s="86">
        <f ca="1">COUNTIF(INDIRECT(ADDRESS(3,2,1,,B$2)):INDIRECT(ADDRESS(22,2,1,,B$2)),$A142)</f>
        <v>0</v>
      </c>
      <c r="C142" s="86">
        <f ca="1">COUNTIF(INDIRECT(ADDRESS(3,2,1,,C$2)):INDIRECT(ADDRESS(22,2,1,,C$2)),$A142)</f>
        <v>1</v>
      </c>
      <c r="D142" s="86">
        <f ca="1">COUNTIF(INDIRECT(ADDRESS(3,2,1,,D$2)):INDIRECT(ADDRESS(22,2,1,,D$2)),$A142)</f>
        <v>1</v>
      </c>
      <c r="E142" s="86">
        <f ca="1">COUNTIF(INDIRECT(ADDRESS(3,2,1,,E$2)):INDIRECT(ADDRESS(22,2,1,,E$2)),$A142)</f>
        <v>1</v>
      </c>
      <c r="F142" s="86">
        <f ca="1">COUNTIF(INDIRECT(ADDRESS(3,2,1,,F$2)):INDIRECT(ADDRESS(22,2,1,,F$2)),$A142)</f>
        <v>0</v>
      </c>
      <c r="G142" s="86">
        <f ca="1">COUNTIF(INDIRECT(ADDRESS(3,2,1,,G$2)):INDIRECT(ADDRESS(22,2,1,,G$2)),$A142)</f>
        <v>1</v>
      </c>
      <c r="H142" s="86">
        <f ca="1">COUNTIF(INDIRECT(ADDRESS(3,2,1,,H$2)):INDIRECT(ADDRESS(22,2,1,,H$2)),$A142)</f>
        <v>0</v>
      </c>
      <c r="I142" s="86">
        <f ca="1">COUNTIF(INDIRECT(ADDRESS(3,2,1,,I$2)):INDIRECT(ADDRESS(22,2,1,,I$2)),$A142)</f>
        <v>0</v>
      </c>
      <c r="J142" s="86">
        <f ca="1">COUNTIF(INDIRECT(ADDRESS(3,2,1,,J$2)):INDIRECT(ADDRESS(22,2,1,,J$2)),$A142)</f>
        <v>0</v>
      </c>
      <c r="K142" s="86">
        <f ca="1">COUNTIF(INDIRECT(ADDRESS(3,2,1,,K$2)):INDIRECT(ADDRESS(22,2,1,,K$2)),$A142)</f>
        <v>0</v>
      </c>
      <c r="L142" s="86">
        <f ca="1">COUNTIF(INDIRECT(ADDRESS(3,2,1,,L$2)):INDIRECT(ADDRESS(22,2,1,,L$2)),$A142)</f>
        <v>0</v>
      </c>
      <c r="M142" s="86">
        <f ca="1">COUNTIF(INDIRECT(ADDRESS(3,2,1,,M$2)):INDIRECT(ADDRESS(22,2,1,,M$2)),$A142)</f>
        <v>0</v>
      </c>
      <c r="N142" s="86">
        <f ca="1">COUNTIF(INDIRECT(ADDRESS(3,2,1,,N$2)):INDIRECT(ADDRESS(22,2,1,,N$2)),$A142)</f>
        <v>0</v>
      </c>
      <c r="O142" s="94">
        <f t="shared" ca="1" si="31"/>
        <v>4</v>
      </c>
    </row>
    <row r="143" spans="1:15" x14ac:dyDescent="0.25">
      <c r="A143" s="98" t="s">
        <v>266</v>
      </c>
      <c r="B143" s="86">
        <f ca="1">COUNTIF(INDIRECT(ADDRESS(3,2,1,,B$2)):INDIRECT(ADDRESS(22,2,1,,B$2)),$A143)</f>
        <v>1</v>
      </c>
      <c r="C143" s="86">
        <f ca="1">COUNTIF(INDIRECT(ADDRESS(3,2,1,,C$2)):INDIRECT(ADDRESS(22,2,1,,C$2)),$A143)</f>
        <v>0</v>
      </c>
      <c r="D143" s="86">
        <f ca="1">COUNTIF(INDIRECT(ADDRESS(3,2,1,,D$2)):INDIRECT(ADDRESS(22,2,1,,D$2)),$A143)</f>
        <v>1</v>
      </c>
      <c r="E143" s="86">
        <f ca="1">COUNTIF(INDIRECT(ADDRESS(3,2,1,,E$2)):INDIRECT(ADDRESS(22,2,1,,E$2)),$A143)</f>
        <v>1</v>
      </c>
      <c r="F143" s="86">
        <f ca="1">COUNTIF(INDIRECT(ADDRESS(3,2,1,,F$2)):INDIRECT(ADDRESS(22,2,1,,F$2)),$A143)</f>
        <v>0</v>
      </c>
      <c r="G143" s="86">
        <f ca="1">COUNTIF(INDIRECT(ADDRESS(3,2,1,,G$2)):INDIRECT(ADDRESS(22,2,1,,G$2)),$A143)</f>
        <v>0</v>
      </c>
      <c r="H143" s="86">
        <f ca="1">COUNTIF(INDIRECT(ADDRESS(3,2,1,,H$2)):INDIRECT(ADDRESS(22,2,1,,H$2)),$A143)</f>
        <v>0</v>
      </c>
      <c r="I143" s="86">
        <f ca="1">COUNTIF(INDIRECT(ADDRESS(3,2,1,,I$2)):INDIRECT(ADDRESS(22,2,1,,I$2)),$A143)</f>
        <v>0</v>
      </c>
      <c r="J143" s="86">
        <f ca="1">COUNTIF(INDIRECT(ADDRESS(3,2,1,,J$2)):INDIRECT(ADDRESS(22,2,1,,J$2)),$A143)</f>
        <v>0</v>
      </c>
      <c r="K143" s="86">
        <f ca="1">COUNTIF(INDIRECT(ADDRESS(3,2,1,,K$2)):INDIRECT(ADDRESS(22,2,1,,K$2)),$A143)</f>
        <v>0</v>
      </c>
      <c r="L143" s="86">
        <f ca="1">COUNTIF(INDIRECT(ADDRESS(3,2,1,,L$2)):INDIRECT(ADDRESS(22,2,1,,L$2)),$A143)</f>
        <v>0</v>
      </c>
      <c r="M143" s="86">
        <f ca="1">COUNTIF(INDIRECT(ADDRESS(3,2,1,,M$2)):INDIRECT(ADDRESS(22,2,1,,M$2)),$A143)</f>
        <v>0</v>
      </c>
      <c r="N143" s="86">
        <f ca="1">COUNTIF(INDIRECT(ADDRESS(3,2,1,,N$2)):INDIRECT(ADDRESS(22,2,1,,N$2)),$A143)</f>
        <v>0</v>
      </c>
      <c r="O143" s="94">
        <f t="shared" ca="1" si="31"/>
        <v>3</v>
      </c>
    </row>
    <row r="144" spans="1:15" x14ac:dyDescent="0.25">
      <c r="A144" s="98" t="s">
        <v>259</v>
      </c>
      <c r="B144" s="86">
        <f ca="1">COUNTIF(INDIRECT(ADDRESS(3,2,1,,B$2)):INDIRECT(ADDRESS(22,2,1,,B$2)),$A144)</f>
        <v>0</v>
      </c>
      <c r="C144" s="86">
        <f ca="1">COUNTIF(INDIRECT(ADDRESS(3,2,1,,C$2)):INDIRECT(ADDRESS(22,2,1,,C$2)),$A144)</f>
        <v>1</v>
      </c>
      <c r="D144" s="86">
        <f ca="1">COUNTIF(INDIRECT(ADDRESS(3,2,1,,D$2)):INDIRECT(ADDRESS(22,2,1,,D$2)),$A144)</f>
        <v>1</v>
      </c>
      <c r="E144" s="86">
        <f ca="1">COUNTIF(INDIRECT(ADDRESS(3,2,1,,E$2)):INDIRECT(ADDRESS(22,2,1,,E$2)),$A144)</f>
        <v>0</v>
      </c>
      <c r="F144" s="86">
        <f ca="1">COUNTIF(INDIRECT(ADDRESS(3,2,1,,F$2)):INDIRECT(ADDRESS(22,2,1,,F$2)),$A144)</f>
        <v>0</v>
      </c>
      <c r="G144" s="86">
        <f ca="1">COUNTIF(INDIRECT(ADDRESS(3,2,1,,G$2)):INDIRECT(ADDRESS(22,2,1,,G$2)),$A144)</f>
        <v>1</v>
      </c>
      <c r="H144" s="86">
        <f ca="1">COUNTIF(INDIRECT(ADDRESS(3,2,1,,H$2)):INDIRECT(ADDRESS(22,2,1,,H$2)),$A144)</f>
        <v>0</v>
      </c>
      <c r="I144" s="86">
        <f ca="1">COUNTIF(INDIRECT(ADDRESS(3,2,1,,I$2)):INDIRECT(ADDRESS(22,2,1,,I$2)),$A144)</f>
        <v>0</v>
      </c>
      <c r="J144" s="86">
        <f ca="1">COUNTIF(INDIRECT(ADDRESS(3,2,1,,J$2)):INDIRECT(ADDRESS(22,2,1,,J$2)),$A144)</f>
        <v>0</v>
      </c>
      <c r="K144" s="86">
        <f ca="1">COUNTIF(INDIRECT(ADDRESS(3,2,1,,K$2)):INDIRECT(ADDRESS(22,2,1,,K$2)),$A144)</f>
        <v>0</v>
      </c>
      <c r="L144" s="86">
        <f ca="1">COUNTIF(INDIRECT(ADDRESS(3,2,1,,L$2)):INDIRECT(ADDRESS(22,2,1,,L$2)),$A144)</f>
        <v>0</v>
      </c>
      <c r="M144" s="86">
        <f ca="1">COUNTIF(INDIRECT(ADDRESS(3,2,1,,M$2)):INDIRECT(ADDRESS(22,2,1,,M$2)),$A144)</f>
        <v>0</v>
      </c>
      <c r="N144" s="86">
        <f ca="1">COUNTIF(INDIRECT(ADDRESS(3,2,1,,N$2)):INDIRECT(ADDRESS(22,2,1,,N$2)),$A144)</f>
        <v>0</v>
      </c>
      <c r="O144" s="94">
        <f t="shared" ca="1" si="31"/>
        <v>3</v>
      </c>
    </row>
    <row r="145" spans="1:15" x14ac:dyDescent="0.25">
      <c r="A145" s="98" t="s">
        <v>173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1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4">
        <f t="shared" ca="1" si="31"/>
        <v>2</v>
      </c>
    </row>
    <row r="146" spans="1:15" x14ac:dyDescent="0.25">
      <c r="A146" s="98" t="s">
        <v>263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1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1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1</v>
      </c>
      <c r="N146" s="86">
        <f ca="1">COUNTIF(INDIRECT(ADDRESS(3,2,1,,N$2)):INDIRECT(ADDRESS(22,2,1,,N$2)),$A146)</f>
        <v>0</v>
      </c>
      <c r="O146" s="94">
        <f t="shared" ca="1" si="31"/>
        <v>3</v>
      </c>
    </row>
    <row r="147" spans="1:15" x14ac:dyDescent="0.25">
      <c r="A147" s="98" t="s">
        <v>181</v>
      </c>
      <c r="B147" s="86">
        <f ca="1">COUNTIF(INDIRECT(ADDRESS(3,2,1,,B$2)):INDIRECT(ADDRESS(22,2,1,,B$2)),$A147)</f>
        <v>1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0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1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0</v>
      </c>
      <c r="O147" s="94">
        <f t="shared" ca="1" si="31"/>
        <v>3</v>
      </c>
    </row>
    <row r="148" spans="1:15" x14ac:dyDescent="0.25">
      <c r="A148" s="98" t="s">
        <v>262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1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4">
        <f t="shared" ca="1" si="31"/>
        <v>1</v>
      </c>
    </row>
    <row r="149" spans="1:15" x14ac:dyDescent="0.25">
      <c r="A149" s="98" t="s">
        <v>161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1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4">
        <f t="shared" ca="1" si="31"/>
        <v>1</v>
      </c>
    </row>
    <row r="150" spans="1:15" x14ac:dyDescent="0.25">
      <c r="A150" s="98" t="s">
        <v>265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1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1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1</v>
      </c>
      <c r="O150" s="94">
        <f t="shared" ca="1" si="31"/>
        <v>3</v>
      </c>
    </row>
    <row r="151" spans="1:15" x14ac:dyDescent="0.25">
      <c r="A151" s="98" t="s">
        <v>164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1</v>
      </c>
      <c r="N151" s="86">
        <f ca="1">COUNTIF(INDIRECT(ADDRESS(3,2,1,,N$2)):INDIRECT(ADDRESS(22,2,1,,N$2)),$A151)</f>
        <v>0</v>
      </c>
      <c r="O151" s="94">
        <f t="shared" ca="1" si="31"/>
        <v>1</v>
      </c>
    </row>
    <row r="152" spans="1:15" x14ac:dyDescent="0.25">
      <c r="A152" s="98" t="s">
        <v>267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4">
        <f t="shared" ca="1" si="31"/>
        <v>0</v>
      </c>
    </row>
    <row r="155" spans="1:15" s="28" customFormat="1" ht="13.8" thickBot="1" x14ac:dyDescent="0.3">
      <c r="A155" s="97" t="s">
        <v>196</v>
      </c>
      <c r="B155" s="91">
        <f t="shared" ref="B155:N155" ca="1" si="32">SUM(B156:B168)</f>
        <v>4</v>
      </c>
      <c r="C155" s="91">
        <f t="shared" ca="1" si="32"/>
        <v>5</v>
      </c>
      <c r="D155" s="91">
        <f t="shared" ca="1" si="32"/>
        <v>5</v>
      </c>
      <c r="E155" s="91">
        <f t="shared" ca="1" si="32"/>
        <v>5</v>
      </c>
      <c r="F155" s="91">
        <f t="shared" ca="1" si="32"/>
        <v>5</v>
      </c>
      <c r="G155" s="91">
        <f t="shared" ca="1" si="32"/>
        <v>6</v>
      </c>
      <c r="H155" s="91">
        <f t="shared" ca="1" si="32"/>
        <v>4</v>
      </c>
      <c r="I155" s="91">
        <f t="shared" ca="1" si="32"/>
        <v>3</v>
      </c>
      <c r="J155" s="91">
        <f t="shared" ca="1" si="32"/>
        <v>4</v>
      </c>
      <c r="K155" s="91">
        <f t="shared" ca="1" si="32"/>
        <v>6</v>
      </c>
      <c r="L155" s="91">
        <f t="shared" ca="1" si="32"/>
        <v>4</v>
      </c>
      <c r="M155" s="91">
        <f t="shared" ca="1" si="32"/>
        <v>4</v>
      </c>
      <c r="N155" s="91">
        <f t="shared" ca="1" si="32"/>
        <v>5</v>
      </c>
      <c r="O155" s="93"/>
    </row>
    <row r="156" spans="1:15" x14ac:dyDescent="0.25">
      <c r="A156" s="98" t="s">
        <v>171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1</v>
      </c>
      <c r="D156" s="86">
        <f ca="1">COUNTIF(INDIRECT(ADDRESS(3,2,1,,D$2)):INDIRECT(ADDRESS(22,2,1,,D$2)),$A156)</f>
        <v>1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1</v>
      </c>
      <c r="G156" s="86">
        <f ca="1">COUNTIF(INDIRECT(ADDRESS(3,2,1,,G$2)):INDIRECT(ADDRESS(22,2,1,,G$2)),$A156)</f>
        <v>1</v>
      </c>
      <c r="H156" s="86">
        <f ca="1">COUNTIF(INDIRECT(ADDRESS(3,2,1,,H$2)):INDIRECT(ADDRESS(22,2,1,,H$2)),$A156)</f>
        <v>1</v>
      </c>
      <c r="I156" s="86">
        <f ca="1">COUNTIF(INDIRECT(ADDRESS(3,2,1,,I$2)):INDIRECT(ADDRESS(22,2,1,,I$2)),$A156)</f>
        <v>1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1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4">
        <f t="shared" ref="O156:O167" ca="1" si="33">SUM(B156:N156)</f>
        <v>7</v>
      </c>
    </row>
    <row r="157" spans="1:15" x14ac:dyDescent="0.25">
      <c r="A157" s="98" t="s">
        <v>169</v>
      </c>
      <c r="B157" s="86">
        <f ca="1">COUNTIF(INDIRECT(ADDRESS(3,2,1,,B$2)):INDIRECT(ADDRESS(22,2,1,,B$2)),$A157)</f>
        <v>1</v>
      </c>
      <c r="C157" s="86">
        <f ca="1">COUNTIF(INDIRECT(ADDRESS(3,2,1,,C$2)):INDIRECT(ADDRESS(22,2,1,,C$2)),$A157)</f>
        <v>1</v>
      </c>
      <c r="D157" s="86">
        <f ca="1">COUNTIF(INDIRECT(ADDRESS(3,2,1,,D$2)):INDIRECT(ADDRESS(22,2,1,,D$2)),$A157)</f>
        <v>0</v>
      </c>
      <c r="E157" s="86">
        <f ca="1">COUNTIF(INDIRECT(ADDRESS(3,2,1,,E$2)):INDIRECT(ADDRESS(22,2,1,,E$2)),$A157)</f>
        <v>0</v>
      </c>
      <c r="F157" s="86">
        <f ca="1">COUNTIF(INDIRECT(ADDRESS(3,2,1,,F$2)):INDIRECT(ADDRESS(22,2,1,,F$2)),$A157)</f>
        <v>1</v>
      </c>
      <c r="G157" s="86">
        <f ca="1">COUNTIF(INDIRECT(ADDRESS(3,2,1,,G$2)):INDIRECT(ADDRESS(22,2,1,,G$2)),$A157)</f>
        <v>0</v>
      </c>
      <c r="H157" s="86">
        <f ca="1">COUNTIF(INDIRECT(ADDRESS(3,2,1,,H$2)):INDIRECT(ADDRESS(22,2,1,,H$2)),$A157)</f>
        <v>1</v>
      </c>
      <c r="I157" s="86">
        <f ca="1">COUNTIF(INDIRECT(ADDRESS(3,2,1,,I$2)):INDIRECT(ADDRESS(22,2,1,,I$2)),$A157)</f>
        <v>0</v>
      </c>
      <c r="J157" s="86">
        <f ca="1">COUNTIF(INDIRECT(ADDRESS(3,2,1,,J$2)):INDIRECT(ADDRESS(22,2,1,,J$2)),$A157)</f>
        <v>1</v>
      </c>
      <c r="K157" s="86">
        <f ca="1">COUNTIF(INDIRECT(ADDRESS(3,2,1,,K$2)):INDIRECT(ADDRESS(22,2,1,,K$2)),$A157)</f>
        <v>1</v>
      </c>
      <c r="L157" s="86">
        <f ca="1">COUNTIF(INDIRECT(ADDRESS(3,2,1,,L$2)):INDIRECT(ADDRESS(22,2,1,,L$2)),$A157)</f>
        <v>1</v>
      </c>
      <c r="M157" s="86">
        <f ca="1">COUNTIF(INDIRECT(ADDRESS(3,2,1,,M$2)):INDIRECT(ADDRESS(22,2,1,,M$2)),$A157)</f>
        <v>0</v>
      </c>
      <c r="N157" s="86">
        <f ca="1">COUNTIF(INDIRECT(ADDRESS(3,2,1,,N$2)):INDIRECT(ADDRESS(22,2,1,,N$2)),$A157)</f>
        <v>1</v>
      </c>
      <c r="O157" s="94">
        <f t="shared" ca="1" si="33"/>
        <v>8</v>
      </c>
    </row>
    <row r="158" spans="1:15" x14ac:dyDescent="0.25">
      <c r="A158" s="98" t="s">
        <v>156</v>
      </c>
      <c r="B158" s="86">
        <f ca="1">COUNTIF(INDIRECT(ADDRESS(3,2,1,,B$2)):INDIRECT(ADDRESS(22,2,1,,B$2)),$A158)</f>
        <v>1</v>
      </c>
      <c r="C158" s="86">
        <f ca="1">COUNTIF(INDIRECT(ADDRESS(3,2,1,,C$2)):INDIRECT(ADDRESS(22,2,1,,C$2)),$A158)</f>
        <v>0</v>
      </c>
      <c r="D158" s="86">
        <f ca="1">COUNTIF(INDIRECT(ADDRESS(3,2,1,,D$2)):INDIRECT(ADDRESS(22,2,1,,D$2)),$A158)</f>
        <v>1</v>
      </c>
      <c r="E158" s="86">
        <f ca="1">COUNTIF(INDIRECT(ADDRESS(3,2,1,,E$2)):INDIRECT(ADDRESS(22,2,1,,E$2)),$A158)</f>
        <v>1</v>
      </c>
      <c r="F158" s="86">
        <f ca="1">COUNTIF(INDIRECT(ADDRESS(3,2,1,,F$2)):INDIRECT(ADDRESS(22,2,1,,F$2)),$A158)</f>
        <v>0</v>
      </c>
      <c r="G158" s="86">
        <f ca="1">COUNTIF(INDIRECT(ADDRESS(3,2,1,,G$2)):INDIRECT(ADDRESS(22,2,1,,G$2)),$A158)</f>
        <v>1</v>
      </c>
      <c r="H158" s="86">
        <f ca="1">COUNTIF(INDIRECT(ADDRESS(3,2,1,,H$2)):INDIRECT(ADDRESS(22,2,1,,H$2)),$A158)</f>
        <v>0</v>
      </c>
      <c r="I158" s="86">
        <f ca="1">COUNTIF(INDIRECT(ADDRESS(3,2,1,,I$2)):INDIRECT(ADDRESS(22,2,1,,I$2)),$A158)</f>
        <v>1</v>
      </c>
      <c r="J158" s="86">
        <f ca="1">COUNTIF(INDIRECT(ADDRESS(3,2,1,,J$2)):INDIRECT(ADDRESS(22,2,1,,J$2)),$A158)</f>
        <v>0</v>
      </c>
      <c r="K158" s="86">
        <f ca="1">COUNTIF(INDIRECT(ADDRESS(3,2,1,,K$2)):INDIRECT(ADDRESS(22,2,1,,K$2)),$A158)</f>
        <v>1</v>
      </c>
      <c r="L158" s="86">
        <f ca="1">COUNTIF(INDIRECT(ADDRESS(3,2,1,,L$2)):INDIRECT(ADDRESS(22,2,1,,L$2)),$A158)</f>
        <v>0</v>
      </c>
      <c r="M158" s="86">
        <f ca="1">COUNTIF(INDIRECT(ADDRESS(3,2,1,,M$2)):INDIRECT(ADDRESS(22,2,1,,M$2)),$A158)</f>
        <v>0</v>
      </c>
      <c r="N158" s="86">
        <f ca="1">COUNTIF(INDIRECT(ADDRESS(3,2,1,,N$2)):INDIRECT(ADDRESS(22,2,1,,N$2)),$A158)</f>
        <v>1</v>
      </c>
      <c r="O158" s="94">
        <f t="shared" ca="1" si="33"/>
        <v>7</v>
      </c>
    </row>
    <row r="159" spans="1:15" x14ac:dyDescent="0.25">
      <c r="A159" s="98" t="s">
        <v>167</v>
      </c>
      <c r="B159" s="86">
        <f ca="1">COUNTIF(INDIRECT(ADDRESS(3,2,1,,B$2)):INDIRECT(ADDRESS(22,2,1,,B$2)),$A159)</f>
        <v>1</v>
      </c>
      <c r="C159" s="86">
        <f ca="1">COUNTIF(INDIRECT(ADDRESS(3,2,1,,C$2)):INDIRECT(ADDRESS(22,2,1,,C$2)),$A159)</f>
        <v>1</v>
      </c>
      <c r="D159" s="86">
        <f ca="1">COUNTIF(INDIRECT(ADDRESS(3,2,1,,D$2)):INDIRECT(ADDRESS(22,2,1,,D$2)),$A159)</f>
        <v>0</v>
      </c>
      <c r="E159" s="86">
        <f ca="1">COUNTIF(INDIRECT(ADDRESS(3,2,1,,E$2)):INDIRECT(ADDRESS(22,2,1,,E$2)),$A159)</f>
        <v>1</v>
      </c>
      <c r="F159" s="86">
        <f ca="1">COUNTIF(INDIRECT(ADDRESS(3,2,1,,F$2)):INDIRECT(ADDRESS(22,2,1,,F$2)),$A159)</f>
        <v>0</v>
      </c>
      <c r="G159" s="86">
        <f ca="1">COUNTIF(INDIRECT(ADDRESS(3,2,1,,G$2)):INDIRECT(ADDRESS(22,2,1,,G$2)),$A159)</f>
        <v>1</v>
      </c>
      <c r="H159" s="86">
        <f ca="1">COUNTIF(INDIRECT(ADDRESS(3,2,1,,H$2)):INDIRECT(ADDRESS(22,2,1,,H$2)),$A159)</f>
        <v>0</v>
      </c>
      <c r="I159" s="86">
        <f ca="1">COUNTIF(INDIRECT(ADDRESS(3,2,1,,I$2)):INDIRECT(ADDRESS(22,2,1,,I$2)),$A159)</f>
        <v>0</v>
      </c>
      <c r="J159" s="86">
        <f ca="1">COUNTIF(INDIRECT(ADDRESS(3,2,1,,J$2)):INDIRECT(ADDRESS(22,2,1,,J$2)),$A159)</f>
        <v>1</v>
      </c>
      <c r="K159" s="86">
        <f ca="1">COUNTIF(INDIRECT(ADDRESS(3,2,1,,K$2)):INDIRECT(ADDRESS(22,2,1,,K$2)),$A159)</f>
        <v>0</v>
      </c>
      <c r="L159" s="86">
        <f ca="1">COUNTIF(INDIRECT(ADDRESS(3,2,1,,L$2)):INDIRECT(ADDRESS(22,2,1,,L$2)),$A159)</f>
        <v>1</v>
      </c>
      <c r="M159" s="86">
        <f ca="1">COUNTIF(INDIRECT(ADDRESS(3,2,1,,M$2)):INDIRECT(ADDRESS(22,2,1,,M$2)),$A159)</f>
        <v>0</v>
      </c>
      <c r="N159" s="86">
        <f ca="1">COUNTIF(INDIRECT(ADDRESS(3,2,1,,N$2)):INDIRECT(ADDRESS(22,2,1,,N$2)),$A159)</f>
        <v>1</v>
      </c>
      <c r="O159" s="94">
        <f t="shared" ca="1" si="33"/>
        <v>7</v>
      </c>
    </row>
    <row r="160" spans="1:15" x14ac:dyDescent="0.25">
      <c r="A160" s="98" t="s">
        <v>268</v>
      </c>
      <c r="B160" s="86">
        <f ca="1">COUNTIF(INDIRECT(ADDRESS(3,2,1,,B$2)):INDIRECT(ADDRESS(22,2,1,,B$2)),$A160)</f>
        <v>0</v>
      </c>
      <c r="C160" s="86">
        <f ca="1">COUNTIF(INDIRECT(ADDRESS(3,2,1,,C$2)):INDIRECT(ADDRESS(22,2,1,,C$2)),$A160)</f>
        <v>0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0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1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1</v>
      </c>
      <c r="O160" s="94">
        <f t="shared" ca="1" si="33"/>
        <v>7</v>
      </c>
    </row>
    <row r="161" spans="1:15" x14ac:dyDescent="0.25">
      <c r="A161" s="98" t="s">
        <v>179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1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0</v>
      </c>
      <c r="H161" s="86">
        <f ca="1">COUNTIF(INDIRECT(ADDRESS(3,2,1,,H$2)):INDIRECT(ADDRESS(22,2,1,,H$2)),$A161)</f>
        <v>0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1</v>
      </c>
      <c r="L161" s="86">
        <f ca="1">COUNTIF(INDIRECT(ADDRESS(3,2,1,,L$2)):INDIRECT(ADDRESS(22,2,1,,L$2)),$A161)</f>
        <v>0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0</v>
      </c>
      <c r="O161" s="94">
        <f t="shared" ca="1" si="33"/>
        <v>4</v>
      </c>
    </row>
    <row r="162" spans="1:15" x14ac:dyDescent="0.25">
      <c r="A162" s="98" t="s">
        <v>270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0</v>
      </c>
      <c r="E162" s="86">
        <f ca="1">COUNTIF(INDIRECT(ADDRESS(3,2,1,,E$2)):INDIRECT(ADDRESS(22,2,1,,E$2)),$A162)</f>
        <v>1</v>
      </c>
      <c r="F162" s="86">
        <f ca="1">COUNTIF(INDIRECT(ADDRESS(3,2,1,,F$2)):INDIRECT(ADDRESS(22,2,1,,F$2)),$A162)</f>
        <v>1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1</v>
      </c>
      <c r="N162" s="86">
        <f ca="1">COUNTIF(INDIRECT(ADDRESS(3,2,1,,N$2)):INDIRECT(ADDRESS(22,2,1,,N$2)),$A162)</f>
        <v>1</v>
      </c>
      <c r="O162" s="94">
        <f t="shared" ca="1" si="33"/>
        <v>6</v>
      </c>
    </row>
    <row r="163" spans="1:15" x14ac:dyDescent="0.25">
      <c r="A163" s="98" t="s">
        <v>157</v>
      </c>
      <c r="B163" s="86">
        <f ca="1">COUNTIF(INDIRECT(ADDRESS(3,2,1,,B$2)):INDIRECT(ADDRESS(22,2,1,,B$2)),$A163)</f>
        <v>0</v>
      </c>
      <c r="C163" s="86">
        <f ca="1">COUNTIF(INDIRECT(ADDRESS(3,2,1,,C$2)):INDIRECT(ADDRESS(22,2,1,,C$2)),$A163)</f>
        <v>1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0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4">
        <f t="shared" ca="1" si="33"/>
        <v>4</v>
      </c>
    </row>
    <row r="164" spans="1:15" x14ac:dyDescent="0.25">
      <c r="A164" s="98" t="s">
        <v>271</v>
      </c>
      <c r="B164" s="86">
        <f ca="1">COUNTIF(INDIRECT(ADDRESS(3,2,1,,B$2)):INDIRECT(ADDRESS(22,2,1,,B$2)),$A164)</f>
        <v>1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1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0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0</v>
      </c>
      <c r="O164" s="94">
        <f t="shared" ca="1" si="33"/>
        <v>3</v>
      </c>
    </row>
    <row r="165" spans="1:15" x14ac:dyDescent="0.25">
      <c r="A165" s="98" t="s">
        <v>172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1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0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1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1</v>
      </c>
      <c r="N165" s="86">
        <f ca="1">COUNTIF(INDIRECT(ADDRESS(3,2,1,,N$2)):INDIRECT(ADDRESS(22,2,1,,N$2)),$A165)</f>
        <v>0</v>
      </c>
      <c r="O165" s="94">
        <f t="shared" ca="1" si="33"/>
        <v>4</v>
      </c>
    </row>
    <row r="166" spans="1:15" x14ac:dyDescent="0.25">
      <c r="A166" s="98" t="s">
        <v>269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4">
        <f t="shared" ca="1" si="33"/>
        <v>1</v>
      </c>
    </row>
    <row r="167" spans="1:15" x14ac:dyDescent="0.25">
      <c r="A167" s="98" t="s">
        <v>180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0</v>
      </c>
      <c r="O167" s="94">
        <f t="shared" ca="1" si="33"/>
        <v>2</v>
      </c>
    </row>
    <row r="170" spans="1:15" s="28" customFormat="1" ht="13.8" thickBot="1" x14ac:dyDescent="0.3">
      <c r="A170" s="97" t="s">
        <v>197</v>
      </c>
      <c r="B170" s="91">
        <f t="shared" ref="B170:N170" ca="1" si="34">SUM(B171:B183)</f>
        <v>1</v>
      </c>
      <c r="C170" s="91">
        <f t="shared" ca="1" si="34"/>
        <v>0</v>
      </c>
      <c r="D170" s="91">
        <f t="shared" ca="1" si="34"/>
        <v>0</v>
      </c>
      <c r="E170" s="91">
        <f t="shared" ca="1" si="34"/>
        <v>0</v>
      </c>
      <c r="F170" s="91">
        <f t="shared" ca="1" si="34"/>
        <v>0</v>
      </c>
      <c r="G170" s="91">
        <f t="shared" ca="1" si="34"/>
        <v>0</v>
      </c>
      <c r="H170" s="91">
        <f t="shared" ca="1" si="34"/>
        <v>0</v>
      </c>
      <c r="I170" s="91">
        <f t="shared" ca="1" si="34"/>
        <v>0</v>
      </c>
      <c r="J170" s="91">
        <f t="shared" ca="1" si="34"/>
        <v>0</v>
      </c>
      <c r="K170" s="91">
        <f t="shared" ca="1" si="34"/>
        <v>0</v>
      </c>
      <c r="L170" s="91">
        <f t="shared" ca="1" si="34"/>
        <v>0</v>
      </c>
      <c r="M170" s="91">
        <f t="shared" ca="1" si="34"/>
        <v>0</v>
      </c>
      <c r="N170" s="91">
        <f t="shared" ca="1" si="34"/>
        <v>0</v>
      </c>
      <c r="O170" s="93"/>
    </row>
    <row r="171" spans="1:15" x14ac:dyDescent="0.25">
      <c r="A171" s="98" t="s">
        <v>278</v>
      </c>
      <c r="B171" s="86">
        <f ca="1">COUNTIF(INDIRECT(ADDRESS(3,2,1,,B$2)):INDIRECT(ADDRESS(22,2,1,,B$2)),$A171)</f>
        <v>1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4">
        <f t="shared" ref="O171:O182" ca="1" si="35">SUM(B171:N171)</f>
        <v>1</v>
      </c>
    </row>
    <row r="172" spans="1:15" x14ac:dyDescent="0.25">
      <c r="A172" s="98" t="s">
        <v>168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4">
        <f t="shared" ca="1" si="35"/>
        <v>0</v>
      </c>
    </row>
    <row r="173" spans="1:15" x14ac:dyDescent="0.25">
      <c r="A173" s="98" t="s">
        <v>272</v>
      </c>
      <c r="B173" s="86">
        <f ca="1">COUNTIF(INDIRECT(ADDRESS(3,2,1,,B$2)):INDIRECT(ADDRESS(22,2,1,,B$2)),$A173)</f>
        <v>0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4">
        <f t="shared" ca="1" si="35"/>
        <v>0</v>
      </c>
    </row>
    <row r="174" spans="1:15" x14ac:dyDescent="0.25">
      <c r="A174" s="98" t="s">
        <v>273</v>
      </c>
      <c r="B174" s="86">
        <f ca="1">COUNTIF(INDIRECT(ADDRESS(3,2,1,,B$2)):INDIRECT(ADDRESS(22,2,1,,B$2)),$A174)</f>
        <v>0</v>
      </c>
      <c r="C174" s="86">
        <f ca="1">COUNTIF(INDIRECT(ADDRESS(3,2,1,,C$2)):INDIRECT(ADDRESS(22,2,1,,C$2)),$A174)</f>
        <v>0</v>
      </c>
      <c r="D174" s="86">
        <f ca="1">COUNTIF(INDIRECT(ADDRESS(3,2,1,,D$2)):INDIRECT(ADDRESS(22,2,1,,D$2)),$A174)</f>
        <v>0</v>
      </c>
      <c r="E174" s="86">
        <f ca="1">COUNTIF(INDIRECT(ADDRESS(3,2,1,,E$2)):INDIRECT(ADDRESS(22,2,1,,E$2)),$A174)</f>
        <v>0</v>
      </c>
      <c r="F174" s="86">
        <f ca="1">COUNTIF(INDIRECT(ADDRESS(3,2,1,,F$2)):INDIRECT(ADDRESS(22,2,1,,F$2)),$A174)</f>
        <v>0</v>
      </c>
      <c r="G174" s="86">
        <f ca="1">COUNTIF(INDIRECT(ADDRESS(3,2,1,,G$2)):INDIRECT(ADDRESS(22,2,1,,G$2)),$A174)</f>
        <v>0</v>
      </c>
      <c r="H174" s="86">
        <f ca="1">COUNTIF(INDIRECT(ADDRESS(3,2,1,,H$2)):INDIRECT(ADDRESS(22,2,1,,H$2)),$A174)</f>
        <v>0</v>
      </c>
      <c r="I174" s="86">
        <f ca="1">COUNTIF(INDIRECT(ADDRESS(3,2,1,,I$2)):INDIRECT(ADDRESS(22,2,1,,I$2)),$A174)</f>
        <v>0</v>
      </c>
      <c r="J174" s="86">
        <f ca="1">COUNTIF(INDIRECT(ADDRESS(3,2,1,,J$2)):INDIRECT(ADDRESS(22,2,1,,J$2)),$A174)</f>
        <v>0</v>
      </c>
      <c r="K174" s="86">
        <f ca="1">COUNTIF(INDIRECT(ADDRESS(3,2,1,,K$2)):INDIRECT(ADDRESS(22,2,1,,K$2)),$A174)</f>
        <v>0</v>
      </c>
      <c r="L174" s="86">
        <f ca="1">COUNTIF(INDIRECT(ADDRESS(3,2,1,,L$2)):INDIRECT(ADDRESS(22,2,1,,L$2)),$A174)</f>
        <v>0</v>
      </c>
      <c r="M174" s="86">
        <f ca="1">COUNTIF(INDIRECT(ADDRESS(3,2,1,,M$2)):INDIRECT(ADDRESS(22,2,1,,M$2)),$A174)</f>
        <v>0</v>
      </c>
      <c r="N174" s="86">
        <f ca="1">COUNTIF(INDIRECT(ADDRESS(3,2,1,,N$2)):INDIRECT(ADDRESS(22,2,1,,N$2)),$A174)</f>
        <v>0</v>
      </c>
      <c r="O174" s="94">
        <f t="shared" ca="1" si="35"/>
        <v>0</v>
      </c>
    </row>
    <row r="175" spans="1:15" x14ac:dyDescent="0.25">
      <c r="A175" s="98" t="s">
        <v>274</v>
      </c>
      <c r="B175" s="86">
        <f ca="1">COUNTIF(INDIRECT(ADDRESS(3,2,1,,B$2)):INDIRECT(ADDRESS(22,2,1,,B$2)),$A175)</f>
        <v>0</v>
      </c>
      <c r="C175" s="86">
        <f ca="1">COUNTIF(INDIRECT(ADDRESS(3,2,1,,C$2)):INDIRECT(ADDRESS(22,2,1,,C$2)),$A175)</f>
        <v>0</v>
      </c>
      <c r="D175" s="86">
        <f ca="1">COUNTIF(INDIRECT(ADDRESS(3,2,1,,D$2)):INDIRECT(ADDRESS(22,2,1,,D$2)),$A175)</f>
        <v>0</v>
      </c>
      <c r="E175" s="86">
        <f ca="1">COUNTIF(INDIRECT(ADDRESS(3,2,1,,E$2)):INDIRECT(ADDRESS(22,2,1,,E$2)),$A175)</f>
        <v>0</v>
      </c>
      <c r="F175" s="86">
        <f ca="1">COUNTIF(INDIRECT(ADDRESS(3,2,1,,F$2)):INDIRECT(ADDRESS(22,2,1,,F$2)),$A175)</f>
        <v>0</v>
      </c>
      <c r="G175" s="86">
        <f ca="1">COUNTIF(INDIRECT(ADDRESS(3,2,1,,G$2)):INDIRECT(ADDRESS(22,2,1,,G$2)),$A175)</f>
        <v>0</v>
      </c>
      <c r="H175" s="86">
        <f ca="1">COUNTIF(INDIRECT(ADDRESS(3,2,1,,H$2)):INDIRECT(ADDRESS(22,2,1,,H$2)),$A175)</f>
        <v>0</v>
      </c>
      <c r="I175" s="86">
        <f ca="1">COUNTIF(INDIRECT(ADDRESS(3,2,1,,I$2)):INDIRECT(ADDRESS(22,2,1,,I$2)),$A175)</f>
        <v>0</v>
      </c>
      <c r="J175" s="86">
        <f ca="1">COUNTIF(INDIRECT(ADDRESS(3,2,1,,J$2)):INDIRECT(ADDRESS(22,2,1,,J$2)),$A175)</f>
        <v>0</v>
      </c>
      <c r="K175" s="86">
        <f ca="1">COUNTIF(INDIRECT(ADDRESS(3,2,1,,K$2)):INDIRECT(ADDRESS(22,2,1,,K$2)),$A175)</f>
        <v>0</v>
      </c>
      <c r="L175" s="86">
        <f ca="1">COUNTIF(INDIRECT(ADDRESS(3,2,1,,L$2)):INDIRECT(ADDRESS(22,2,1,,L$2)),$A175)</f>
        <v>0</v>
      </c>
      <c r="M175" s="86">
        <f ca="1">COUNTIF(INDIRECT(ADDRESS(3,2,1,,M$2)):INDIRECT(ADDRESS(22,2,1,,M$2)),$A175)</f>
        <v>0</v>
      </c>
      <c r="N175" s="86">
        <f ca="1">COUNTIF(INDIRECT(ADDRESS(3,2,1,,N$2)):INDIRECT(ADDRESS(22,2,1,,N$2)),$A175)</f>
        <v>0</v>
      </c>
      <c r="O175" s="94">
        <f t="shared" ca="1" si="35"/>
        <v>0</v>
      </c>
    </row>
    <row r="176" spans="1:15" x14ac:dyDescent="0.25">
      <c r="A176" s="98" t="s">
        <v>275</v>
      </c>
      <c r="B176" s="86">
        <f ca="1">COUNTIF(INDIRECT(ADDRESS(3,2,1,,B$2)):INDIRECT(ADDRESS(22,2,1,,B$2)),$A176)</f>
        <v>0</v>
      </c>
      <c r="C176" s="86">
        <f ca="1">COUNTIF(INDIRECT(ADDRESS(3,2,1,,C$2)):INDIRECT(ADDRESS(22,2,1,,C$2)),$A176)</f>
        <v>0</v>
      </c>
      <c r="D176" s="86">
        <f ca="1">COUNTIF(INDIRECT(ADDRESS(3,2,1,,D$2)):INDIRECT(ADDRESS(22,2,1,,D$2)),$A176)</f>
        <v>0</v>
      </c>
      <c r="E176" s="86">
        <f ca="1">COUNTIF(INDIRECT(ADDRESS(3,2,1,,E$2)):INDIRECT(ADDRESS(22,2,1,,E$2)),$A176)</f>
        <v>0</v>
      </c>
      <c r="F176" s="86">
        <f ca="1">COUNTIF(INDIRECT(ADDRESS(3,2,1,,F$2)):INDIRECT(ADDRESS(22,2,1,,F$2)),$A176)</f>
        <v>0</v>
      </c>
      <c r="G176" s="86">
        <f ca="1">COUNTIF(INDIRECT(ADDRESS(3,2,1,,G$2)):INDIRECT(ADDRESS(22,2,1,,G$2)),$A176)</f>
        <v>0</v>
      </c>
      <c r="H176" s="86">
        <f ca="1">COUNTIF(INDIRECT(ADDRESS(3,2,1,,H$2)):INDIRECT(ADDRESS(22,2,1,,H$2)),$A176)</f>
        <v>0</v>
      </c>
      <c r="I176" s="86">
        <f ca="1">COUNTIF(INDIRECT(ADDRESS(3,2,1,,I$2)):INDIRECT(ADDRESS(22,2,1,,I$2)),$A176)</f>
        <v>0</v>
      </c>
      <c r="J176" s="86">
        <f ca="1">COUNTIF(INDIRECT(ADDRESS(3,2,1,,J$2)):INDIRECT(ADDRESS(22,2,1,,J$2)),$A176)</f>
        <v>0</v>
      </c>
      <c r="K176" s="86">
        <f ca="1">COUNTIF(INDIRECT(ADDRESS(3,2,1,,K$2)):INDIRECT(ADDRESS(22,2,1,,K$2)),$A176)</f>
        <v>0</v>
      </c>
      <c r="L176" s="86">
        <f ca="1">COUNTIF(INDIRECT(ADDRESS(3,2,1,,L$2)):INDIRECT(ADDRESS(22,2,1,,L$2)),$A176)</f>
        <v>0</v>
      </c>
      <c r="M176" s="86">
        <f ca="1">COUNTIF(INDIRECT(ADDRESS(3,2,1,,M$2)):INDIRECT(ADDRESS(22,2,1,,M$2)),$A176)</f>
        <v>0</v>
      </c>
      <c r="N176" s="86">
        <f ca="1">COUNTIF(INDIRECT(ADDRESS(3,2,1,,N$2)):INDIRECT(ADDRESS(22,2,1,,N$2)),$A176)</f>
        <v>0</v>
      </c>
      <c r="O176" s="94">
        <f t="shared" ca="1" si="35"/>
        <v>0</v>
      </c>
    </row>
    <row r="177" spans="1:15" x14ac:dyDescent="0.25">
      <c r="A177" s="98" t="s">
        <v>276</v>
      </c>
      <c r="B177" s="86">
        <f ca="1">COUNTIF(INDIRECT(ADDRESS(3,2,1,,B$2)):INDIRECT(ADDRESS(22,2,1,,B$2)),$A177)</f>
        <v>0</v>
      </c>
      <c r="C177" s="86">
        <f ca="1">COUNTIF(INDIRECT(ADDRESS(3,2,1,,C$2)):INDIRECT(ADDRESS(22,2,1,,C$2)),$A177)</f>
        <v>0</v>
      </c>
      <c r="D177" s="86">
        <f ca="1">COUNTIF(INDIRECT(ADDRESS(3,2,1,,D$2)):INDIRECT(ADDRESS(22,2,1,,D$2)),$A177)</f>
        <v>0</v>
      </c>
      <c r="E177" s="86">
        <f ca="1">COUNTIF(INDIRECT(ADDRESS(3,2,1,,E$2)):INDIRECT(ADDRESS(22,2,1,,E$2)),$A177)</f>
        <v>0</v>
      </c>
      <c r="F177" s="86">
        <f ca="1">COUNTIF(INDIRECT(ADDRESS(3,2,1,,F$2)):INDIRECT(ADDRESS(22,2,1,,F$2)),$A177)</f>
        <v>0</v>
      </c>
      <c r="G177" s="86">
        <f ca="1">COUNTIF(INDIRECT(ADDRESS(3,2,1,,G$2)):INDIRECT(ADDRESS(22,2,1,,G$2)),$A177)</f>
        <v>0</v>
      </c>
      <c r="H177" s="86">
        <f ca="1">COUNTIF(INDIRECT(ADDRESS(3,2,1,,H$2)):INDIRECT(ADDRESS(22,2,1,,H$2)),$A177)</f>
        <v>0</v>
      </c>
      <c r="I177" s="86">
        <f ca="1">COUNTIF(INDIRECT(ADDRESS(3,2,1,,I$2)):INDIRECT(ADDRESS(22,2,1,,I$2)),$A177)</f>
        <v>0</v>
      </c>
      <c r="J177" s="86">
        <f ca="1">COUNTIF(INDIRECT(ADDRESS(3,2,1,,J$2)):INDIRECT(ADDRESS(22,2,1,,J$2)),$A177)</f>
        <v>0</v>
      </c>
      <c r="K177" s="86">
        <f ca="1">COUNTIF(INDIRECT(ADDRESS(3,2,1,,K$2)):INDIRECT(ADDRESS(22,2,1,,K$2)),$A177)</f>
        <v>0</v>
      </c>
      <c r="L177" s="86">
        <f ca="1">COUNTIF(INDIRECT(ADDRESS(3,2,1,,L$2)):INDIRECT(ADDRESS(22,2,1,,L$2)),$A177)</f>
        <v>0</v>
      </c>
      <c r="M177" s="86">
        <f ca="1">COUNTIF(INDIRECT(ADDRESS(3,2,1,,M$2)):INDIRECT(ADDRESS(22,2,1,,M$2)),$A177)</f>
        <v>0</v>
      </c>
      <c r="N177" s="86">
        <f ca="1">COUNTIF(INDIRECT(ADDRESS(3,2,1,,N$2)):INDIRECT(ADDRESS(22,2,1,,N$2)),$A177)</f>
        <v>0</v>
      </c>
      <c r="O177" s="94">
        <f t="shared" ca="1" si="35"/>
        <v>0</v>
      </c>
    </row>
    <row r="178" spans="1:15" x14ac:dyDescent="0.25">
      <c r="A178" s="98" t="s">
        <v>277</v>
      </c>
      <c r="B178" s="86">
        <f ca="1">COUNTIF(INDIRECT(ADDRESS(3,2,1,,B$2)):INDIRECT(ADDRESS(22,2,1,,B$2)),$A178)</f>
        <v>0</v>
      </c>
      <c r="C178" s="86">
        <f ca="1">COUNTIF(INDIRECT(ADDRESS(3,2,1,,C$2)):INDIRECT(ADDRESS(22,2,1,,C$2)),$A178)</f>
        <v>0</v>
      </c>
      <c r="D178" s="86">
        <f ca="1">COUNTIF(INDIRECT(ADDRESS(3,2,1,,D$2)):INDIRECT(ADDRESS(22,2,1,,D$2)),$A178)</f>
        <v>0</v>
      </c>
      <c r="E178" s="86">
        <f ca="1">COUNTIF(INDIRECT(ADDRESS(3,2,1,,E$2)):INDIRECT(ADDRESS(22,2,1,,E$2)),$A178)</f>
        <v>0</v>
      </c>
      <c r="F178" s="86">
        <f ca="1">COUNTIF(INDIRECT(ADDRESS(3,2,1,,F$2)):INDIRECT(ADDRESS(22,2,1,,F$2)),$A178)</f>
        <v>0</v>
      </c>
      <c r="G178" s="86">
        <f ca="1">COUNTIF(INDIRECT(ADDRESS(3,2,1,,G$2)):INDIRECT(ADDRESS(22,2,1,,G$2)),$A178)</f>
        <v>0</v>
      </c>
      <c r="H178" s="86">
        <f ca="1">COUNTIF(INDIRECT(ADDRESS(3,2,1,,H$2)):INDIRECT(ADDRESS(22,2,1,,H$2)),$A178)</f>
        <v>0</v>
      </c>
      <c r="I178" s="86">
        <f ca="1">COUNTIF(INDIRECT(ADDRESS(3,2,1,,I$2)):INDIRECT(ADDRESS(22,2,1,,I$2)),$A178)</f>
        <v>0</v>
      </c>
      <c r="J178" s="86">
        <f ca="1">COUNTIF(INDIRECT(ADDRESS(3,2,1,,J$2)):INDIRECT(ADDRESS(22,2,1,,J$2)),$A178)</f>
        <v>0</v>
      </c>
      <c r="K178" s="86">
        <f ca="1">COUNTIF(INDIRECT(ADDRESS(3,2,1,,K$2)):INDIRECT(ADDRESS(22,2,1,,K$2)),$A178)</f>
        <v>0</v>
      </c>
      <c r="L178" s="86">
        <f ca="1">COUNTIF(INDIRECT(ADDRESS(3,2,1,,L$2)):INDIRECT(ADDRESS(22,2,1,,L$2)),$A178)</f>
        <v>0</v>
      </c>
      <c r="M178" s="86">
        <f ca="1">COUNTIF(INDIRECT(ADDRESS(3,2,1,,M$2)):INDIRECT(ADDRESS(22,2,1,,M$2)),$A178)</f>
        <v>0</v>
      </c>
      <c r="N178" s="86">
        <f ca="1">COUNTIF(INDIRECT(ADDRESS(3,2,1,,N$2)):INDIRECT(ADDRESS(22,2,1,,N$2)),$A178)</f>
        <v>0</v>
      </c>
      <c r="O178" s="94">
        <f t="shared" ca="1" si="35"/>
        <v>0</v>
      </c>
    </row>
    <row r="179" spans="1:15" x14ac:dyDescent="0.25">
      <c r="A179" s="98" t="s">
        <v>299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4">
        <f t="shared" ca="1" si="35"/>
        <v>0</v>
      </c>
    </row>
    <row r="180" spans="1:15" x14ac:dyDescent="0.25">
      <c r="A180" s="98" t="s">
        <v>300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4">
        <f t="shared" ca="1" si="35"/>
        <v>0</v>
      </c>
    </row>
    <row r="181" spans="1:15" x14ac:dyDescent="0.25">
      <c r="A181" s="98" t="s">
        <v>301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4">
        <f t="shared" ca="1" si="35"/>
        <v>0</v>
      </c>
    </row>
    <row r="182" spans="1:15" x14ac:dyDescent="0.25">
      <c r="A182" s="98" t="s">
        <v>240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4">
        <f t="shared" ca="1" si="35"/>
        <v>0</v>
      </c>
    </row>
    <row r="185" spans="1:15" s="28" customFormat="1" ht="13.8" thickBot="1" x14ac:dyDescent="0.3">
      <c r="A185" s="97" t="s">
        <v>198</v>
      </c>
      <c r="B185" s="91">
        <f t="shared" ref="B185:N185" ca="1" si="36">SUM(B186:B198)</f>
        <v>0</v>
      </c>
      <c r="C185" s="91">
        <f t="shared" ca="1" si="36"/>
        <v>0</v>
      </c>
      <c r="D185" s="91">
        <f t="shared" ca="1" si="36"/>
        <v>0</v>
      </c>
      <c r="E185" s="91">
        <f t="shared" ca="1" si="36"/>
        <v>0</v>
      </c>
      <c r="F185" s="91">
        <f t="shared" ca="1" si="36"/>
        <v>0</v>
      </c>
      <c r="G185" s="91">
        <f t="shared" ca="1" si="36"/>
        <v>0</v>
      </c>
      <c r="H185" s="91">
        <f t="shared" ca="1" si="36"/>
        <v>0</v>
      </c>
      <c r="I185" s="91">
        <f t="shared" ca="1" si="36"/>
        <v>0</v>
      </c>
      <c r="J185" s="91">
        <f t="shared" ca="1" si="36"/>
        <v>0</v>
      </c>
      <c r="K185" s="91">
        <f t="shared" ca="1" si="36"/>
        <v>0</v>
      </c>
      <c r="L185" s="91">
        <f t="shared" ca="1" si="36"/>
        <v>0</v>
      </c>
      <c r="M185" s="91">
        <f t="shared" ca="1" si="36"/>
        <v>0</v>
      </c>
      <c r="N185" s="91">
        <f t="shared" ca="1" si="36"/>
        <v>0</v>
      </c>
      <c r="O185" s="93"/>
    </row>
    <row r="186" spans="1:15" x14ac:dyDescent="0.25">
      <c r="A186" s="98" t="s">
        <v>279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4">
        <f t="shared" ref="O186:O193" ca="1" si="37">SUM(B186:N186)</f>
        <v>0</v>
      </c>
    </row>
    <row r="187" spans="1:15" x14ac:dyDescent="0.25">
      <c r="A187" s="98" t="s">
        <v>280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4">
        <f t="shared" ca="1" si="37"/>
        <v>0</v>
      </c>
    </row>
    <row r="188" spans="1:15" x14ac:dyDescent="0.25">
      <c r="A188" s="98" t="s">
        <v>286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4">
        <f t="shared" ca="1" si="37"/>
        <v>0</v>
      </c>
    </row>
    <row r="189" spans="1:15" x14ac:dyDescent="0.25">
      <c r="A189" s="98" t="s">
        <v>283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4">
        <f t="shared" ca="1" si="37"/>
        <v>0</v>
      </c>
    </row>
    <row r="190" spans="1:15" x14ac:dyDescent="0.25">
      <c r="A190" s="98" t="s">
        <v>284</v>
      </c>
      <c r="B190" s="86">
        <f ca="1">COUNTIF(INDIRECT(ADDRESS(3,2,1,,B$2)):INDIRECT(ADDRESS(22,2,1,,B$2)),$A190)</f>
        <v>0</v>
      </c>
      <c r="C190" s="86">
        <f ca="1">COUNTIF(INDIRECT(ADDRESS(3,2,1,,C$2)):INDIRECT(ADDRESS(22,2,1,,C$2)),$A190)</f>
        <v>0</v>
      </c>
      <c r="D190" s="86">
        <f ca="1">COUNTIF(INDIRECT(ADDRESS(3,2,1,,D$2)):INDIRECT(ADDRESS(22,2,1,,D$2)),$A190)</f>
        <v>0</v>
      </c>
      <c r="E190" s="86">
        <f ca="1">COUNTIF(INDIRECT(ADDRESS(3,2,1,,E$2)):INDIRECT(ADDRESS(22,2,1,,E$2)),$A190)</f>
        <v>0</v>
      </c>
      <c r="F190" s="86">
        <f ca="1">COUNTIF(INDIRECT(ADDRESS(3,2,1,,F$2)):INDIRECT(ADDRESS(22,2,1,,F$2)),$A190)</f>
        <v>0</v>
      </c>
      <c r="G190" s="86">
        <f ca="1">COUNTIF(INDIRECT(ADDRESS(3,2,1,,G$2)):INDIRECT(ADDRESS(22,2,1,,G$2)),$A190)</f>
        <v>0</v>
      </c>
      <c r="H190" s="86">
        <f ca="1">COUNTIF(INDIRECT(ADDRESS(3,2,1,,H$2)):INDIRECT(ADDRESS(22,2,1,,H$2)),$A190)</f>
        <v>0</v>
      </c>
      <c r="I190" s="86">
        <f ca="1">COUNTIF(INDIRECT(ADDRESS(3,2,1,,I$2)):INDIRECT(ADDRESS(22,2,1,,I$2)),$A190)</f>
        <v>0</v>
      </c>
      <c r="J190" s="86">
        <f ca="1">COUNTIF(INDIRECT(ADDRESS(3,2,1,,J$2)):INDIRECT(ADDRESS(22,2,1,,J$2)),$A190)</f>
        <v>0</v>
      </c>
      <c r="K190" s="86">
        <f ca="1">COUNTIF(INDIRECT(ADDRESS(3,2,1,,K$2)):INDIRECT(ADDRESS(22,2,1,,K$2)),$A190)</f>
        <v>0</v>
      </c>
      <c r="L190" s="86">
        <f ca="1">COUNTIF(INDIRECT(ADDRESS(3,2,1,,L$2)):INDIRECT(ADDRESS(22,2,1,,L$2)),$A190)</f>
        <v>0</v>
      </c>
      <c r="M190" s="86">
        <f ca="1">COUNTIF(INDIRECT(ADDRESS(3,2,1,,M$2)):INDIRECT(ADDRESS(22,2,1,,M$2)),$A190)</f>
        <v>0</v>
      </c>
      <c r="N190" s="86">
        <f ca="1">COUNTIF(INDIRECT(ADDRESS(3,2,1,,N$2)):INDIRECT(ADDRESS(22,2,1,,N$2)),$A190)</f>
        <v>0</v>
      </c>
      <c r="O190" s="94">
        <f t="shared" ca="1" si="37"/>
        <v>0</v>
      </c>
    </row>
    <row r="191" spans="1:15" x14ac:dyDescent="0.25">
      <c r="A191" s="98" t="s">
        <v>281</v>
      </c>
      <c r="B191" s="86">
        <f ca="1">COUNTIF(INDIRECT(ADDRESS(3,2,1,,B$2)):INDIRECT(ADDRESS(22,2,1,,B$2)),$A191)</f>
        <v>0</v>
      </c>
      <c r="C191" s="86">
        <f ca="1">COUNTIF(INDIRECT(ADDRESS(3,2,1,,C$2)):INDIRECT(ADDRESS(22,2,1,,C$2)),$A191)</f>
        <v>0</v>
      </c>
      <c r="D191" s="86">
        <f ca="1">COUNTIF(INDIRECT(ADDRESS(3,2,1,,D$2)):INDIRECT(ADDRESS(22,2,1,,D$2)),$A191)</f>
        <v>0</v>
      </c>
      <c r="E191" s="86">
        <f ca="1">COUNTIF(INDIRECT(ADDRESS(3,2,1,,E$2)):INDIRECT(ADDRESS(22,2,1,,E$2)),$A191)</f>
        <v>0</v>
      </c>
      <c r="F191" s="86">
        <f ca="1">COUNTIF(INDIRECT(ADDRESS(3,2,1,,F$2)):INDIRECT(ADDRESS(22,2,1,,F$2)),$A191)</f>
        <v>0</v>
      </c>
      <c r="G191" s="86">
        <f ca="1">COUNTIF(INDIRECT(ADDRESS(3,2,1,,G$2)):INDIRECT(ADDRESS(22,2,1,,G$2)),$A191)</f>
        <v>0</v>
      </c>
      <c r="H191" s="86">
        <f ca="1">COUNTIF(INDIRECT(ADDRESS(3,2,1,,H$2)):INDIRECT(ADDRESS(22,2,1,,H$2)),$A191)</f>
        <v>0</v>
      </c>
      <c r="I191" s="86">
        <f ca="1">COUNTIF(INDIRECT(ADDRESS(3,2,1,,I$2)):INDIRECT(ADDRESS(22,2,1,,I$2)),$A191)</f>
        <v>0</v>
      </c>
      <c r="J191" s="86">
        <f ca="1">COUNTIF(INDIRECT(ADDRESS(3,2,1,,J$2)):INDIRECT(ADDRESS(22,2,1,,J$2)),$A191)</f>
        <v>0</v>
      </c>
      <c r="K191" s="86">
        <f ca="1">COUNTIF(INDIRECT(ADDRESS(3,2,1,,K$2)):INDIRECT(ADDRESS(22,2,1,,K$2)),$A191)</f>
        <v>0</v>
      </c>
      <c r="L191" s="86">
        <f ca="1">COUNTIF(INDIRECT(ADDRESS(3,2,1,,L$2)):INDIRECT(ADDRESS(22,2,1,,L$2)),$A191)</f>
        <v>0</v>
      </c>
      <c r="M191" s="86">
        <f ca="1">COUNTIF(INDIRECT(ADDRESS(3,2,1,,M$2)):INDIRECT(ADDRESS(22,2,1,,M$2)),$A191)</f>
        <v>0</v>
      </c>
      <c r="N191" s="86">
        <f ca="1">COUNTIF(INDIRECT(ADDRESS(3,2,1,,N$2)):INDIRECT(ADDRESS(22,2,1,,N$2)),$A191)</f>
        <v>0</v>
      </c>
      <c r="O191" s="94">
        <f t="shared" ca="1" si="37"/>
        <v>0</v>
      </c>
    </row>
    <row r="192" spans="1:15" x14ac:dyDescent="0.25">
      <c r="A192" s="98" t="s">
        <v>282</v>
      </c>
      <c r="B192" s="86">
        <f ca="1">COUNTIF(INDIRECT(ADDRESS(3,2,1,,B$2)):INDIRECT(ADDRESS(22,2,1,,B$2)),$A192)</f>
        <v>0</v>
      </c>
      <c r="C192" s="86">
        <f ca="1">COUNTIF(INDIRECT(ADDRESS(3,2,1,,C$2)):INDIRECT(ADDRESS(22,2,1,,C$2)),$A192)</f>
        <v>0</v>
      </c>
      <c r="D192" s="86">
        <f ca="1">COUNTIF(INDIRECT(ADDRESS(3,2,1,,D$2)):INDIRECT(ADDRESS(22,2,1,,D$2)),$A192)</f>
        <v>0</v>
      </c>
      <c r="E192" s="86">
        <f ca="1">COUNTIF(INDIRECT(ADDRESS(3,2,1,,E$2)):INDIRECT(ADDRESS(22,2,1,,E$2)),$A192)</f>
        <v>0</v>
      </c>
      <c r="F192" s="86">
        <f ca="1">COUNTIF(INDIRECT(ADDRESS(3,2,1,,F$2)):INDIRECT(ADDRESS(22,2,1,,F$2)),$A192)</f>
        <v>0</v>
      </c>
      <c r="G192" s="86">
        <f ca="1">COUNTIF(INDIRECT(ADDRESS(3,2,1,,G$2)):INDIRECT(ADDRESS(22,2,1,,G$2)),$A192)</f>
        <v>0</v>
      </c>
      <c r="H192" s="86">
        <f ca="1">COUNTIF(INDIRECT(ADDRESS(3,2,1,,H$2)):INDIRECT(ADDRESS(22,2,1,,H$2)),$A192)</f>
        <v>0</v>
      </c>
      <c r="I192" s="86">
        <f ca="1">COUNTIF(INDIRECT(ADDRESS(3,2,1,,I$2)):INDIRECT(ADDRESS(22,2,1,,I$2)),$A192)</f>
        <v>0</v>
      </c>
      <c r="J192" s="86">
        <f ca="1">COUNTIF(INDIRECT(ADDRESS(3,2,1,,J$2)):INDIRECT(ADDRESS(22,2,1,,J$2)),$A192)</f>
        <v>0</v>
      </c>
      <c r="K192" s="86">
        <f ca="1">COUNTIF(INDIRECT(ADDRESS(3,2,1,,K$2)):INDIRECT(ADDRESS(22,2,1,,K$2)),$A192)</f>
        <v>0</v>
      </c>
      <c r="L192" s="86">
        <f ca="1">COUNTIF(INDIRECT(ADDRESS(3,2,1,,L$2)):INDIRECT(ADDRESS(22,2,1,,L$2)),$A192)</f>
        <v>0</v>
      </c>
      <c r="M192" s="86">
        <f ca="1">COUNTIF(INDIRECT(ADDRESS(3,2,1,,M$2)):INDIRECT(ADDRESS(22,2,1,,M$2)),$A192)</f>
        <v>0</v>
      </c>
      <c r="N192" s="86">
        <f ca="1">COUNTIF(INDIRECT(ADDRESS(3,2,1,,N$2)):INDIRECT(ADDRESS(22,2,1,,N$2)),$A192)</f>
        <v>0</v>
      </c>
      <c r="O192" s="94">
        <f t="shared" ca="1" si="37"/>
        <v>0</v>
      </c>
    </row>
    <row r="193" spans="1:15" x14ac:dyDescent="0.25">
      <c r="A193" s="98" t="s">
        <v>285</v>
      </c>
      <c r="B193" s="86">
        <f ca="1">COUNTIF(INDIRECT(ADDRESS(3,2,1,,B$2)):INDIRECT(ADDRESS(22,2,1,,B$2)),$A193)</f>
        <v>0</v>
      </c>
      <c r="C193" s="86">
        <f ca="1">COUNTIF(INDIRECT(ADDRESS(3,2,1,,C$2)):INDIRECT(ADDRESS(22,2,1,,C$2)),$A193)</f>
        <v>0</v>
      </c>
      <c r="D193" s="86">
        <f ca="1">COUNTIF(INDIRECT(ADDRESS(3,2,1,,D$2)):INDIRECT(ADDRESS(22,2,1,,D$2)),$A193)</f>
        <v>0</v>
      </c>
      <c r="E193" s="86">
        <f ca="1">COUNTIF(INDIRECT(ADDRESS(3,2,1,,E$2)):INDIRECT(ADDRESS(22,2,1,,E$2)),$A193)</f>
        <v>0</v>
      </c>
      <c r="F193" s="86">
        <f ca="1">COUNTIF(INDIRECT(ADDRESS(3,2,1,,F$2)):INDIRECT(ADDRESS(22,2,1,,F$2)),$A193)</f>
        <v>0</v>
      </c>
      <c r="G193" s="86">
        <f ca="1">COUNTIF(INDIRECT(ADDRESS(3,2,1,,G$2)):INDIRECT(ADDRESS(22,2,1,,G$2)),$A193)</f>
        <v>0</v>
      </c>
      <c r="H193" s="86">
        <f ca="1">COUNTIF(INDIRECT(ADDRESS(3,2,1,,H$2)):INDIRECT(ADDRESS(22,2,1,,H$2)),$A193)</f>
        <v>0</v>
      </c>
      <c r="I193" s="86">
        <f ca="1">COUNTIF(INDIRECT(ADDRESS(3,2,1,,I$2)):INDIRECT(ADDRESS(22,2,1,,I$2)),$A193)</f>
        <v>0</v>
      </c>
      <c r="J193" s="86">
        <f ca="1">COUNTIF(INDIRECT(ADDRESS(3,2,1,,J$2)):INDIRECT(ADDRESS(22,2,1,,J$2)),$A193)</f>
        <v>0</v>
      </c>
      <c r="K193" s="86">
        <f ca="1">COUNTIF(INDIRECT(ADDRESS(3,2,1,,K$2)):INDIRECT(ADDRESS(22,2,1,,K$2)),$A193)</f>
        <v>0</v>
      </c>
      <c r="L193" s="86">
        <f ca="1">COUNTIF(INDIRECT(ADDRESS(3,2,1,,L$2)):INDIRECT(ADDRESS(22,2,1,,L$2)),$A193)</f>
        <v>0</v>
      </c>
      <c r="M193" s="86">
        <f ca="1">COUNTIF(INDIRECT(ADDRESS(3,2,1,,M$2)):INDIRECT(ADDRESS(22,2,1,,M$2)),$A193)</f>
        <v>0</v>
      </c>
      <c r="N193" s="86">
        <f ca="1">COUNTIF(INDIRECT(ADDRESS(3,2,1,,N$2)):INDIRECT(ADDRESS(22,2,1,,N$2)),$A193)</f>
        <v>0</v>
      </c>
      <c r="O193" s="94">
        <f t="shared" ca="1" si="37"/>
        <v>0</v>
      </c>
    </row>
  </sheetData>
  <sortState ref="A186:O193">
    <sortCondition descending="1" ref="O186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45720</xdr:rowOff>
                  </from>
                  <to>
                    <xdr:col>0</xdr:col>
                    <xdr:colOff>861060</xdr:colOff>
                    <xdr:row>1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2:W193"/>
  <sheetViews>
    <sheetView workbookViewId="0">
      <selection activeCell="A3" sqref="A3"/>
    </sheetView>
  </sheetViews>
  <sheetFormatPr defaultRowHeight="13.2" x14ac:dyDescent="0.25"/>
  <cols>
    <col min="1" max="1" width="16.33203125" customWidth="1"/>
    <col min="2" max="14" width="6.5546875" bestFit="1" customWidth="1"/>
    <col min="15" max="15" width="11.33203125" style="92" customWidth="1"/>
    <col min="16" max="23" width="3.33203125" customWidth="1"/>
  </cols>
  <sheetData>
    <row r="2" spans="1:23" ht="27" thickBot="1" x14ac:dyDescent="0.3">
      <c r="A2" s="101"/>
      <c r="B2" s="102" t="s">
        <v>16</v>
      </c>
      <c r="C2" s="102" t="s">
        <v>17</v>
      </c>
      <c r="D2" s="102" t="s">
        <v>18</v>
      </c>
      <c r="E2" s="102" t="s">
        <v>19</v>
      </c>
      <c r="F2" s="102" t="s">
        <v>20</v>
      </c>
      <c r="G2" s="102" t="s">
        <v>21</v>
      </c>
      <c r="H2" s="102" t="s">
        <v>22</v>
      </c>
      <c r="I2" s="102" t="s">
        <v>23</v>
      </c>
      <c r="J2" s="102" t="s">
        <v>24</v>
      </c>
      <c r="K2" s="102" t="s">
        <v>25</v>
      </c>
      <c r="L2" s="102" t="s">
        <v>26</v>
      </c>
      <c r="M2" s="102" t="s">
        <v>27</v>
      </c>
      <c r="N2" s="102" t="s">
        <v>28</v>
      </c>
      <c r="O2" s="103" t="s">
        <v>287</v>
      </c>
    </row>
    <row r="3" spans="1:23" x14ac:dyDescent="0.25">
      <c r="A3" s="105" t="str">
        <f t="shared" ref="A3:N3" si="0">A$65</f>
        <v>Big Ten</v>
      </c>
      <c r="B3" s="106">
        <f t="shared" ca="1" si="0"/>
        <v>0</v>
      </c>
      <c r="C3" s="106">
        <f t="shared" ca="1" si="0"/>
        <v>1</v>
      </c>
      <c r="D3" s="106">
        <f t="shared" ca="1" si="0"/>
        <v>0</v>
      </c>
      <c r="E3" s="106">
        <f t="shared" ca="1" si="0"/>
        <v>0</v>
      </c>
      <c r="F3" s="106">
        <f t="shared" ca="1" si="0"/>
        <v>2</v>
      </c>
      <c r="G3" s="106">
        <f t="shared" ca="1" si="0"/>
        <v>0</v>
      </c>
      <c r="H3" s="106">
        <f t="shared" ca="1" si="0"/>
        <v>2</v>
      </c>
      <c r="I3" s="106">
        <f t="shared" ca="1" si="0"/>
        <v>0</v>
      </c>
      <c r="J3" s="106">
        <f t="shared" ca="1" si="0"/>
        <v>0</v>
      </c>
      <c r="K3" s="106">
        <f t="shared" ca="1" si="0"/>
        <v>0</v>
      </c>
      <c r="L3" s="106">
        <f t="shared" ca="1" si="0"/>
        <v>0</v>
      </c>
      <c r="M3" s="106">
        <f t="shared" ca="1" si="0"/>
        <v>2</v>
      </c>
      <c r="N3" s="106">
        <f t="shared" ca="1" si="0"/>
        <v>0</v>
      </c>
      <c r="O3" s="94">
        <f t="shared" ref="O3:O14" ca="1" si="1">SUM(B3:N3)</f>
        <v>7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5" t="str">
        <f t="shared" ref="A4:N4" si="2">A$34</f>
        <v>Big 12</v>
      </c>
      <c r="B4" s="106">
        <f t="shared" ca="1" si="2"/>
        <v>0</v>
      </c>
      <c r="C4" s="106">
        <f t="shared" ca="1" si="2"/>
        <v>0</v>
      </c>
      <c r="D4" s="106">
        <f t="shared" ca="1" si="2"/>
        <v>1</v>
      </c>
      <c r="E4" s="106">
        <f t="shared" ca="1" si="2"/>
        <v>2</v>
      </c>
      <c r="F4" s="106">
        <f t="shared" ca="1" si="2"/>
        <v>0</v>
      </c>
      <c r="G4" s="106">
        <f t="shared" ca="1" si="2"/>
        <v>2</v>
      </c>
      <c r="H4" s="106">
        <f t="shared" ca="1" si="2"/>
        <v>0</v>
      </c>
      <c r="I4" s="106">
        <f t="shared" ca="1" si="2"/>
        <v>0</v>
      </c>
      <c r="J4" s="106">
        <f t="shared" ca="1" si="2"/>
        <v>0</v>
      </c>
      <c r="K4" s="106">
        <f t="shared" ca="1" si="2"/>
        <v>0</v>
      </c>
      <c r="L4" s="106">
        <f t="shared" ca="1" si="2"/>
        <v>0</v>
      </c>
      <c r="M4" s="106">
        <f t="shared" ca="1" si="2"/>
        <v>0</v>
      </c>
      <c r="N4" s="106">
        <f t="shared" ca="1" si="2"/>
        <v>0</v>
      </c>
      <c r="O4" s="94">
        <f t="shared" ca="1" si="1"/>
        <v>5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105" t="str">
        <f t="shared" ref="A5:N5" si="3">A$155</f>
        <v>Southeastern</v>
      </c>
      <c r="B5" s="106">
        <f t="shared" ca="1" si="3"/>
        <v>1</v>
      </c>
      <c r="C5" s="106">
        <f t="shared" ca="1" si="3"/>
        <v>1</v>
      </c>
      <c r="D5" s="106">
        <f t="shared" ca="1" si="3"/>
        <v>0</v>
      </c>
      <c r="E5" s="106">
        <f t="shared" ca="1" si="3"/>
        <v>0</v>
      </c>
      <c r="F5" s="106">
        <f t="shared" ca="1" si="3"/>
        <v>0</v>
      </c>
      <c r="G5" s="106">
        <f t="shared" ca="1" si="3"/>
        <v>0</v>
      </c>
      <c r="H5" s="106">
        <f t="shared" ca="1" si="3"/>
        <v>0</v>
      </c>
      <c r="I5" s="106">
        <f t="shared" ca="1" si="3"/>
        <v>0</v>
      </c>
      <c r="J5" s="106">
        <f t="shared" ca="1" si="3"/>
        <v>0</v>
      </c>
      <c r="K5" s="106">
        <f t="shared" ca="1" si="3"/>
        <v>2</v>
      </c>
      <c r="L5" s="106">
        <f t="shared" ca="1" si="3"/>
        <v>0</v>
      </c>
      <c r="M5" s="106">
        <f t="shared" ca="1" si="3"/>
        <v>0</v>
      </c>
      <c r="N5" s="106">
        <f t="shared" ca="1" si="3"/>
        <v>1</v>
      </c>
      <c r="O5" s="94">
        <f t="shared" ca="1" si="1"/>
        <v>5</v>
      </c>
    </row>
    <row r="6" spans="1:23" x14ac:dyDescent="0.25">
      <c r="A6" s="105" t="str">
        <f t="shared" ref="A6:N6" si="4">A$19</f>
        <v>Atlantic Coast</v>
      </c>
      <c r="B6" s="106">
        <f t="shared" ca="1" si="4"/>
        <v>0</v>
      </c>
      <c r="C6" s="106">
        <f t="shared" ca="1" si="4"/>
        <v>0</v>
      </c>
      <c r="D6" s="106">
        <f t="shared" ca="1" si="4"/>
        <v>1</v>
      </c>
      <c r="E6" s="106">
        <f t="shared" ca="1" si="4"/>
        <v>0</v>
      </c>
      <c r="F6" s="106">
        <f t="shared" ca="1" si="4"/>
        <v>0</v>
      </c>
      <c r="G6" s="106">
        <f t="shared" ca="1" si="4"/>
        <v>0</v>
      </c>
      <c r="H6" s="106">
        <f t="shared" ca="1" si="4"/>
        <v>0</v>
      </c>
      <c r="I6" s="106">
        <f t="shared" ca="1" si="4"/>
        <v>2</v>
      </c>
      <c r="J6" s="106">
        <f t="shared" ca="1" si="4"/>
        <v>0</v>
      </c>
      <c r="K6" s="106">
        <f t="shared" ca="1" si="4"/>
        <v>0</v>
      </c>
      <c r="L6" s="106">
        <f t="shared" ca="1" si="4"/>
        <v>0</v>
      </c>
      <c r="M6" s="106">
        <f t="shared" ca="1" si="4"/>
        <v>0</v>
      </c>
      <c r="N6" s="106">
        <f t="shared" ca="1" si="4"/>
        <v>1</v>
      </c>
      <c r="O6" s="94">
        <f t="shared" ca="1" si="1"/>
        <v>4</v>
      </c>
    </row>
    <row r="7" spans="1:23" x14ac:dyDescent="0.25">
      <c r="A7" s="105" t="str">
        <f t="shared" ref="A7:N7" si="5">A$140</f>
        <v>Pacific 12</v>
      </c>
      <c r="B7" s="106">
        <f t="shared" ca="1" si="5"/>
        <v>1</v>
      </c>
      <c r="C7" s="106">
        <f t="shared" ca="1" si="5"/>
        <v>0</v>
      </c>
      <c r="D7" s="106">
        <f t="shared" ca="1" si="5"/>
        <v>0</v>
      </c>
      <c r="E7" s="106">
        <f t="shared" ca="1" si="5"/>
        <v>0</v>
      </c>
      <c r="F7" s="106">
        <f t="shared" ca="1" si="5"/>
        <v>0</v>
      </c>
      <c r="G7" s="106">
        <f t="shared" ca="1" si="5"/>
        <v>0</v>
      </c>
      <c r="H7" s="106">
        <f t="shared" ca="1" si="5"/>
        <v>0</v>
      </c>
      <c r="I7" s="106">
        <f t="shared" ca="1" si="5"/>
        <v>0</v>
      </c>
      <c r="J7" s="106">
        <f t="shared" ca="1" si="5"/>
        <v>2</v>
      </c>
      <c r="K7" s="106">
        <f t="shared" ca="1" si="5"/>
        <v>0</v>
      </c>
      <c r="L7" s="106">
        <f t="shared" ca="1" si="5"/>
        <v>2</v>
      </c>
      <c r="M7" s="106">
        <f t="shared" ca="1" si="5"/>
        <v>0</v>
      </c>
      <c r="N7" s="106">
        <f t="shared" ca="1" si="5"/>
        <v>0</v>
      </c>
      <c r="O7" s="94">
        <f t="shared" ca="1" si="1"/>
        <v>5</v>
      </c>
    </row>
    <row r="8" spans="1:23" x14ac:dyDescent="0.25">
      <c r="A8" s="105" t="str">
        <f t="shared" ref="A8:N8" si="6">A$50</f>
        <v>Big East</v>
      </c>
      <c r="B8" s="106">
        <f t="shared" ca="1" si="6"/>
        <v>0</v>
      </c>
      <c r="C8" s="106">
        <f t="shared" ca="1" si="6"/>
        <v>0</v>
      </c>
      <c r="D8" s="106">
        <f t="shared" ca="1" si="6"/>
        <v>0</v>
      </c>
      <c r="E8" s="106">
        <f t="shared" ca="1" si="6"/>
        <v>0</v>
      </c>
      <c r="F8" s="106">
        <f t="shared" ca="1" si="6"/>
        <v>0</v>
      </c>
      <c r="G8" s="106">
        <f t="shared" ca="1" si="6"/>
        <v>0</v>
      </c>
      <c r="H8" s="106">
        <f t="shared" ca="1" si="6"/>
        <v>0</v>
      </c>
      <c r="I8" s="106">
        <f t="shared" ca="1" si="6"/>
        <v>0</v>
      </c>
      <c r="J8" s="106">
        <f t="shared" ca="1" si="6"/>
        <v>0</v>
      </c>
      <c r="K8" s="106">
        <f t="shared" ca="1" si="6"/>
        <v>0</v>
      </c>
      <c r="L8" s="106">
        <f t="shared" ca="1" si="6"/>
        <v>0</v>
      </c>
      <c r="M8" s="106">
        <f t="shared" ca="1" si="6"/>
        <v>0</v>
      </c>
      <c r="N8" s="106">
        <f t="shared" ca="1" si="6"/>
        <v>0</v>
      </c>
      <c r="O8" s="94">
        <f t="shared" ca="1" si="1"/>
        <v>0</v>
      </c>
    </row>
    <row r="9" spans="1:23" x14ac:dyDescent="0.25">
      <c r="A9" s="105" t="str">
        <f t="shared" ref="A9:N9" si="7">A$95</f>
        <v>Independents</v>
      </c>
      <c r="B9" s="106">
        <f t="shared" ca="1" si="7"/>
        <v>0</v>
      </c>
      <c r="C9" s="106">
        <f t="shared" ca="1" si="7"/>
        <v>0</v>
      </c>
      <c r="D9" s="106">
        <f t="shared" ca="1" si="7"/>
        <v>0</v>
      </c>
      <c r="E9" s="106">
        <f t="shared" ca="1" si="7"/>
        <v>0</v>
      </c>
      <c r="F9" s="106">
        <f t="shared" ca="1" si="7"/>
        <v>0</v>
      </c>
      <c r="G9" s="106">
        <f t="shared" ca="1" si="7"/>
        <v>0</v>
      </c>
      <c r="H9" s="106">
        <f t="shared" ca="1" si="7"/>
        <v>0</v>
      </c>
      <c r="I9" s="106">
        <f t="shared" ca="1" si="7"/>
        <v>0</v>
      </c>
      <c r="J9" s="106">
        <f t="shared" ca="1" si="7"/>
        <v>0</v>
      </c>
      <c r="K9" s="106">
        <f t="shared" ca="1" si="7"/>
        <v>0</v>
      </c>
      <c r="L9" s="106">
        <f t="shared" ca="1" si="7"/>
        <v>0</v>
      </c>
      <c r="M9" s="106">
        <f t="shared" ca="1" si="7"/>
        <v>0</v>
      </c>
      <c r="N9" s="106">
        <f t="shared" ca="1" si="7"/>
        <v>0</v>
      </c>
      <c r="O9" s="94">
        <f t="shared" ca="1" si="1"/>
        <v>0</v>
      </c>
    </row>
    <row r="10" spans="1:23" x14ac:dyDescent="0.25">
      <c r="A10" s="105" t="str">
        <f t="shared" ref="A10:N10" si="8">A$125</f>
        <v>Mountain West</v>
      </c>
      <c r="B10" s="106">
        <f t="shared" ca="1" si="8"/>
        <v>0</v>
      </c>
      <c r="C10" s="106">
        <f t="shared" ca="1" si="8"/>
        <v>0</v>
      </c>
      <c r="D10" s="106">
        <f t="shared" ca="1" si="8"/>
        <v>0</v>
      </c>
      <c r="E10" s="106">
        <f t="shared" ca="1" si="8"/>
        <v>0</v>
      </c>
      <c r="F10" s="106">
        <f t="shared" ca="1" si="8"/>
        <v>0</v>
      </c>
      <c r="G10" s="106">
        <f t="shared" ca="1" si="8"/>
        <v>0</v>
      </c>
      <c r="H10" s="106">
        <f t="shared" ca="1" si="8"/>
        <v>0</v>
      </c>
      <c r="I10" s="106">
        <f t="shared" ca="1" si="8"/>
        <v>0</v>
      </c>
      <c r="J10" s="106">
        <f t="shared" ca="1" si="8"/>
        <v>0</v>
      </c>
      <c r="K10" s="106">
        <f t="shared" ca="1" si="8"/>
        <v>0</v>
      </c>
      <c r="L10" s="106">
        <f t="shared" ca="1" si="8"/>
        <v>0</v>
      </c>
      <c r="M10" s="106">
        <f t="shared" ca="1" si="8"/>
        <v>0</v>
      </c>
      <c r="N10" s="106">
        <f t="shared" ca="1" si="8"/>
        <v>0</v>
      </c>
      <c r="O10" s="94">
        <f t="shared" ca="1" si="1"/>
        <v>0</v>
      </c>
    </row>
    <row r="11" spans="1:23" x14ac:dyDescent="0.25">
      <c r="A11" s="105" t="str">
        <f t="shared" ref="A11:N11" si="9">A$80</f>
        <v>Conference USA</v>
      </c>
      <c r="B11" s="106">
        <f t="shared" ca="1" si="9"/>
        <v>0</v>
      </c>
      <c r="C11" s="106">
        <f t="shared" ca="1" si="9"/>
        <v>0</v>
      </c>
      <c r="D11" s="106">
        <f t="shared" ca="1" si="9"/>
        <v>0</v>
      </c>
      <c r="E11" s="106">
        <f t="shared" ca="1" si="9"/>
        <v>0</v>
      </c>
      <c r="F11" s="106">
        <f t="shared" ca="1" si="9"/>
        <v>0</v>
      </c>
      <c r="G11" s="106">
        <f t="shared" ca="1" si="9"/>
        <v>0</v>
      </c>
      <c r="H11" s="106">
        <f t="shared" ca="1" si="9"/>
        <v>0</v>
      </c>
      <c r="I11" s="106">
        <f t="shared" ca="1" si="9"/>
        <v>0</v>
      </c>
      <c r="J11" s="106">
        <f t="shared" ca="1" si="9"/>
        <v>0</v>
      </c>
      <c r="K11" s="106">
        <f t="shared" ca="1" si="9"/>
        <v>0</v>
      </c>
      <c r="L11" s="106">
        <f t="shared" ca="1" si="9"/>
        <v>0</v>
      </c>
      <c r="M11" s="106">
        <f t="shared" ca="1" si="9"/>
        <v>0</v>
      </c>
      <c r="N11" s="106">
        <f t="shared" ca="1" si="9"/>
        <v>0</v>
      </c>
      <c r="O11" s="94">
        <f t="shared" ca="1" si="1"/>
        <v>0</v>
      </c>
    </row>
    <row r="12" spans="1:23" x14ac:dyDescent="0.25">
      <c r="A12" s="105" t="str">
        <f t="shared" ref="A12:N12" si="10">A$170</f>
        <v>Sun Belt</v>
      </c>
      <c r="B12" s="106">
        <f t="shared" ca="1" si="10"/>
        <v>0</v>
      </c>
      <c r="C12" s="106">
        <f t="shared" ca="1" si="10"/>
        <v>0</v>
      </c>
      <c r="D12" s="106">
        <f t="shared" ca="1" si="10"/>
        <v>0</v>
      </c>
      <c r="E12" s="106">
        <f t="shared" ca="1" si="10"/>
        <v>0</v>
      </c>
      <c r="F12" s="106">
        <f t="shared" ca="1" si="10"/>
        <v>0</v>
      </c>
      <c r="G12" s="106">
        <f t="shared" ca="1" si="10"/>
        <v>0</v>
      </c>
      <c r="H12" s="106">
        <f t="shared" ca="1" si="10"/>
        <v>0</v>
      </c>
      <c r="I12" s="106">
        <f t="shared" ca="1" si="10"/>
        <v>0</v>
      </c>
      <c r="J12" s="106">
        <f t="shared" ca="1" si="10"/>
        <v>0</v>
      </c>
      <c r="K12" s="106">
        <f t="shared" ca="1" si="10"/>
        <v>0</v>
      </c>
      <c r="L12" s="106">
        <f t="shared" ca="1" si="10"/>
        <v>0</v>
      </c>
      <c r="M12" s="106">
        <f t="shared" ca="1" si="10"/>
        <v>0</v>
      </c>
      <c r="N12" s="106">
        <f t="shared" ca="1" si="10"/>
        <v>0</v>
      </c>
      <c r="O12" s="94">
        <f t="shared" ca="1" si="1"/>
        <v>0</v>
      </c>
    </row>
    <row r="13" spans="1:23" x14ac:dyDescent="0.25">
      <c r="A13" s="105" t="str">
        <f t="shared" ref="A13:N13" si="11">A$185</f>
        <v>Western Athletic</v>
      </c>
      <c r="B13" s="106">
        <f t="shared" ca="1" si="11"/>
        <v>0</v>
      </c>
      <c r="C13" s="106">
        <f t="shared" ca="1" si="11"/>
        <v>0</v>
      </c>
      <c r="D13" s="106">
        <f t="shared" ca="1" si="11"/>
        <v>0</v>
      </c>
      <c r="E13" s="106">
        <f t="shared" ca="1" si="11"/>
        <v>0</v>
      </c>
      <c r="F13" s="106">
        <f t="shared" ca="1" si="11"/>
        <v>0</v>
      </c>
      <c r="G13" s="106">
        <f t="shared" ca="1" si="11"/>
        <v>0</v>
      </c>
      <c r="H13" s="106">
        <f t="shared" ca="1" si="11"/>
        <v>0</v>
      </c>
      <c r="I13" s="106">
        <f t="shared" ca="1" si="11"/>
        <v>0</v>
      </c>
      <c r="J13" s="106">
        <f t="shared" ca="1" si="11"/>
        <v>0</v>
      </c>
      <c r="K13" s="106">
        <f t="shared" ca="1" si="11"/>
        <v>0</v>
      </c>
      <c r="L13" s="106">
        <f t="shared" ca="1" si="11"/>
        <v>0</v>
      </c>
      <c r="M13" s="106">
        <f t="shared" ca="1" si="11"/>
        <v>0</v>
      </c>
      <c r="N13" s="106">
        <f t="shared" ca="1" si="11"/>
        <v>0</v>
      </c>
      <c r="O13" s="94">
        <f t="shared" ca="1" si="1"/>
        <v>0</v>
      </c>
    </row>
    <row r="14" spans="1:23" x14ac:dyDescent="0.25">
      <c r="A14" s="105" t="str">
        <f t="shared" ref="A14:N14" si="12">A$110</f>
        <v>Mid American</v>
      </c>
      <c r="B14" s="106">
        <f t="shared" ca="1" si="12"/>
        <v>0</v>
      </c>
      <c r="C14" s="106">
        <f t="shared" ca="1" si="12"/>
        <v>0</v>
      </c>
      <c r="D14" s="106">
        <f t="shared" ca="1" si="12"/>
        <v>0</v>
      </c>
      <c r="E14" s="106">
        <f t="shared" ca="1" si="12"/>
        <v>0</v>
      </c>
      <c r="F14" s="106">
        <f t="shared" ca="1" si="12"/>
        <v>0</v>
      </c>
      <c r="G14" s="106">
        <f t="shared" ca="1" si="12"/>
        <v>0</v>
      </c>
      <c r="H14" s="106">
        <f t="shared" ca="1" si="12"/>
        <v>0</v>
      </c>
      <c r="I14" s="106">
        <f t="shared" ca="1" si="12"/>
        <v>0</v>
      </c>
      <c r="J14" s="106">
        <f t="shared" ca="1" si="12"/>
        <v>0</v>
      </c>
      <c r="K14" s="106">
        <f t="shared" ca="1" si="12"/>
        <v>0</v>
      </c>
      <c r="L14" s="106">
        <f t="shared" ca="1" si="12"/>
        <v>0</v>
      </c>
      <c r="M14" s="106">
        <f t="shared" ca="1" si="12"/>
        <v>0</v>
      </c>
      <c r="N14" s="106">
        <f t="shared" ca="1" si="12"/>
        <v>0</v>
      </c>
      <c r="O14" s="94">
        <f t="shared" ca="1" si="1"/>
        <v>0</v>
      </c>
    </row>
    <row r="15" spans="1:23" ht="13.8" thickBot="1" x14ac:dyDescent="0.3">
      <c r="A15" s="107"/>
      <c r="B15" s="108">
        <f ca="1">SUM(B3:B14)</f>
        <v>2</v>
      </c>
      <c r="C15" s="108">
        <f t="shared" ref="C15:N15" ca="1" si="13">SUM(C3:C14)</f>
        <v>2</v>
      </c>
      <c r="D15" s="108">
        <f t="shared" ca="1" si="13"/>
        <v>2</v>
      </c>
      <c r="E15" s="108">
        <f t="shared" ca="1" si="13"/>
        <v>2</v>
      </c>
      <c r="F15" s="108">
        <f t="shared" ca="1" si="13"/>
        <v>2</v>
      </c>
      <c r="G15" s="108">
        <f t="shared" ca="1" si="13"/>
        <v>2</v>
      </c>
      <c r="H15" s="108">
        <f t="shared" ca="1" si="13"/>
        <v>2</v>
      </c>
      <c r="I15" s="108">
        <f t="shared" ca="1" si="13"/>
        <v>2</v>
      </c>
      <c r="J15" s="108">
        <f t="shared" ca="1" si="13"/>
        <v>2</v>
      </c>
      <c r="K15" s="108">
        <f t="shared" ca="1" si="13"/>
        <v>2</v>
      </c>
      <c r="L15" s="108">
        <f t="shared" ca="1" si="13"/>
        <v>2</v>
      </c>
      <c r="M15" s="108">
        <f t="shared" ca="1" si="13"/>
        <v>2</v>
      </c>
      <c r="N15" s="108">
        <f t="shared" ca="1" si="13"/>
        <v>2</v>
      </c>
      <c r="O15" s="95">
        <f t="shared" ref="O15" ca="1" si="14">SUM(B15:N15)</f>
        <v>26</v>
      </c>
    </row>
    <row r="19" spans="1:15" s="28" customFormat="1" ht="13.8" thickBot="1" x14ac:dyDescent="0.3">
      <c r="A19" s="104" t="s">
        <v>199</v>
      </c>
      <c r="B19" s="102">
        <f ca="1">SUM(B20:B32)</f>
        <v>0</v>
      </c>
      <c r="C19" s="102">
        <f t="shared" ref="C19:N19" ca="1" si="15">SUM(C20:C32)</f>
        <v>0</v>
      </c>
      <c r="D19" s="102">
        <f t="shared" ca="1" si="15"/>
        <v>1</v>
      </c>
      <c r="E19" s="102">
        <f t="shared" ca="1" si="15"/>
        <v>0</v>
      </c>
      <c r="F19" s="102">
        <f t="shared" ca="1" si="15"/>
        <v>0</v>
      </c>
      <c r="G19" s="102">
        <f t="shared" ca="1" si="15"/>
        <v>0</v>
      </c>
      <c r="H19" s="102">
        <f t="shared" ca="1" si="15"/>
        <v>0</v>
      </c>
      <c r="I19" s="102">
        <f t="shared" ca="1" si="15"/>
        <v>2</v>
      </c>
      <c r="J19" s="102">
        <f t="shared" ca="1" si="15"/>
        <v>0</v>
      </c>
      <c r="K19" s="102">
        <f t="shared" ca="1" si="15"/>
        <v>0</v>
      </c>
      <c r="L19" s="102">
        <f t="shared" ca="1" si="15"/>
        <v>0</v>
      </c>
      <c r="M19" s="102">
        <f t="shared" ca="1" si="15"/>
        <v>0</v>
      </c>
      <c r="N19" s="102">
        <f t="shared" ca="1" si="15"/>
        <v>1</v>
      </c>
      <c r="O19" s="103"/>
    </row>
    <row r="20" spans="1:15" x14ac:dyDescent="0.25">
      <c r="A20" s="109" t="s">
        <v>175</v>
      </c>
      <c r="B20" s="106">
        <f ca="1">COUNTIF(INDIRECT(ADDRESS(21,2,1,,B$2)):INDIRECT(ADDRESS(22,2,1,,B$2)),$A20)</f>
        <v>0</v>
      </c>
      <c r="C20" s="106">
        <f ca="1">COUNTIF(INDIRECT(ADDRESS(21,2,1,,C$2)):INDIRECT(ADDRESS(22,2,1,,C$2)),$A20)</f>
        <v>0</v>
      </c>
      <c r="D20" s="106">
        <f ca="1">COUNTIF(INDIRECT(ADDRESS(21,2,1,,D$2)):INDIRECT(ADDRESS(22,2,1,,D$2)),$A20)</f>
        <v>0</v>
      </c>
      <c r="E20" s="106">
        <f ca="1">COUNTIF(INDIRECT(ADDRESS(21,2,1,,E$2)):INDIRECT(ADDRESS(22,2,1,,E$2)),$A20)</f>
        <v>0</v>
      </c>
      <c r="F20" s="106">
        <f ca="1">COUNTIF(INDIRECT(ADDRESS(21,2,1,,F$2)):INDIRECT(ADDRESS(22,2,1,,F$2)),$A20)</f>
        <v>0</v>
      </c>
      <c r="G20" s="106">
        <f ca="1">COUNTIF(INDIRECT(ADDRESS(21,2,1,,G$2)):INDIRECT(ADDRESS(22,2,1,,G$2)),$A20)</f>
        <v>0</v>
      </c>
      <c r="H20" s="106">
        <f ca="1">COUNTIF(INDIRECT(ADDRESS(21,2,1,,H$2)):INDIRECT(ADDRESS(22,2,1,,H$2)),$A20)</f>
        <v>0</v>
      </c>
      <c r="I20" s="106">
        <f ca="1">COUNTIF(INDIRECT(ADDRESS(21,2,1,,I$2)):INDIRECT(ADDRESS(22,2,1,,I$2)),$A20)</f>
        <v>1</v>
      </c>
      <c r="J20" s="106">
        <f ca="1">COUNTIF(INDIRECT(ADDRESS(21,2,1,,J$2)):INDIRECT(ADDRESS(22,2,1,,J$2)),$A20)</f>
        <v>0</v>
      </c>
      <c r="K20" s="106">
        <f ca="1">COUNTIF(INDIRECT(ADDRESS(21,2,1,,K$2)):INDIRECT(ADDRESS(22,2,1,,K$2)),$A20)</f>
        <v>0</v>
      </c>
      <c r="L20" s="106">
        <f ca="1">COUNTIF(INDIRECT(ADDRESS(21,2,1,,L$2)):INDIRECT(ADDRESS(22,2,1,,L$2)),$A20)</f>
        <v>0</v>
      </c>
      <c r="M20" s="106">
        <f ca="1">COUNTIF(INDIRECT(ADDRESS(21,2,1,,M$2)):INDIRECT(ADDRESS(22,2,1,,M$2)),$A20)</f>
        <v>0</v>
      </c>
      <c r="N20" s="106">
        <f ca="1">COUNTIF(INDIRECT(ADDRESS(21,2,1,,N$2)):INDIRECT(ADDRESS(22,2,1,,N$2)),$A20)</f>
        <v>1</v>
      </c>
      <c r="O20" s="94">
        <f t="shared" ref="O20:O31" ca="1" si="16">SUM(B20:N20)</f>
        <v>2</v>
      </c>
    </row>
    <row r="21" spans="1:15" x14ac:dyDescent="0.25">
      <c r="A21" s="109" t="s">
        <v>184</v>
      </c>
      <c r="B21" s="106">
        <f ca="1">COUNTIF(INDIRECT(ADDRESS(21,2,1,,B$2)):INDIRECT(ADDRESS(22,2,1,,B$2)),$A21)</f>
        <v>0</v>
      </c>
      <c r="C21" s="106">
        <f ca="1">COUNTIF(INDIRECT(ADDRESS(21,2,1,,C$2)):INDIRECT(ADDRESS(22,2,1,,C$2)),$A21)</f>
        <v>0</v>
      </c>
      <c r="D21" s="106">
        <f ca="1">COUNTIF(INDIRECT(ADDRESS(21,2,1,,D$2)):INDIRECT(ADDRESS(22,2,1,,D$2)),$A21)</f>
        <v>0</v>
      </c>
      <c r="E21" s="106">
        <f ca="1">COUNTIF(INDIRECT(ADDRESS(21,2,1,,E$2)):INDIRECT(ADDRESS(22,2,1,,E$2)),$A21)</f>
        <v>0</v>
      </c>
      <c r="F21" s="106">
        <f ca="1">COUNTIF(INDIRECT(ADDRESS(21,2,1,,F$2)):INDIRECT(ADDRESS(22,2,1,,F$2)),$A21)</f>
        <v>0</v>
      </c>
      <c r="G21" s="106">
        <f ca="1">COUNTIF(INDIRECT(ADDRESS(21,2,1,,G$2)):INDIRECT(ADDRESS(22,2,1,,G$2)),$A21)</f>
        <v>0</v>
      </c>
      <c r="H21" s="106">
        <f ca="1">COUNTIF(INDIRECT(ADDRESS(21,2,1,,H$2)):INDIRECT(ADDRESS(22,2,1,,H$2)),$A21)</f>
        <v>0</v>
      </c>
      <c r="I21" s="106">
        <f ca="1">COUNTIF(INDIRECT(ADDRESS(21,2,1,,I$2)):INDIRECT(ADDRESS(22,2,1,,I$2)),$A21)</f>
        <v>1</v>
      </c>
      <c r="J21" s="106">
        <f ca="1">COUNTIF(INDIRECT(ADDRESS(21,2,1,,J$2)):INDIRECT(ADDRESS(22,2,1,,J$2)),$A21)</f>
        <v>0</v>
      </c>
      <c r="K21" s="106">
        <f ca="1">COUNTIF(INDIRECT(ADDRESS(21,2,1,,K$2)):INDIRECT(ADDRESS(22,2,1,,K$2)),$A21)</f>
        <v>0</v>
      </c>
      <c r="L21" s="106">
        <f ca="1">COUNTIF(INDIRECT(ADDRESS(21,2,1,,L$2)):INDIRECT(ADDRESS(22,2,1,,L$2)),$A21)</f>
        <v>0</v>
      </c>
      <c r="M21" s="106">
        <f ca="1">COUNTIF(INDIRECT(ADDRESS(21,2,1,,M$2)):INDIRECT(ADDRESS(22,2,1,,M$2)),$A21)</f>
        <v>0</v>
      </c>
      <c r="N21" s="106">
        <f ca="1">COUNTIF(INDIRECT(ADDRESS(21,2,1,,N$2)):INDIRECT(ADDRESS(22,2,1,,N$2)),$A21)</f>
        <v>0</v>
      </c>
      <c r="O21" s="94">
        <f t="shared" ca="1" si="16"/>
        <v>1</v>
      </c>
    </row>
    <row r="22" spans="1:15" x14ac:dyDescent="0.25">
      <c r="A22" s="109" t="s">
        <v>174</v>
      </c>
      <c r="B22" s="106">
        <f ca="1">COUNTIF(INDIRECT(ADDRESS(21,2,1,,B$2)):INDIRECT(ADDRESS(22,2,1,,B$2)),$A22)</f>
        <v>0</v>
      </c>
      <c r="C22" s="106">
        <f ca="1">COUNTIF(INDIRECT(ADDRESS(21,2,1,,C$2)):INDIRECT(ADDRESS(22,2,1,,C$2)),$A22)</f>
        <v>0</v>
      </c>
      <c r="D22" s="106">
        <f ca="1">COUNTIF(INDIRECT(ADDRESS(21,2,1,,D$2)):INDIRECT(ADDRESS(22,2,1,,D$2)),$A22)</f>
        <v>1</v>
      </c>
      <c r="E22" s="106">
        <f ca="1">COUNTIF(INDIRECT(ADDRESS(21,2,1,,E$2)):INDIRECT(ADDRESS(22,2,1,,E$2)),$A22)</f>
        <v>0</v>
      </c>
      <c r="F22" s="106">
        <f ca="1">COUNTIF(INDIRECT(ADDRESS(21,2,1,,F$2)):INDIRECT(ADDRESS(22,2,1,,F$2)),$A22)</f>
        <v>0</v>
      </c>
      <c r="G22" s="106">
        <f ca="1">COUNTIF(INDIRECT(ADDRESS(21,2,1,,G$2)):INDIRECT(ADDRESS(22,2,1,,G$2)),$A22)</f>
        <v>0</v>
      </c>
      <c r="H22" s="106">
        <f ca="1">COUNTIF(INDIRECT(ADDRESS(21,2,1,,H$2)):INDIRECT(ADDRESS(22,2,1,,H$2)),$A22)</f>
        <v>0</v>
      </c>
      <c r="I22" s="106">
        <f ca="1">COUNTIF(INDIRECT(ADDRESS(21,2,1,,I$2)):INDIRECT(ADDRESS(22,2,1,,I$2)),$A22)</f>
        <v>0</v>
      </c>
      <c r="J22" s="106">
        <f ca="1">COUNTIF(INDIRECT(ADDRESS(21,2,1,,J$2)):INDIRECT(ADDRESS(22,2,1,,J$2)),$A22)</f>
        <v>0</v>
      </c>
      <c r="K22" s="106">
        <f ca="1">COUNTIF(INDIRECT(ADDRESS(21,2,1,,K$2)):INDIRECT(ADDRESS(22,2,1,,K$2)),$A22)</f>
        <v>0</v>
      </c>
      <c r="L22" s="106">
        <f ca="1">COUNTIF(INDIRECT(ADDRESS(21,2,1,,L$2)):INDIRECT(ADDRESS(22,2,1,,L$2)),$A22)</f>
        <v>0</v>
      </c>
      <c r="M22" s="106">
        <f ca="1">COUNTIF(INDIRECT(ADDRESS(21,2,1,,M$2)):INDIRECT(ADDRESS(22,2,1,,M$2)),$A22)</f>
        <v>0</v>
      </c>
      <c r="N22" s="106">
        <f ca="1">COUNTIF(INDIRECT(ADDRESS(21,2,1,,N$2)):INDIRECT(ADDRESS(22,2,1,,N$2)),$A22)</f>
        <v>0</v>
      </c>
      <c r="O22" s="94">
        <f t="shared" ca="1" si="16"/>
        <v>1</v>
      </c>
    </row>
    <row r="23" spans="1:15" x14ac:dyDescent="0.25">
      <c r="A23" s="109" t="s">
        <v>162</v>
      </c>
      <c r="B23" s="106">
        <f ca="1">COUNTIF(INDIRECT(ADDRESS(21,2,1,,B$2)):INDIRECT(ADDRESS(22,2,1,,B$2)),$A23)</f>
        <v>0</v>
      </c>
      <c r="C23" s="106">
        <f ca="1">COUNTIF(INDIRECT(ADDRESS(21,2,1,,C$2)):INDIRECT(ADDRESS(22,2,1,,C$2)),$A23)</f>
        <v>0</v>
      </c>
      <c r="D23" s="106">
        <f ca="1">COUNTIF(INDIRECT(ADDRESS(21,2,1,,D$2)):INDIRECT(ADDRESS(22,2,1,,D$2)),$A23)</f>
        <v>0</v>
      </c>
      <c r="E23" s="106">
        <f ca="1">COUNTIF(INDIRECT(ADDRESS(21,2,1,,E$2)):INDIRECT(ADDRESS(22,2,1,,E$2)),$A23)</f>
        <v>0</v>
      </c>
      <c r="F23" s="106">
        <f ca="1">COUNTIF(INDIRECT(ADDRESS(21,2,1,,F$2)):INDIRECT(ADDRESS(22,2,1,,F$2)),$A23)</f>
        <v>0</v>
      </c>
      <c r="G23" s="106">
        <f ca="1">COUNTIF(INDIRECT(ADDRESS(21,2,1,,G$2)):INDIRECT(ADDRESS(22,2,1,,G$2)),$A23)</f>
        <v>0</v>
      </c>
      <c r="H23" s="106">
        <f ca="1">COUNTIF(INDIRECT(ADDRESS(21,2,1,,H$2)):INDIRECT(ADDRESS(22,2,1,,H$2)),$A23)</f>
        <v>0</v>
      </c>
      <c r="I23" s="106">
        <f ca="1">COUNTIF(INDIRECT(ADDRESS(21,2,1,,I$2)):INDIRECT(ADDRESS(22,2,1,,I$2)),$A23)</f>
        <v>0</v>
      </c>
      <c r="J23" s="106">
        <f ca="1">COUNTIF(INDIRECT(ADDRESS(21,2,1,,J$2)):INDIRECT(ADDRESS(22,2,1,,J$2)),$A23)</f>
        <v>0</v>
      </c>
      <c r="K23" s="106">
        <f ca="1">COUNTIF(INDIRECT(ADDRESS(21,2,1,,K$2)):INDIRECT(ADDRESS(22,2,1,,K$2)),$A23)</f>
        <v>0</v>
      </c>
      <c r="L23" s="106">
        <f ca="1">COUNTIF(INDIRECT(ADDRESS(21,2,1,,L$2)):INDIRECT(ADDRESS(22,2,1,,L$2)),$A23)</f>
        <v>0</v>
      </c>
      <c r="M23" s="106">
        <f ca="1">COUNTIF(INDIRECT(ADDRESS(21,2,1,,M$2)):INDIRECT(ADDRESS(22,2,1,,M$2)),$A23)</f>
        <v>0</v>
      </c>
      <c r="N23" s="106">
        <f ca="1">COUNTIF(INDIRECT(ADDRESS(21,2,1,,N$2)):INDIRECT(ADDRESS(22,2,1,,N$2)),$A23)</f>
        <v>0</v>
      </c>
      <c r="O23" s="94">
        <f t="shared" ca="1" si="16"/>
        <v>0</v>
      </c>
    </row>
    <row r="24" spans="1:15" x14ac:dyDescent="0.25">
      <c r="A24" s="109" t="s">
        <v>177</v>
      </c>
      <c r="B24" s="106">
        <f ca="1">COUNTIF(INDIRECT(ADDRESS(21,2,1,,B$2)):INDIRECT(ADDRESS(22,2,1,,B$2)),$A24)</f>
        <v>0</v>
      </c>
      <c r="C24" s="106">
        <f ca="1">COUNTIF(INDIRECT(ADDRESS(21,2,1,,C$2)):INDIRECT(ADDRESS(22,2,1,,C$2)),$A24)</f>
        <v>0</v>
      </c>
      <c r="D24" s="106">
        <f ca="1">COUNTIF(INDIRECT(ADDRESS(21,2,1,,D$2)):INDIRECT(ADDRESS(22,2,1,,D$2)),$A24)</f>
        <v>0</v>
      </c>
      <c r="E24" s="106">
        <f ca="1">COUNTIF(INDIRECT(ADDRESS(21,2,1,,E$2)):INDIRECT(ADDRESS(22,2,1,,E$2)),$A24)</f>
        <v>0</v>
      </c>
      <c r="F24" s="106">
        <f ca="1">COUNTIF(INDIRECT(ADDRESS(21,2,1,,F$2)):INDIRECT(ADDRESS(22,2,1,,F$2)),$A24)</f>
        <v>0</v>
      </c>
      <c r="G24" s="106">
        <f ca="1">COUNTIF(INDIRECT(ADDRESS(21,2,1,,G$2)):INDIRECT(ADDRESS(22,2,1,,G$2)),$A24)</f>
        <v>0</v>
      </c>
      <c r="H24" s="106">
        <f ca="1">COUNTIF(INDIRECT(ADDRESS(21,2,1,,H$2)):INDIRECT(ADDRESS(22,2,1,,H$2)),$A24)</f>
        <v>0</v>
      </c>
      <c r="I24" s="106">
        <f ca="1">COUNTIF(INDIRECT(ADDRESS(21,2,1,,I$2)):INDIRECT(ADDRESS(22,2,1,,I$2)),$A24)</f>
        <v>0</v>
      </c>
      <c r="J24" s="106">
        <f ca="1">COUNTIF(INDIRECT(ADDRESS(21,2,1,,J$2)):INDIRECT(ADDRESS(22,2,1,,J$2)),$A24)</f>
        <v>0</v>
      </c>
      <c r="K24" s="106">
        <f ca="1">COUNTIF(INDIRECT(ADDRESS(21,2,1,,K$2)):INDIRECT(ADDRESS(22,2,1,,K$2)),$A24)</f>
        <v>0</v>
      </c>
      <c r="L24" s="106">
        <f ca="1">COUNTIF(INDIRECT(ADDRESS(21,2,1,,L$2)):INDIRECT(ADDRESS(22,2,1,,L$2)),$A24)</f>
        <v>0</v>
      </c>
      <c r="M24" s="106">
        <f ca="1">COUNTIF(INDIRECT(ADDRESS(21,2,1,,M$2)):INDIRECT(ADDRESS(22,2,1,,M$2)),$A24)</f>
        <v>0</v>
      </c>
      <c r="N24" s="106">
        <f ca="1">COUNTIF(INDIRECT(ADDRESS(21,2,1,,N$2)):INDIRECT(ADDRESS(22,2,1,,N$2)),$A24)</f>
        <v>0</v>
      </c>
      <c r="O24" s="94">
        <f t="shared" ca="1" si="16"/>
        <v>0</v>
      </c>
    </row>
    <row r="25" spans="1:15" x14ac:dyDescent="0.25">
      <c r="A25" s="109" t="s">
        <v>201</v>
      </c>
      <c r="B25" s="106">
        <f ca="1">COUNTIF(INDIRECT(ADDRESS(21,2,1,,B$2)):INDIRECT(ADDRESS(22,2,1,,B$2)),$A25)</f>
        <v>0</v>
      </c>
      <c r="C25" s="106">
        <f ca="1">COUNTIF(INDIRECT(ADDRESS(21,2,1,,C$2)):INDIRECT(ADDRESS(22,2,1,,C$2)),$A25)</f>
        <v>0</v>
      </c>
      <c r="D25" s="106">
        <f ca="1">COUNTIF(INDIRECT(ADDRESS(21,2,1,,D$2)):INDIRECT(ADDRESS(22,2,1,,D$2)),$A25)</f>
        <v>0</v>
      </c>
      <c r="E25" s="106">
        <f ca="1">COUNTIF(INDIRECT(ADDRESS(21,2,1,,E$2)):INDIRECT(ADDRESS(22,2,1,,E$2)),$A25)</f>
        <v>0</v>
      </c>
      <c r="F25" s="106">
        <f ca="1">COUNTIF(INDIRECT(ADDRESS(21,2,1,,F$2)):INDIRECT(ADDRESS(22,2,1,,F$2)),$A25)</f>
        <v>0</v>
      </c>
      <c r="G25" s="106">
        <f ca="1">COUNTIF(INDIRECT(ADDRESS(21,2,1,,G$2)):INDIRECT(ADDRESS(22,2,1,,G$2)),$A25)</f>
        <v>0</v>
      </c>
      <c r="H25" s="106">
        <f ca="1">COUNTIF(INDIRECT(ADDRESS(21,2,1,,H$2)):INDIRECT(ADDRESS(22,2,1,,H$2)),$A25)</f>
        <v>0</v>
      </c>
      <c r="I25" s="106">
        <f ca="1">COUNTIF(INDIRECT(ADDRESS(21,2,1,,I$2)):INDIRECT(ADDRESS(22,2,1,,I$2)),$A25)</f>
        <v>0</v>
      </c>
      <c r="J25" s="106">
        <f ca="1">COUNTIF(INDIRECT(ADDRESS(21,2,1,,J$2)):INDIRECT(ADDRESS(22,2,1,,J$2)),$A25)</f>
        <v>0</v>
      </c>
      <c r="K25" s="106">
        <f ca="1">COUNTIF(INDIRECT(ADDRESS(21,2,1,,K$2)):INDIRECT(ADDRESS(22,2,1,,K$2)),$A25)</f>
        <v>0</v>
      </c>
      <c r="L25" s="106">
        <f ca="1">COUNTIF(INDIRECT(ADDRESS(21,2,1,,L$2)):INDIRECT(ADDRESS(22,2,1,,L$2)),$A25)</f>
        <v>0</v>
      </c>
      <c r="M25" s="106">
        <f ca="1">COUNTIF(INDIRECT(ADDRESS(21,2,1,,M$2)):INDIRECT(ADDRESS(22,2,1,,M$2)),$A25)</f>
        <v>0</v>
      </c>
      <c r="N25" s="106">
        <f ca="1">COUNTIF(INDIRECT(ADDRESS(21,2,1,,N$2)):INDIRECT(ADDRESS(22,2,1,,N$2)),$A25)</f>
        <v>0</v>
      </c>
      <c r="O25" s="94">
        <f t="shared" ca="1" si="16"/>
        <v>0</v>
      </c>
    </row>
    <row r="26" spans="1:15" x14ac:dyDescent="0.25">
      <c r="A26" s="109" t="s">
        <v>158</v>
      </c>
      <c r="B26" s="106">
        <f ca="1">COUNTIF(INDIRECT(ADDRESS(21,2,1,,B$2)):INDIRECT(ADDRESS(22,2,1,,B$2)),$A26)</f>
        <v>0</v>
      </c>
      <c r="C26" s="106">
        <f ca="1">COUNTIF(INDIRECT(ADDRESS(21,2,1,,C$2)):INDIRECT(ADDRESS(22,2,1,,C$2)),$A26)</f>
        <v>0</v>
      </c>
      <c r="D26" s="106">
        <f ca="1">COUNTIF(INDIRECT(ADDRESS(21,2,1,,D$2)):INDIRECT(ADDRESS(22,2,1,,D$2)),$A26)</f>
        <v>0</v>
      </c>
      <c r="E26" s="106">
        <f ca="1">COUNTIF(INDIRECT(ADDRESS(21,2,1,,E$2)):INDIRECT(ADDRESS(22,2,1,,E$2)),$A26)</f>
        <v>0</v>
      </c>
      <c r="F26" s="106">
        <f ca="1">COUNTIF(INDIRECT(ADDRESS(21,2,1,,F$2)):INDIRECT(ADDRESS(22,2,1,,F$2)),$A26)</f>
        <v>0</v>
      </c>
      <c r="G26" s="106">
        <f ca="1">COUNTIF(INDIRECT(ADDRESS(21,2,1,,G$2)):INDIRECT(ADDRESS(22,2,1,,G$2)),$A26)</f>
        <v>0</v>
      </c>
      <c r="H26" s="106">
        <f ca="1">COUNTIF(INDIRECT(ADDRESS(21,2,1,,H$2)):INDIRECT(ADDRESS(22,2,1,,H$2)),$A26)</f>
        <v>0</v>
      </c>
      <c r="I26" s="106">
        <f ca="1">COUNTIF(INDIRECT(ADDRESS(21,2,1,,I$2)):INDIRECT(ADDRESS(22,2,1,,I$2)),$A26)</f>
        <v>0</v>
      </c>
      <c r="J26" s="106">
        <f ca="1">COUNTIF(INDIRECT(ADDRESS(21,2,1,,J$2)):INDIRECT(ADDRESS(22,2,1,,J$2)),$A26)</f>
        <v>0</v>
      </c>
      <c r="K26" s="106">
        <f ca="1">COUNTIF(INDIRECT(ADDRESS(21,2,1,,K$2)):INDIRECT(ADDRESS(22,2,1,,K$2)),$A26)</f>
        <v>0</v>
      </c>
      <c r="L26" s="106">
        <f ca="1">COUNTIF(INDIRECT(ADDRESS(21,2,1,,L$2)):INDIRECT(ADDRESS(22,2,1,,L$2)),$A26)</f>
        <v>0</v>
      </c>
      <c r="M26" s="106">
        <f ca="1">COUNTIF(INDIRECT(ADDRESS(21,2,1,,M$2)):INDIRECT(ADDRESS(22,2,1,,M$2)),$A26)</f>
        <v>0</v>
      </c>
      <c r="N26" s="106">
        <f ca="1">COUNTIF(INDIRECT(ADDRESS(21,2,1,,N$2)):INDIRECT(ADDRESS(22,2,1,,N$2)),$A26)</f>
        <v>0</v>
      </c>
      <c r="O26" s="94">
        <f t="shared" ca="1" si="16"/>
        <v>0</v>
      </c>
    </row>
    <row r="27" spans="1:15" x14ac:dyDescent="0.25">
      <c r="A27" s="109" t="s">
        <v>163</v>
      </c>
      <c r="B27" s="106">
        <f ca="1">COUNTIF(INDIRECT(ADDRESS(21,2,1,,B$2)):INDIRECT(ADDRESS(22,2,1,,B$2)),$A27)</f>
        <v>0</v>
      </c>
      <c r="C27" s="106">
        <f ca="1">COUNTIF(INDIRECT(ADDRESS(21,2,1,,C$2)):INDIRECT(ADDRESS(22,2,1,,C$2)),$A27)</f>
        <v>0</v>
      </c>
      <c r="D27" s="106">
        <f ca="1">COUNTIF(INDIRECT(ADDRESS(21,2,1,,D$2)):INDIRECT(ADDRESS(22,2,1,,D$2)),$A27)</f>
        <v>0</v>
      </c>
      <c r="E27" s="106">
        <f ca="1">COUNTIF(INDIRECT(ADDRESS(21,2,1,,E$2)):INDIRECT(ADDRESS(22,2,1,,E$2)),$A27)</f>
        <v>0</v>
      </c>
      <c r="F27" s="106">
        <f ca="1">COUNTIF(INDIRECT(ADDRESS(21,2,1,,F$2)):INDIRECT(ADDRESS(22,2,1,,F$2)),$A27)</f>
        <v>0</v>
      </c>
      <c r="G27" s="106">
        <f ca="1">COUNTIF(INDIRECT(ADDRESS(21,2,1,,G$2)):INDIRECT(ADDRESS(22,2,1,,G$2)),$A27)</f>
        <v>0</v>
      </c>
      <c r="H27" s="106">
        <f ca="1">COUNTIF(INDIRECT(ADDRESS(21,2,1,,H$2)):INDIRECT(ADDRESS(22,2,1,,H$2)),$A27)</f>
        <v>0</v>
      </c>
      <c r="I27" s="106">
        <f ca="1">COUNTIF(INDIRECT(ADDRESS(21,2,1,,I$2)):INDIRECT(ADDRESS(22,2,1,,I$2)),$A27)</f>
        <v>0</v>
      </c>
      <c r="J27" s="106">
        <f ca="1">COUNTIF(INDIRECT(ADDRESS(21,2,1,,J$2)):INDIRECT(ADDRESS(22,2,1,,J$2)),$A27)</f>
        <v>0</v>
      </c>
      <c r="K27" s="106">
        <f ca="1">COUNTIF(INDIRECT(ADDRESS(21,2,1,,K$2)):INDIRECT(ADDRESS(22,2,1,,K$2)),$A27)</f>
        <v>0</v>
      </c>
      <c r="L27" s="106">
        <f ca="1">COUNTIF(INDIRECT(ADDRESS(21,2,1,,L$2)):INDIRECT(ADDRESS(22,2,1,,L$2)),$A27)</f>
        <v>0</v>
      </c>
      <c r="M27" s="106">
        <f ca="1">COUNTIF(INDIRECT(ADDRESS(21,2,1,,M$2)):INDIRECT(ADDRESS(22,2,1,,M$2)),$A27)</f>
        <v>0</v>
      </c>
      <c r="N27" s="106">
        <f ca="1">COUNTIF(INDIRECT(ADDRESS(21,2,1,,N$2)):INDIRECT(ADDRESS(22,2,1,,N$2)),$A27)</f>
        <v>0</v>
      </c>
      <c r="O27" s="94">
        <f t="shared" ca="1" si="16"/>
        <v>0</v>
      </c>
    </row>
    <row r="28" spans="1:15" x14ac:dyDescent="0.25">
      <c r="A28" s="109" t="s">
        <v>187</v>
      </c>
      <c r="B28" s="106">
        <f ca="1">COUNTIF(INDIRECT(ADDRESS(21,2,1,,B$2)):INDIRECT(ADDRESS(22,2,1,,B$2)),$A28)</f>
        <v>0</v>
      </c>
      <c r="C28" s="106">
        <f ca="1">COUNTIF(INDIRECT(ADDRESS(21,2,1,,C$2)):INDIRECT(ADDRESS(22,2,1,,C$2)),$A28)</f>
        <v>0</v>
      </c>
      <c r="D28" s="106">
        <f ca="1">COUNTIF(INDIRECT(ADDRESS(21,2,1,,D$2)):INDIRECT(ADDRESS(22,2,1,,D$2)),$A28)</f>
        <v>0</v>
      </c>
      <c r="E28" s="106">
        <f ca="1">COUNTIF(INDIRECT(ADDRESS(21,2,1,,E$2)):INDIRECT(ADDRESS(22,2,1,,E$2)),$A28)</f>
        <v>0</v>
      </c>
      <c r="F28" s="106">
        <f ca="1">COUNTIF(INDIRECT(ADDRESS(21,2,1,,F$2)):INDIRECT(ADDRESS(22,2,1,,F$2)),$A28)</f>
        <v>0</v>
      </c>
      <c r="G28" s="106">
        <f ca="1">COUNTIF(INDIRECT(ADDRESS(21,2,1,,G$2)):INDIRECT(ADDRESS(22,2,1,,G$2)),$A28)</f>
        <v>0</v>
      </c>
      <c r="H28" s="106">
        <f ca="1">COUNTIF(INDIRECT(ADDRESS(21,2,1,,H$2)):INDIRECT(ADDRESS(22,2,1,,H$2)),$A28)</f>
        <v>0</v>
      </c>
      <c r="I28" s="106">
        <f ca="1">COUNTIF(INDIRECT(ADDRESS(21,2,1,,I$2)):INDIRECT(ADDRESS(22,2,1,,I$2)),$A28)</f>
        <v>0</v>
      </c>
      <c r="J28" s="106">
        <f ca="1">COUNTIF(INDIRECT(ADDRESS(21,2,1,,J$2)):INDIRECT(ADDRESS(22,2,1,,J$2)),$A28)</f>
        <v>0</v>
      </c>
      <c r="K28" s="106">
        <f ca="1">COUNTIF(INDIRECT(ADDRESS(21,2,1,,K$2)):INDIRECT(ADDRESS(22,2,1,,K$2)),$A28)</f>
        <v>0</v>
      </c>
      <c r="L28" s="106">
        <f ca="1">COUNTIF(INDIRECT(ADDRESS(21,2,1,,L$2)):INDIRECT(ADDRESS(22,2,1,,L$2)),$A28)</f>
        <v>0</v>
      </c>
      <c r="M28" s="106">
        <f ca="1">COUNTIF(INDIRECT(ADDRESS(21,2,1,,M$2)):INDIRECT(ADDRESS(22,2,1,,M$2)),$A28)</f>
        <v>0</v>
      </c>
      <c r="N28" s="106">
        <f ca="1">COUNTIF(INDIRECT(ADDRESS(21,2,1,,N$2)):INDIRECT(ADDRESS(22,2,1,,N$2)),$A28)</f>
        <v>0</v>
      </c>
      <c r="O28" s="94">
        <f t="shared" ca="1" si="16"/>
        <v>0</v>
      </c>
    </row>
    <row r="29" spans="1:15" x14ac:dyDescent="0.25">
      <c r="A29" s="109" t="s">
        <v>189</v>
      </c>
      <c r="B29" s="106">
        <f ca="1">COUNTIF(INDIRECT(ADDRESS(21,2,1,,B$2)):INDIRECT(ADDRESS(22,2,1,,B$2)),$A29)</f>
        <v>0</v>
      </c>
      <c r="C29" s="106">
        <f ca="1">COUNTIF(INDIRECT(ADDRESS(21,2,1,,C$2)):INDIRECT(ADDRESS(22,2,1,,C$2)),$A29)</f>
        <v>0</v>
      </c>
      <c r="D29" s="106">
        <f ca="1">COUNTIF(INDIRECT(ADDRESS(21,2,1,,D$2)):INDIRECT(ADDRESS(22,2,1,,D$2)),$A29)</f>
        <v>0</v>
      </c>
      <c r="E29" s="106">
        <f ca="1">COUNTIF(INDIRECT(ADDRESS(21,2,1,,E$2)):INDIRECT(ADDRESS(22,2,1,,E$2)),$A29)</f>
        <v>0</v>
      </c>
      <c r="F29" s="106">
        <f ca="1">COUNTIF(INDIRECT(ADDRESS(21,2,1,,F$2)):INDIRECT(ADDRESS(22,2,1,,F$2)),$A29)</f>
        <v>0</v>
      </c>
      <c r="G29" s="106">
        <f ca="1">COUNTIF(INDIRECT(ADDRESS(21,2,1,,G$2)):INDIRECT(ADDRESS(22,2,1,,G$2)),$A29)</f>
        <v>0</v>
      </c>
      <c r="H29" s="106">
        <f ca="1">COUNTIF(INDIRECT(ADDRESS(21,2,1,,H$2)):INDIRECT(ADDRESS(22,2,1,,H$2)),$A29)</f>
        <v>0</v>
      </c>
      <c r="I29" s="106">
        <f ca="1">COUNTIF(INDIRECT(ADDRESS(21,2,1,,I$2)):INDIRECT(ADDRESS(22,2,1,,I$2)),$A29)</f>
        <v>0</v>
      </c>
      <c r="J29" s="106">
        <f ca="1">COUNTIF(INDIRECT(ADDRESS(21,2,1,,J$2)):INDIRECT(ADDRESS(22,2,1,,J$2)),$A29)</f>
        <v>0</v>
      </c>
      <c r="K29" s="106">
        <f ca="1">COUNTIF(INDIRECT(ADDRESS(21,2,1,,K$2)):INDIRECT(ADDRESS(22,2,1,,K$2)),$A29)</f>
        <v>0</v>
      </c>
      <c r="L29" s="106">
        <f ca="1">COUNTIF(INDIRECT(ADDRESS(21,2,1,,L$2)):INDIRECT(ADDRESS(22,2,1,,L$2)),$A29)</f>
        <v>0</v>
      </c>
      <c r="M29" s="106">
        <f ca="1">COUNTIF(INDIRECT(ADDRESS(21,2,1,,M$2)):INDIRECT(ADDRESS(22,2,1,,M$2)),$A29)</f>
        <v>0</v>
      </c>
      <c r="N29" s="106">
        <f ca="1">COUNTIF(INDIRECT(ADDRESS(21,2,1,,N$2)):INDIRECT(ADDRESS(22,2,1,,N$2)),$A29)</f>
        <v>0</v>
      </c>
      <c r="O29" s="94">
        <f t="shared" ca="1" si="16"/>
        <v>0</v>
      </c>
    </row>
    <row r="30" spans="1:15" x14ac:dyDescent="0.25">
      <c r="A30" s="109" t="s">
        <v>203</v>
      </c>
      <c r="B30" s="106">
        <f ca="1">COUNTIF(INDIRECT(ADDRESS(21,2,1,,B$2)):INDIRECT(ADDRESS(22,2,1,,B$2)),$A30)</f>
        <v>0</v>
      </c>
      <c r="C30" s="106">
        <f ca="1">COUNTIF(INDIRECT(ADDRESS(21,2,1,,C$2)):INDIRECT(ADDRESS(22,2,1,,C$2)),$A30)</f>
        <v>0</v>
      </c>
      <c r="D30" s="106">
        <f ca="1">COUNTIF(INDIRECT(ADDRESS(21,2,1,,D$2)):INDIRECT(ADDRESS(22,2,1,,D$2)),$A30)</f>
        <v>0</v>
      </c>
      <c r="E30" s="106">
        <f ca="1">COUNTIF(INDIRECT(ADDRESS(21,2,1,,E$2)):INDIRECT(ADDRESS(22,2,1,,E$2)),$A30)</f>
        <v>0</v>
      </c>
      <c r="F30" s="106">
        <f ca="1">COUNTIF(INDIRECT(ADDRESS(21,2,1,,F$2)):INDIRECT(ADDRESS(22,2,1,,F$2)),$A30)</f>
        <v>0</v>
      </c>
      <c r="G30" s="106">
        <f ca="1">COUNTIF(INDIRECT(ADDRESS(21,2,1,,G$2)):INDIRECT(ADDRESS(22,2,1,,G$2)),$A30)</f>
        <v>0</v>
      </c>
      <c r="H30" s="106">
        <f ca="1">COUNTIF(INDIRECT(ADDRESS(21,2,1,,H$2)):INDIRECT(ADDRESS(22,2,1,,H$2)),$A30)</f>
        <v>0</v>
      </c>
      <c r="I30" s="106">
        <f ca="1">COUNTIF(INDIRECT(ADDRESS(21,2,1,,I$2)):INDIRECT(ADDRESS(22,2,1,,I$2)),$A30)</f>
        <v>0</v>
      </c>
      <c r="J30" s="106">
        <f ca="1">COUNTIF(INDIRECT(ADDRESS(21,2,1,,J$2)):INDIRECT(ADDRESS(22,2,1,,J$2)),$A30)</f>
        <v>0</v>
      </c>
      <c r="K30" s="106">
        <f ca="1">COUNTIF(INDIRECT(ADDRESS(21,2,1,,K$2)):INDIRECT(ADDRESS(22,2,1,,K$2)),$A30)</f>
        <v>0</v>
      </c>
      <c r="L30" s="106">
        <f ca="1">COUNTIF(INDIRECT(ADDRESS(21,2,1,,L$2)):INDIRECT(ADDRESS(22,2,1,,L$2)),$A30)</f>
        <v>0</v>
      </c>
      <c r="M30" s="106">
        <f ca="1">COUNTIF(INDIRECT(ADDRESS(21,2,1,,M$2)):INDIRECT(ADDRESS(22,2,1,,M$2)),$A30)</f>
        <v>0</v>
      </c>
      <c r="N30" s="106">
        <f ca="1">COUNTIF(INDIRECT(ADDRESS(21,2,1,,N$2)):INDIRECT(ADDRESS(22,2,1,,N$2)),$A30)</f>
        <v>0</v>
      </c>
      <c r="O30" s="94">
        <f t="shared" ca="1" si="16"/>
        <v>0</v>
      </c>
    </row>
    <row r="31" spans="1:15" x14ac:dyDescent="0.25">
      <c r="A31" s="109" t="s">
        <v>202</v>
      </c>
      <c r="B31" s="106">
        <f ca="1">COUNTIF(INDIRECT(ADDRESS(21,2,1,,B$2)):INDIRECT(ADDRESS(22,2,1,,B$2)),$A31)</f>
        <v>0</v>
      </c>
      <c r="C31" s="106">
        <f ca="1">COUNTIF(INDIRECT(ADDRESS(21,2,1,,C$2)):INDIRECT(ADDRESS(22,2,1,,C$2)),$A31)</f>
        <v>0</v>
      </c>
      <c r="D31" s="106">
        <f ca="1">COUNTIF(INDIRECT(ADDRESS(21,2,1,,D$2)):INDIRECT(ADDRESS(22,2,1,,D$2)),$A31)</f>
        <v>0</v>
      </c>
      <c r="E31" s="106">
        <f ca="1">COUNTIF(INDIRECT(ADDRESS(21,2,1,,E$2)):INDIRECT(ADDRESS(22,2,1,,E$2)),$A31)</f>
        <v>0</v>
      </c>
      <c r="F31" s="106">
        <f ca="1">COUNTIF(INDIRECT(ADDRESS(21,2,1,,F$2)):INDIRECT(ADDRESS(22,2,1,,F$2)),$A31)</f>
        <v>0</v>
      </c>
      <c r="G31" s="106">
        <f ca="1">COUNTIF(INDIRECT(ADDRESS(21,2,1,,G$2)):INDIRECT(ADDRESS(22,2,1,,G$2)),$A31)</f>
        <v>0</v>
      </c>
      <c r="H31" s="106">
        <f ca="1">COUNTIF(INDIRECT(ADDRESS(21,2,1,,H$2)):INDIRECT(ADDRESS(22,2,1,,H$2)),$A31)</f>
        <v>0</v>
      </c>
      <c r="I31" s="106">
        <f ca="1">COUNTIF(INDIRECT(ADDRESS(21,2,1,,I$2)):INDIRECT(ADDRESS(22,2,1,,I$2)),$A31)</f>
        <v>0</v>
      </c>
      <c r="J31" s="106">
        <f ca="1">COUNTIF(INDIRECT(ADDRESS(21,2,1,,J$2)):INDIRECT(ADDRESS(22,2,1,,J$2)),$A31)</f>
        <v>0</v>
      </c>
      <c r="K31" s="106">
        <f ca="1">COUNTIF(INDIRECT(ADDRESS(21,2,1,,K$2)):INDIRECT(ADDRESS(22,2,1,,K$2)),$A31)</f>
        <v>0</v>
      </c>
      <c r="L31" s="106">
        <f ca="1">COUNTIF(INDIRECT(ADDRESS(21,2,1,,L$2)):INDIRECT(ADDRESS(22,2,1,,L$2)),$A31)</f>
        <v>0</v>
      </c>
      <c r="M31" s="106">
        <f ca="1">COUNTIF(INDIRECT(ADDRESS(21,2,1,,M$2)):INDIRECT(ADDRESS(22,2,1,,M$2)),$A31)</f>
        <v>0</v>
      </c>
      <c r="N31" s="106">
        <f ca="1">COUNTIF(INDIRECT(ADDRESS(21,2,1,,N$2)):INDIRECT(ADDRESS(22,2,1,,N$2)),$A31)</f>
        <v>0</v>
      </c>
      <c r="O31" s="94">
        <f t="shared" ca="1" si="16"/>
        <v>0</v>
      </c>
    </row>
    <row r="34" spans="1:23" ht="13.8" thickBot="1" x14ac:dyDescent="0.3">
      <c r="A34" s="104" t="s">
        <v>200</v>
      </c>
      <c r="B34" s="102">
        <f t="shared" ref="B34:N34" ca="1" si="17">SUM(B35:B47)</f>
        <v>0</v>
      </c>
      <c r="C34" s="102">
        <f t="shared" ca="1" si="17"/>
        <v>0</v>
      </c>
      <c r="D34" s="102">
        <f t="shared" ca="1" si="17"/>
        <v>1</v>
      </c>
      <c r="E34" s="102">
        <f t="shared" ca="1" si="17"/>
        <v>2</v>
      </c>
      <c r="F34" s="102">
        <f t="shared" ca="1" si="17"/>
        <v>0</v>
      </c>
      <c r="G34" s="102">
        <f t="shared" ca="1" si="17"/>
        <v>2</v>
      </c>
      <c r="H34" s="102">
        <f t="shared" ca="1" si="17"/>
        <v>0</v>
      </c>
      <c r="I34" s="102">
        <f t="shared" ca="1" si="17"/>
        <v>0</v>
      </c>
      <c r="J34" s="102">
        <f t="shared" ca="1" si="17"/>
        <v>0</v>
      </c>
      <c r="K34" s="102">
        <f t="shared" ca="1" si="17"/>
        <v>0</v>
      </c>
      <c r="L34" s="102">
        <f t="shared" ca="1" si="17"/>
        <v>0</v>
      </c>
      <c r="M34" s="102">
        <f t="shared" ca="1" si="17"/>
        <v>0</v>
      </c>
      <c r="N34" s="102">
        <f t="shared" ca="1" si="17"/>
        <v>0</v>
      </c>
      <c r="O34" s="103"/>
    </row>
    <row r="35" spans="1:23" s="28" customFormat="1" x14ac:dyDescent="0.25">
      <c r="A35" s="109" t="s">
        <v>178</v>
      </c>
      <c r="B35" s="106">
        <f ca="1">COUNTIF(INDIRECT(ADDRESS(21,2,1,,B$2)):INDIRECT(ADDRESS(22,2,1,,B$2)),$A35)</f>
        <v>0</v>
      </c>
      <c r="C35" s="106">
        <f ca="1">COUNTIF(INDIRECT(ADDRESS(21,2,1,,C$2)):INDIRECT(ADDRESS(22,2,1,,C$2)),$A35)</f>
        <v>0</v>
      </c>
      <c r="D35" s="106">
        <f ca="1">COUNTIF(INDIRECT(ADDRESS(21,2,1,,D$2)):INDIRECT(ADDRESS(22,2,1,,D$2)),$A35)</f>
        <v>1</v>
      </c>
      <c r="E35" s="106">
        <f ca="1">COUNTIF(INDIRECT(ADDRESS(21,2,1,,E$2)):INDIRECT(ADDRESS(22,2,1,,E$2)),$A35)</f>
        <v>0</v>
      </c>
      <c r="F35" s="106">
        <f ca="1">COUNTIF(INDIRECT(ADDRESS(21,2,1,,F$2)):INDIRECT(ADDRESS(22,2,1,,F$2)),$A35)</f>
        <v>0</v>
      </c>
      <c r="G35" s="106">
        <f ca="1">COUNTIF(INDIRECT(ADDRESS(21,2,1,,G$2)):INDIRECT(ADDRESS(22,2,1,,G$2)),$A35)</f>
        <v>1</v>
      </c>
      <c r="H35" s="106">
        <f ca="1">COUNTIF(INDIRECT(ADDRESS(21,2,1,,H$2)):INDIRECT(ADDRESS(22,2,1,,H$2)),$A35)</f>
        <v>0</v>
      </c>
      <c r="I35" s="106">
        <f ca="1">COUNTIF(INDIRECT(ADDRESS(21,2,1,,I$2)):INDIRECT(ADDRESS(22,2,1,,I$2)),$A35)</f>
        <v>0</v>
      </c>
      <c r="J35" s="106">
        <f ca="1">COUNTIF(INDIRECT(ADDRESS(21,2,1,,J$2)):INDIRECT(ADDRESS(22,2,1,,J$2)),$A35)</f>
        <v>0</v>
      </c>
      <c r="K35" s="106">
        <f ca="1">COUNTIF(INDIRECT(ADDRESS(21,2,1,,K$2)):INDIRECT(ADDRESS(22,2,1,,K$2)),$A35)</f>
        <v>0</v>
      </c>
      <c r="L35" s="106">
        <f ca="1">COUNTIF(INDIRECT(ADDRESS(21,2,1,,L$2)):INDIRECT(ADDRESS(22,2,1,,L$2)),$A35)</f>
        <v>0</v>
      </c>
      <c r="M35" s="106">
        <f ca="1">COUNTIF(INDIRECT(ADDRESS(21,2,1,,M$2)):INDIRECT(ADDRESS(22,2,1,,M$2)),$A35)</f>
        <v>0</v>
      </c>
      <c r="N35" s="106">
        <f ca="1">COUNTIF(INDIRECT(ADDRESS(21,2,1,,N$2)):INDIRECT(ADDRESS(22,2,1,,N$2)),$A35)</f>
        <v>0</v>
      </c>
      <c r="O35" s="94">
        <f t="shared" ref="O35:O44" ca="1" si="18">SUM(B35:N35)</f>
        <v>2</v>
      </c>
    </row>
    <row r="36" spans="1:23" x14ac:dyDescent="0.25">
      <c r="A36" s="109" t="s">
        <v>209</v>
      </c>
      <c r="B36" s="106">
        <f ca="1">COUNTIF(INDIRECT(ADDRESS(21,2,1,,B$2)):INDIRECT(ADDRESS(22,2,1,,B$2)),$A36)</f>
        <v>0</v>
      </c>
      <c r="C36" s="106">
        <f ca="1">COUNTIF(INDIRECT(ADDRESS(21,2,1,,C$2)):INDIRECT(ADDRESS(22,2,1,,C$2)),$A36)</f>
        <v>0</v>
      </c>
      <c r="D36" s="106">
        <f ca="1">COUNTIF(INDIRECT(ADDRESS(21,2,1,,D$2)):INDIRECT(ADDRESS(22,2,1,,D$2)),$A36)</f>
        <v>0</v>
      </c>
      <c r="E36" s="106">
        <f ca="1">COUNTIF(INDIRECT(ADDRESS(21,2,1,,E$2)):INDIRECT(ADDRESS(22,2,1,,E$2)),$A36)</f>
        <v>0</v>
      </c>
      <c r="F36" s="106">
        <f ca="1">COUNTIF(INDIRECT(ADDRESS(21,2,1,,F$2)):INDIRECT(ADDRESS(22,2,1,,F$2)),$A36)</f>
        <v>0</v>
      </c>
      <c r="G36" s="106">
        <f ca="1">COUNTIF(INDIRECT(ADDRESS(21,2,1,,G$2)):INDIRECT(ADDRESS(22,2,1,,G$2)),$A36)</f>
        <v>1</v>
      </c>
      <c r="H36" s="106">
        <f ca="1">COUNTIF(INDIRECT(ADDRESS(21,2,1,,H$2)):INDIRECT(ADDRESS(22,2,1,,H$2)),$A36)</f>
        <v>0</v>
      </c>
      <c r="I36" s="106">
        <f ca="1">COUNTIF(INDIRECT(ADDRESS(21,2,1,,I$2)):INDIRECT(ADDRESS(22,2,1,,I$2)),$A36)</f>
        <v>0</v>
      </c>
      <c r="J36" s="106">
        <f ca="1">COUNTIF(INDIRECT(ADDRESS(21,2,1,,J$2)):INDIRECT(ADDRESS(22,2,1,,J$2)),$A36)</f>
        <v>0</v>
      </c>
      <c r="K36" s="106">
        <f ca="1">COUNTIF(INDIRECT(ADDRESS(21,2,1,,K$2)):INDIRECT(ADDRESS(22,2,1,,K$2)),$A36)</f>
        <v>0</v>
      </c>
      <c r="L36" s="106">
        <f ca="1">COUNTIF(INDIRECT(ADDRESS(21,2,1,,L$2)):INDIRECT(ADDRESS(22,2,1,,L$2)),$A36)</f>
        <v>0</v>
      </c>
      <c r="M36" s="106">
        <f ca="1">COUNTIF(INDIRECT(ADDRESS(21,2,1,,M$2)):INDIRECT(ADDRESS(22,2,1,,M$2)),$A36)</f>
        <v>0</v>
      </c>
      <c r="N36" s="106">
        <f ca="1">COUNTIF(INDIRECT(ADDRESS(21,2,1,,N$2)):INDIRECT(ADDRESS(22,2,1,,N$2)),$A36)</f>
        <v>0</v>
      </c>
      <c r="O36" s="94">
        <f t="shared" ca="1" si="18"/>
        <v>1</v>
      </c>
      <c r="P36" s="2"/>
      <c r="Q36" s="2"/>
      <c r="R36" s="2"/>
      <c r="S36" s="2"/>
      <c r="T36" s="2"/>
      <c r="U36" s="2"/>
      <c r="V36" s="2"/>
      <c r="W36" s="2"/>
    </row>
    <row r="37" spans="1:23" x14ac:dyDescent="0.25">
      <c r="A37" s="109" t="s">
        <v>166</v>
      </c>
      <c r="B37" s="106">
        <f ca="1">COUNTIF(INDIRECT(ADDRESS(21,2,1,,B$2)):INDIRECT(ADDRESS(22,2,1,,B$2)),$A37)</f>
        <v>0</v>
      </c>
      <c r="C37" s="106">
        <f ca="1">COUNTIF(INDIRECT(ADDRESS(21,2,1,,C$2)):INDIRECT(ADDRESS(22,2,1,,C$2)),$A37)</f>
        <v>0</v>
      </c>
      <c r="D37" s="106">
        <f ca="1">COUNTIF(INDIRECT(ADDRESS(21,2,1,,D$2)):INDIRECT(ADDRESS(22,2,1,,D$2)),$A37)</f>
        <v>0</v>
      </c>
      <c r="E37" s="106">
        <f ca="1">COUNTIF(INDIRECT(ADDRESS(21,2,1,,E$2)):INDIRECT(ADDRESS(22,2,1,,E$2)),$A37)</f>
        <v>1</v>
      </c>
      <c r="F37" s="106">
        <f ca="1">COUNTIF(INDIRECT(ADDRESS(21,2,1,,F$2)):INDIRECT(ADDRESS(22,2,1,,F$2)),$A37)</f>
        <v>0</v>
      </c>
      <c r="G37" s="106">
        <f ca="1">COUNTIF(INDIRECT(ADDRESS(21,2,1,,G$2)):INDIRECT(ADDRESS(22,2,1,,G$2)),$A37)</f>
        <v>0</v>
      </c>
      <c r="H37" s="106">
        <f ca="1">COUNTIF(INDIRECT(ADDRESS(21,2,1,,H$2)):INDIRECT(ADDRESS(22,2,1,,H$2)),$A37)</f>
        <v>0</v>
      </c>
      <c r="I37" s="106">
        <f ca="1">COUNTIF(INDIRECT(ADDRESS(21,2,1,,I$2)):INDIRECT(ADDRESS(22,2,1,,I$2)),$A37)</f>
        <v>0</v>
      </c>
      <c r="J37" s="106">
        <f ca="1">COUNTIF(INDIRECT(ADDRESS(21,2,1,,J$2)):INDIRECT(ADDRESS(22,2,1,,J$2)),$A37)</f>
        <v>0</v>
      </c>
      <c r="K37" s="106">
        <f ca="1">COUNTIF(INDIRECT(ADDRESS(21,2,1,,K$2)):INDIRECT(ADDRESS(22,2,1,,K$2)),$A37)</f>
        <v>0</v>
      </c>
      <c r="L37" s="106">
        <f ca="1">COUNTIF(INDIRECT(ADDRESS(21,2,1,,L$2)):INDIRECT(ADDRESS(22,2,1,,L$2)),$A37)</f>
        <v>0</v>
      </c>
      <c r="M37" s="106">
        <f ca="1">COUNTIF(INDIRECT(ADDRESS(21,2,1,,M$2)):INDIRECT(ADDRESS(22,2,1,,M$2)),$A37)</f>
        <v>0</v>
      </c>
      <c r="N37" s="106">
        <f ca="1">COUNTIF(INDIRECT(ADDRESS(21,2,1,,N$2)):INDIRECT(ADDRESS(22,2,1,,N$2)),$A37)</f>
        <v>0</v>
      </c>
      <c r="O37" s="94">
        <f t="shared" ca="1" si="18"/>
        <v>1</v>
      </c>
    </row>
    <row r="38" spans="1:23" x14ac:dyDescent="0.25">
      <c r="A38" s="109" t="s">
        <v>210</v>
      </c>
      <c r="B38" s="106">
        <f ca="1">COUNTIF(INDIRECT(ADDRESS(21,2,1,,B$2)):INDIRECT(ADDRESS(22,2,1,,B$2)),$A38)</f>
        <v>0</v>
      </c>
      <c r="C38" s="106">
        <f ca="1">COUNTIF(INDIRECT(ADDRESS(21,2,1,,C$2)):INDIRECT(ADDRESS(22,2,1,,C$2)),$A38)</f>
        <v>0</v>
      </c>
      <c r="D38" s="106">
        <f ca="1">COUNTIF(INDIRECT(ADDRESS(21,2,1,,D$2)):INDIRECT(ADDRESS(22,2,1,,D$2)),$A38)</f>
        <v>0</v>
      </c>
      <c r="E38" s="106">
        <f ca="1">COUNTIF(INDIRECT(ADDRESS(21,2,1,,E$2)):INDIRECT(ADDRESS(22,2,1,,E$2)),$A38)</f>
        <v>1</v>
      </c>
      <c r="F38" s="106">
        <f ca="1">COUNTIF(INDIRECT(ADDRESS(21,2,1,,F$2)):INDIRECT(ADDRESS(22,2,1,,F$2)),$A38)</f>
        <v>0</v>
      </c>
      <c r="G38" s="106">
        <f ca="1">COUNTIF(INDIRECT(ADDRESS(21,2,1,,G$2)):INDIRECT(ADDRESS(22,2,1,,G$2)),$A38)</f>
        <v>0</v>
      </c>
      <c r="H38" s="106">
        <f ca="1">COUNTIF(INDIRECT(ADDRESS(21,2,1,,H$2)):INDIRECT(ADDRESS(22,2,1,,H$2)),$A38)</f>
        <v>0</v>
      </c>
      <c r="I38" s="106">
        <f ca="1">COUNTIF(INDIRECT(ADDRESS(21,2,1,,I$2)):INDIRECT(ADDRESS(22,2,1,,I$2)),$A38)</f>
        <v>0</v>
      </c>
      <c r="J38" s="106">
        <f ca="1">COUNTIF(INDIRECT(ADDRESS(21,2,1,,J$2)):INDIRECT(ADDRESS(22,2,1,,J$2)),$A38)</f>
        <v>0</v>
      </c>
      <c r="K38" s="106">
        <f ca="1">COUNTIF(INDIRECT(ADDRESS(21,2,1,,K$2)):INDIRECT(ADDRESS(22,2,1,,K$2)),$A38)</f>
        <v>0</v>
      </c>
      <c r="L38" s="106">
        <f ca="1">COUNTIF(INDIRECT(ADDRESS(21,2,1,,L$2)):INDIRECT(ADDRESS(22,2,1,,L$2)),$A38)</f>
        <v>0</v>
      </c>
      <c r="M38" s="106">
        <f ca="1">COUNTIF(INDIRECT(ADDRESS(21,2,1,,M$2)):INDIRECT(ADDRESS(22,2,1,,M$2)),$A38)</f>
        <v>0</v>
      </c>
      <c r="N38" s="106">
        <f ca="1">COUNTIF(INDIRECT(ADDRESS(21,2,1,,N$2)):INDIRECT(ADDRESS(22,2,1,,N$2)),$A38)</f>
        <v>0</v>
      </c>
      <c r="O38" s="94">
        <f t="shared" ca="1" si="18"/>
        <v>1</v>
      </c>
    </row>
    <row r="39" spans="1:23" x14ac:dyDescent="0.25">
      <c r="A39" s="109" t="s">
        <v>170</v>
      </c>
      <c r="B39" s="106">
        <f ca="1">COUNTIF(INDIRECT(ADDRESS(21,2,1,,B$2)):INDIRECT(ADDRESS(22,2,1,,B$2)),$A39)</f>
        <v>0</v>
      </c>
      <c r="C39" s="106">
        <f ca="1">COUNTIF(INDIRECT(ADDRESS(21,2,1,,C$2)):INDIRECT(ADDRESS(22,2,1,,C$2)),$A39)</f>
        <v>0</v>
      </c>
      <c r="D39" s="106">
        <f ca="1">COUNTIF(INDIRECT(ADDRESS(21,2,1,,D$2)):INDIRECT(ADDRESS(22,2,1,,D$2)),$A39)</f>
        <v>0</v>
      </c>
      <c r="E39" s="106">
        <f ca="1">COUNTIF(INDIRECT(ADDRESS(21,2,1,,E$2)):INDIRECT(ADDRESS(22,2,1,,E$2)),$A39)</f>
        <v>0</v>
      </c>
      <c r="F39" s="106">
        <f ca="1">COUNTIF(INDIRECT(ADDRESS(21,2,1,,F$2)):INDIRECT(ADDRESS(22,2,1,,F$2)),$A39)</f>
        <v>0</v>
      </c>
      <c r="G39" s="106">
        <f ca="1">COUNTIF(INDIRECT(ADDRESS(21,2,1,,G$2)):INDIRECT(ADDRESS(22,2,1,,G$2)),$A39)</f>
        <v>0</v>
      </c>
      <c r="H39" s="106">
        <f ca="1">COUNTIF(INDIRECT(ADDRESS(21,2,1,,H$2)):INDIRECT(ADDRESS(22,2,1,,H$2)),$A39)</f>
        <v>0</v>
      </c>
      <c r="I39" s="106">
        <f ca="1">COUNTIF(INDIRECT(ADDRESS(21,2,1,,I$2)):INDIRECT(ADDRESS(22,2,1,,I$2)),$A39)</f>
        <v>0</v>
      </c>
      <c r="J39" s="106">
        <f ca="1">COUNTIF(INDIRECT(ADDRESS(21,2,1,,J$2)):INDIRECT(ADDRESS(22,2,1,,J$2)),$A39)</f>
        <v>0</v>
      </c>
      <c r="K39" s="106">
        <f ca="1">COUNTIF(INDIRECT(ADDRESS(21,2,1,,K$2)):INDIRECT(ADDRESS(22,2,1,,K$2)),$A39)</f>
        <v>0</v>
      </c>
      <c r="L39" s="106">
        <f ca="1">COUNTIF(INDIRECT(ADDRESS(21,2,1,,L$2)):INDIRECT(ADDRESS(22,2,1,,L$2)),$A39)</f>
        <v>0</v>
      </c>
      <c r="M39" s="106">
        <f ca="1">COUNTIF(INDIRECT(ADDRESS(21,2,1,,M$2)):INDIRECT(ADDRESS(22,2,1,,M$2)),$A39)</f>
        <v>0</v>
      </c>
      <c r="N39" s="106">
        <f ca="1">COUNTIF(INDIRECT(ADDRESS(21,2,1,,N$2)):INDIRECT(ADDRESS(22,2,1,,N$2)),$A39)</f>
        <v>0</v>
      </c>
      <c r="O39" s="94">
        <f t="shared" ca="1" si="18"/>
        <v>0</v>
      </c>
    </row>
    <row r="40" spans="1:23" x14ac:dyDescent="0.25">
      <c r="A40" s="109" t="s">
        <v>206</v>
      </c>
      <c r="B40" s="106">
        <f ca="1">COUNTIF(INDIRECT(ADDRESS(21,2,1,,B$2)):INDIRECT(ADDRESS(22,2,1,,B$2)),$A40)</f>
        <v>0</v>
      </c>
      <c r="C40" s="106">
        <f ca="1">COUNTIF(INDIRECT(ADDRESS(21,2,1,,C$2)):INDIRECT(ADDRESS(22,2,1,,C$2)),$A40)</f>
        <v>0</v>
      </c>
      <c r="D40" s="106">
        <f ca="1">COUNTIF(INDIRECT(ADDRESS(21,2,1,,D$2)):INDIRECT(ADDRESS(22,2,1,,D$2)),$A40)</f>
        <v>0</v>
      </c>
      <c r="E40" s="106">
        <f ca="1">COUNTIF(INDIRECT(ADDRESS(21,2,1,,E$2)):INDIRECT(ADDRESS(22,2,1,,E$2)),$A40)</f>
        <v>0</v>
      </c>
      <c r="F40" s="106">
        <f ca="1">COUNTIF(INDIRECT(ADDRESS(21,2,1,,F$2)):INDIRECT(ADDRESS(22,2,1,,F$2)),$A40)</f>
        <v>0</v>
      </c>
      <c r="G40" s="106">
        <f ca="1">COUNTIF(INDIRECT(ADDRESS(21,2,1,,G$2)):INDIRECT(ADDRESS(22,2,1,,G$2)),$A40)</f>
        <v>0</v>
      </c>
      <c r="H40" s="106">
        <f ca="1">COUNTIF(INDIRECT(ADDRESS(21,2,1,,H$2)):INDIRECT(ADDRESS(22,2,1,,H$2)),$A40)</f>
        <v>0</v>
      </c>
      <c r="I40" s="106">
        <f ca="1">COUNTIF(INDIRECT(ADDRESS(21,2,1,,I$2)):INDIRECT(ADDRESS(22,2,1,,I$2)),$A40)</f>
        <v>0</v>
      </c>
      <c r="J40" s="106">
        <f ca="1">COUNTIF(INDIRECT(ADDRESS(21,2,1,,J$2)):INDIRECT(ADDRESS(22,2,1,,J$2)),$A40)</f>
        <v>0</v>
      </c>
      <c r="K40" s="106">
        <f ca="1">COUNTIF(INDIRECT(ADDRESS(21,2,1,,K$2)):INDIRECT(ADDRESS(22,2,1,,K$2)),$A40)</f>
        <v>0</v>
      </c>
      <c r="L40" s="106">
        <f ca="1">COUNTIF(INDIRECT(ADDRESS(21,2,1,,L$2)):INDIRECT(ADDRESS(22,2,1,,L$2)),$A40)</f>
        <v>0</v>
      </c>
      <c r="M40" s="106">
        <f ca="1">COUNTIF(INDIRECT(ADDRESS(21,2,1,,M$2)):INDIRECT(ADDRESS(22,2,1,,M$2)),$A40)</f>
        <v>0</v>
      </c>
      <c r="N40" s="106">
        <f ca="1">COUNTIF(INDIRECT(ADDRESS(21,2,1,,N$2)):INDIRECT(ADDRESS(22,2,1,,N$2)),$A40)</f>
        <v>0</v>
      </c>
      <c r="O40" s="94">
        <f t="shared" ca="1" si="18"/>
        <v>0</v>
      </c>
    </row>
    <row r="41" spans="1:23" x14ac:dyDescent="0.25">
      <c r="A41" s="109" t="s">
        <v>208</v>
      </c>
      <c r="B41" s="106">
        <f ca="1">COUNTIF(INDIRECT(ADDRESS(21,2,1,,B$2)):INDIRECT(ADDRESS(22,2,1,,B$2)),$A41)</f>
        <v>0</v>
      </c>
      <c r="C41" s="106">
        <f ca="1">COUNTIF(INDIRECT(ADDRESS(21,2,1,,C$2)):INDIRECT(ADDRESS(22,2,1,,C$2)),$A41)</f>
        <v>0</v>
      </c>
      <c r="D41" s="106">
        <f ca="1">COUNTIF(INDIRECT(ADDRESS(21,2,1,,D$2)):INDIRECT(ADDRESS(22,2,1,,D$2)),$A41)</f>
        <v>0</v>
      </c>
      <c r="E41" s="106">
        <f ca="1">COUNTIF(INDIRECT(ADDRESS(21,2,1,,E$2)):INDIRECT(ADDRESS(22,2,1,,E$2)),$A41)</f>
        <v>0</v>
      </c>
      <c r="F41" s="106">
        <f ca="1">COUNTIF(INDIRECT(ADDRESS(21,2,1,,F$2)):INDIRECT(ADDRESS(22,2,1,,F$2)),$A41)</f>
        <v>0</v>
      </c>
      <c r="G41" s="106">
        <f ca="1">COUNTIF(INDIRECT(ADDRESS(21,2,1,,G$2)):INDIRECT(ADDRESS(22,2,1,,G$2)),$A41)</f>
        <v>0</v>
      </c>
      <c r="H41" s="106">
        <f ca="1">COUNTIF(INDIRECT(ADDRESS(21,2,1,,H$2)):INDIRECT(ADDRESS(22,2,1,,H$2)),$A41)</f>
        <v>0</v>
      </c>
      <c r="I41" s="106">
        <f ca="1">COUNTIF(INDIRECT(ADDRESS(21,2,1,,I$2)):INDIRECT(ADDRESS(22,2,1,,I$2)),$A41)</f>
        <v>0</v>
      </c>
      <c r="J41" s="106">
        <f ca="1">COUNTIF(INDIRECT(ADDRESS(21,2,1,,J$2)):INDIRECT(ADDRESS(22,2,1,,J$2)),$A41)</f>
        <v>0</v>
      </c>
      <c r="K41" s="106">
        <f ca="1">COUNTIF(INDIRECT(ADDRESS(21,2,1,,K$2)):INDIRECT(ADDRESS(22,2,1,,K$2)),$A41)</f>
        <v>0</v>
      </c>
      <c r="L41" s="106">
        <f ca="1">COUNTIF(INDIRECT(ADDRESS(21,2,1,,L$2)):INDIRECT(ADDRESS(22,2,1,,L$2)),$A41)</f>
        <v>0</v>
      </c>
      <c r="M41" s="106">
        <f ca="1">COUNTIF(INDIRECT(ADDRESS(21,2,1,,M$2)):INDIRECT(ADDRESS(22,2,1,,M$2)),$A41)</f>
        <v>0</v>
      </c>
      <c r="N41" s="106">
        <f ca="1">COUNTIF(INDIRECT(ADDRESS(21,2,1,,N$2)):INDIRECT(ADDRESS(22,2,1,,N$2)),$A41)</f>
        <v>0</v>
      </c>
      <c r="O41" s="94">
        <f t="shared" ca="1" si="18"/>
        <v>0</v>
      </c>
    </row>
    <row r="42" spans="1:23" x14ac:dyDescent="0.25">
      <c r="A42" s="109" t="s">
        <v>211</v>
      </c>
      <c r="B42" s="106">
        <f ca="1">COUNTIF(INDIRECT(ADDRESS(21,2,1,,B$2)):INDIRECT(ADDRESS(22,2,1,,B$2)),$A42)</f>
        <v>0</v>
      </c>
      <c r="C42" s="106">
        <f ca="1">COUNTIF(INDIRECT(ADDRESS(21,2,1,,C$2)):INDIRECT(ADDRESS(22,2,1,,C$2)),$A42)</f>
        <v>0</v>
      </c>
      <c r="D42" s="106">
        <f ca="1">COUNTIF(INDIRECT(ADDRESS(21,2,1,,D$2)):INDIRECT(ADDRESS(22,2,1,,D$2)),$A42)</f>
        <v>0</v>
      </c>
      <c r="E42" s="106">
        <f ca="1">COUNTIF(INDIRECT(ADDRESS(21,2,1,,E$2)):INDIRECT(ADDRESS(22,2,1,,E$2)),$A42)</f>
        <v>0</v>
      </c>
      <c r="F42" s="106">
        <f ca="1">COUNTIF(INDIRECT(ADDRESS(21,2,1,,F$2)):INDIRECT(ADDRESS(22,2,1,,F$2)),$A42)</f>
        <v>0</v>
      </c>
      <c r="G42" s="106">
        <f ca="1">COUNTIF(INDIRECT(ADDRESS(21,2,1,,G$2)):INDIRECT(ADDRESS(22,2,1,,G$2)),$A42)</f>
        <v>0</v>
      </c>
      <c r="H42" s="106">
        <f ca="1">COUNTIF(INDIRECT(ADDRESS(21,2,1,,H$2)):INDIRECT(ADDRESS(22,2,1,,H$2)),$A42)</f>
        <v>0</v>
      </c>
      <c r="I42" s="106">
        <f ca="1">COUNTIF(INDIRECT(ADDRESS(21,2,1,,I$2)):INDIRECT(ADDRESS(22,2,1,,I$2)),$A42)</f>
        <v>0</v>
      </c>
      <c r="J42" s="106">
        <f ca="1">COUNTIF(INDIRECT(ADDRESS(21,2,1,,J$2)):INDIRECT(ADDRESS(22,2,1,,J$2)),$A42)</f>
        <v>0</v>
      </c>
      <c r="K42" s="106">
        <f ca="1">COUNTIF(INDIRECT(ADDRESS(21,2,1,,K$2)):INDIRECT(ADDRESS(22,2,1,,K$2)),$A42)</f>
        <v>0</v>
      </c>
      <c r="L42" s="106">
        <f ca="1">COUNTIF(INDIRECT(ADDRESS(21,2,1,,L$2)):INDIRECT(ADDRESS(22,2,1,,L$2)),$A42)</f>
        <v>0</v>
      </c>
      <c r="M42" s="106">
        <f ca="1">COUNTIF(INDIRECT(ADDRESS(21,2,1,,M$2)):INDIRECT(ADDRESS(22,2,1,,M$2)),$A42)</f>
        <v>0</v>
      </c>
      <c r="N42" s="106">
        <f ca="1">COUNTIF(INDIRECT(ADDRESS(21,2,1,,N$2)):INDIRECT(ADDRESS(22,2,1,,N$2)),$A42)</f>
        <v>0</v>
      </c>
      <c r="O42" s="94">
        <f t="shared" ca="1" si="18"/>
        <v>0</v>
      </c>
    </row>
    <row r="43" spans="1:23" x14ac:dyDescent="0.25">
      <c r="A43" s="109" t="s">
        <v>204</v>
      </c>
      <c r="B43" s="106">
        <f ca="1">COUNTIF(INDIRECT(ADDRESS(21,2,1,,B$2)):INDIRECT(ADDRESS(22,2,1,,B$2)),$A43)</f>
        <v>0</v>
      </c>
      <c r="C43" s="106">
        <f ca="1">COUNTIF(INDIRECT(ADDRESS(21,2,1,,C$2)):INDIRECT(ADDRESS(22,2,1,,C$2)),$A43)</f>
        <v>0</v>
      </c>
      <c r="D43" s="106">
        <f ca="1">COUNTIF(INDIRECT(ADDRESS(21,2,1,,D$2)):INDIRECT(ADDRESS(22,2,1,,D$2)),$A43)</f>
        <v>0</v>
      </c>
      <c r="E43" s="106">
        <f ca="1">COUNTIF(INDIRECT(ADDRESS(21,2,1,,E$2)):INDIRECT(ADDRESS(22,2,1,,E$2)),$A43)</f>
        <v>0</v>
      </c>
      <c r="F43" s="106">
        <f ca="1">COUNTIF(INDIRECT(ADDRESS(21,2,1,,F$2)):INDIRECT(ADDRESS(22,2,1,,F$2)),$A43)</f>
        <v>0</v>
      </c>
      <c r="G43" s="106">
        <f ca="1">COUNTIF(INDIRECT(ADDRESS(21,2,1,,G$2)):INDIRECT(ADDRESS(22,2,1,,G$2)),$A43)</f>
        <v>0</v>
      </c>
      <c r="H43" s="106">
        <f ca="1">COUNTIF(INDIRECT(ADDRESS(21,2,1,,H$2)):INDIRECT(ADDRESS(22,2,1,,H$2)),$A43)</f>
        <v>0</v>
      </c>
      <c r="I43" s="106">
        <f ca="1">COUNTIF(INDIRECT(ADDRESS(21,2,1,,I$2)):INDIRECT(ADDRESS(22,2,1,,I$2)),$A43)</f>
        <v>0</v>
      </c>
      <c r="J43" s="106">
        <f ca="1">COUNTIF(INDIRECT(ADDRESS(21,2,1,,J$2)):INDIRECT(ADDRESS(22,2,1,,J$2)),$A43)</f>
        <v>0</v>
      </c>
      <c r="K43" s="106">
        <f ca="1">COUNTIF(INDIRECT(ADDRESS(21,2,1,,K$2)):INDIRECT(ADDRESS(22,2,1,,K$2)),$A43)</f>
        <v>0</v>
      </c>
      <c r="L43" s="106">
        <f ca="1">COUNTIF(INDIRECT(ADDRESS(21,2,1,,L$2)):INDIRECT(ADDRESS(22,2,1,,L$2)),$A43)</f>
        <v>0</v>
      </c>
      <c r="M43" s="106">
        <f ca="1">COUNTIF(INDIRECT(ADDRESS(21,2,1,,M$2)):INDIRECT(ADDRESS(22,2,1,,M$2)),$A43)</f>
        <v>0</v>
      </c>
      <c r="N43" s="106">
        <f ca="1">COUNTIF(INDIRECT(ADDRESS(21,2,1,,N$2)):INDIRECT(ADDRESS(22,2,1,,N$2)),$A43)</f>
        <v>0</v>
      </c>
      <c r="O43" s="94">
        <f t="shared" ca="1" si="18"/>
        <v>0</v>
      </c>
    </row>
    <row r="44" spans="1:23" x14ac:dyDescent="0.25">
      <c r="A44" s="109" t="s">
        <v>205</v>
      </c>
      <c r="B44" s="106">
        <f ca="1">COUNTIF(INDIRECT(ADDRESS(21,2,1,,B$2)):INDIRECT(ADDRESS(22,2,1,,B$2)),$A44)</f>
        <v>0</v>
      </c>
      <c r="C44" s="106">
        <f ca="1">COUNTIF(INDIRECT(ADDRESS(21,2,1,,C$2)):INDIRECT(ADDRESS(22,2,1,,C$2)),$A44)</f>
        <v>0</v>
      </c>
      <c r="D44" s="106">
        <f ca="1">COUNTIF(INDIRECT(ADDRESS(21,2,1,,D$2)):INDIRECT(ADDRESS(22,2,1,,D$2)),$A44)</f>
        <v>0</v>
      </c>
      <c r="E44" s="106">
        <f ca="1">COUNTIF(INDIRECT(ADDRESS(21,2,1,,E$2)):INDIRECT(ADDRESS(22,2,1,,E$2)),$A44)</f>
        <v>0</v>
      </c>
      <c r="F44" s="106">
        <f ca="1">COUNTIF(INDIRECT(ADDRESS(21,2,1,,F$2)):INDIRECT(ADDRESS(22,2,1,,F$2)),$A44)</f>
        <v>0</v>
      </c>
      <c r="G44" s="106">
        <f ca="1">COUNTIF(INDIRECT(ADDRESS(21,2,1,,G$2)):INDIRECT(ADDRESS(22,2,1,,G$2)),$A44)</f>
        <v>0</v>
      </c>
      <c r="H44" s="106">
        <f ca="1">COUNTIF(INDIRECT(ADDRESS(21,2,1,,H$2)):INDIRECT(ADDRESS(22,2,1,,H$2)),$A44)</f>
        <v>0</v>
      </c>
      <c r="I44" s="106">
        <f ca="1">COUNTIF(INDIRECT(ADDRESS(21,2,1,,I$2)):INDIRECT(ADDRESS(22,2,1,,I$2)),$A44)</f>
        <v>0</v>
      </c>
      <c r="J44" s="106">
        <f ca="1">COUNTIF(INDIRECT(ADDRESS(21,2,1,,J$2)):INDIRECT(ADDRESS(22,2,1,,J$2)),$A44)</f>
        <v>0</v>
      </c>
      <c r="K44" s="106">
        <f ca="1">COUNTIF(INDIRECT(ADDRESS(21,2,1,,K$2)):INDIRECT(ADDRESS(22,2,1,,K$2)),$A44)</f>
        <v>0</v>
      </c>
      <c r="L44" s="106">
        <f ca="1">COUNTIF(INDIRECT(ADDRESS(21,2,1,,L$2)):INDIRECT(ADDRESS(22,2,1,,L$2)),$A44)</f>
        <v>0</v>
      </c>
      <c r="M44" s="106">
        <f ca="1">COUNTIF(INDIRECT(ADDRESS(21,2,1,,M$2)):INDIRECT(ADDRESS(22,2,1,,M$2)),$A44)</f>
        <v>0</v>
      </c>
      <c r="N44" s="106">
        <f ca="1">COUNTIF(INDIRECT(ADDRESS(21,2,1,,N$2)):INDIRECT(ADDRESS(22,2,1,,N$2)),$A44)</f>
        <v>0</v>
      </c>
      <c r="O44" s="94">
        <f t="shared" ca="1" si="18"/>
        <v>0</v>
      </c>
    </row>
    <row r="45" spans="1:23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96"/>
    </row>
    <row r="46" spans="1:23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96"/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6"/>
    </row>
    <row r="50" spans="1:15" s="28" customFormat="1" ht="13.8" thickBot="1" x14ac:dyDescent="0.3">
      <c r="A50" s="104" t="s">
        <v>190</v>
      </c>
      <c r="B50" s="102">
        <f t="shared" ref="B50:N50" ca="1" si="19">SUM(B51:B63)</f>
        <v>0</v>
      </c>
      <c r="C50" s="102">
        <f t="shared" ca="1" si="19"/>
        <v>0</v>
      </c>
      <c r="D50" s="102">
        <f t="shared" ca="1" si="19"/>
        <v>0</v>
      </c>
      <c r="E50" s="102">
        <f t="shared" ca="1" si="19"/>
        <v>0</v>
      </c>
      <c r="F50" s="102">
        <f t="shared" ca="1" si="19"/>
        <v>0</v>
      </c>
      <c r="G50" s="102">
        <f t="shared" ca="1" si="19"/>
        <v>0</v>
      </c>
      <c r="H50" s="102">
        <f t="shared" ca="1" si="19"/>
        <v>0</v>
      </c>
      <c r="I50" s="102">
        <f t="shared" ca="1" si="19"/>
        <v>0</v>
      </c>
      <c r="J50" s="102">
        <f t="shared" ca="1" si="19"/>
        <v>0</v>
      </c>
      <c r="K50" s="102">
        <f t="shared" ca="1" si="19"/>
        <v>0</v>
      </c>
      <c r="L50" s="102">
        <f t="shared" ca="1" si="19"/>
        <v>0</v>
      </c>
      <c r="M50" s="102">
        <f t="shared" ca="1" si="19"/>
        <v>0</v>
      </c>
      <c r="N50" s="102">
        <f t="shared" ca="1" si="19"/>
        <v>0</v>
      </c>
      <c r="O50" s="103"/>
    </row>
    <row r="51" spans="1:15" x14ac:dyDescent="0.25">
      <c r="A51" s="109" t="s">
        <v>215</v>
      </c>
      <c r="B51" s="106">
        <f ca="1">COUNTIF(INDIRECT(ADDRESS(21,2,1,,B$2)):INDIRECT(ADDRESS(22,2,1,,B$2)),$A51)</f>
        <v>0</v>
      </c>
      <c r="C51" s="106">
        <f ca="1">COUNTIF(INDIRECT(ADDRESS(21,2,1,,C$2)):INDIRECT(ADDRESS(22,2,1,,C$2)),$A51)</f>
        <v>0</v>
      </c>
      <c r="D51" s="106">
        <f ca="1">COUNTIF(INDIRECT(ADDRESS(21,2,1,,D$2)):INDIRECT(ADDRESS(22,2,1,,D$2)),$A51)</f>
        <v>0</v>
      </c>
      <c r="E51" s="106">
        <f ca="1">COUNTIF(INDIRECT(ADDRESS(21,2,1,,E$2)):INDIRECT(ADDRESS(22,2,1,,E$2)),$A51)</f>
        <v>0</v>
      </c>
      <c r="F51" s="106">
        <f ca="1">COUNTIF(INDIRECT(ADDRESS(21,2,1,,F$2)):INDIRECT(ADDRESS(22,2,1,,F$2)),$A51)</f>
        <v>0</v>
      </c>
      <c r="G51" s="106">
        <f ca="1">COUNTIF(INDIRECT(ADDRESS(21,2,1,,G$2)):INDIRECT(ADDRESS(22,2,1,,G$2)),$A51)</f>
        <v>0</v>
      </c>
      <c r="H51" s="106">
        <f ca="1">COUNTIF(INDIRECT(ADDRESS(21,2,1,,H$2)):INDIRECT(ADDRESS(22,2,1,,H$2)),$A51)</f>
        <v>0</v>
      </c>
      <c r="I51" s="106">
        <f ca="1">COUNTIF(INDIRECT(ADDRESS(21,2,1,,I$2)):INDIRECT(ADDRESS(22,2,1,,I$2)),$A51)</f>
        <v>0</v>
      </c>
      <c r="J51" s="106">
        <f ca="1">COUNTIF(INDIRECT(ADDRESS(21,2,1,,J$2)):INDIRECT(ADDRESS(22,2,1,,J$2)),$A51)</f>
        <v>0</v>
      </c>
      <c r="K51" s="106">
        <f ca="1">COUNTIF(INDIRECT(ADDRESS(21,2,1,,K$2)):INDIRECT(ADDRESS(22,2,1,,K$2)),$A51)</f>
        <v>0</v>
      </c>
      <c r="L51" s="106">
        <f ca="1">COUNTIF(INDIRECT(ADDRESS(21,2,1,,L$2)):INDIRECT(ADDRESS(22,2,1,,L$2)),$A51)</f>
        <v>0</v>
      </c>
      <c r="M51" s="106">
        <f ca="1">COUNTIF(INDIRECT(ADDRESS(21,2,1,,M$2)):INDIRECT(ADDRESS(22,2,1,,M$2)),$A51)</f>
        <v>0</v>
      </c>
      <c r="N51" s="106">
        <f ca="1">COUNTIF(INDIRECT(ADDRESS(21,2,1,,N$2)):INDIRECT(ADDRESS(22,2,1,,N$2)),$A51)</f>
        <v>0</v>
      </c>
      <c r="O51" s="94">
        <f t="shared" ref="O51:O58" ca="1" si="20">SUM(B51:N51)</f>
        <v>0</v>
      </c>
    </row>
    <row r="52" spans="1:15" x14ac:dyDescent="0.25">
      <c r="A52" s="109" t="s">
        <v>186</v>
      </c>
      <c r="B52" s="106">
        <f ca="1">COUNTIF(INDIRECT(ADDRESS(21,2,1,,B$2)):INDIRECT(ADDRESS(22,2,1,,B$2)),$A52)</f>
        <v>0</v>
      </c>
      <c r="C52" s="106">
        <f ca="1">COUNTIF(INDIRECT(ADDRESS(21,2,1,,C$2)):INDIRECT(ADDRESS(22,2,1,,C$2)),$A52)</f>
        <v>0</v>
      </c>
      <c r="D52" s="106">
        <f ca="1">COUNTIF(INDIRECT(ADDRESS(21,2,1,,D$2)):INDIRECT(ADDRESS(22,2,1,,D$2)),$A52)</f>
        <v>0</v>
      </c>
      <c r="E52" s="106">
        <f ca="1">COUNTIF(INDIRECT(ADDRESS(21,2,1,,E$2)):INDIRECT(ADDRESS(22,2,1,,E$2)),$A52)</f>
        <v>0</v>
      </c>
      <c r="F52" s="106">
        <f ca="1">COUNTIF(INDIRECT(ADDRESS(21,2,1,,F$2)):INDIRECT(ADDRESS(22,2,1,,F$2)),$A52)</f>
        <v>0</v>
      </c>
      <c r="G52" s="106">
        <f ca="1">COUNTIF(INDIRECT(ADDRESS(21,2,1,,G$2)):INDIRECT(ADDRESS(22,2,1,,G$2)),$A52)</f>
        <v>0</v>
      </c>
      <c r="H52" s="106">
        <f ca="1">COUNTIF(INDIRECT(ADDRESS(21,2,1,,H$2)):INDIRECT(ADDRESS(22,2,1,,H$2)),$A52)</f>
        <v>0</v>
      </c>
      <c r="I52" s="106">
        <f ca="1">COUNTIF(INDIRECT(ADDRESS(21,2,1,,I$2)):INDIRECT(ADDRESS(22,2,1,,I$2)),$A52)</f>
        <v>0</v>
      </c>
      <c r="J52" s="106">
        <f ca="1">COUNTIF(INDIRECT(ADDRESS(21,2,1,,J$2)):INDIRECT(ADDRESS(22,2,1,,J$2)),$A52)</f>
        <v>0</v>
      </c>
      <c r="K52" s="106">
        <f ca="1">COUNTIF(INDIRECT(ADDRESS(21,2,1,,K$2)):INDIRECT(ADDRESS(22,2,1,,K$2)),$A52)</f>
        <v>0</v>
      </c>
      <c r="L52" s="106">
        <f ca="1">COUNTIF(INDIRECT(ADDRESS(21,2,1,,L$2)):INDIRECT(ADDRESS(22,2,1,,L$2)),$A52)</f>
        <v>0</v>
      </c>
      <c r="M52" s="106">
        <f ca="1">COUNTIF(INDIRECT(ADDRESS(21,2,1,,M$2)):INDIRECT(ADDRESS(22,2,1,,M$2)),$A52)</f>
        <v>0</v>
      </c>
      <c r="N52" s="106">
        <f ca="1">COUNTIF(INDIRECT(ADDRESS(21,2,1,,N$2)):INDIRECT(ADDRESS(22,2,1,,N$2)),$A52)</f>
        <v>0</v>
      </c>
      <c r="O52" s="94">
        <f t="shared" ca="1" si="20"/>
        <v>0</v>
      </c>
    </row>
    <row r="53" spans="1:15" x14ac:dyDescent="0.25">
      <c r="A53" s="109" t="s">
        <v>217</v>
      </c>
      <c r="B53" s="106">
        <f ca="1">COUNTIF(INDIRECT(ADDRESS(21,2,1,,B$2)):INDIRECT(ADDRESS(22,2,1,,B$2)),$A53)</f>
        <v>0</v>
      </c>
      <c r="C53" s="106">
        <f ca="1">COUNTIF(INDIRECT(ADDRESS(21,2,1,,C$2)):INDIRECT(ADDRESS(22,2,1,,C$2)),$A53)</f>
        <v>0</v>
      </c>
      <c r="D53" s="106">
        <f ca="1">COUNTIF(INDIRECT(ADDRESS(21,2,1,,D$2)):INDIRECT(ADDRESS(22,2,1,,D$2)),$A53)</f>
        <v>0</v>
      </c>
      <c r="E53" s="106">
        <f ca="1">COUNTIF(INDIRECT(ADDRESS(21,2,1,,E$2)):INDIRECT(ADDRESS(22,2,1,,E$2)),$A53)</f>
        <v>0</v>
      </c>
      <c r="F53" s="106">
        <f ca="1">COUNTIF(INDIRECT(ADDRESS(21,2,1,,F$2)):INDIRECT(ADDRESS(22,2,1,,F$2)),$A53)</f>
        <v>0</v>
      </c>
      <c r="G53" s="106">
        <f ca="1">COUNTIF(INDIRECT(ADDRESS(21,2,1,,G$2)):INDIRECT(ADDRESS(22,2,1,,G$2)),$A53)</f>
        <v>0</v>
      </c>
      <c r="H53" s="106">
        <f ca="1">COUNTIF(INDIRECT(ADDRESS(21,2,1,,H$2)):INDIRECT(ADDRESS(22,2,1,,H$2)),$A53)</f>
        <v>0</v>
      </c>
      <c r="I53" s="106">
        <f ca="1">COUNTIF(INDIRECT(ADDRESS(21,2,1,,I$2)):INDIRECT(ADDRESS(22,2,1,,I$2)),$A53)</f>
        <v>0</v>
      </c>
      <c r="J53" s="106">
        <f ca="1">COUNTIF(INDIRECT(ADDRESS(21,2,1,,J$2)):INDIRECT(ADDRESS(22,2,1,,J$2)),$A53)</f>
        <v>0</v>
      </c>
      <c r="K53" s="106">
        <f ca="1">COUNTIF(INDIRECT(ADDRESS(21,2,1,,K$2)):INDIRECT(ADDRESS(22,2,1,,K$2)),$A53)</f>
        <v>0</v>
      </c>
      <c r="L53" s="106">
        <f ca="1">COUNTIF(INDIRECT(ADDRESS(21,2,1,,L$2)):INDIRECT(ADDRESS(22,2,1,,L$2)),$A53)</f>
        <v>0</v>
      </c>
      <c r="M53" s="106">
        <f ca="1">COUNTIF(INDIRECT(ADDRESS(21,2,1,,M$2)):INDIRECT(ADDRESS(22,2,1,,M$2)),$A53)</f>
        <v>0</v>
      </c>
      <c r="N53" s="106">
        <f ca="1">COUNTIF(INDIRECT(ADDRESS(21,2,1,,N$2)):INDIRECT(ADDRESS(22,2,1,,N$2)),$A53)</f>
        <v>0</v>
      </c>
      <c r="O53" s="94">
        <f t="shared" ca="1" si="20"/>
        <v>0</v>
      </c>
    </row>
    <row r="54" spans="1:15" x14ac:dyDescent="0.25">
      <c r="A54" s="109" t="s">
        <v>212</v>
      </c>
      <c r="B54" s="106">
        <f ca="1">COUNTIF(INDIRECT(ADDRESS(21,2,1,,B$2)):INDIRECT(ADDRESS(22,2,1,,B$2)),$A54)</f>
        <v>0</v>
      </c>
      <c r="C54" s="106">
        <f ca="1">COUNTIF(INDIRECT(ADDRESS(21,2,1,,C$2)):INDIRECT(ADDRESS(22,2,1,,C$2)),$A54)</f>
        <v>0</v>
      </c>
      <c r="D54" s="106">
        <f ca="1">COUNTIF(INDIRECT(ADDRESS(21,2,1,,D$2)):INDIRECT(ADDRESS(22,2,1,,D$2)),$A54)</f>
        <v>0</v>
      </c>
      <c r="E54" s="106">
        <f ca="1">COUNTIF(INDIRECT(ADDRESS(21,2,1,,E$2)):INDIRECT(ADDRESS(22,2,1,,E$2)),$A54)</f>
        <v>0</v>
      </c>
      <c r="F54" s="106">
        <f ca="1">COUNTIF(INDIRECT(ADDRESS(21,2,1,,F$2)):INDIRECT(ADDRESS(22,2,1,,F$2)),$A54)</f>
        <v>0</v>
      </c>
      <c r="G54" s="106">
        <f ca="1">COUNTIF(INDIRECT(ADDRESS(21,2,1,,G$2)):INDIRECT(ADDRESS(22,2,1,,G$2)),$A54)</f>
        <v>0</v>
      </c>
      <c r="H54" s="106">
        <f ca="1">COUNTIF(INDIRECT(ADDRESS(21,2,1,,H$2)):INDIRECT(ADDRESS(22,2,1,,H$2)),$A54)</f>
        <v>0</v>
      </c>
      <c r="I54" s="106">
        <f ca="1">COUNTIF(INDIRECT(ADDRESS(21,2,1,,I$2)):INDIRECT(ADDRESS(22,2,1,,I$2)),$A54)</f>
        <v>0</v>
      </c>
      <c r="J54" s="106">
        <f ca="1">COUNTIF(INDIRECT(ADDRESS(21,2,1,,J$2)):INDIRECT(ADDRESS(22,2,1,,J$2)),$A54)</f>
        <v>0</v>
      </c>
      <c r="K54" s="106">
        <f ca="1">COUNTIF(INDIRECT(ADDRESS(21,2,1,,K$2)):INDIRECT(ADDRESS(22,2,1,,K$2)),$A54)</f>
        <v>0</v>
      </c>
      <c r="L54" s="106">
        <f ca="1">COUNTIF(INDIRECT(ADDRESS(21,2,1,,L$2)):INDIRECT(ADDRESS(22,2,1,,L$2)),$A54)</f>
        <v>0</v>
      </c>
      <c r="M54" s="106">
        <f ca="1">COUNTIF(INDIRECT(ADDRESS(21,2,1,,M$2)):INDIRECT(ADDRESS(22,2,1,,M$2)),$A54)</f>
        <v>0</v>
      </c>
      <c r="N54" s="106">
        <f ca="1">COUNTIF(INDIRECT(ADDRESS(21,2,1,,N$2)):INDIRECT(ADDRESS(22,2,1,,N$2)),$A54)</f>
        <v>0</v>
      </c>
      <c r="O54" s="94">
        <f t="shared" ca="1" si="20"/>
        <v>0</v>
      </c>
    </row>
    <row r="55" spans="1:15" x14ac:dyDescent="0.25">
      <c r="A55" s="109" t="s">
        <v>165</v>
      </c>
      <c r="B55" s="106">
        <f ca="1">COUNTIF(INDIRECT(ADDRESS(21,2,1,,B$2)):INDIRECT(ADDRESS(22,2,1,,B$2)),$A55)</f>
        <v>0</v>
      </c>
      <c r="C55" s="106">
        <f ca="1">COUNTIF(INDIRECT(ADDRESS(21,2,1,,C$2)):INDIRECT(ADDRESS(22,2,1,,C$2)),$A55)</f>
        <v>0</v>
      </c>
      <c r="D55" s="106">
        <f ca="1">COUNTIF(INDIRECT(ADDRESS(21,2,1,,D$2)):INDIRECT(ADDRESS(22,2,1,,D$2)),$A55)</f>
        <v>0</v>
      </c>
      <c r="E55" s="106">
        <f ca="1">COUNTIF(INDIRECT(ADDRESS(21,2,1,,E$2)):INDIRECT(ADDRESS(22,2,1,,E$2)),$A55)</f>
        <v>0</v>
      </c>
      <c r="F55" s="106">
        <f ca="1">COUNTIF(INDIRECT(ADDRESS(21,2,1,,F$2)):INDIRECT(ADDRESS(22,2,1,,F$2)),$A55)</f>
        <v>0</v>
      </c>
      <c r="G55" s="106">
        <f ca="1">COUNTIF(INDIRECT(ADDRESS(21,2,1,,G$2)):INDIRECT(ADDRESS(22,2,1,,G$2)),$A55)</f>
        <v>0</v>
      </c>
      <c r="H55" s="106">
        <f ca="1">COUNTIF(INDIRECT(ADDRESS(21,2,1,,H$2)):INDIRECT(ADDRESS(22,2,1,,H$2)),$A55)</f>
        <v>0</v>
      </c>
      <c r="I55" s="106">
        <f ca="1">COUNTIF(INDIRECT(ADDRESS(21,2,1,,I$2)):INDIRECT(ADDRESS(22,2,1,,I$2)),$A55)</f>
        <v>0</v>
      </c>
      <c r="J55" s="106">
        <f ca="1">COUNTIF(INDIRECT(ADDRESS(21,2,1,,J$2)):INDIRECT(ADDRESS(22,2,1,,J$2)),$A55)</f>
        <v>0</v>
      </c>
      <c r="K55" s="106">
        <f ca="1">COUNTIF(INDIRECT(ADDRESS(21,2,1,,K$2)):INDIRECT(ADDRESS(22,2,1,,K$2)),$A55)</f>
        <v>0</v>
      </c>
      <c r="L55" s="106">
        <f ca="1">COUNTIF(INDIRECT(ADDRESS(21,2,1,,L$2)):INDIRECT(ADDRESS(22,2,1,,L$2)),$A55)</f>
        <v>0</v>
      </c>
      <c r="M55" s="106">
        <f ca="1">COUNTIF(INDIRECT(ADDRESS(21,2,1,,M$2)):INDIRECT(ADDRESS(22,2,1,,M$2)),$A55)</f>
        <v>0</v>
      </c>
      <c r="N55" s="106">
        <f ca="1">COUNTIF(INDIRECT(ADDRESS(21,2,1,,N$2)):INDIRECT(ADDRESS(22,2,1,,N$2)),$A55)</f>
        <v>0</v>
      </c>
      <c r="O55" s="94">
        <f t="shared" ca="1" si="20"/>
        <v>0</v>
      </c>
    </row>
    <row r="56" spans="1:15" x14ac:dyDescent="0.25">
      <c r="A56" s="109" t="s">
        <v>213</v>
      </c>
      <c r="B56" s="106">
        <f ca="1">COUNTIF(INDIRECT(ADDRESS(21,2,1,,B$2)):INDIRECT(ADDRESS(22,2,1,,B$2)),$A56)</f>
        <v>0</v>
      </c>
      <c r="C56" s="106">
        <f ca="1">COUNTIF(INDIRECT(ADDRESS(21,2,1,,C$2)):INDIRECT(ADDRESS(22,2,1,,C$2)),$A56)</f>
        <v>0</v>
      </c>
      <c r="D56" s="106">
        <f ca="1">COUNTIF(INDIRECT(ADDRESS(21,2,1,,D$2)):INDIRECT(ADDRESS(22,2,1,,D$2)),$A56)</f>
        <v>0</v>
      </c>
      <c r="E56" s="106">
        <f ca="1">COUNTIF(INDIRECT(ADDRESS(21,2,1,,E$2)):INDIRECT(ADDRESS(22,2,1,,E$2)),$A56)</f>
        <v>0</v>
      </c>
      <c r="F56" s="106">
        <f ca="1">COUNTIF(INDIRECT(ADDRESS(21,2,1,,F$2)):INDIRECT(ADDRESS(22,2,1,,F$2)),$A56)</f>
        <v>0</v>
      </c>
      <c r="G56" s="106">
        <f ca="1">COUNTIF(INDIRECT(ADDRESS(21,2,1,,G$2)):INDIRECT(ADDRESS(22,2,1,,G$2)),$A56)</f>
        <v>0</v>
      </c>
      <c r="H56" s="106">
        <f ca="1">COUNTIF(INDIRECT(ADDRESS(21,2,1,,H$2)):INDIRECT(ADDRESS(22,2,1,,H$2)),$A56)</f>
        <v>0</v>
      </c>
      <c r="I56" s="106">
        <f ca="1">COUNTIF(INDIRECT(ADDRESS(21,2,1,,I$2)):INDIRECT(ADDRESS(22,2,1,,I$2)),$A56)</f>
        <v>0</v>
      </c>
      <c r="J56" s="106">
        <f ca="1">COUNTIF(INDIRECT(ADDRESS(21,2,1,,J$2)):INDIRECT(ADDRESS(22,2,1,,J$2)),$A56)</f>
        <v>0</v>
      </c>
      <c r="K56" s="106">
        <f ca="1">COUNTIF(INDIRECT(ADDRESS(21,2,1,,K$2)):INDIRECT(ADDRESS(22,2,1,,K$2)),$A56)</f>
        <v>0</v>
      </c>
      <c r="L56" s="106">
        <f ca="1">COUNTIF(INDIRECT(ADDRESS(21,2,1,,L$2)):INDIRECT(ADDRESS(22,2,1,,L$2)),$A56)</f>
        <v>0</v>
      </c>
      <c r="M56" s="106">
        <f ca="1">COUNTIF(INDIRECT(ADDRESS(21,2,1,,M$2)):INDIRECT(ADDRESS(22,2,1,,M$2)),$A56)</f>
        <v>0</v>
      </c>
      <c r="N56" s="106">
        <f ca="1">COUNTIF(INDIRECT(ADDRESS(21,2,1,,N$2)):INDIRECT(ADDRESS(22,2,1,,N$2)),$A56)</f>
        <v>0</v>
      </c>
      <c r="O56" s="94">
        <f t="shared" ca="1" si="20"/>
        <v>0</v>
      </c>
    </row>
    <row r="57" spans="1:15" x14ac:dyDescent="0.25">
      <c r="A57" s="109" t="s">
        <v>216</v>
      </c>
      <c r="B57" s="106">
        <f ca="1">COUNTIF(INDIRECT(ADDRESS(21,2,1,,B$2)):INDIRECT(ADDRESS(22,2,1,,B$2)),$A57)</f>
        <v>0</v>
      </c>
      <c r="C57" s="106">
        <f ca="1">COUNTIF(INDIRECT(ADDRESS(21,2,1,,C$2)):INDIRECT(ADDRESS(22,2,1,,C$2)),$A57)</f>
        <v>0</v>
      </c>
      <c r="D57" s="106">
        <f ca="1">COUNTIF(INDIRECT(ADDRESS(21,2,1,,D$2)):INDIRECT(ADDRESS(22,2,1,,D$2)),$A57)</f>
        <v>0</v>
      </c>
      <c r="E57" s="106">
        <f ca="1">COUNTIF(INDIRECT(ADDRESS(21,2,1,,E$2)):INDIRECT(ADDRESS(22,2,1,,E$2)),$A57)</f>
        <v>0</v>
      </c>
      <c r="F57" s="106">
        <f ca="1">COUNTIF(INDIRECT(ADDRESS(21,2,1,,F$2)):INDIRECT(ADDRESS(22,2,1,,F$2)),$A57)</f>
        <v>0</v>
      </c>
      <c r="G57" s="106">
        <f ca="1">COUNTIF(INDIRECT(ADDRESS(21,2,1,,G$2)):INDIRECT(ADDRESS(22,2,1,,G$2)),$A57)</f>
        <v>0</v>
      </c>
      <c r="H57" s="106">
        <f ca="1">COUNTIF(INDIRECT(ADDRESS(21,2,1,,H$2)):INDIRECT(ADDRESS(22,2,1,,H$2)),$A57)</f>
        <v>0</v>
      </c>
      <c r="I57" s="106">
        <f ca="1">COUNTIF(INDIRECT(ADDRESS(21,2,1,,I$2)):INDIRECT(ADDRESS(22,2,1,,I$2)),$A57)</f>
        <v>0</v>
      </c>
      <c r="J57" s="106">
        <f ca="1">COUNTIF(INDIRECT(ADDRESS(21,2,1,,J$2)):INDIRECT(ADDRESS(22,2,1,,J$2)),$A57)</f>
        <v>0</v>
      </c>
      <c r="K57" s="106">
        <f ca="1">COUNTIF(INDIRECT(ADDRESS(21,2,1,,K$2)):INDIRECT(ADDRESS(22,2,1,,K$2)),$A57)</f>
        <v>0</v>
      </c>
      <c r="L57" s="106">
        <f ca="1">COUNTIF(INDIRECT(ADDRESS(21,2,1,,L$2)):INDIRECT(ADDRESS(22,2,1,,L$2)),$A57)</f>
        <v>0</v>
      </c>
      <c r="M57" s="106">
        <f ca="1">COUNTIF(INDIRECT(ADDRESS(21,2,1,,M$2)):INDIRECT(ADDRESS(22,2,1,,M$2)),$A57)</f>
        <v>0</v>
      </c>
      <c r="N57" s="106">
        <f ca="1">COUNTIF(INDIRECT(ADDRESS(21,2,1,,N$2)):INDIRECT(ADDRESS(22,2,1,,N$2)),$A57)</f>
        <v>0</v>
      </c>
      <c r="O57" s="94">
        <f t="shared" ca="1" si="20"/>
        <v>0</v>
      </c>
    </row>
    <row r="58" spans="1:15" x14ac:dyDescent="0.25">
      <c r="A58" s="109" t="s">
        <v>214</v>
      </c>
      <c r="B58" s="106">
        <f ca="1">COUNTIF(INDIRECT(ADDRESS(21,2,1,,B$2)):INDIRECT(ADDRESS(22,2,1,,B$2)),$A58)</f>
        <v>0</v>
      </c>
      <c r="C58" s="106">
        <f ca="1">COUNTIF(INDIRECT(ADDRESS(21,2,1,,C$2)):INDIRECT(ADDRESS(22,2,1,,C$2)),$A58)</f>
        <v>0</v>
      </c>
      <c r="D58" s="106">
        <f ca="1">COUNTIF(INDIRECT(ADDRESS(21,2,1,,D$2)):INDIRECT(ADDRESS(22,2,1,,D$2)),$A58)</f>
        <v>0</v>
      </c>
      <c r="E58" s="106">
        <f ca="1">COUNTIF(INDIRECT(ADDRESS(21,2,1,,E$2)):INDIRECT(ADDRESS(22,2,1,,E$2)),$A58)</f>
        <v>0</v>
      </c>
      <c r="F58" s="106">
        <f ca="1">COUNTIF(INDIRECT(ADDRESS(21,2,1,,F$2)):INDIRECT(ADDRESS(22,2,1,,F$2)),$A58)</f>
        <v>0</v>
      </c>
      <c r="G58" s="106">
        <f ca="1">COUNTIF(INDIRECT(ADDRESS(21,2,1,,G$2)):INDIRECT(ADDRESS(22,2,1,,G$2)),$A58)</f>
        <v>0</v>
      </c>
      <c r="H58" s="106">
        <f ca="1">COUNTIF(INDIRECT(ADDRESS(21,2,1,,H$2)):INDIRECT(ADDRESS(22,2,1,,H$2)),$A58)</f>
        <v>0</v>
      </c>
      <c r="I58" s="106">
        <f ca="1">COUNTIF(INDIRECT(ADDRESS(21,2,1,,I$2)):INDIRECT(ADDRESS(22,2,1,,I$2)),$A58)</f>
        <v>0</v>
      </c>
      <c r="J58" s="106">
        <f ca="1">COUNTIF(INDIRECT(ADDRESS(21,2,1,,J$2)):INDIRECT(ADDRESS(22,2,1,,J$2)),$A58)</f>
        <v>0</v>
      </c>
      <c r="K58" s="106">
        <f ca="1">COUNTIF(INDIRECT(ADDRESS(21,2,1,,K$2)):INDIRECT(ADDRESS(22,2,1,,K$2)),$A58)</f>
        <v>0</v>
      </c>
      <c r="L58" s="106">
        <f ca="1">COUNTIF(INDIRECT(ADDRESS(21,2,1,,L$2)):INDIRECT(ADDRESS(22,2,1,,L$2)),$A58)</f>
        <v>0</v>
      </c>
      <c r="M58" s="106">
        <f ca="1">COUNTIF(INDIRECT(ADDRESS(21,2,1,,M$2)):INDIRECT(ADDRESS(22,2,1,,M$2)),$A58)</f>
        <v>0</v>
      </c>
      <c r="N58" s="106">
        <f ca="1">COUNTIF(INDIRECT(ADDRESS(21,2,1,,N$2)):INDIRECT(ADDRESS(22,2,1,,N$2)),$A58)</f>
        <v>0</v>
      </c>
      <c r="O58" s="94">
        <f t="shared" ca="1" si="20"/>
        <v>0</v>
      </c>
    </row>
    <row r="65" spans="1:15" s="28" customFormat="1" ht="13.8" thickBot="1" x14ac:dyDescent="0.3">
      <c r="A65" s="104" t="s">
        <v>191</v>
      </c>
      <c r="B65" s="102">
        <f t="shared" ref="B65:N65" ca="1" si="21">SUM(B66:B78)</f>
        <v>0</v>
      </c>
      <c r="C65" s="102">
        <f t="shared" ca="1" si="21"/>
        <v>1</v>
      </c>
      <c r="D65" s="102">
        <f t="shared" ca="1" si="21"/>
        <v>0</v>
      </c>
      <c r="E65" s="102">
        <f t="shared" ca="1" si="21"/>
        <v>0</v>
      </c>
      <c r="F65" s="102">
        <f t="shared" ca="1" si="21"/>
        <v>2</v>
      </c>
      <c r="G65" s="102">
        <f t="shared" ca="1" si="21"/>
        <v>0</v>
      </c>
      <c r="H65" s="102">
        <f t="shared" ca="1" si="21"/>
        <v>2</v>
      </c>
      <c r="I65" s="102">
        <f t="shared" ca="1" si="21"/>
        <v>0</v>
      </c>
      <c r="J65" s="102">
        <f t="shared" ca="1" si="21"/>
        <v>0</v>
      </c>
      <c r="K65" s="102">
        <f t="shared" ca="1" si="21"/>
        <v>0</v>
      </c>
      <c r="L65" s="102">
        <f t="shared" ca="1" si="21"/>
        <v>0</v>
      </c>
      <c r="M65" s="102">
        <f t="shared" ca="1" si="21"/>
        <v>2</v>
      </c>
      <c r="N65" s="102">
        <f t="shared" ca="1" si="21"/>
        <v>0</v>
      </c>
      <c r="O65" s="103"/>
    </row>
    <row r="66" spans="1:15" x14ac:dyDescent="0.25">
      <c r="A66" s="109" t="s">
        <v>221</v>
      </c>
      <c r="B66" s="106">
        <f ca="1">COUNTIF(INDIRECT(ADDRESS(21,2,1,,B$2)):INDIRECT(ADDRESS(22,2,1,,B$2)),$A66)</f>
        <v>0</v>
      </c>
      <c r="C66" s="106">
        <f ca="1">COUNTIF(INDIRECT(ADDRESS(21,2,1,,C$2)):INDIRECT(ADDRESS(22,2,1,,C$2)),$A66)</f>
        <v>0</v>
      </c>
      <c r="D66" s="106">
        <f ca="1">COUNTIF(INDIRECT(ADDRESS(21,2,1,,D$2)):INDIRECT(ADDRESS(22,2,1,,D$2)),$A66)</f>
        <v>0</v>
      </c>
      <c r="E66" s="106">
        <f ca="1">COUNTIF(INDIRECT(ADDRESS(21,2,1,,E$2)):INDIRECT(ADDRESS(22,2,1,,E$2)),$A66)</f>
        <v>0</v>
      </c>
      <c r="F66" s="106">
        <f ca="1">COUNTIF(INDIRECT(ADDRESS(21,2,1,,F$2)):INDIRECT(ADDRESS(22,2,1,,F$2)),$A66)</f>
        <v>0</v>
      </c>
      <c r="G66" s="106">
        <f ca="1">COUNTIF(INDIRECT(ADDRESS(21,2,1,,G$2)):INDIRECT(ADDRESS(22,2,1,,G$2)),$A66)</f>
        <v>0</v>
      </c>
      <c r="H66" s="106">
        <f ca="1">COUNTIF(INDIRECT(ADDRESS(21,2,1,,H$2)):INDIRECT(ADDRESS(22,2,1,,H$2)),$A66)</f>
        <v>1</v>
      </c>
      <c r="I66" s="106">
        <f ca="1">COUNTIF(INDIRECT(ADDRESS(21,2,1,,I$2)):INDIRECT(ADDRESS(22,2,1,,I$2)),$A66)</f>
        <v>0</v>
      </c>
      <c r="J66" s="106">
        <f ca="1">COUNTIF(INDIRECT(ADDRESS(21,2,1,,J$2)):INDIRECT(ADDRESS(22,2,1,,J$2)),$A66)</f>
        <v>0</v>
      </c>
      <c r="K66" s="106">
        <f ca="1">COUNTIF(INDIRECT(ADDRESS(21,2,1,,K$2)):INDIRECT(ADDRESS(22,2,1,,K$2)),$A66)</f>
        <v>0</v>
      </c>
      <c r="L66" s="106">
        <f ca="1">COUNTIF(INDIRECT(ADDRESS(21,2,1,,L$2)):INDIRECT(ADDRESS(22,2,1,,L$2)),$A66)</f>
        <v>0</v>
      </c>
      <c r="M66" s="106">
        <f ca="1">COUNTIF(INDIRECT(ADDRESS(21,2,1,,M$2)):INDIRECT(ADDRESS(22,2,1,,M$2)),$A66)</f>
        <v>0</v>
      </c>
      <c r="N66" s="106">
        <f ca="1">COUNTIF(INDIRECT(ADDRESS(21,2,1,,N$2)):INDIRECT(ADDRESS(22,2,1,,N$2)),$A66)</f>
        <v>0</v>
      </c>
      <c r="O66" s="94">
        <f t="shared" ref="O66:O77" ca="1" si="22">SUM(B66:N66)</f>
        <v>1</v>
      </c>
    </row>
    <row r="67" spans="1:15" x14ac:dyDescent="0.25">
      <c r="A67" s="109" t="s">
        <v>225</v>
      </c>
      <c r="B67" s="106">
        <f ca="1">COUNTIF(INDIRECT(ADDRESS(21,2,1,,B$2)):INDIRECT(ADDRESS(22,2,1,,B$2)),$A67)</f>
        <v>0</v>
      </c>
      <c r="C67" s="106">
        <f ca="1">COUNTIF(INDIRECT(ADDRESS(21,2,1,,C$2)):INDIRECT(ADDRESS(22,2,1,,C$2)),$A67)</f>
        <v>1</v>
      </c>
      <c r="D67" s="106">
        <f ca="1">COUNTIF(INDIRECT(ADDRESS(21,2,1,,D$2)):INDIRECT(ADDRESS(22,2,1,,D$2)),$A67)</f>
        <v>0</v>
      </c>
      <c r="E67" s="106">
        <f ca="1">COUNTIF(INDIRECT(ADDRESS(21,2,1,,E$2)):INDIRECT(ADDRESS(22,2,1,,E$2)),$A67)</f>
        <v>0</v>
      </c>
      <c r="F67" s="106">
        <f ca="1">COUNTIF(INDIRECT(ADDRESS(21,2,1,,F$2)):INDIRECT(ADDRESS(22,2,1,,F$2)),$A67)</f>
        <v>0</v>
      </c>
      <c r="G67" s="106">
        <f ca="1">COUNTIF(INDIRECT(ADDRESS(21,2,1,,G$2)):INDIRECT(ADDRESS(22,2,1,,G$2)),$A67)</f>
        <v>0</v>
      </c>
      <c r="H67" s="106">
        <f ca="1">COUNTIF(INDIRECT(ADDRESS(21,2,1,,H$2)):INDIRECT(ADDRESS(22,2,1,,H$2)),$A67)</f>
        <v>0</v>
      </c>
      <c r="I67" s="106">
        <f ca="1">COUNTIF(INDIRECT(ADDRESS(21,2,1,,I$2)):INDIRECT(ADDRESS(22,2,1,,I$2)),$A67)</f>
        <v>0</v>
      </c>
      <c r="J67" s="106">
        <f ca="1">COUNTIF(INDIRECT(ADDRESS(21,2,1,,J$2)):INDIRECT(ADDRESS(22,2,1,,J$2)),$A67)</f>
        <v>0</v>
      </c>
      <c r="K67" s="106">
        <f ca="1">COUNTIF(INDIRECT(ADDRESS(21,2,1,,K$2)):INDIRECT(ADDRESS(22,2,1,,K$2)),$A67)</f>
        <v>0</v>
      </c>
      <c r="L67" s="106">
        <f ca="1">COUNTIF(INDIRECT(ADDRESS(21,2,1,,L$2)):INDIRECT(ADDRESS(22,2,1,,L$2)),$A67)</f>
        <v>0</v>
      </c>
      <c r="M67" s="106">
        <f ca="1">COUNTIF(INDIRECT(ADDRESS(21,2,1,,M$2)):INDIRECT(ADDRESS(22,2,1,,M$2)),$A67)</f>
        <v>0</v>
      </c>
      <c r="N67" s="106">
        <f ca="1">COUNTIF(INDIRECT(ADDRESS(21,2,1,,N$2)):INDIRECT(ADDRESS(22,2,1,,N$2)),$A67)</f>
        <v>0</v>
      </c>
      <c r="O67" s="94">
        <f t="shared" ca="1" si="22"/>
        <v>1</v>
      </c>
    </row>
    <row r="68" spans="1:15" x14ac:dyDescent="0.25">
      <c r="A68" s="109" t="s">
        <v>182</v>
      </c>
      <c r="B68" s="106">
        <f ca="1">COUNTIF(INDIRECT(ADDRESS(21,2,1,,B$2)):INDIRECT(ADDRESS(22,2,1,,B$2)),$A68)</f>
        <v>0</v>
      </c>
      <c r="C68" s="106">
        <f ca="1">COUNTIF(INDIRECT(ADDRESS(21,2,1,,C$2)):INDIRECT(ADDRESS(22,2,1,,C$2)),$A68)</f>
        <v>0</v>
      </c>
      <c r="D68" s="106">
        <f ca="1">COUNTIF(INDIRECT(ADDRESS(21,2,1,,D$2)):INDIRECT(ADDRESS(22,2,1,,D$2)),$A68)</f>
        <v>0</v>
      </c>
      <c r="E68" s="106">
        <f ca="1">COUNTIF(INDIRECT(ADDRESS(21,2,1,,E$2)):INDIRECT(ADDRESS(22,2,1,,E$2)),$A68)</f>
        <v>0</v>
      </c>
      <c r="F68" s="106">
        <f ca="1">COUNTIF(INDIRECT(ADDRESS(21,2,1,,F$2)):INDIRECT(ADDRESS(22,2,1,,F$2)),$A68)</f>
        <v>0</v>
      </c>
      <c r="G68" s="106">
        <f ca="1">COUNTIF(INDIRECT(ADDRESS(21,2,1,,G$2)):INDIRECT(ADDRESS(22,2,1,,G$2)),$A68)</f>
        <v>0</v>
      </c>
      <c r="H68" s="106">
        <f ca="1">COUNTIF(INDIRECT(ADDRESS(21,2,1,,H$2)):INDIRECT(ADDRESS(22,2,1,,H$2)),$A68)</f>
        <v>1</v>
      </c>
      <c r="I68" s="106">
        <f ca="1">COUNTIF(INDIRECT(ADDRESS(21,2,1,,I$2)):INDIRECT(ADDRESS(22,2,1,,I$2)),$A68)</f>
        <v>0</v>
      </c>
      <c r="J68" s="106">
        <f ca="1">COUNTIF(INDIRECT(ADDRESS(21,2,1,,J$2)):INDIRECT(ADDRESS(22,2,1,,J$2)),$A68)</f>
        <v>0</v>
      </c>
      <c r="K68" s="106">
        <f ca="1">COUNTIF(INDIRECT(ADDRESS(21,2,1,,K$2)):INDIRECT(ADDRESS(22,2,1,,K$2)),$A68)</f>
        <v>0</v>
      </c>
      <c r="L68" s="106">
        <f ca="1">COUNTIF(INDIRECT(ADDRESS(21,2,1,,L$2)):INDIRECT(ADDRESS(22,2,1,,L$2)),$A68)</f>
        <v>0</v>
      </c>
      <c r="M68" s="106">
        <f ca="1">COUNTIF(INDIRECT(ADDRESS(21,2,1,,M$2)):INDIRECT(ADDRESS(22,2,1,,M$2)),$A68)</f>
        <v>1</v>
      </c>
      <c r="N68" s="106">
        <f ca="1">COUNTIF(INDIRECT(ADDRESS(21,2,1,,N$2)):INDIRECT(ADDRESS(22,2,1,,N$2)),$A68)</f>
        <v>0</v>
      </c>
      <c r="O68" s="94">
        <f t="shared" ca="1" si="22"/>
        <v>2</v>
      </c>
    </row>
    <row r="69" spans="1:15" x14ac:dyDescent="0.25">
      <c r="A69" s="109" t="s">
        <v>207</v>
      </c>
      <c r="B69" s="106">
        <f ca="1">COUNTIF(INDIRECT(ADDRESS(21,2,1,,B$2)):INDIRECT(ADDRESS(22,2,1,,B$2)),$A69)</f>
        <v>0</v>
      </c>
      <c r="C69" s="106">
        <f ca="1">COUNTIF(INDIRECT(ADDRESS(21,2,1,,C$2)):INDIRECT(ADDRESS(22,2,1,,C$2)),$A69)</f>
        <v>0</v>
      </c>
      <c r="D69" s="106">
        <f ca="1">COUNTIF(INDIRECT(ADDRESS(21,2,1,,D$2)):INDIRECT(ADDRESS(22,2,1,,D$2)),$A69)</f>
        <v>0</v>
      </c>
      <c r="E69" s="106">
        <f ca="1">COUNTIF(INDIRECT(ADDRESS(21,2,1,,E$2)):INDIRECT(ADDRESS(22,2,1,,E$2)),$A69)</f>
        <v>0</v>
      </c>
      <c r="F69" s="106">
        <f ca="1">COUNTIF(INDIRECT(ADDRESS(21,2,1,,F$2)):INDIRECT(ADDRESS(22,2,1,,F$2)),$A69)</f>
        <v>1</v>
      </c>
      <c r="G69" s="106">
        <f ca="1">COUNTIF(INDIRECT(ADDRESS(21,2,1,,G$2)):INDIRECT(ADDRESS(22,2,1,,G$2)),$A69)</f>
        <v>0</v>
      </c>
      <c r="H69" s="106">
        <f ca="1">COUNTIF(INDIRECT(ADDRESS(21,2,1,,H$2)):INDIRECT(ADDRESS(22,2,1,,H$2)),$A69)</f>
        <v>0</v>
      </c>
      <c r="I69" s="106">
        <f ca="1">COUNTIF(INDIRECT(ADDRESS(21,2,1,,I$2)):INDIRECT(ADDRESS(22,2,1,,I$2)),$A69)</f>
        <v>0</v>
      </c>
      <c r="J69" s="106">
        <f ca="1">COUNTIF(INDIRECT(ADDRESS(21,2,1,,J$2)):INDIRECT(ADDRESS(22,2,1,,J$2)),$A69)</f>
        <v>0</v>
      </c>
      <c r="K69" s="106">
        <f ca="1">COUNTIF(INDIRECT(ADDRESS(21,2,1,,K$2)):INDIRECT(ADDRESS(22,2,1,,K$2)),$A69)</f>
        <v>0</v>
      </c>
      <c r="L69" s="106">
        <f ca="1">COUNTIF(INDIRECT(ADDRESS(21,2,1,,L$2)):INDIRECT(ADDRESS(22,2,1,,L$2)),$A69)</f>
        <v>0</v>
      </c>
      <c r="M69" s="106">
        <f ca="1">COUNTIF(INDIRECT(ADDRESS(21,2,1,,M$2)):INDIRECT(ADDRESS(22,2,1,,M$2)),$A69)</f>
        <v>1</v>
      </c>
      <c r="N69" s="106">
        <f ca="1">COUNTIF(INDIRECT(ADDRESS(21,2,1,,N$2)):INDIRECT(ADDRESS(22,2,1,,N$2)),$A69)</f>
        <v>0</v>
      </c>
      <c r="O69" s="94">
        <f t="shared" ca="1" si="22"/>
        <v>2</v>
      </c>
    </row>
    <row r="70" spans="1:15" x14ac:dyDescent="0.25">
      <c r="A70" s="109" t="s">
        <v>227</v>
      </c>
      <c r="B70" s="106">
        <f ca="1">COUNTIF(INDIRECT(ADDRESS(21,2,1,,B$2)):INDIRECT(ADDRESS(22,2,1,,B$2)),$A70)</f>
        <v>0</v>
      </c>
      <c r="C70" s="106">
        <f ca="1">COUNTIF(INDIRECT(ADDRESS(21,2,1,,C$2)):INDIRECT(ADDRESS(22,2,1,,C$2)),$A70)</f>
        <v>0</v>
      </c>
      <c r="D70" s="106">
        <f ca="1">COUNTIF(INDIRECT(ADDRESS(21,2,1,,D$2)):INDIRECT(ADDRESS(22,2,1,,D$2)),$A70)</f>
        <v>0</v>
      </c>
      <c r="E70" s="106">
        <f ca="1">COUNTIF(INDIRECT(ADDRESS(21,2,1,,E$2)):INDIRECT(ADDRESS(22,2,1,,E$2)),$A70)</f>
        <v>0</v>
      </c>
      <c r="F70" s="106">
        <f ca="1">COUNTIF(INDIRECT(ADDRESS(21,2,1,,F$2)):INDIRECT(ADDRESS(22,2,1,,F$2)),$A70)</f>
        <v>1</v>
      </c>
      <c r="G70" s="106">
        <f ca="1">COUNTIF(INDIRECT(ADDRESS(21,2,1,,G$2)):INDIRECT(ADDRESS(22,2,1,,G$2)),$A70)</f>
        <v>0</v>
      </c>
      <c r="H70" s="106">
        <f ca="1">COUNTIF(INDIRECT(ADDRESS(21,2,1,,H$2)):INDIRECT(ADDRESS(22,2,1,,H$2)),$A70)</f>
        <v>0</v>
      </c>
      <c r="I70" s="106">
        <f ca="1">COUNTIF(INDIRECT(ADDRESS(21,2,1,,I$2)):INDIRECT(ADDRESS(22,2,1,,I$2)),$A70)</f>
        <v>0</v>
      </c>
      <c r="J70" s="106">
        <f ca="1">COUNTIF(INDIRECT(ADDRESS(21,2,1,,J$2)):INDIRECT(ADDRESS(22,2,1,,J$2)),$A70)</f>
        <v>0</v>
      </c>
      <c r="K70" s="106">
        <f ca="1">COUNTIF(INDIRECT(ADDRESS(21,2,1,,K$2)):INDIRECT(ADDRESS(22,2,1,,K$2)),$A70)</f>
        <v>0</v>
      </c>
      <c r="L70" s="106">
        <f ca="1">COUNTIF(INDIRECT(ADDRESS(21,2,1,,L$2)):INDIRECT(ADDRESS(22,2,1,,L$2)),$A70)</f>
        <v>0</v>
      </c>
      <c r="M70" s="106">
        <f ca="1">COUNTIF(INDIRECT(ADDRESS(21,2,1,,M$2)):INDIRECT(ADDRESS(22,2,1,,M$2)),$A70)</f>
        <v>0</v>
      </c>
      <c r="N70" s="106">
        <f ca="1">COUNTIF(INDIRECT(ADDRESS(21,2,1,,N$2)):INDIRECT(ADDRESS(22,2,1,,N$2)),$A70)</f>
        <v>0</v>
      </c>
      <c r="O70" s="94">
        <f t="shared" ca="1" si="22"/>
        <v>1</v>
      </c>
    </row>
    <row r="71" spans="1:15" x14ac:dyDescent="0.25">
      <c r="A71" s="109" t="s">
        <v>220</v>
      </c>
      <c r="B71" s="106">
        <f ca="1">COUNTIF(INDIRECT(ADDRESS(21,2,1,,B$2)):INDIRECT(ADDRESS(22,2,1,,B$2)),$A71)</f>
        <v>0</v>
      </c>
      <c r="C71" s="106">
        <f ca="1">COUNTIF(INDIRECT(ADDRESS(21,2,1,,C$2)):INDIRECT(ADDRESS(22,2,1,,C$2)),$A71)</f>
        <v>0</v>
      </c>
      <c r="D71" s="106">
        <f ca="1">COUNTIF(INDIRECT(ADDRESS(21,2,1,,D$2)):INDIRECT(ADDRESS(22,2,1,,D$2)),$A71)</f>
        <v>0</v>
      </c>
      <c r="E71" s="106">
        <f ca="1">COUNTIF(INDIRECT(ADDRESS(21,2,1,,E$2)):INDIRECT(ADDRESS(22,2,1,,E$2)),$A71)</f>
        <v>0</v>
      </c>
      <c r="F71" s="106">
        <f ca="1">COUNTIF(INDIRECT(ADDRESS(21,2,1,,F$2)):INDIRECT(ADDRESS(22,2,1,,F$2)),$A71)</f>
        <v>0</v>
      </c>
      <c r="G71" s="106">
        <f ca="1">COUNTIF(INDIRECT(ADDRESS(21,2,1,,G$2)):INDIRECT(ADDRESS(22,2,1,,G$2)),$A71)</f>
        <v>0</v>
      </c>
      <c r="H71" s="106">
        <f ca="1">COUNTIF(INDIRECT(ADDRESS(21,2,1,,H$2)):INDIRECT(ADDRESS(22,2,1,,H$2)),$A71)</f>
        <v>0</v>
      </c>
      <c r="I71" s="106">
        <f ca="1">COUNTIF(INDIRECT(ADDRESS(21,2,1,,I$2)):INDIRECT(ADDRESS(22,2,1,,I$2)),$A71)</f>
        <v>0</v>
      </c>
      <c r="J71" s="106">
        <f ca="1">COUNTIF(INDIRECT(ADDRESS(21,2,1,,J$2)):INDIRECT(ADDRESS(22,2,1,,J$2)),$A71)</f>
        <v>0</v>
      </c>
      <c r="K71" s="106">
        <f ca="1">COUNTIF(INDIRECT(ADDRESS(21,2,1,,K$2)):INDIRECT(ADDRESS(22,2,1,,K$2)),$A71)</f>
        <v>0</v>
      </c>
      <c r="L71" s="106">
        <f ca="1">COUNTIF(INDIRECT(ADDRESS(21,2,1,,L$2)):INDIRECT(ADDRESS(22,2,1,,L$2)),$A71)</f>
        <v>0</v>
      </c>
      <c r="M71" s="106">
        <f ca="1">COUNTIF(INDIRECT(ADDRESS(21,2,1,,M$2)):INDIRECT(ADDRESS(22,2,1,,M$2)),$A71)</f>
        <v>0</v>
      </c>
      <c r="N71" s="106">
        <f ca="1">COUNTIF(INDIRECT(ADDRESS(21,2,1,,N$2)):INDIRECT(ADDRESS(22,2,1,,N$2)),$A71)</f>
        <v>0</v>
      </c>
      <c r="O71" s="94">
        <f t="shared" ca="1" si="22"/>
        <v>0</v>
      </c>
    </row>
    <row r="72" spans="1:15" x14ac:dyDescent="0.25">
      <c r="A72" s="109" t="s">
        <v>218</v>
      </c>
      <c r="B72" s="106">
        <f ca="1">COUNTIF(INDIRECT(ADDRESS(21,2,1,,B$2)):INDIRECT(ADDRESS(22,2,1,,B$2)),$A72)</f>
        <v>0</v>
      </c>
      <c r="C72" s="106">
        <f ca="1">COUNTIF(INDIRECT(ADDRESS(21,2,1,,C$2)):INDIRECT(ADDRESS(22,2,1,,C$2)),$A72)</f>
        <v>0</v>
      </c>
      <c r="D72" s="106">
        <f ca="1">COUNTIF(INDIRECT(ADDRESS(21,2,1,,D$2)):INDIRECT(ADDRESS(22,2,1,,D$2)),$A72)</f>
        <v>0</v>
      </c>
      <c r="E72" s="106">
        <f ca="1">COUNTIF(INDIRECT(ADDRESS(21,2,1,,E$2)):INDIRECT(ADDRESS(22,2,1,,E$2)),$A72)</f>
        <v>0</v>
      </c>
      <c r="F72" s="106">
        <f ca="1">COUNTIF(INDIRECT(ADDRESS(21,2,1,,F$2)):INDIRECT(ADDRESS(22,2,1,,F$2)),$A72)</f>
        <v>0</v>
      </c>
      <c r="G72" s="106">
        <f ca="1">COUNTIF(INDIRECT(ADDRESS(21,2,1,,G$2)):INDIRECT(ADDRESS(22,2,1,,G$2)),$A72)</f>
        <v>0</v>
      </c>
      <c r="H72" s="106">
        <f ca="1">COUNTIF(INDIRECT(ADDRESS(21,2,1,,H$2)):INDIRECT(ADDRESS(22,2,1,,H$2)),$A72)</f>
        <v>0</v>
      </c>
      <c r="I72" s="106">
        <f ca="1">COUNTIF(INDIRECT(ADDRESS(21,2,1,,I$2)):INDIRECT(ADDRESS(22,2,1,,I$2)),$A72)</f>
        <v>0</v>
      </c>
      <c r="J72" s="106">
        <f ca="1">COUNTIF(INDIRECT(ADDRESS(21,2,1,,J$2)):INDIRECT(ADDRESS(22,2,1,,J$2)),$A72)</f>
        <v>0</v>
      </c>
      <c r="K72" s="106">
        <f ca="1">COUNTIF(INDIRECT(ADDRESS(21,2,1,,K$2)):INDIRECT(ADDRESS(22,2,1,,K$2)),$A72)</f>
        <v>0</v>
      </c>
      <c r="L72" s="106">
        <f ca="1">COUNTIF(INDIRECT(ADDRESS(21,2,1,,L$2)):INDIRECT(ADDRESS(22,2,1,,L$2)),$A72)</f>
        <v>0</v>
      </c>
      <c r="M72" s="106">
        <f ca="1">COUNTIF(INDIRECT(ADDRESS(21,2,1,,M$2)):INDIRECT(ADDRESS(22,2,1,,M$2)),$A72)</f>
        <v>0</v>
      </c>
      <c r="N72" s="106">
        <f ca="1">COUNTIF(INDIRECT(ADDRESS(21,2,1,,N$2)):INDIRECT(ADDRESS(22,2,1,,N$2)),$A72)</f>
        <v>0</v>
      </c>
      <c r="O72" s="94">
        <f t="shared" ca="1" si="22"/>
        <v>0</v>
      </c>
    </row>
    <row r="73" spans="1:15" x14ac:dyDescent="0.25">
      <c r="A73" s="109" t="s">
        <v>223</v>
      </c>
      <c r="B73" s="106">
        <f ca="1">COUNTIF(INDIRECT(ADDRESS(21,2,1,,B$2)):INDIRECT(ADDRESS(22,2,1,,B$2)),$A73)</f>
        <v>0</v>
      </c>
      <c r="C73" s="106">
        <f ca="1">COUNTIF(INDIRECT(ADDRESS(21,2,1,,C$2)):INDIRECT(ADDRESS(22,2,1,,C$2)),$A73)</f>
        <v>0</v>
      </c>
      <c r="D73" s="106">
        <f ca="1">COUNTIF(INDIRECT(ADDRESS(21,2,1,,D$2)):INDIRECT(ADDRESS(22,2,1,,D$2)),$A73)</f>
        <v>0</v>
      </c>
      <c r="E73" s="106">
        <f ca="1">COUNTIF(INDIRECT(ADDRESS(21,2,1,,E$2)):INDIRECT(ADDRESS(22,2,1,,E$2)),$A73)</f>
        <v>0</v>
      </c>
      <c r="F73" s="106">
        <f ca="1">COUNTIF(INDIRECT(ADDRESS(21,2,1,,F$2)):INDIRECT(ADDRESS(22,2,1,,F$2)),$A73)</f>
        <v>0</v>
      </c>
      <c r="G73" s="106">
        <f ca="1">COUNTIF(INDIRECT(ADDRESS(21,2,1,,G$2)):INDIRECT(ADDRESS(22,2,1,,G$2)),$A73)</f>
        <v>0</v>
      </c>
      <c r="H73" s="106">
        <f ca="1">COUNTIF(INDIRECT(ADDRESS(21,2,1,,H$2)):INDIRECT(ADDRESS(22,2,1,,H$2)),$A73)</f>
        <v>0</v>
      </c>
      <c r="I73" s="106">
        <f ca="1">COUNTIF(INDIRECT(ADDRESS(21,2,1,,I$2)):INDIRECT(ADDRESS(22,2,1,,I$2)),$A73)</f>
        <v>0</v>
      </c>
      <c r="J73" s="106">
        <f ca="1">COUNTIF(INDIRECT(ADDRESS(21,2,1,,J$2)):INDIRECT(ADDRESS(22,2,1,,J$2)),$A73)</f>
        <v>0</v>
      </c>
      <c r="K73" s="106">
        <f ca="1">COUNTIF(INDIRECT(ADDRESS(21,2,1,,K$2)):INDIRECT(ADDRESS(22,2,1,,K$2)),$A73)</f>
        <v>0</v>
      </c>
      <c r="L73" s="106">
        <f ca="1">COUNTIF(INDIRECT(ADDRESS(21,2,1,,L$2)):INDIRECT(ADDRESS(22,2,1,,L$2)),$A73)</f>
        <v>0</v>
      </c>
      <c r="M73" s="106">
        <f ca="1">COUNTIF(INDIRECT(ADDRESS(21,2,1,,M$2)):INDIRECT(ADDRESS(22,2,1,,M$2)),$A73)</f>
        <v>0</v>
      </c>
      <c r="N73" s="106">
        <f ca="1">COUNTIF(INDIRECT(ADDRESS(21,2,1,,N$2)):INDIRECT(ADDRESS(22,2,1,,N$2)),$A73)</f>
        <v>0</v>
      </c>
      <c r="O73" s="94">
        <f t="shared" ca="1" si="22"/>
        <v>0</v>
      </c>
    </row>
    <row r="74" spans="1:15" x14ac:dyDescent="0.25">
      <c r="A74" s="109" t="s">
        <v>224</v>
      </c>
      <c r="B74" s="106">
        <f ca="1">COUNTIF(INDIRECT(ADDRESS(21,2,1,,B$2)):INDIRECT(ADDRESS(22,2,1,,B$2)),$A74)</f>
        <v>0</v>
      </c>
      <c r="C74" s="106">
        <f ca="1">COUNTIF(INDIRECT(ADDRESS(21,2,1,,C$2)):INDIRECT(ADDRESS(22,2,1,,C$2)),$A74)</f>
        <v>0</v>
      </c>
      <c r="D74" s="106">
        <f ca="1">COUNTIF(INDIRECT(ADDRESS(21,2,1,,D$2)):INDIRECT(ADDRESS(22,2,1,,D$2)),$A74)</f>
        <v>0</v>
      </c>
      <c r="E74" s="106">
        <f ca="1">COUNTIF(INDIRECT(ADDRESS(21,2,1,,E$2)):INDIRECT(ADDRESS(22,2,1,,E$2)),$A74)</f>
        <v>0</v>
      </c>
      <c r="F74" s="106">
        <f ca="1">COUNTIF(INDIRECT(ADDRESS(21,2,1,,F$2)):INDIRECT(ADDRESS(22,2,1,,F$2)),$A74)</f>
        <v>0</v>
      </c>
      <c r="G74" s="106">
        <f ca="1">COUNTIF(INDIRECT(ADDRESS(21,2,1,,G$2)):INDIRECT(ADDRESS(22,2,1,,G$2)),$A74)</f>
        <v>0</v>
      </c>
      <c r="H74" s="106">
        <f ca="1">COUNTIF(INDIRECT(ADDRESS(21,2,1,,H$2)):INDIRECT(ADDRESS(22,2,1,,H$2)),$A74)</f>
        <v>0</v>
      </c>
      <c r="I74" s="106">
        <f ca="1">COUNTIF(INDIRECT(ADDRESS(21,2,1,,I$2)):INDIRECT(ADDRESS(22,2,1,,I$2)),$A74)</f>
        <v>0</v>
      </c>
      <c r="J74" s="106">
        <f ca="1">COUNTIF(INDIRECT(ADDRESS(21,2,1,,J$2)):INDIRECT(ADDRESS(22,2,1,,J$2)),$A74)</f>
        <v>0</v>
      </c>
      <c r="K74" s="106">
        <f ca="1">COUNTIF(INDIRECT(ADDRESS(21,2,1,,K$2)):INDIRECT(ADDRESS(22,2,1,,K$2)),$A74)</f>
        <v>0</v>
      </c>
      <c r="L74" s="106">
        <f ca="1">COUNTIF(INDIRECT(ADDRESS(21,2,1,,L$2)):INDIRECT(ADDRESS(22,2,1,,L$2)),$A74)</f>
        <v>0</v>
      </c>
      <c r="M74" s="106">
        <f ca="1">COUNTIF(INDIRECT(ADDRESS(21,2,1,,M$2)):INDIRECT(ADDRESS(22,2,1,,M$2)),$A74)</f>
        <v>0</v>
      </c>
      <c r="N74" s="106">
        <f ca="1">COUNTIF(INDIRECT(ADDRESS(21,2,1,,N$2)):INDIRECT(ADDRESS(22,2,1,,N$2)),$A74)</f>
        <v>0</v>
      </c>
      <c r="O74" s="94">
        <f t="shared" ca="1" si="22"/>
        <v>0</v>
      </c>
    </row>
    <row r="75" spans="1:15" x14ac:dyDescent="0.25">
      <c r="A75" s="109" t="s">
        <v>226</v>
      </c>
      <c r="B75" s="106">
        <f ca="1">COUNTIF(INDIRECT(ADDRESS(21,2,1,,B$2)):INDIRECT(ADDRESS(22,2,1,,B$2)),$A75)</f>
        <v>0</v>
      </c>
      <c r="C75" s="106">
        <f ca="1">COUNTIF(INDIRECT(ADDRESS(21,2,1,,C$2)):INDIRECT(ADDRESS(22,2,1,,C$2)),$A75)</f>
        <v>0</v>
      </c>
      <c r="D75" s="106">
        <f ca="1">COUNTIF(INDIRECT(ADDRESS(21,2,1,,D$2)):INDIRECT(ADDRESS(22,2,1,,D$2)),$A75)</f>
        <v>0</v>
      </c>
      <c r="E75" s="106">
        <f ca="1">COUNTIF(INDIRECT(ADDRESS(21,2,1,,E$2)):INDIRECT(ADDRESS(22,2,1,,E$2)),$A75)</f>
        <v>0</v>
      </c>
      <c r="F75" s="106">
        <f ca="1">COUNTIF(INDIRECT(ADDRESS(21,2,1,,F$2)):INDIRECT(ADDRESS(22,2,1,,F$2)),$A75)</f>
        <v>0</v>
      </c>
      <c r="G75" s="106">
        <f ca="1">COUNTIF(INDIRECT(ADDRESS(21,2,1,,G$2)):INDIRECT(ADDRESS(22,2,1,,G$2)),$A75)</f>
        <v>0</v>
      </c>
      <c r="H75" s="106">
        <f ca="1">COUNTIF(INDIRECT(ADDRESS(21,2,1,,H$2)):INDIRECT(ADDRESS(22,2,1,,H$2)),$A75)</f>
        <v>0</v>
      </c>
      <c r="I75" s="106">
        <f ca="1">COUNTIF(INDIRECT(ADDRESS(21,2,1,,I$2)):INDIRECT(ADDRESS(22,2,1,,I$2)),$A75)</f>
        <v>0</v>
      </c>
      <c r="J75" s="106">
        <f ca="1">COUNTIF(INDIRECT(ADDRESS(21,2,1,,J$2)):INDIRECT(ADDRESS(22,2,1,,J$2)),$A75)</f>
        <v>0</v>
      </c>
      <c r="K75" s="106">
        <f ca="1">COUNTIF(INDIRECT(ADDRESS(21,2,1,,K$2)):INDIRECT(ADDRESS(22,2,1,,K$2)),$A75)</f>
        <v>0</v>
      </c>
      <c r="L75" s="106">
        <f ca="1">COUNTIF(INDIRECT(ADDRESS(21,2,1,,L$2)):INDIRECT(ADDRESS(22,2,1,,L$2)),$A75)</f>
        <v>0</v>
      </c>
      <c r="M75" s="106">
        <f ca="1">COUNTIF(INDIRECT(ADDRESS(21,2,1,,M$2)):INDIRECT(ADDRESS(22,2,1,,M$2)),$A75)</f>
        <v>0</v>
      </c>
      <c r="N75" s="106">
        <f ca="1">COUNTIF(INDIRECT(ADDRESS(21,2,1,,N$2)):INDIRECT(ADDRESS(22,2,1,,N$2)),$A75)</f>
        <v>0</v>
      </c>
      <c r="O75" s="94">
        <f t="shared" ca="1" si="22"/>
        <v>0</v>
      </c>
    </row>
    <row r="76" spans="1:15" x14ac:dyDescent="0.25">
      <c r="A76" s="109" t="s">
        <v>222</v>
      </c>
      <c r="B76" s="106">
        <f ca="1">COUNTIF(INDIRECT(ADDRESS(21,2,1,,B$2)):INDIRECT(ADDRESS(22,2,1,,B$2)),$A76)</f>
        <v>0</v>
      </c>
      <c r="C76" s="106">
        <f ca="1">COUNTIF(INDIRECT(ADDRESS(21,2,1,,C$2)):INDIRECT(ADDRESS(22,2,1,,C$2)),$A76)</f>
        <v>0</v>
      </c>
      <c r="D76" s="106">
        <f ca="1">COUNTIF(INDIRECT(ADDRESS(21,2,1,,D$2)):INDIRECT(ADDRESS(22,2,1,,D$2)),$A76)</f>
        <v>0</v>
      </c>
      <c r="E76" s="106">
        <f ca="1">COUNTIF(INDIRECT(ADDRESS(21,2,1,,E$2)):INDIRECT(ADDRESS(22,2,1,,E$2)),$A76)</f>
        <v>0</v>
      </c>
      <c r="F76" s="106">
        <f ca="1">COUNTIF(INDIRECT(ADDRESS(21,2,1,,F$2)):INDIRECT(ADDRESS(22,2,1,,F$2)),$A76)</f>
        <v>0</v>
      </c>
      <c r="G76" s="106">
        <f ca="1">COUNTIF(INDIRECT(ADDRESS(21,2,1,,G$2)):INDIRECT(ADDRESS(22,2,1,,G$2)),$A76)</f>
        <v>0</v>
      </c>
      <c r="H76" s="106">
        <f ca="1">COUNTIF(INDIRECT(ADDRESS(21,2,1,,H$2)):INDIRECT(ADDRESS(22,2,1,,H$2)),$A76)</f>
        <v>0</v>
      </c>
      <c r="I76" s="106">
        <f ca="1">COUNTIF(INDIRECT(ADDRESS(21,2,1,,I$2)):INDIRECT(ADDRESS(22,2,1,,I$2)),$A76)</f>
        <v>0</v>
      </c>
      <c r="J76" s="106">
        <f ca="1">COUNTIF(INDIRECT(ADDRESS(21,2,1,,J$2)):INDIRECT(ADDRESS(22,2,1,,J$2)),$A76)</f>
        <v>0</v>
      </c>
      <c r="K76" s="106">
        <f ca="1">COUNTIF(INDIRECT(ADDRESS(21,2,1,,K$2)):INDIRECT(ADDRESS(22,2,1,,K$2)),$A76)</f>
        <v>0</v>
      </c>
      <c r="L76" s="106">
        <f ca="1">COUNTIF(INDIRECT(ADDRESS(21,2,1,,L$2)):INDIRECT(ADDRESS(22,2,1,,L$2)),$A76)</f>
        <v>0</v>
      </c>
      <c r="M76" s="106">
        <f ca="1">COUNTIF(INDIRECT(ADDRESS(21,2,1,,M$2)):INDIRECT(ADDRESS(22,2,1,,M$2)),$A76)</f>
        <v>0</v>
      </c>
      <c r="N76" s="106">
        <f ca="1">COUNTIF(INDIRECT(ADDRESS(21,2,1,,N$2)):INDIRECT(ADDRESS(22,2,1,,N$2)),$A76)</f>
        <v>0</v>
      </c>
      <c r="O76" s="94">
        <f t="shared" ca="1" si="22"/>
        <v>0</v>
      </c>
    </row>
    <row r="77" spans="1:15" x14ac:dyDescent="0.25">
      <c r="A77" s="109" t="s">
        <v>219</v>
      </c>
      <c r="B77" s="106">
        <f ca="1">COUNTIF(INDIRECT(ADDRESS(21,2,1,,B$2)):INDIRECT(ADDRESS(22,2,1,,B$2)),$A77)</f>
        <v>0</v>
      </c>
      <c r="C77" s="106">
        <f ca="1">COUNTIF(INDIRECT(ADDRESS(21,2,1,,C$2)):INDIRECT(ADDRESS(22,2,1,,C$2)),$A77)</f>
        <v>0</v>
      </c>
      <c r="D77" s="106">
        <f ca="1">COUNTIF(INDIRECT(ADDRESS(21,2,1,,D$2)):INDIRECT(ADDRESS(22,2,1,,D$2)),$A77)</f>
        <v>0</v>
      </c>
      <c r="E77" s="106">
        <f ca="1">COUNTIF(INDIRECT(ADDRESS(21,2,1,,E$2)):INDIRECT(ADDRESS(22,2,1,,E$2)),$A77)</f>
        <v>0</v>
      </c>
      <c r="F77" s="106">
        <f ca="1">COUNTIF(INDIRECT(ADDRESS(21,2,1,,F$2)):INDIRECT(ADDRESS(22,2,1,,F$2)),$A77)</f>
        <v>0</v>
      </c>
      <c r="G77" s="106">
        <f ca="1">COUNTIF(INDIRECT(ADDRESS(21,2,1,,G$2)):INDIRECT(ADDRESS(22,2,1,,G$2)),$A77)</f>
        <v>0</v>
      </c>
      <c r="H77" s="106">
        <f ca="1">COUNTIF(INDIRECT(ADDRESS(21,2,1,,H$2)):INDIRECT(ADDRESS(22,2,1,,H$2)),$A77)</f>
        <v>0</v>
      </c>
      <c r="I77" s="106">
        <f ca="1">COUNTIF(INDIRECT(ADDRESS(21,2,1,,I$2)):INDIRECT(ADDRESS(22,2,1,,I$2)),$A77)</f>
        <v>0</v>
      </c>
      <c r="J77" s="106">
        <f ca="1">COUNTIF(INDIRECT(ADDRESS(21,2,1,,J$2)):INDIRECT(ADDRESS(22,2,1,,J$2)),$A77)</f>
        <v>0</v>
      </c>
      <c r="K77" s="106">
        <f ca="1">COUNTIF(INDIRECT(ADDRESS(21,2,1,,K$2)):INDIRECT(ADDRESS(22,2,1,,K$2)),$A77)</f>
        <v>0</v>
      </c>
      <c r="L77" s="106">
        <f ca="1">COUNTIF(INDIRECT(ADDRESS(21,2,1,,L$2)):INDIRECT(ADDRESS(22,2,1,,L$2)),$A77)</f>
        <v>0</v>
      </c>
      <c r="M77" s="106">
        <f ca="1">COUNTIF(INDIRECT(ADDRESS(21,2,1,,M$2)):INDIRECT(ADDRESS(22,2,1,,M$2)),$A77)</f>
        <v>0</v>
      </c>
      <c r="N77" s="106">
        <f ca="1">COUNTIF(INDIRECT(ADDRESS(21,2,1,,N$2)):INDIRECT(ADDRESS(22,2,1,,N$2)),$A77)</f>
        <v>0</v>
      </c>
      <c r="O77" s="94">
        <f t="shared" ca="1" si="22"/>
        <v>0</v>
      </c>
    </row>
    <row r="80" spans="1:15" s="28" customFormat="1" ht="13.8" thickBot="1" x14ac:dyDescent="0.3">
      <c r="A80" s="104" t="s">
        <v>192</v>
      </c>
      <c r="B80" s="102">
        <f t="shared" ref="B80:N80" ca="1" si="23">SUM(B81:B93)</f>
        <v>0</v>
      </c>
      <c r="C80" s="102">
        <f t="shared" ca="1" si="23"/>
        <v>0</v>
      </c>
      <c r="D80" s="102">
        <f t="shared" ca="1" si="23"/>
        <v>0</v>
      </c>
      <c r="E80" s="102">
        <f t="shared" ca="1" si="23"/>
        <v>0</v>
      </c>
      <c r="F80" s="102">
        <f t="shared" ca="1" si="23"/>
        <v>0</v>
      </c>
      <c r="G80" s="102">
        <f t="shared" ca="1" si="23"/>
        <v>0</v>
      </c>
      <c r="H80" s="102">
        <f t="shared" ca="1" si="23"/>
        <v>0</v>
      </c>
      <c r="I80" s="102">
        <f t="shared" ca="1" si="23"/>
        <v>0</v>
      </c>
      <c r="J80" s="102">
        <f t="shared" ca="1" si="23"/>
        <v>0</v>
      </c>
      <c r="K80" s="102">
        <f t="shared" ca="1" si="23"/>
        <v>0</v>
      </c>
      <c r="L80" s="102">
        <f t="shared" ca="1" si="23"/>
        <v>0</v>
      </c>
      <c r="M80" s="102">
        <f t="shared" ca="1" si="23"/>
        <v>0</v>
      </c>
      <c r="N80" s="102">
        <f t="shared" ca="1" si="23"/>
        <v>0</v>
      </c>
      <c r="O80" s="103"/>
    </row>
    <row r="81" spans="1:15" x14ac:dyDescent="0.25">
      <c r="A81" s="109" t="s">
        <v>185</v>
      </c>
      <c r="B81" s="106">
        <f ca="1">COUNTIF(INDIRECT(ADDRESS(21,2,1,,B$2)):INDIRECT(ADDRESS(22,2,1,,B$2)),$A81)</f>
        <v>0</v>
      </c>
      <c r="C81" s="106">
        <f ca="1">COUNTIF(INDIRECT(ADDRESS(21,2,1,,C$2)):INDIRECT(ADDRESS(22,2,1,,C$2)),$A81)</f>
        <v>0</v>
      </c>
      <c r="D81" s="106">
        <f ca="1">COUNTIF(INDIRECT(ADDRESS(21,2,1,,D$2)):INDIRECT(ADDRESS(22,2,1,,D$2)),$A81)</f>
        <v>0</v>
      </c>
      <c r="E81" s="106">
        <f ca="1">COUNTIF(INDIRECT(ADDRESS(21,2,1,,E$2)):INDIRECT(ADDRESS(22,2,1,,E$2)),$A81)</f>
        <v>0</v>
      </c>
      <c r="F81" s="106">
        <f ca="1">COUNTIF(INDIRECT(ADDRESS(21,2,1,,F$2)):INDIRECT(ADDRESS(22,2,1,,F$2)),$A81)</f>
        <v>0</v>
      </c>
      <c r="G81" s="106">
        <f ca="1">COUNTIF(INDIRECT(ADDRESS(21,2,1,,G$2)):INDIRECT(ADDRESS(22,2,1,,G$2)),$A81)</f>
        <v>0</v>
      </c>
      <c r="H81" s="106">
        <f ca="1">COUNTIF(INDIRECT(ADDRESS(21,2,1,,H$2)):INDIRECT(ADDRESS(22,2,1,,H$2)),$A81)</f>
        <v>0</v>
      </c>
      <c r="I81" s="106">
        <f ca="1">COUNTIF(INDIRECT(ADDRESS(21,2,1,,I$2)):INDIRECT(ADDRESS(22,2,1,,I$2)),$A81)</f>
        <v>0</v>
      </c>
      <c r="J81" s="106">
        <f ca="1">COUNTIF(INDIRECT(ADDRESS(21,2,1,,J$2)):INDIRECT(ADDRESS(22,2,1,,J$2)),$A81)</f>
        <v>0</v>
      </c>
      <c r="K81" s="106">
        <f ca="1">COUNTIF(INDIRECT(ADDRESS(21,2,1,,K$2)):INDIRECT(ADDRESS(22,2,1,,K$2)),$A81)</f>
        <v>0</v>
      </c>
      <c r="L81" s="106">
        <f ca="1">COUNTIF(INDIRECT(ADDRESS(21,2,1,,L$2)):INDIRECT(ADDRESS(22,2,1,,L$2)),$A81)</f>
        <v>0</v>
      </c>
      <c r="M81" s="106">
        <f ca="1">COUNTIF(INDIRECT(ADDRESS(21,2,1,,M$2)):INDIRECT(ADDRESS(22,2,1,,M$2)),$A81)</f>
        <v>0</v>
      </c>
      <c r="N81" s="106">
        <f ca="1">COUNTIF(INDIRECT(ADDRESS(21,2,1,,N$2)):INDIRECT(ADDRESS(22,2,1,,N$2)),$A81)</f>
        <v>0</v>
      </c>
      <c r="O81" s="94">
        <f t="shared" ref="O81:O92" ca="1" si="24">SUM(B81:N81)</f>
        <v>0</v>
      </c>
    </row>
    <row r="82" spans="1:15" x14ac:dyDescent="0.25">
      <c r="A82" s="109" t="s">
        <v>232</v>
      </c>
      <c r="B82" s="106">
        <f ca="1">COUNTIF(INDIRECT(ADDRESS(21,2,1,,B$2)):INDIRECT(ADDRESS(22,2,1,,B$2)),$A82)</f>
        <v>0</v>
      </c>
      <c r="C82" s="106">
        <f ca="1">COUNTIF(INDIRECT(ADDRESS(21,2,1,,C$2)):INDIRECT(ADDRESS(22,2,1,,C$2)),$A82)</f>
        <v>0</v>
      </c>
      <c r="D82" s="106">
        <f ca="1">COUNTIF(INDIRECT(ADDRESS(21,2,1,,D$2)):INDIRECT(ADDRESS(22,2,1,,D$2)),$A82)</f>
        <v>0</v>
      </c>
      <c r="E82" s="106">
        <f ca="1">COUNTIF(INDIRECT(ADDRESS(21,2,1,,E$2)):INDIRECT(ADDRESS(22,2,1,,E$2)),$A82)</f>
        <v>0</v>
      </c>
      <c r="F82" s="106">
        <f ca="1">COUNTIF(INDIRECT(ADDRESS(21,2,1,,F$2)):INDIRECT(ADDRESS(22,2,1,,F$2)),$A82)</f>
        <v>0</v>
      </c>
      <c r="G82" s="106">
        <f ca="1">COUNTIF(INDIRECT(ADDRESS(21,2,1,,G$2)):INDIRECT(ADDRESS(22,2,1,,G$2)),$A82)</f>
        <v>0</v>
      </c>
      <c r="H82" s="106">
        <f ca="1">COUNTIF(INDIRECT(ADDRESS(21,2,1,,H$2)):INDIRECT(ADDRESS(22,2,1,,H$2)),$A82)</f>
        <v>0</v>
      </c>
      <c r="I82" s="106">
        <f ca="1">COUNTIF(INDIRECT(ADDRESS(21,2,1,,I$2)):INDIRECT(ADDRESS(22,2,1,,I$2)),$A82)</f>
        <v>0</v>
      </c>
      <c r="J82" s="106">
        <f ca="1">COUNTIF(INDIRECT(ADDRESS(21,2,1,,J$2)):INDIRECT(ADDRESS(22,2,1,,J$2)),$A82)</f>
        <v>0</v>
      </c>
      <c r="K82" s="106">
        <f ca="1">COUNTIF(INDIRECT(ADDRESS(21,2,1,,K$2)):INDIRECT(ADDRESS(22,2,1,,K$2)),$A82)</f>
        <v>0</v>
      </c>
      <c r="L82" s="106">
        <f ca="1">COUNTIF(INDIRECT(ADDRESS(21,2,1,,L$2)):INDIRECT(ADDRESS(22,2,1,,L$2)),$A82)</f>
        <v>0</v>
      </c>
      <c r="M82" s="106">
        <f ca="1">COUNTIF(INDIRECT(ADDRESS(21,2,1,,M$2)):INDIRECT(ADDRESS(22,2,1,,M$2)),$A82)</f>
        <v>0</v>
      </c>
      <c r="N82" s="106">
        <f ca="1">COUNTIF(INDIRECT(ADDRESS(21,2,1,,N$2)):INDIRECT(ADDRESS(22,2,1,,N$2)),$A82)</f>
        <v>0</v>
      </c>
      <c r="O82" s="94">
        <f t="shared" ca="1" si="24"/>
        <v>0</v>
      </c>
    </row>
    <row r="83" spans="1:15" x14ac:dyDescent="0.25">
      <c r="A83" s="109" t="s">
        <v>183</v>
      </c>
      <c r="B83" s="106">
        <f ca="1">COUNTIF(INDIRECT(ADDRESS(21,2,1,,B$2)):INDIRECT(ADDRESS(22,2,1,,B$2)),$A83)</f>
        <v>0</v>
      </c>
      <c r="C83" s="106">
        <f ca="1">COUNTIF(INDIRECT(ADDRESS(21,2,1,,C$2)):INDIRECT(ADDRESS(22,2,1,,C$2)),$A83)</f>
        <v>0</v>
      </c>
      <c r="D83" s="106">
        <f ca="1">COUNTIF(INDIRECT(ADDRESS(21,2,1,,D$2)):INDIRECT(ADDRESS(22,2,1,,D$2)),$A83)</f>
        <v>0</v>
      </c>
      <c r="E83" s="106">
        <f ca="1">COUNTIF(INDIRECT(ADDRESS(21,2,1,,E$2)):INDIRECT(ADDRESS(22,2,1,,E$2)),$A83)</f>
        <v>0</v>
      </c>
      <c r="F83" s="106">
        <f ca="1">COUNTIF(INDIRECT(ADDRESS(21,2,1,,F$2)):INDIRECT(ADDRESS(22,2,1,,F$2)),$A83)</f>
        <v>0</v>
      </c>
      <c r="G83" s="106">
        <f ca="1">COUNTIF(INDIRECT(ADDRESS(21,2,1,,G$2)):INDIRECT(ADDRESS(22,2,1,,G$2)),$A83)</f>
        <v>0</v>
      </c>
      <c r="H83" s="106">
        <f ca="1">COUNTIF(INDIRECT(ADDRESS(21,2,1,,H$2)):INDIRECT(ADDRESS(22,2,1,,H$2)),$A83)</f>
        <v>0</v>
      </c>
      <c r="I83" s="106">
        <f ca="1">COUNTIF(INDIRECT(ADDRESS(21,2,1,,I$2)):INDIRECT(ADDRESS(22,2,1,,I$2)),$A83)</f>
        <v>0</v>
      </c>
      <c r="J83" s="106">
        <f ca="1">COUNTIF(INDIRECT(ADDRESS(21,2,1,,J$2)):INDIRECT(ADDRESS(22,2,1,,J$2)),$A83)</f>
        <v>0</v>
      </c>
      <c r="K83" s="106">
        <f ca="1">COUNTIF(INDIRECT(ADDRESS(21,2,1,,K$2)):INDIRECT(ADDRESS(22,2,1,,K$2)),$A83)</f>
        <v>0</v>
      </c>
      <c r="L83" s="106">
        <f ca="1">COUNTIF(INDIRECT(ADDRESS(21,2,1,,L$2)):INDIRECT(ADDRESS(22,2,1,,L$2)),$A83)</f>
        <v>0</v>
      </c>
      <c r="M83" s="106">
        <f ca="1">COUNTIF(INDIRECT(ADDRESS(21,2,1,,M$2)):INDIRECT(ADDRESS(22,2,1,,M$2)),$A83)</f>
        <v>0</v>
      </c>
      <c r="N83" s="106">
        <f ca="1">COUNTIF(INDIRECT(ADDRESS(21,2,1,,N$2)):INDIRECT(ADDRESS(22,2,1,,N$2)),$A83)</f>
        <v>0</v>
      </c>
      <c r="O83" s="94">
        <f t="shared" ca="1" si="24"/>
        <v>0</v>
      </c>
    </row>
    <row r="84" spans="1:15" x14ac:dyDescent="0.25">
      <c r="A84" s="109" t="s">
        <v>229</v>
      </c>
      <c r="B84" s="106">
        <f ca="1">COUNTIF(INDIRECT(ADDRESS(21,2,1,,B$2)):INDIRECT(ADDRESS(22,2,1,,B$2)),$A84)</f>
        <v>0</v>
      </c>
      <c r="C84" s="106">
        <f ca="1">COUNTIF(INDIRECT(ADDRESS(21,2,1,,C$2)):INDIRECT(ADDRESS(22,2,1,,C$2)),$A84)</f>
        <v>0</v>
      </c>
      <c r="D84" s="106">
        <f ca="1">COUNTIF(INDIRECT(ADDRESS(21,2,1,,D$2)):INDIRECT(ADDRESS(22,2,1,,D$2)),$A84)</f>
        <v>0</v>
      </c>
      <c r="E84" s="106">
        <f ca="1">COUNTIF(INDIRECT(ADDRESS(21,2,1,,E$2)):INDIRECT(ADDRESS(22,2,1,,E$2)),$A84)</f>
        <v>0</v>
      </c>
      <c r="F84" s="106">
        <f ca="1">COUNTIF(INDIRECT(ADDRESS(21,2,1,,F$2)):INDIRECT(ADDRESS(22,2,1,,F$2)),$A84)</f>
        <v>0</v>
      </c>
      <c r="G84" s="106">
        <f ca="1">COUNTIF(INDIRECT(ADDRESS(21,2,1,,G$2)):INDIRECT(ADDRESS(22,2,1,,G$2)),$A84)</f>
        <v>0</v>
      </c>
      <c r="H84" s="106">
        <f ca="1">COUNTIF(INDIRECT(ADDRESS(21,2,1,,H$2)):INDIRECT(ADDRESS(22,2,1,,H$2)),$A84)</f>
        <v>0</v>
      </c>
      <c r="I84" s="106">
        <f ca="1">COUNTIF(INDIRECT(ADDRESS(21,2,1,,I$2)):INDIRECT(ADDRESS(22,2,1,,I$2)),$A84)</f>
        <v>0</v>
      </c>
      <c r="J84" s="106">
        <f ca="1">COUNTIF(INDIRECT(ADDRESS(21,2,1,,J$2)):INDIRECT(ADDRESS(22,2,1,,J$2)),$A84)</f>
        <v>0</v>
      </c>
      <c r="K84" s="106">
        <f ca="1">COUNTIF(INDIRECT(ADDRESS(21,2,1,,K$2)):INDIRECT(ADDRESS(22,2,1,,K$2)),$A84)</f>
        <v>0</v>
      </c>
      <c r="L84" s="106">
        <f ca="1">COUNTIF(INDIRECT(ADDRESS(21,2,1,,L$2)):INDIRECT(ADDRESS(22,2,1,,L$2)),$A84)</f>
        <v>0</v>
      </c>
      <c r="M84" s="106">
        <f ca="1">COUNTIF(INDIRECT(ADDRESS(21,2,1,,M$2)):INDIRECT(ADDRESS(22,2,1,,M$2)),$A84)</f>
        <v>0</v>
      </c>
      <c r="N84" s="106">
        <f ca="1">COUNTIF(INDIRECT(ADDRESS(21,2,1,,N$2)):INDIRECT(ADDRESS(22,2,1,,N$2)),$A84)</f>
        <v>0</v>
      </c>
      <c r="O84" s="94">
        <f t="shared" ca="1" si="24"/>
        <v>0</v>
      </c>
    </row>
    <row r="85" spans="1:15" x14ac:dyDescent="0.25">
      <c r="A85" s="109" t="s">
        <v>228</v>
      </c>
      <c r="B85" s="106">
        <f ca="1">COUNTIF(INDIRECT(ADDRESS(21,2,1,,B$2)):INDIRECT(ADDRESS(22,2,1,,B$2)),$A85)</f>
        <v>0</v>
      </c>
      <c r="C85" s="106">
        <f ca="1">COUNTIF(INDIRECT(ADDRESS(21,2,1,,C$2)):INDIRECT(ADDRESS(22,2,1,,C$2)),$A85)</f>
        <v>0</v>
      </c>
      <c r="D85" s="106">
        <f ca="1">COUNTIF(INDIRECT(ADDRESS(21,2,1,,D$2)):INDIRECT(ADDRESS(22,2,1,,D$2)),$A85)</f>
        <v>0</v>
      </c>
      <c r="E85" s="106">
        <f ca="1">COUNTIF(INDIRECT(ADDRESS(21,2,1,,E$2)):INDIRECT(ADDRESS(22,2,1,,E$2)),$A85)</f>
        <v>0</v>
      </c>
      <c r="F85" s="106">
        <f ca="1">COUNTIF(INDIRECT(ADDRESS(21,2,1,,F$2)):INDIRECT(ADDRESS(22,2,1,,F$2)),$A85)</f>
        <v>0</v>
      </c>
      <c r="G85" s="106">
        <f ca="1">COUNTIF(INDIRECT(ADDRESS(21,2,1,,G$2)):INDIRECT(ADDRESS(22,2,1,,G$2)),$A85)</f>
        <v>0</v>
      </c>
      <c r="H85" s="106">
        <f ca="1">COUNTIF(INDIRECT(ADDRESS(21,2,1,,H$2)):INDIRECT(ADDRESS(22,2,1,,H$2)),$A85)</f>
        <v>0</v>
      </c>
      <c r="I85" s="106">
        <f ca="1">COUNTIF(INDIRECT(ADDRESS(21,2,1,,I$2)):INDIRECT(ADDRESS(22,2,1,,I$2)),$A85)</f>
        <v>0</v>
      </c>
      <c r="J85" s="106">
        <f ca="1">COUNTIF(INDIRECT(ADDRESS(21,2,1,,J$2)):INDIRECT(ADDRESS(22,2,1,,J$2)),$A85)</f>
        <v>0</v>
      </c>
      <c r="K85" s="106">
        <f ca="1">COUNTIF(INDIRECT(ADDRESS(21,2,1,,K$2)):INDIRECT(ADDRESS(22,2,1,,K$2)),$A85)</f>
        <v>0</v>
      </c>
      <c r="L85" s="106">
        <f ca="1">COUNTIF(INDIRECT(ADDRESS(21,2,1,,L$2)):INDIRECT(ADDRESS(22,2,1,,L$2)),$A85)</f>
        <v>0</v>
      </c>
      <c r="M85" s="106">
        <f ca="1">COUNTIF(INDIRECT(ADDRESS(21,2,1,,M$2)):INDIRECT(ADDRESS(22,2,1,,M$2)),$A85)</f>
        <v>0</v>
      </c>
      <c r="N85" s="106">
        <f ca="1">COUNTIF(INDIRECT(ADDRESS(21,2,1,,N$2)):INDIRECT(ADDRESS(22,2,1,,N$2)),$A85)</f>
        <v>0</v>
      </c>
      <c r="O85" s="94">
        <f t="shared" ca="1" si="24"/>
        <v>0</v>
      </c>
    </row>
    <row r="86" spans="1:15" x14ac:dyDescent="0.25">
      <c r="A86" s="109" t="s">
        <v>230</v>
      </c>
      <c r="B86" s="106">
        <f ca="1">COUNTIF(INDIRECT(ADDRESS(21,2,1,,B$2)):INDIRECT(ADDRESS(22,2,1,,B$2)),$A86)</f>
        <v>0</v>
      </c>
      <c r="C86" s="106">
        <f ca="1">COUNTIF(INDIRECT(ADDRESS(21,2,1,,C$2)):INDIRECT(ADDRESS(22,2,1,,C$2)),$A86)</f>
        <v>0</v>
      </c>
      <c r="D86" s="106">
        <f ca="1">COUNTIF(INDIRECT(ADDRESS(21,2,1,,D$2)):INDIRECT(ADDRESS(22,2,1,,D$2)),$A86)</f>
        <v>0</v>
      </c>
      <c r="E86" s="106">
        <f ca="1">COUNTIF(INDIRECT(ADDRESS(21,2,1,,E$2)):INDIRECT(ADDRESS(22,2,1,,E$2)),$A86)</f>
        <v>0</v>
      </c>
      <c r="F86" s="106">
        <f ca="1">COUNTIF(INDIRECT(ADDRESS(21,2,1,,F$2)):INDIRECT(ADDRESS(22,2,1,,F$2)),$A86)</f>
        <v>0</v>
      </c>
      <c r="G86" s="106">
        <f ca="1">COUNTIF(INDIRECT(ADDRESS(21,2,1,,G$2)):INDIRECT(ADDRESS(22,2,1,,G$2)),$A86)</f>
        <v>0</v>
      </c>
      <c r="H86" s="106">
        <f ca="1">COUNTIF(INDIRECT(ADDRESS(21,2,1,,H$2)):INDIRECT(ADDRESS(22,2,1,,H$2)),$A86)</f>
        <v>0</v>
      </c>
      <c r="I86" s="106">
        <f ca="1">COUNTIF(INDIRECT(ADDRESS(21,2,1,,I$2)):INDIRECT(ADDRESS(22,2,1,,I$2)),$A86)</f>
        <v>0</v>
      </c>
      <c r="J86" s="106">
        <f ca="1">COUNTIF(INDIRECT(ADDRESS(21,2,1,,J$2)):INDIRECT(ADDRESS(22,2,1,,J$2)),$A86)</f>
        <v>0</v>
      </c>
      <c r="K86" s="106">
        <f ca="1">COUNTIF(INDIRECT(ADDRESS(21,2,1,,K$2)):INDIRECT(ADDRESS(22,2,1,,K$2)),$A86)</f>
        <v>0</v>
      </c>
      <c r="L86" s="106">
        <f ca="1">COUNTIF(INDIRECT(ADDRESS(21,2,1,,L$2)):INDIRECT(ADDRESS(22,2,1,,L$2)),$A86)</f>
        <v>0</v>
      </c>
      <c r="M86" s="106">
        <f ca="1">COUNTIF(INDIRECT(ADDRESS(21,2,1,,M$2)):INDIRECT(ADDRESS(22,2,1,,M$2)),$A86)</f>
        <v>0</v>
      </c>
      <c r="N86" s="106">
        <f ca="1">COUNTIF(INDIRECT(ADDRESS(21,2,1,,N$2)):INDIRECT(ADDRESS(22,2,1,,N$2)),$A86)</f>
        <v>0</v>
      </c>
      <c r="O86" s="94">
        <f t="shared" ca="1" si="24"/>
        <v>0</v>
      </c>
    </row>
    <row r="87" spans="1:15" x14ac:dyDescent="0.25">
      <c r="A87" s="109" t="s">
        <v>231</v>
      </c>
      <c r="B87" s="106">
        <f ca="1">COUNTIF(INDIRECT(ADDRESS(21,2,1,,B$2)):INDIRECT(ADDRESS(22,2,1,,B$2)),$A87)</f>
        <v>0</v>
      </c>
      <c r="C87" s="106">
        <f ca="1">COUNTIF(INDIRECT(ADDRESS(21,2,1,,C$2)):INDIRECT(ADDRESS(22,2,1,,C$2)),$A87)</f>
        <v>0</v>
      </c>
      <c r="D87" s="106">
        <f ca="1">COUNTIF(INDIRECT(ADDRESS(21,2,1,,D$2)):INDIRECT(ADDRESS(22,2,1,,D$2)),$A87)</f>
        <v>0</v>
      </c>
      <c r="E87" s="106">
        <f ca="1">COUNTIF(INDIRECT(ADDRESS(21,2,1,,E$2)):INDIRECT(ADDRESS(22,2,1,,E$2)),$A87)</f>
        <v>0</v>
      </c>
      <c r="F87" s="106">
        <f ca="1">COUNTIF(INDIRECT(ADDRESS(21,2,1,,F$2)):INDIRECT(ADDRESS(22,2,1,,F$2)),$A87)</f>
        <v>0</v>
      </c>
      <c r="G87" s="106">
        <f ca="1">COUNTIF(INDIRECT(ADDRESS(21,2,1,,G$2)):INDIRECT(ADDRESS(22,2,1,,G$2)),$A87)</f>
        <v>0</v>
      </c>
      <c r="H87" s="106">
        <f ca="1">COUNTIF(INDIRECT(ADDRESS(21,2,1,,H$2)):INDIRECT(ADDRESS(22,2,1,,H$2)),$A87)</f>
        <v>0</v>
      </c>
      <c r="I87" s="106">
        <f ca="1">COUNTIF(INDIRECT(ADDRESS(21,2,1,,I$2)):INDIRECT(ADDRESS(22,2,1,,I$2)),$A87)</f>
        <v>0</v>
      </c>
      <c r="J87" s="106">
        <f ca="1">COUNTIF(INDIRECT(ADDRESS(21,2,1,,J$2)):INDIRECT(ADDRESS(22,2,1,,J$2)),$A87)</f>
        <v>0</v>
      </c>
      <c r="K87" s="106">
        <f ca="1">COUNTIF(INDIRECT(ADDRESS(21,2,1,,K$2)):INDIRECT(ADDRESS(22,2,1,,K$2)),$A87)</f>
        <v>0</v>
      </c>
      <c r="L87" s="106">
        <f ca="1">COUNTIF(INDIRECT(ADDRESS(21,2,1,,L$2)):INDIRECT(ADDRESS(22,2,1,,L$2)),$A87)</f>
        <v>0</v>
      </c>
      <c r="M87" s="106">
        <f ca="1">COUNTIF(INDIRECT(ADDRESS(21,2,1,,M$2)):INDIRECT(ADDRESS(22,2,1,,M$2)),$A87)</f>
        <v>0</v>
      </c>
      <c r="N87" s="106">
        <f ca="1">COUNTIF(INDIRECT(ADDRESS(21,2,1,,N$2)):INDIRECT(ADDRESS(22,2,1,,N$2)),$A87)</f>
        <v>0</v>
      </c>
      <c r="O87" s="94">
        <f t="shared" ca="1" si="24"/>
        <v>0</v>
      </c>
    </row>
    <row r="88" spans="1:15" x14ac:dyDescent="0.25">
      <c r="A88" s="109" t="s">
        <v>233</v>
      </c>
      <c r="B88" s="106">
        <f ca="1">COUNTIF(INDIRECT(ADDRESS(21,2,1,,B$2)):INDIRECT(ADDRESS(22,2,1,,B$2)),$A88)</f>
        <v>0</v>
      </c>
      <c r="C88" s="106">
        <f ca="1">COUNTIF(INDIRECT(ADDRESS(21,2,1,,C$2)):INDIRECT(ADDRESS(22,2,1,,C$2)),$A88)</f>
        <v>0</v>
      </c>
      <c r="D88" s="106">
        <f ca="1">COUNTIF(INDIRECT(ADDRESS(21,2,1,,D$2)):INDIRECT(ADDRESS(22,2,1,,D$2)),$A88)</f>
        <v>0</v>
      </c>
      <c r="E88" s="106">
        <f ca="1">COUNTIF(INDIRECT(ADDRESS(21,2,1,,E$2)):INDIRECT(ADDRESS(22,2,1,,E$2)),$A88)</f>
        <v>0</v>
      </c>
      <c r="F88" s="106">
        <f ca="1">COUNTIF(INDIRECT(ADDRESS(21,2,1,,F$2)):INDIRECT(ADDRESS(22,2,1,,F$2)),$A88)</f>
        <v>0</v>
      </c>
      <c r="G88" s="106">
        <f ca="1">COUNTIF(INDIRECT(ADDRESS(21,2,1,,G$2)):INDIRECT(ADDRESS(22,2,1,,G$2)),$A88)</f>
        <v>0</v>
      </c>
      <c r="H88" s="106">
        <f ca="1">COUNTIF(INDIRECT(ADDRESS(21,2,1,,H$2)):INDIRECT(ADDRESS(22,2,1,,H$2)),$A88)</f>
        <v>0</v>
      </c>
      <c r="I88" s="106">
        <f ca="1">COUNTIF(INDIRECT(ADDRESS(21,2,1,,I$2)):INDIRECT(ADDRESS(22,2,1,,I$2)),$A88)</f>
        <v>0</v>
      </c>
      <c r="J88" s="106">
        <f ca="1">COUNTIF(INDIRECT(ADDRESS(21,2,1,,J$2)):INDIRECT(ADDRESS(22,2,1,,J$2)),$A88)</f>
        <v>0</v>
      </c>
      <c r="K88" s="106">
        <f ca="1">COUNTIF(INDIRECT(ADDRESS(21,2,1,,K$2)):INDIRECT(ADDRESS(22,2,1,,K$2)),$A88)</f>
        <v>0</v>
      </c>
      <c r="L88" s="106">
        <f ca="1">COUNTIF(INDIRECT(ADDRESS(21,2,1,,L$2)):INDIRECT(ADDRESS(22,2,1,,L$2)),$A88)</f>
        <v>0</v>
      </c>
      <c r="M88" s="106">
        <f ca="1">COUNTIF(INDIRECT(ADDRESS(21,2,1,,M$2)):INDIRECT(ADDRESS(22,2,1,,M$2)),$A88)</f>
        <v>0</v>
      </c>
      <c r="N88" s="106">
        <f ca="1">COUNTIF(INDIRECT(ADDRESS(21,2,1,,N$2)):INDIRECT(ADDRESS(22,2,1,,N$2)),$A88)</f>
        <v>0</v>
      </c>
      <c r="O88" s="94">
        <f t="shared" ca="1" si="24"/>
        <v>0</v>
      </c>
    </row>
    <row r="89" spans="1:15" x14ac:dyDescent="0.25">
      <c r="A89" s="109" t="s">
        <v>234</v>
      </c>
      <c r="B89" s="106">
        <f ca="1">COUNTIF(INDIRECT(ADDRESS(21,2,1,,B$2)):INDIRECT(ADDRESS(22,2,1,,B$2)),$A89)</f>
        <v>0</v>
      </c>
      <c r="C89" s="106">
        <f ca="1">COUNTIF(INDIRECT(ADDRESS(21,2,1,,C$2)):INDIRECT(ADDRESS(22,2,1,,C$2)),$A89)</f>
        <v>0</v>
      </c>
      <c r="D89" s="106">
        <f ca="1">COUNTIF(INDIRECT(ADDRESS(21,2,1,,D$2)):INDIRECT(ADDRESS(22,2,1,,D$2)),$A89)</f>
        <v>0</v>
      </c>
      <c r="E89" s="106">
        <f ca="1">COUNTIF(INDIRECT(ADDRESS(21,2,1,,E$2)):INDIRECT(ADDRESS(22,2,1,,E$2)),$A89)</f>
        <v>0</v>
      </c>
      <c r="F89" s="106">
        <f ca="1">COUNTIF(INDIRECT(ADDRESS(21,2,1,,F$2)):INDIRECT(ADDRESS(22,2,1,,F$2)),$A89)</f>
        <v>0</v>
      </c>
      <c r="G89" s="106">
        <f ca="1">COUNTIF(INDIRECT(ADDRESS(21,2,1,,G$2)):INDIRECT(ADDRESS(22,2,1,,G$2)),$A89)</f>
        <v>0</v>
      </c>
      <c r="H89" s="106">
        <f ca="1">COUNTIF(INDIRECT(ADDRESS(21,2,1,,H$2)):INDIRECT(ADDRESS(22,2,1,,H$2)),$A89)</f>
        <v>0</v>
      </c>
      <c r="I89" s="106">
        <f ca="1">COUNTIF(INDIRECT(ADDRESS(21,2,1,,I$2)):INDIRECT(ADDRESS(22,2,1,,I$2)),$A89)</f>
        <v>0</v>
      </c>
      <c r="J89" s="106">
        <f ca="1">COUNTIF(INDIRECT(ADDRESS(21,2,1,,J$2)):INDIRECT(ADDRESS(22,2,1,,J$2)),$A89)</f>
        <v>0</v>
      </c>
      <c r="K89" s="106">
        <f ca="1">COUNTIF(INDIRECT(ADDRESS(21,2,1,,K$2)):INDIRECT(ADDRESS(22,2,1,,K$2)),$A89)</f>
        <v>0</v>
      </c>
      <c r="L89" s="106">
        <f ca="1">COUNTIF(INDIRECT(ADDRESS(21,2,1,,L$2)):INDIRECT(ADDRESS(22,2,1,,L$2)),$A89)</f>
        <v>0</v>
      </c>
      <c r="M89" s="106">
        <f ca="1">COUNTIF(INDIRECT(ADDRESS(21,2,1,,M$2)):INDIRECT(ADDRESS(22,2,1,,M$2)),$A89)</f>
        <v>0</v>
      </c>
      <c r="N89" s="106">
        <f ca="1">COUNTIF(INDIRECT(ADDRESS(21,2,1,,N$2)):INDIRECT(ADDRESS(22,2,1,,N$2)),$A89)</f>
        <v>0</v>
      </c>
      <c r="O89" s="94">
        <f t="shared" ca="1" si="24"/>
        <v>0</v>
      </c>
    </row>
    <row r="90" spans="1:15" x14ac:dyDescent="0.25">
      <c r="A90" s="109" t="s">
        <v>235</v>
      </c>
      <c r="B90" s="106">
        <f ca="1">COUNTIF(INDIRECT(ADDRESS(21,2,1,,B$2)):INDIRECT(ADDRESS(22,2,1,,B$2)),$A90)</f>
        <v>0</v>
      </c>
      <c r="C90" s="106">
        <f ca="1">COUNTIF(INDIRECT(ADDRESS(21,2,1,,C$2)):INDIRECT(ADDRESS(22,2,1,,C$2)),$A90)</f>
        <v>0</v>
      </c>
      <c r="D90" s="106">
        <f ca="1">COUNTIF(INDIRECT(ADDRESS(21,2,1,,D$2)):INDIRECT(ADDRESS(22,2,1,,D$2)),$A90)</f>
        <v>0</v>
      </c>
      <c r="E90" s="106">
        <f ca="1">COUNTIF(INDIRECT(ADDRESS(21,2,1,,E$2)):INDIRECT(ADDRESS(22,2,1,,E$2)),$A90)</f>
        <v>0</v>
      </c>
      <c r="F90" s="106">
        <f ca="1">COUNTIF(INDIRECT(ADDRESS(21,2,1,,F$2)):INDIRECT(ADDRESS(22,2,1,,F$2)),$A90)</f>
        <v>0</v>
      </c>
      <c r="G90" s="106">
        <f ca="1">COUNTIF(INDIRECT(ADDRESS(21,2,1,,G$2)):INDIRECT(ADDRESS(22,2,1,,G$2)),$A90)</f>
        <v>0</v>
      </c>
      <c r="H90" s="106">
        <f ca="1">COUNTIF(INDIRECT(ADDRESS(21,2,1,,H$2)):INDIRECT(ADDRESS(22,2,1,,H$2)),$A90)</f>
        <v>0</v>
      </c>
      <c r="I90" s="106">
        <f ca="1">COUNTIF(INDIRECT(ADDRESS(21,2,1,,I$2)):INDIRECT(ADDRESS(22,2,1,,I$2)),$A90)</f>
        <v>0</v>
      </c>
      <c r="J90" s="106">
        <f ca="1">COUNTIF(INDIRECT(ADDRESS(21,2,1,,J$2)):INDIRECT(ADDRESS(22,2,1,,J$2)),$A90)</f>
        <v>0</v>
      </c>
      <c r="K90" s="106">
        <f ca="1">COUNTIF(INDIRECT(ADDRESS(21,2,1,,K$2)):INDIRECT(ADDRESS(22,2,1,,K$2)),$A90)</f>
        <v>0</v>
      </c>
      <c r="L90" s="106">
        <f ca="1">COUNTIF(INDIRECT(ADDRESS(21,2,1,,L$2)):INDIRECT(ADDRESS(22,2,1,,L$2)),$A90)</f>
        <v>0</v>
      </c>
      <c r="M90" s="106">
        <f ca="1">COUNTIF(INDIRECT(ADDRESS(21,2,1,,M$2)):INDIRECT(ADDRESS(22,2,1,,M$2)),$A90)</f>
        <v>0</v>
      </c>
      <c r="N90" s="106">
        <f ca="1">COUNTIF(INDIRECT(ADDRESS(21,2,1,,N$2)):INDIRECT(ADDRESS(22,2,1,,N$2)),$A90)</f>
        <v>0</v>
      </c>
      <c r="O90" s="94">
        <f t="shared" ca="1" si="24"/>
        <v>0</v>
      </c>
    </row>
    <row r="91" spans="1:15" x14ac:dyDescent="0.25">
      <c r="A91" s="109" t="s">
        <v>236</v>
      </c>
      <c r="B91" s="106">
        <f ca="1">COUNTIF(INDIRECT(ADDRESS(21,2,1,,B$2)):INDIRECT(ADDRESS(22,2,1,,B$2)),$A91)</f>
        <v>0</v>
      </c>
      <c r="C91" s="106">
        <f ca="1">COUNTIF(INDIRECT(ADDRESS(21,2,1,,C$2)):INDIRECT(ADDRESS(22,2,1,,C$2)),$A91)</f>
        <v>0</v>
      </c>
      <c r="D91" s="106">
        <f ca="1">COUNTIF(INDIRECT(ADDRESS(21,2,1,,D$2)):INDIRECT(ADDRESS(22,2,1,,D$2)),$A91)</f>
        <v>0</v>
      </c>
      <c r="E91" s="106">
        <f ca="1">COUNTIF(INDIRECT(ADDRESS(21,2,1,,E$2)):INDIRECT(ADDRESS(22,2,1,,E$2)),$A91)</f>
        <v>0</v>
      </c>
      <c r="F91" s="106">
        <f ca="1">COUNTIF(INDIRECT(ADDRESS(21,2,1,,F$2)):INDIRECT(ADDRESS(22,2,1,,F$2)),$A91)</f>
        <v>0</v>
      </c>
      <c r="G91" s="106">
        <f ca="1">COUNTIF(INDIRECT(ADDRESS(21,2,1,,G$2)):INDIRECT(ADDRESS(22,2,1,,G$2)),$A91)</f>
        <v>0</v>
      </c>
      <c r="H91" s="106">
        <f ca="1">COUNTIF(INDIRECT(ADDRESS(21,2,1,,H$2)):INDIRECT(ADDRESS(22,2,1,,H$2)),$A91)</f>
        <v>0</v>
      </c>
      <c r="I91" s="106">
        <f ca="1">COUNTIF(INDIRECT(ADDRESS(21,2,1,,I$2)):INDIRECT(ADDRESS(22,2,1,,I$2)),$A91)</f>
        <v>0</v>
      </c>
      <c r="J91" s="106">
        <f ca="1">COUNTIF(INDIRECT(ADDRESS(21,2,1,,J$2)):INDIRECT(ADDRESS(22,2,1,,J$2)),$A91)</f>
        <v>0</v>
      </c>
      <c r="K91" s="106">
        <f ca="1">COUNTIF(INDIRECT(ADDRESS(21,2,1,,K$2)):INDIRECT(ADDRESS(22,2,1,,K$2)),$A91)</f>
        <v>0</v>
      </c>
      <c r="L91" s="106">
        <f ca="1">COUNTIF(INDIRECT(ADDRESS(21,2,1,,L$2)):INDIRECT(ADDRESS(22,2,1,,L$2)),$A91)</f>
        <v>0</v>
      </c>
      <c r="M91" s="106">
        <f ca="1">COUNTIF(INDIRECT(ADDRESS(21,2,1,,M$2)):INDIRECT(ADDRESS(22,2,1,,M$2)),$A91)</f>
        <v>0</v>
      </c>
      <c r="N91" s="106">
        <f ca="1">COUNTIF(INDIRECT(ADDRESS(21,2,1,,N$2)):INDIRECT(ADDRESS(22,2,1,,N$2)),$A91)</f>
        <v>0</v>
      </c>
      <c r="O91" s="94">
        <f t="shared" ca="1" si="24"/>
        <v>0</v>
      </c>
    </row>
    <row r="92" spans="1:15" x14ac:dyDescent="0.25">
      <c r="A92" s="109" t="s">
        <v>237</v>
      </c>
      <c r="B92" s="106">
        <f ca="1">COUNTIF(INDIRECT(ADDRESS(21,2,1,,B$2)):INDIRECT(ADDRESS(22,2,1,,B$2)),$A92)</f>
        <v>0</v>
      </c>
      <c r="C92" s="106">
        <f ca="1">COUNTIF(INDIRECT(ADDRESS(21,2,1,,C$2)):INDIRECT(ADDRESS(22,2,1,,C$2)),$A92)</f>
        <v>0</v>
      </c>
      <c r="D92" s="106">
        <f ca="1">COUNTIF(INDIRECT(ADDRESS(21,2,1,,D$2)):INDIRECT(ADDRESS(22,2,1,,D$2)),$A92)</f>
        <v>0</v>
      </c>
      <c r="E92" s="106">
        <f ca="1">COUNTIF(INDIRECT(ADDRESS(21,2,1,,E$2)):INDIRECT(ADDRESS(22,2,1,,E$2)),$A92)</f>
        <v>0</v>
      </c>
      <c r="F92" s="106">
        <f ca="1">COUNTIF(INDIRECT(ADDRESS(21,2,1,,F$2)):INDIRECT(ADDRESS(22,2,1,,F$2)),$A92)</f>
        <v>0</v>
      </c>
      <c r="G92" s="106">
        <f ca="1">COUNTIF(INDIRECT(ADDRESS(21,2,1,,G$2)):INDIRECT(ADDRESS(22,2,1,,G$2)),$A92)</f>
        <v>0</v>
      </c>
      <c r="H92" s="106">
        <f ca="1">COUNTIF(INDIRECT(ADDRESS(21,2,1,,H$2)):INDIRECT(ADDRESS(22,2,1,,H$2)),$A92)</f>
        <v>0</v>
      </c>
      <c r="I92" s="106">
        <f ca="1">COUNTIF(INDIRECT(ADDRESS(21,2,1,,I$2)):INDIRECT(ADDRESS(22,2,1,,I$2)),$A92)</f>
        <v>0</v>
      </c>
      <c r="J92" s="106">
        <f ca="1">COUNTIF(INDIRECT(ADDRESS(21,2,1,,J$2)):INDIRECT(ADDRESS(22,2,1,,J$2)),$A92)</f>
        <v>0</v>
      </c>
      <c r="K92" s="106">
        <f ca="1">COUNTIF(INDIRECT(ADDRESS(21,2,1,,K$2)):INDIRECT(ADDRESS(22,2,1,,K$2)),$A92)</f>
        <v>0</v>
      </c>
      <c r="L92" s="106">
        <f ca="1">COUNTIF(INDIRECT(ADDRESS(21,2,1,,L$2)):INDIRECT(ADDRESS(22,2,1,,L$2)),$A92)</f>
        <v>0</v>
      </c>
      <c r="M92" s="106">
        <f ca="1">COUNTIF(INDIRECT(ADDRESS(21,2,1,,M$2)):INDIRECT(ADDRESS(22,2,1,,M$2)),$A92)</f>
        <v>0</v>
      </c>
      <c r="N92" s="106">
        <f ca="1">COUNTIF(INDIRECT(ADDRESS(21,2,1,,N$2)):INDIRECT(ADDRESS(22,2,1,,N$2)),$A92)</f>
        <v>0</v>
      </c>
      <c r="O92" s="94">
        <f t="shared" ca="1" si="24"/>
        <v>0</v>
      </c>
    </row>
    <row r="95" spans="1:15" s="28" customFormat="1" ht="13.8" thickBot="1" x14ac:dyDescent="0.3">
      <c r="A95" s="104" t="s">
        <v>193</v>
      </c>
      <c r="B95" s="102">
        <f t="shared" ref="B95:N95" ca="1" si="25">SUM(B96:B108)</f>
        <v>0</v>
      </c>
      <c r="C95" s="102">
        <f t="shared" ca="1" si="25"/>
        <v>0</v>
      </c>
      <c r="D95" s="102">
        <f t="shared" ca="1" si="25"/>
        <v>0</v>
      </c>
      <c r="E95" s="102">
        <f t="shared" ca="1" si="25"/>
        <v>0</v>
      </c>
      <c r="F95" s="102">
        <f t="shared" ca="1" si="25"/>
        <v>0</v>
      </c>
      <c r="G95" s="102">
        <f t="shared" ca="1" si="25"/>
        <v>0</v>
      </c>
      <c r="H95" s="102">
        <f t="shared" ca="1" si="25"/>
        <v>0</v>
      </c>
      <c r="I95" s="102">
        <f t="shared" ca="1" si="25"/>
        <v>0</v>
      </c>
      <c r="J95" s="102">
        <f t="shared" ca="1" si="25"/>
        <v>0</v>
      </c>
      <c r="K95" s="102">
        <f t="shared" ca="1" si="25"/>
        <v>0</v>
      </c>
      <c r="L95" s="102">
        <f t="shared" ca="1" si="25"/>
        <v>0</v>
      </c>
      <c r="M95" s="102">
        <f t="shared" ca="1" si="25"/>
        <v>0</v>
      </c>
      <c r="N95" s="102">
        <f t="shared" ca="1" si="25"/>
        <v>0</v>
      </c>
      <c r="O95" s="103"/>
    </row>
    <row r="96" spans="1:15" x14ac:dyDescent="0.25">
      <c r="A96" s="109" t="s">
        <v>159</v>
      </c>
      <c r="B96" s="106">
        <f ca="1">COUNTIF(INDIRECT(ADDRESS(21,2,1,,B$2)):INDIRECT(ADDRESS(22,2,1,,B$2)),$A96)</f>
        <v>0</v>
      </c>
      <c r="C96" s="106">
        <f ca="1">COUNTIF(INDIRECT(ADDRESS(21,2,1,,C$2)):INDIRECT(ADDRESS(22,2,1,,C$2)),$A96)</f>
        <v>0</v>
      </c>
      <c r="D96" s="106">
        <f ca="1">COUNTIF(INDIRECT(ADDRESS(21,2,1,,D$2)):INDIRECT(ADDRESS(22,2,1,,D$2)),$A96)</f>
        <v>0</v>
      </c>
      <c r="E96" s="106">
        <f ca="1">COUNTIF(INDIRECT(ADDRESS(21,2,1,,E$2)):INDIRECT(ADDRESS(22,2,1,,E$2)),$A96)</f>
        <v>0</v>
      </c>
      <c r="F96" s="106">
        <f ca="1">COUNTIF(INDIRECT(ADDRESS(21,2,1,,F$2)):INDIRECT(ADDRESS(22,2,1,,F$2)),$A96)</f>
        <v>0</v>
      </c>
      <c r="G96" s="106">
        <f ca="1">COUNTIF(INDIRECT(ADDRESS(21,2,1,,G$2)):INDIRECT(ADDRESS(22,2,1,,G$2)),$A96)</f>
        <v>0</v>
      </c>
      <c r="H96" s="106">
        <f ca="1">COUNTIF(INDIRECT(ADDRESS(21,2,1,,H$2)):INDIRECT(ADDRESS(22,2,1,,H$2)),$A96)</f>
        <v>0</v>
      </c>
      <c r="I96" s="106">
        <f ca="1">COUNTIF(INDIRECT(ADDRESS(21,2,1,,I$2)):INDIRECT(ADDRESS(22,2,1,,I$2)),$A96)</f>
        <v>0</v>
      </c>
      <c r="J96" s="106">
        <f ca="1">COUNTIF(INDIRECT(ADDRESS(21,2,1,,J$2)):INDIRECT(ADDRESS(22,2,1,,J$2)),$A96)</f>
        <v>0</v>
      </c>
      <c r="K96" s="106">
        <f ca="1">COUNTIF(INDIRECT(ADDRESS(21,2,1,,K$2)):INDIRECT(ADDRESS(22,2,1,,K$2)),$A96)</f>
        <v>0</v>
      </c>
      <c r="L96" s="106">
        <f ca="1">COUNTIF(INDIRECT(ADDRESS(21,2,1,,L$2)):INDIRECT(ADDRESS(22,2,1,,L$2)),$A96)</f>
        <v>0</v>
      </c>
      <c r="M96" s="106">
        <f ca="1">COUNTIF(INDIRECT(ADDRESS(21,2,1,,M$2)):INDIRECT(ADDRESS(22,2,1,,M$2)),$A96)</f>
        <v>0</v>
      </c>
      <c r="N96" s="106">
        <f ca="1">COUNTIF(INDIRECT(ADDRESS(21,2,1,,N$2)):INDIRECT(ADDRESS(22,2,1,,N$2)),$A96)</f>
        <v>0</v>
      </c>
      <c r="O96" s="94">
        <f ca="1">SUM(B96:N96)</f>
        <v>0</v>
      </c>
    </row>
    <row r="97" spans="1:15" x14ac:dyDescent="0.25">
      <c r="A97" s="109" t="s">
        <v>306</v>
      </c>
      <c r="B97" s="106">
        <f ca="1">COUNTIF(INDIRECT(ADDRESS(21,2,1,,B$2)):INDIRECT(ADDRESS(22,2,1,,B$2)),$A97)</f>
        <v>0</v>
      </c>
      <c r="C97" s="106">
        <f ca="1">COUNTIF(INDIRECT(ADDRESS(21,2,1,,C$2)):INDIRECT(ADDRESS(22,2,1,,C$2)),$A97)</f>
        <v>0</v>
      </c>
      <c r="D97" s="106">
        <f ca="1">COUNTIF(INDIRECT(ADDRESS(21,2,1,,D$2)):INDIRECT(ADDRESS(22,2,1,,D$2)),$A97)</f>
        <v>0</v>
      </c>
      <c r="E97" s="106">
        <f ca="1">COUNTIF(INDIRECT(ADDRESS(21,2,1,,E$2)):INDIRECT(ADDRESS(22,2,1,,E$2)),$A97)</f>
        <v>0</v>
      </c>
      <c r="F97" s="106">
        <f ca="1">COUNTIF(INDIRECT(ADDRESS(21,2,1,,F$2)):INDIRECT(ADDRESS(22,2,1,,F$2)),$A97)</f>
        <v>0</v>
      </c>
      <c r="G97" s="106">
        <f ca="1">COUNTIF(INDIRECT(ADDRESS(21,2,1,,G$2)):INDIRECT(ADDRESS(22,2,1,,G$2)),$A97)</f>
        <v>0</v>
      </c>
      <c r="H97" s="106">
        <f ca="1">COUNTIF(INDIRECT(ADDRESS(21,2,1,,H$2)):INDIRECT(ADDRESS(22,2,1,,H$2)),$A97)</f>
        <v>0</v>
      </c>
      <c r="I97" s="106">
        <f ca="1">COUNTIF(INDIRECT(ADDRESS(21,2,1,,I$2)):INDIRECT(ADDRESS(22,2,1,,I$2)),$A97)</f>
        <v>0</v>
      </c>
      <c r="J97" s="106">
        <f ca="1">COUNTIF(INDIRECT(ADDRESS(21,2,1,,J$2)):INDIRECT(ADDRESS(22,2,1,,J$2)),$A97)</f>
        <v>0</v>
      </c>
      <c r="K97" s="106">
        <f ca="1">COUNTIF(INDIRECT(ADDRESS(21,2,1,,K$2)):INDIRECT(ADDRESS(22,2,1,,K$2)),$A97)</f>
        <v>0</v>
      </c>
      <c r="L97" s="106">
        <f ca="1">COUNTIF(INDIRECT(ADDRESS(21,2,1,,L$2)):INDIRECT(ADDRESS(22,2,1,,L$2)),$A97)</f>
        <v>0</v>
      </c>
      <c r="M97" s="106">
        <f ca="1">COUNTIF(INDIRECT(ADDRESS(21,2,1,,M$2)):INDIRECT(ADDRESS(22,2,1,,M$2)),$A97)</f>
        <v>0</v>
      </c>
      <c r="N97" s="106">
        <f ca="1">COUNTIF(INDIRECT(ADDRESS(21,2,1,,N$2)):INDIRECT(ADDRESS(22,2,1,,N$2)),$A97)</f>
        <v>0</v>
      </c>
      <c r="O97" s="94">
        <f ca="1">SUM(B97:N97)</f>
        <v>0</v>
      </c>
    </row>
    <row r="98" spans="1:15" x14ac:dyDescent="0.25">
      <c r="A98" s="109" t="s">
        <v>238</v>
      </c>
      <c r="B98" s="106">
        <f ca="1">COUNTIF(INDIRECT(ADDRESS(21,2,1,,B$2)):INDIRECT(ADDRESS(22,2,1,,B$2)),$A98)</f>
        <v>0</v>
      </c>
      <c r="C98" s="106">
        <f ca="1">COUNTIF(INDIRECT(ADDRESS(21,2,1,,C$2)):INDIRECT(ADDRESS(22,2,1,,C$2)),$A98)</f>
        <v>0</v>
      </c>
      <c r="D98" s="106">
        <f ca="1">COUNTIF(INDIRECT(ADDRESS(21,2,1,,D$2)):INDIRECT(ADDRESS(22,2,1,,D$2)),$A98)</f>
        <v>0</v>
      </c>
      <c r="E98" s="106">
        <f ca="1">COUNTIF(INDIRECT(ADDRESS(21,2,1,,E$2)):INDIRECT(ADDRESS(22,2,1,,E$2)),$A98)</f>
        <v>0</v>
      </c>
      <c r="F98" s="106">
        <f ca="1">COUNTIF(INDIRECT(ADDRESS(21,2,1,,F$2)):INDIRECT(ADDRESS(22,2,1,,F$2)),$A98)</f>
        <v>0</v>
      </c>
      <c r="G98" s="106">
        <f ca="1">COUNTIF(INDIRECT(ADDRESS(21,2,1,,G$2)):INDIRECT(ADDRESS(22,2,1,,G$2)),$A98)</f>
        <v>0</v>
      </c>
      <c r="H98" s="106">
        <f ca="1">COUNTIF(INDIRECT(ADDRESS(21,2,1,,H$2)):INDIRECT(ADDRESS(22,2,1,,H$2)),$A98)</f>
        <v>0</v>
      </c>
      <c r="I98" s="106">
        <f ca="1">COUNTIF(INDIRECT(ADDRESS(21,2,1,,I$2)):INDIRECT(ADDRESS(22,2,1,,I$2)),$A98)</f>
        <v>0</v>
      </c>
      <c r="J98" s="106">
        <f ca="1">COUNTIF(INDIRECT(ADDRESS(21,2,1,,J$2)):INDIRECT(ADDRESS(22,2,1,,J$2)),$A98)</f>
        <v>0</v>
      </c>
      <c r="K98" s="106">
        <f ca="1">COUNTIF(INDIRECT(ADDRESS(21,2,1,,K$2)):INDIRECT(ADDRESS(22,2,1,,K$2)),$A98)</f>
        <v>0</v>
      </c>
      <c r="L98" s="106">
        <f ca="1">COUNTIF(INDIRECT(ADDRESS(21,2,1,,L$2)):INDIRECT(ADDRESS(22,2,1,,L$2)),$A98)</f>
        <v>0</v>
      </c>
      <c r="M98" s="106">
        <f ca="1">COUNTIF(INDIRECT(ADDRESS(21,2,1,,M$2)):INDIRECT(ADDRESS(22,2,1,,M$2)),$A98)</f>
        <v>0</v>
      </c>
      <c r="N98" s="106">
        <f ca="1">COUNTIF(INDIRECT(ADDRESS(21,2,1,,N$2)):INDIRECT(ADDRESS(22,2,1,,N$2)),$A98)</f>
        <v>0</v>
      </c>
      <c r="O98" s="94">
        <f ca="1">SUM(B98:N98)</f>
        <v>0</v>
      </c>
    </row>
    <row r="99" spans="1:15" x14ac:dyDescent="0.25">
      <c r="A99" s="109" t="s">
        <v>239</v>
      </c>
      <c r="B99" s="106">
        <f ca="1">COUNTIF(INDIRECT(ADDRESS(21,2,1,,B$2)):INDIRECT(ADDRESS(22,2,1,,B$2)),$A99)</f>
        <v>0</v>
      </c>
      <c r="C99" s="106">
        <f ca="1">COUNTIF(INDIRECT(ADDRESS(21,2,1,,C$2)):INDIRECT(ADDRESS(22,2,1,,C$2)),$A99)</f>
        <v>0</v>
      </c>
      <c r="D99" s="106">
        <f ca="1">COUNTIF(INDIRECT(ADDRESS(21,2,1,,D$2)):INDIRECT(ADDRESS(22,2,1,,D$2)),$A99)</f>
        <v>0</v>
      </c>
      <c r="E99" s="106">
        <f ca="1">COUNTIF(INDIRECT(ADDRESS(21,2,1,,E$2)):INDIRECT(ADDRESS(22,2,1,,E$2)),$A99)</f>
        <v>0</v>
      </c>
      <c r="F99" s="106">
        <f ca="1">COUNTIF(INDIRECT(ADDRESS(21,2,1,,F$2)):INDIRECT(ADDRESS(22,2,1,,F$2)),$A99)</f>
        <v>0</v>
      </c>
      <c r="G99" s="106">
        <f ca="1">COUNTIF(INDIRECT(ADDRESS(21,2,1,,G$2)):INDIRECT(ADDRESS(22,2,1,,G$2)),$A99)</f>
        <v>0</v>
      </c>
      <c r="H99" s="106">
        <f ca="1">COUNTIF(INDIRECT(ADDRESS(21,2,1,,H$2)):INDIRECT(ADDRESS(22,2,1,,H$2)),$A99)</f>
        <v>0</v>
      </c>
      <c r="I99" s="106">
        <f ca="1">COUNTIF(INDIRECT(ADDRESS(21,2,1,,I$2)):INDIRECT(ADDRESS(22,2,1,,I$2)),$A99)</f>
        <v>0</v>
      </c>
      <c r="J99" s="106">
        <f ca="1">COUNTIF(INDIRECT(ADDRESS(21,2,1,,J$2)):INDIRECT(ADDRESS(22,2,1,,J$2)),$A99)</f>
        <v>0</v>
      </c>
      <c r="K99" s="106">
        <f ca="1">COUNTIF(INDIRECT(ADDRESS(21,2,1,,K$2)):INDIRECT(ADDRESS(22,2,1,,K$2)),$A99)</f>
        <v>0</v>
      </c>
      <c r="L99" s="106">
        <f ca="1">COUNTIF(INDIRECT(ADDRESS(21,2,1,,L$2)):INDIRECT(ADDRESS(22,2,1,,L$2)),$A99)</f>
        <v>0</v>
      </c>
      <c r="M99" s="106">
        <f ca="1">COUNTIF(INDIRECT(ADDRESS(21,2,1,,M$2)):INDIRECT(ADDRESS(22,2,1,,M$2)),$A99)</f>
        <v>0</v>
      </c>
      <c r="N99" s="106">
        <f ca="1">COUNTIF(INDIRECT(ADDRESS(21,2,1,,N$2)):INDIRECT(ADDRESS(22,2,1,,N$2)),$A99)</f>
        <v>0</v>
      </c>
      <c r="O99" s="94">
        <f ca="1">SUM(B99:N99)</f>
        <v>0</v>
      </c>
    </row>
    <row r="110" spans="1:15" s="28" customFormat="1" ht="13.8" thickBot="1" x14ac:dyDescent="0.3">
      <c r="A110" s="104" t="s">
        <v>194</v>
      </c>
      <c r="B110" s="102">
        <f t="shared" ref="B110:N110" ca="1" si="26">SUM(B111:B123)</f>
        <v>0</v>
      </c>
      <c r="C110" s="102">
        <f t="shared" ca="1" si="26"/>
        <v>0</v>
      </c>
      <c r="D110" s="102">
        <f t="shared" ca="1" si="26"/>
        <v>0</v>
      </c>
      <c r="E110" s="102">
        <f t="shared" ca="1" si="26"/>
        <v>0</v>
      </c>
      <c r="F110" s="102">
        <f t="shared" ca="1" si="26"/>
        <v>0</v>
      </c>
      <c r="G110" s="102">
        <f t="shared" ca="1" si="26"/>
        <v>0</v>
      </c>
      <c r="H110" s="102">
        <f t="shared" ca="1" si="26"/>
        <v>0</v>
      </c>
      <c r="I110" s="102">
        <f t="shared" ca="1" si="26"/>
        <v>0</v>
      </c>
      <c r="J110" s="102">
        <f t="shared" ca="1" si="26"/>
        <v>0</v>
      </c>
      <c r="K110" s="102">
        <f t="shared" ca="1" si="26"/>
        <v>0</v>
      </c>
      <c r="L110" s="102">
        <f t="shared" ca="1" si="26"/>
        <v>0</v>
      </c>
      <c r="M110" s="102">
        <f t="shared" ca="1" si="26"/>
        <v>0</v>
      </c>
      <c r="N110" s="102">
        <f t="shared" ca="1" si="26"/>
        <v>0</v>
      </c>
      <c r="O110" s="103"/>
    </row>
    <row r="111" spans="1:15" x14ac:dyDescent="0.25">
      <c r="A111" s="109" t="s">
        <v>247</v>
      </c>
      <c r="B111" s="106">
        <f ca="1">COUNTIF(INDIRECT(ADDRESS(21,2,1,,B$2)):INDIRECT(ADDRESS(22,2,1,,B$2)),$A111)</f>
        <v>0</v>
      </c>
      <c r="C111" s="106">
        <f ca="1">COUNTIF(INDIRECT(ADDRESS(21,2,1,,C$2)):INDIRECT(ADDRESS(22,2,1,,C$2)),$A111)</f>
        <v>0</v>
      </c>
      <c r="D111" s="106">
        <f ca="1">COUNTIF(INDIRECT(ADDRESS(21,2,1,,D$2)):INDIRECT(ADDRESS(22,2,1,,D$2)),$A111)</f>
        <v>0</v>
      </c>
      <c r="E111" s="106">
        <f ca="1">COUNTIF(INDIRECT(ADDRESS(21,2,1,,E$2)):INDIRECT(ADDRESS(22,2,1,,E$2)),$A111)</f>
        <v>0</v>
      </c>
      <c r="F111" s="106">
        <f ca="1">COUNTIF(INDIRECT(ADDRESS(21,2,1,,F$2)):INDIRECT(ADDRESS(22,2,1,,F$2)),$A111)</f>
        <v>0</v>
      </c>
      <c r="G111" s="106">
        <f ca="1">COUNTIF(INDIRECT(ADDRESS(21,2,1,,G$2)):INDIRECT(ADDRESS(22,2,1,,G$2)),$A111)</f>
        <v>0</v>
      </c>
      <c r="H111" s="106">
        <f ca="1">COUNTIF(INDIRECT(ADDRESS(21,2,1,,H$2)):INDIRECT(ADDRESS(22,2,1,,H$2)),$A111)</f>
        <v>0</v>
      </c>
      <c r="I111" s="106">
        <f ca="1">COUNTIF(INDIRECT(ADDRESS(21,2,1,,I$2)):INDIRECT(ADDRESS(22,2,1,,I$2)),$A111)</f>
        <v>0</v>
      </c>
      <c r="J111" s="106">
        <f ca="1">COUNTIF(INDIRECT(ADDRESS(21,2,1,,J$2)):INDIRECT(ADDRESS(22,2,1,,J$2)),$A111)</f>
        <v>0</v>
      </c>
      <c r="K111" s="106">
        <f ca="1">COUNTIF(INDIRECT(ADDRESS(21,2,1,,K$2)):INDIRECT(ADDRESS(22,2,1,,K$2)),$A111)</f>
        <v>0</v>
      </c>
      <c r="L111" s="106">
        <f ca="1">COUNTIF(INDIRECT(ADDRESS(21,2,1,,L$2)):INDIRECT(ADDRESS(22,2,1,,L$2)),$A111)</f>
        <v>0</v>
      </c>
      <c r="M111" s="106">
        <f ca="1">COUNTIF(INDIRECT(ADDRESS(21,2,1,,M$2)):INDIRECT(ADDRESS(22,2,1,,M$2)),$A111)</f>
        <v>0</v>
      </c>
      <c r="N111" s="106">
        <f ca="1">COUNTIF(INDIRECT(ADDRESS(21,2,1,,N$2)):INDIRECT(ADDRESS(22,2,1,,N$2)),$A111)</f>
        <v>0</v>
      </c>
      <c r="O111" s="94">
        <f t="shared" ref="O111:O123" ca="1" si="27">SUM(B111:N111)</f>
        <v>0</v>
      </c>
    </row>
    <row r="112" spans="1:15" x14ac:dyDescent="0.25">
      <c r="A112" s="109" t="s">
        <v>249</v>
      </c>
      <c r="B112" s="106">
        <f ca="1">COUNTIF(INDIRECT(ADDRESS(21,2,1,,B$2)):INDIRECT(ADDRESS(22,2,1,,B$2)),$A112)</f>
        <v>0</v>
      </c>
      <c r="C112" s="106">
        <f ca="1">COUNTIF(INDIRECT(ADDRESS(21,2,1,,C$2)):INDIRECT(ADDRESS(22,2,1,,C$2)),$A112)</f>
        <v>0</v>
      </c>
      <c r="D112" s="106">
        <f ca="1">COUNTIF(INDIRECT(ADDRESS(21,2,1,,D$2)):INDIRECT(ADDRESS(22,2,1,,D$2)),$A112)</f>
        <v>0</v>
      </c>
      <c r="E112" s="106">
        <f ca="1">COUNTIF(INDIRECT(ADDRESS(21,2,1,,E$2)):INDIRECT(ADDRESS(22,2,1,,E$2)),$A112)</f>
        <v>0</v>
      </c>
      <c r="F112" s="106">
        <f ca="1">COUNTIF(INDIRECT(ADDRESS(21,2,1,,F$2)):INDIRECT(ADDRESS(22,2,1,,F$2)),$A112)</f>
        <v>0</v>
      </c>
      <c r="G112" s="106">
        <f ca="1">COUNTIF(INDIRECT(ADDRESS(21,2,1,,G$2)):INDIRECT(ADDRESS(22,2,1,,G$2)),$A112)</f>
        <v>0</v>
      </c>
      <c r="H112" s="106">
        <f ca="1">COUNTIF(INDIRECT(ADDRESS(21,2,1,,H$2)):INDIRECT(ADDRESS(22,2,1,,H$2)),$A112)</f>
        <v>0</v>
      </c>
      <c r="I112" s="106">
        <f ca="1">COUNTIF(INDIRECT(ADDRESS(21,2,1,,I$2)):INDIRECT(ADDRESS(22,2,1,,I$2)),$A112)</f>
        <v>0</v>
      </c>
      <c r="J112" s="106">
        <f ca="1">COUNTIF(INDIRECT(ADDRESS(21,2,1,,J$2)):INDIRECT(ADDRESS(22,2,1,,J$2)),$A112)</f>
        <v>0</v>
      </c>
      <c r="K112" s="106">
        <f ca="1">COUNTIF(INDIRECT(ADDRESS(21,2,1,,K$2)):INDIRECT(ADDRESS(22,2,1,,K$2)),$A112)</f>
        <v>0</v>
      </c>
      <c r="L112" s="106">
        <f ca="1">COUNTIF(INDIRECT(ADDRESS(21,2,1,,L$2)):INDIRECT(ADDRESS(22,2,1,,L$2)),$A112)</f>
        <v>0</v>
      </c>
      <c r="M112" s="106">
        <f ca="1">COUNTIF(INDIRECT(ADDRESS(21,2,1,,M$2)):INDIRECT(ADDRESS(22,2,1,,M$2)),$A112)</f>
        <v>0</v>
      </c>
      <c r="N112" s="106">
        <f ca="1">COUNTIF(INDIRECT(ADDRESS(21,2,1,,N$2)):INDIRECT(ADDRESS(22,2,1,,N$2)),$A112)</f>
        <v>0</v>
      </c>
      <c r="O112" s="94">
        <f t="shared" ca="1" si="27"/>
        <v>0</v>
      </c>
    </row>
    <row r="113" spans="1:15" x14ac:dyDescent="0.25">
      <c r="A113" s="109" t="s">
        <v>241</v>
      </c>
      <c r="B113" s="106">
        <f ca="1">COUNTIF(INDIRECT(ADDRESS(21,2,1,,B$2)):INDIRECT(ADDRESS(22,2,1,,B$2)),$A113)</f>
        <v>0</v>
      </c>
      <c r="C113" s="106">
        <f ca="1">COUNTIF(INDIRECT(ADDRESS(21,2,1,,C$2)):INDIRECT(ADDRESS(22,2,1,,C$2)),$A113)</f>
        <v>0</v>
      </c>
      <c r="D113" s="106">
        <f ca="1">COUNTIF(INDIRECT(ADDRESS(21,2,1,,D$2)):INDIRECT(ADDRESS(22,2,1,,D$2)),$A113)</f>
        <v>0</v>
      </c>
      <c r="E113" s="106">
        <f ca="1">COUNTIF(INDIRECT(ADDRESS(21,2,1,,E$2)):INDIRECT(ADDRESS(22,2,1,,E$2)),$A113)</f>
        <v>0</v>
      </c>
      <c r="F113" s="106">
        <f ca="1">COUNTIF(INDIRECT(ADDRESS(21,2,1,,F$2)):INDIRECT(ADDRESS(22,2,1,,F$2)),$A113)</f>
        <v>0</v>
      </c>
      <c r="G113" s="106">
        <f ca="1">COUNTIF(INDIRECT(ADDRESS(21,2,1,,G$2)):INDIRECT(ADDRESS(22,2,1,,G$2)),$A113)</f>
        <v>0</v>
      </c>
      <c r="H113" s="106">
        <f ca="1">COUNTIF(INDIRECT(ADDRESS(21,2,1,,H$2)):INDIRECT(ADDRESS(22,2,1,,H$2)),$A113)</f>
        <v>0</v>
      </c>
      <c r="I113" s="106">
        <f ca="1">COUNTIF(INDIRECT(ADDRESS(21,2,1,,I$2)):INDIRECT(ADDRESS(22,2,1,,I$2)),$A113)</f>
        <v>0</v>
      </c>
      <c r="J113" s="106">
        <f ca="1">COUNTIF(INDIRECT(ADDRESS(21,2,1,,J$2)):INDIRECT(ADDRESS(22,2,1,,J$2)),$A113)</f>
        <v>0</v>
      </c>
      <c r="K113" s="106">
        <f ca="1">COUNTIF(INDIRECT(ADDRESS(21,2,1,,K$2)):INDIRECT(ADDRESS(22,2,1,,K$2)),$A113)</f>
        <v>0</v>
      </c>
      <c r="L113" s="106">
        <f ca="1">COUNTIF(INDIRECT(ADDRESS(21,2,1,,L$2)):INDIRECT(ADDRESS(22,2,1,,L$2)),$A113)</f>
        <v>0</v>
      </c>
      <c r="M113" s="106">
        <f ca="1">COUNTIF(INDIRECT(ADDRESS(21,2,1,,M$2)):INDIRECT(ADDRESS(22,2,1,,M$2)),$A113)</f>
        <v>0</v>
      </c>
      <c r="N113" s="106">
        <f ca="1">COUNTIF(INDIRECT(ADDRESS(21,2,1,,N$2)):INDIRECT(ADDRESS(22,2,1,,N$2)),$A113)</f>
        <v>0</v>
      </c>
      <c r="O113" s="94">
        <f t="shared" ca="1" si="27"/>
        <v>0</v>
      </c>
    </row>
    <row r="114" spans="1:15" x14ac:dyDescent="0.25">
      <c r="A114" s="109" t="s">
        <v>242</v>
      </c>
      <c r="B114" s="106">
        <f ca="1">COUNTIF(INDIRECT(ADDRESS(21,2,1,,B$2)):INDIRECT(ADDRESS(22,2,1,,B$2)),$A114)</f>
        <v>0</v>
      </c>
      <c r="C114" s="106">
        <f ca="1">COUNTIF(INDIRECT(ADDRESS(21,2,1,,C$2)):INDIRECT(ADDRESS(22,2,1,,C$2)),$A114)</f>
        <v>0</v>
      </c>
      <c r="D114" s="106">
        <f ca="1">COUNTIF(INDIRECT(ADDRESS(21,2,1,,D$2)):INDIRECT(ADDRESS(22,2,1,,D$2)),$A114)</f>
        <v>0</v>
      </c>
      <c r="E114" s="106">
        <f ca="1">COUNTIF(INDIRECT(ADDRESS(21,2,1,,E$2)):INDIRECT(ADDRESS(22,2,1,,E$2)),$A114)</f>
        <v>0</v>
      </c>
      <c r="F114" s="106">
        <f ca="1">COUNTIF(INDIRECT(ADDRESS(21,2,1,,F$2)):INDIRECT(ADDRESS(22,2,1,,F$2)),$A114)</f>
        <v>0</v>
      </c>
      <c r="G114" s="106">
        <f ca="1">COUNTIF(INDIRECT(ADDRESS(21,2,1,,G$2)):INDIRECT(ADDRESS(22,2,1,,G$2)),$A114)</f>
        <v>0</v>
      </c>
      <c r="H114" s="106">
        <f ca="1">COUNTIF(INDIRECT(ADDRESS(21,2,1,,H$2)):INDIRECT(ADDRESS(22,2,1,,H$2)),$A114)</f>
        <v>0</v>
      </c>
      <c r="I114" s="106">
        <f ca="1">COUNTIF(INDIRECT(ADDRESS(21,2,1,,I$2)):INDIRECT(ADDRESS(22,2,1,,I$2)),$A114)</f>
        <v>0</v>
      </c>
      <c r="J114" s="106">
        <f ca="1">COUNTIF(INDIRECT(ADDRESS(21,2,1,,J$2)):INDIRECT(ADDRESS(22,2,1,,J$2)),$A114)</f>
        <v>0</v>
      </c>
      <c r="K114" s="106">
        <f ca="1">COUNTIF(INDIRECT(ADDRESS(21,2,1,,K$2)):INDIRECT(ADDRESS(22,2,1,,K$2)),$A114)</f>
        <v>0</v>
      </c>
      <c r="L114" s="106">
        <f ca="1">COUNTIF(INDIRECT(ADDRESS(21,2,1,,L$2)):INDIRECT(ADDRESS(22,2,1,,L$2)),$A114)</f>
        <v>0</v>
      </c>
      <c r="M114" s="106">
        <f ca="1">COUNTIF(INDIRECT(ADDRESS(21,2,1,,M$2)):INDIRECT(ADDRESS(22,2,1,,M$2)),$A114)</f>
        <v>0</v>
      </c>
      <c r="N114" s="106">
        <f ca="1">COUNTIF(INDIRECT(ADDRESS(21,2,1,,N$2)):INDIRECT(ADDRESS(22,2,1,,N$2)),$A114)</f>
        <v>0</v>
      </c>
      <c r="O114" s="94">
        <f t="shared" ca="1" si="27"/>
        <v>0</v>
      </c>
    </row>
    <row r="115" spans="1:15" x14ac:dyDescent="0.25">
      <c r="A115" s="109" t="s">
        <v>243</v>
      </c>
      <c r="B115" s="106">
        <f ca="1">COUNTIF(INDIRECT(ADDRESS(21,2,1,,B$2)):INDIRECT(ADDRESS(22,2,1,,B$2)),$A115)</f>
        <v>0</v>
      </c>
      <c r="C115" s="106">
        <f ca="1">COUNTIF(INDIRECT(ADDRESS(21,2,1,,C$2)):INDIRECT(ADDRESS(22,2,1,,C$2)),$A115)</f>
        <v>0</v>
      </c>
      <c r="D115" s="106">
        <f ca="1">COUNTIF(INDIRECT(ADDRESS(21,2,1,,D$2)):INDIRECT(ADDRESS(22,2,1,,D$2)),$A115)</f>
        <v>0</v>
      </c>
      <c r="E115" s="106">
        <f ca="1">COUNTIF(INDIRECT(ADDRESS(21,2,1,,E$2)):INDIRECT(ADDRESS(22,2,1,,E$2)),$A115)</f>
        <v>0</v>
      </c>
      <c r="F115" s="106">
        <f ca="1">COUNTIF(INDIRECT(ADDRESS(21,2,1,,F$2)):INDIRECT(ADDRESS(22,2,1,,F$2)),$A115)</f>
        <v>0</v>
      </c>
      <c r="G115" s="106">
        <f ca="1">COUNTIF(INDIRECT(ADDRESS(21,2,1,,G$2)):INDIRECT(ADDRESS(22,2,1,,G$2)),$A115)</f>
        <v>0</v>
      </c>
      <c r="H115" s="106">
        <f ca="1">COUNTIF(INDIRECT(ADDRESS(21,2,1,,H$2)):INDIRECT(ADDRESS(22,2,1,,H$2)),$A115)</f>
        <v>0</v>
      </c>
      <c r="I115" s="106">
        <f ca="1">COUNTIF(INDIRECT(ADDRESS(21,2,1,,I$2)):INDIRECT(ADDRESS(22,2,1,,I$2)),$A115)</f>
        <v>0</v>
      </c>
      <c r="J115" s="106">
        <f ca="1">COUNTIF(INDIRECT(ADDRESS(21,2,1,,J$2)):INDIRECT(ADDRESS(22,2,1,,J$2)),$A115)</f>
        <v>0</v>
      </c>
      <c r="K115" s="106">
        <f ca="1">COUNTIF(INDIRECT(ADDRESS(21,2,1,,K$2)):INDIRECT(ADDRESS(22,2,1,,K$2)),$A115)</f>
        <v>0</v>
      </c>
      <c r="L115" s="106">
        <f ca="1">COUNTIF(INDIRECT(ADDRESS(21,2,1,,L$2)):INDIRECT(ADDRESS(22,2,1,,L$2)),$A115)</f>
        <v>0</v>
      </c>
      <c r="M115" s="106">
        <f ca="1">COUNTIF(INDIRECT(ADDRESS(21,2,1,,M$2)):INDIRECT(ADDRESS(22,2,1,,M$2)),$A115)</f>
        <v>0</v>
      </c>
      <c r="N115" s="106">
        <f ca="1">COUNTIF(INDIRECT(ADDRESS(21,2,1,,N$2)):INDIRECT(ADDRESS(22,2,1,,N$2)),$A115)</f>
        <v>0</v>
      </c>
      <c r="O115" s="94">
        <f t="shared" ca="1" si="27"/>
        <v>0</v>
      </c>
    </row>
    <row r="116" spans="1:15" x14ac:dyDescent="0.25">
      <c r="A116" s="109" t="s">
        <v>244</v>
      </c>
      <c r="B116" s="106">
        <f ca="1">COUNTIF(INDIRECT(ADDRESS(21,2,1,,B$2)):INDIRECT(ADDRESS(22,2,1,,B$2)),$A116)</f>
        <v>0</v>
      </c>
      <c r="C116" s="106">
        <f ca="1">COUNTIF(INDIRECT(ADDRESS(21,2,1,,C$2)):INDIRECT(ADDRESS(22,2,1,,C$2)),$A116)</f>
        <v>0</v>
      </c>
      <c r="D116" s="106">
        <f ca="1">COUNTIF(INDIRECT(ADDRESS(21,2,1,,D$2)):INDIRECT(ADDRESS(22,2,1,,D$2)),$A116)</f>
        <v>0</v>
      </c>
      <c r="E116" s="106">
        <f ca="1">COUNTIF(INDIRECT(ADDRESS(21,2,1,,E$2)):INDIRECT(ADDRESS(22,2,1,,E$2)),$A116)</f>
        <v>0</v>
      </c>
      <c r="F116" s="106">
        <f ca="1">COUNTIF(INDIRECT(ADDRESS(21,2,1,,F$2)):INDIRECT(ADDRESS(22,2,1,,F$2)),$A116)</f>
        <v>0</v>
      </c>
      <c r="G116" s="106">
        <f ca="1">COUNTIF(INDIRECT(ADDRESS(21,2,1,,G$2)):INDIRECT(ADDRESS(22,2,1,,G$2)),$A116)</f>
        <v>0</v>
      </c>
      <c r="H116" s="106">
        <f ca="1">COUNTIF(INDIRECT(ADDRESS(21,2,1,,H$2)):INDIRECT(ADDRESS(22,2,1,,H$2)),$A116)</f>
        <v>0</v>
      </c>
      <c r="I116" s="106">
        <f ca="1">COUNTIF(INDIRECT(ADDRESS(21,2,1,,I$2)):INDIRECT(ADDRESS(22,2,1,,I$2)),$A116)</f>
        <v>0</v>
      </c>
      <c r="J116" s="106">
        <f ca="1">COUNTIF(INDIRECT(ADDRESS(21,2,1,,J$2)):INDIRECT(ADDRESS(22,2,1,,J$2)),$A116)</f>
        <v>0</v>
      </c>
      <c r="K116" s="106">
        <f ca="1">COUNTIF(INDIRECT(ADDRESS(21,2,1,,K$2)):INDIRECT(ADDRESS(22,2,1,,K$2)),$A116)</f>
        <v>0</v>
      </c>
      <c r="L116" s="106">
        <f ca="1">COUNTIF(INDIRECT(ADDRESS(21,2,1,,L$2)):INDIRECT(ADDRESS(22,2,1,,L$2)),$A116)</f>
        <v>0</v>
      </c>
      <c r="M116" s="106">
        <f ca="1">COUNTIF(INDIRECT(ADDRESS(21,2,1,,M$2)):INDIRECT(ADDRESS(22,2,1,,M$2)),$A116)</f>
        <v>0</v>
      </c>
      <c r="N116" s="106">
        <f ca="1">COUNTIF(INDIRECT(ADDRESS(21,2,1,,N$2)):INDIRECT(ADDRESS(22,2,1,,N$2)),$A116)</f>
        <v>0</v>
      </c>
      <c r="O116" s="94">
        <f t="shared" ca="1" si="27"/>
        <v>0</v>
      </c>
    </row>
    <row r="117" spans="1:15" x14ac:dyDescent="0.25">
      <c r="A117" s="109" t="s">
        <v>245</v>
      </c>
      <c r="B117" s="106">
        <f ca="1">COUNTIF(INDIRECT(ADDRESS(21,2,1,,B$2)):INDIRECT(ADDRESS(22,2,1,,B$2)),$A117)</f>
        <v>0</v>
      </c>
      <c r="C117" s="106">
        <f ca="1">COUNTIF(INDIRECT(ADDRESS(21,2,1,,C$2)):INDIRECT(ADDRESS(22,2,1,,C$2)),$A117)</f>
        <v>0</v>
      </c>
      <c r="D117" s="106">
        <f ca="1">COUNTIF(INDIRECT(ADDRESS(21,2,1,,D$2)):INDIRECT(ADDRESS(22,2,1,,D$2)),$A117)</f>
        <v>0</v>
      </c>
      <c r="E117" s="106">
        <f ca="1">COUNTIF(INDIRECT(ADDRESS(21,2,1,,E$2)):INDIRECT(ADDRESS(22,2,1,,E$2)),$A117)</f>
        <v>0</v>
      </c>
      <c r="F117" s="106">
        <f ca="1">COUNTIF(INDIRECT(ADDRESS(21,2,1,,F$2)):INDIRECT(ADDRESS(22,2,1,,F$2)),$A117)</f>
        <v>0</v>
      </c>
      <c r="G117" s="106">
        <f ca="1">COUNTIF(INDIRECT(ADDRESS(21,2,1,,G$2)):INDIRECT(ADDRESS(22,2,1,,G$2)),$A117)</f>
        <v>0</v>
      </c>
      <c r="H117" s="106">
        <f ca="1">COUNTIF(INDIRECT(ADDRESS(21,2,1,,H$2)):INDIRECT(ADDRESS(22,2,1,,H$2)),$A117)</f>
        <v>0</v>
      </c>
      <c r="I117" s="106">
        <f ca="1">COUNTIF(INDIRECT(ADDRESS(21,2,1,,I$2)):INDIRECT(ADDRESS(22,2,1,,I$2)),$A117)</f>
        <v>0</v>
      </c>
      <c r="J117" s="106">
        <f ca="1">COUNTIF(INDIRECT(ADDRESS(21,2,1,,J$2)):INDIRECT(ADDRESS(22,2,1,,J$2)),$A117)</f>
        <v>0</v>
      </c>
      <c r="K117" s="106">
        <f ca="1">COUNTIF(INDIRECT(ADDRESS(21,2,1,,K$2)):INDIRECT(ADDRESS(22,2,1,,K$2)),$A117)</f>
        <v>0</v>
      </c>
      <c r="L117" s="106">
        <f ca="1">COUNTIF(INDIRECT(ADDRESS(21,2,1,,L$2)):INDIRECT(ADDRESS(22,2,1,,L$2)),$A117)</f>
        <v>0</v>
      </c>
      <c r="M117" s="106">
        <f ca="1">COUNTIF(INDIRECT(ADDRESS(21,2,1,,M$2)):INDIRECT(ADDRESS(22,2,1,,M$2)),$A117)</f>
        <v>0</v>
      </c>
      <c r="N117" s="106">
        <f ca="1">COUNTIF(INDIRECT(ADDRESS(21,2,1,,N$2)):INDIRECT(ADDRESS(22,2,1,,N$2)),$A117)</f>
        <v>0</v>
      </c>
      <c r="O117" s="94">
        <f t="shared" ca="1" si="27"/>
        <v>0</v>
      </c>
    </row>
    <row r="118" spans="1:15" x14ac:dyDescent="0.25">
      <c r="A118" s="109" t="s">
        <v>246</v>
      </c>
      <c r="B118" s="106">
        <f ca="1">COUNTIF(INDIRECT(ADDRESS(21,2,1,,B$2)):INDIRECT(ADDRESS(22,2,1,,B$2)),$A118)</f>
        <v>0</v>
      </c>
      <c r="C118" s="106">
        <f ca="1">COUNTIF(INDIRECT(ADDRESS(21,2,1,,C$2)):INDIRECT(ADDRESS(22,2,1,,C$2)),$A118)</f>
        <v>0</v>
      </c>
      <c r="D118" s="106">
        <f ca="1">COUNTIF(INDIRECT(ADDRESS(21,2,1,,D$2)):INDIRECT(ADDRESS(22,2,1,,D$2)),$A118)</f>
        <v>0</v>
      </c>
      <c r="E118" s="106">
        <f ca="1">COUNTIF(INDIRECT(ADDRESS(21,2,1,,E$2)):INDIRECT(ADDRESS(22,2,1,,E$2)),$A118)</f>
        <v>0</v>
      </c>
      <c r="F118" s="106">
        <f ca="1">COUNTIF(INDIRECT(ADDRESS(21,2,1,,F$2)):INDIRECT(ADDRESS(22,2,1,,F$2)),$A118)</f>
        <v>0</v>
      </c>
      <c r="G118" s="106">
        <f ca="1">COUNTIF(INDIRECT(ADDRESS(21,2,1,,G$2)):INDIRECT(ADDRESS(22,2,1,,G$2)),$A118)</f>
        <v>0</v>
      </c>
      <c r="H118" s="106">
        <f ca="1">COUNTIF(INDIRECT(ADDRESS(21,2,1,,H$2)):INDIRECT(ADDRESS(22,2,1,,H$2)),$A118)</f>
        <v>0</v>
      </c>
      <c r="I118" s="106">
        <f ca="1">COUNTIF(INDIRECT(ADDRESS(21,2,1,,I$2)):INDIRECT(ADDRESS(22,2,1,,I$2)),$A118)</f>
        <v>0</v>
      </c>
      <c r="J118" s="106">
        <f ca="1">COUNTIF(INDIRECT(ADDRESS(21,2,1,,J$2)):INDIRECT(ADDRESS(22,2,1,,J$2)),$A118)</f>
        <v>0</v>
      </c>
      <c r="K118" s="106">
        <f ca="1">COUNTIF(INDIRECT(ADDRESS(21,2,1,,K$2)):INDIRECT(ADDRESS(22,2,1,,K$2)),$A118)</f>
        <v>0</v>
      </c>
      <c r="L118" s="106">
        <f ca="1">COUNTIF(INDIRECT(ADDRESS(21,2,1,,L$2)):INDIRECT(ADDRESS(22,2,1,,L$2)),$A118)</f>
        <v>0</v>
      </c>
      <c r="M118" s="106">
        <f ca="1">COUNTIF(INDIRECT(ADDRESS(21,2,1,,M$2)):INDIRECT(ADDRESS(22,2,1,,M$2)),$A118)</f>
        <v>0</v>
      </c>
      <c r="N118" s="106">
        <f ca="1">COUNTIF(INDIRECT(ADDRESS(21,2,1,,N$2)):INDIRECT(ADDRESS(22,2,1,,N$2)),$A118)</f>
        <v>0</v>
      </c>
      <c r="O118" s="94">
        <f t="shared" ca="1" si="27"/>
        <v>0</v>
      </c>
    </row>
    <row r="119" spans="1:15" x14ac:dyDescent="0.25">
      <c r="A119" s="109" t="s">
        <v>248</v>
      </c>
      <c r="B119" s="106">
        <f ca="1">COUNTIF(INDIRECT(ADDRESS(21,2,1,,B$2)):INDIRECT(ADDRESS(22,2,1,,B$2)),$A119)</f>
        <v>0</v>
      </c>
      <c r="C119" s="106">
        <f ca="1">COUNTIF(INDIRECT(ADDRESS(21,2,1,,C$2)):INDIRECT(ADDRESS(22,2,1,,C$2)),$A119)</f>
        <v>0</v>
      </c>
      <c r="D119" s="106">
        <f ca="1">COUNTIF(INDIRECT(ADDRESS(21,2,1,,D$2)):INDIRECT(ADDRESS(22,2,1,,D$2)),$A119)</f>
        <v>0</v>
      </c>
      <c r="E119" s="106">
        <f ca="1">COUNTIF(INDIRECT(ADDRESS(21,2,1,,E$2)):INDIRECT(ADDRESS(22,2,1,,E$2)),$A119)</f>
        <v>0</v>
      </c>
      <c r="F119" s="106">
        <f ca="1">COUNTIF(INDIRECT(ADDRESS(21,2,1,,F$2)):INDIRECT(ADDRESS(22,2,1,,F$2)),$A119)</f>
        <v>0</v>
      </c>
      <c r="G119" s="106">
        <f ca="1">COUNTIF(INDIRECT(ADDRESS(21,2,1,,G$2)):INDIRECT(ADDRESS(22,2,1,,G$2)),$A119)</f>
        <v>0</v>
      </c>
      <c r="H119" s="106">
        <f ca="1">COUNTIF(INDIRECT(ADDRESS(21,2,1,,H$2)):INDIRECT(ADDRESS(22,2,1,,H$2)),$A119)</f>
        <v>0</v>
      </c>
      <c r="I119" s="106">
        <f ca="1">COUNTIF(INDIRECT(ADDRESS(21,2,1,,I$2)):INDIRECT(ADDRESS(22,2,1,,I$2)),$A119)</f>
        <v>0</v>
      </c>
      <c r="J119" s="106">
        <f ca="1">COUNTIF(INDIRECT(ADDRESS(21,2,1,,J$2)):INDIRECT(ADDRESS(22,2,1,,J$2)),$A119)</f>
        <v>0</v>
      </c>
      <c r="K119" s="106">
        <f ca="1">COUNTIF(INDIRECT(ADDRESS(21,2,1,,K$2)):INDIRECT(ADDRESS(22,2,1,,K$2)),$A119)</f>
        <v>0</v>
      </c>
      <c r="L119" s="106">
        <f ca="1">COUNTIF(INDIRECT(ADDRESS(21,2,1,,L$2)):INDIRECT(ADDRESS(22,2,1,,L$2)),$A119)</f>
        <v>0</v>
      </c>
      <c r="M119" s="106">
        <f ca="1">COUNTIF(INDIRECT(ADDRESS(21,2,1,,M$2)):INDIRECT(ADDRESS(22,2,1,,M$2)),$A119)</f>
        <v>0</v>
      </c>
      <c r="N119" s="106">
        <f ca="1">COUNTIF(INDIRECT(ADDRESS(21,2,1,,N$2)):INDIRECT(ADDRESS(22,2,1,,N$2)),$A119)</f>
        <v>0</v>
      </c>
      <c r="O119" s="94">
        <f t="shared" ca="1" si="27"/>
        <v>0</v>
      </c>
    </row>
    <row r="120" spans="1:15" x14ac:dyDescent="0.25">
      <c r="A120" s="109" t="s">
        <v>250</v>
      </c>
      <c r="B120" s="106">
        <f ca="1">COUNTIF(INDIRECT(ADDRESS(21,2,1,,B$2)):INDIRECT(ADDRESS(22,2,1,,B$2)),$A120)</f>
        <v>0</v>
      </c>
      <c r="C120" s="106">
        <f ca="1">COUNTIF(INDIRECT(ADDRESS(21,2,1,,C$2)):INDIRECT(ADDRESS(22,2,1,,C$2)),$A120)</f>
        <v>0</v>
      </c>
      <c r="D120" s="106">
        <f ca="1">COUNTIF(INDIRECT(ADDRESS(21,2,1,,D$2)):INDIRECT(ADDRESS(22,2,1,,D$2)),$A120)</f>
        <v>0</v>
      </c>
      <c r="E120" s="106">
        <f ca="1">COUNTIF(INDIRECT(ADDRESS(21,2,1,,E$2)):INDIRECT(ADDRESS(22,2,1,,E$2)),$A120)</f>
        <v>0</v>
      </c>
      <c r="F120" s="106">
        <f ca="1">COUNTIF(INDIRECT(ADDRESS(21,2,1,,F$2)):INDIRECT(ADDRESS(22,2,1,,F$2)),$A120)</f>
        <v>0</v>
      </c>
      <c r="G120" s="106">
        <f ca="1">COUNTIF(INDIRECT(ADDRESS(21,2,1,,G$2)):INDIRECT(ADDRESS(22,2,1,,G$2)),$A120)</f>
        <v>0</v>
      </c>
      <c r="H120" s="106">
        <f ca="1">COUNTIF(INDIRECT(ADDRESS(21,2,1,,H$2)):INDIRECT(ADDRESS(22,2,1,,H$2)),$A120)</f>
        <v>0</v>
      </c>
      <c r="I120" s="106">
        <f ca="1">COUNTIF(INDIRECT(ADDRESS(21,2,1,,I$2)):INDIRECT(ADDRESS(22,2,1,,I$2)),$A120)</f>
        <v>0</v>
      </c>
      <c r="J120" s="106">
        <f ca="1">COUNTIF(INDIRECT(ADDRESS(21,2,1,,J$2)):INDIRECT(ADDRESS(22,2,1,,J$2)),$A120)</f>
        <v>0</v>
      </c>
      <c r="K120" s="106">
        <f ca="1">COUNTIF(INDIRECT(ADDRESS(21,2,1,,K$2)):INDIRECT(ADDRESS(22,2,1,,K$2)),$A120)</f>
        <v>0</v>
      </c>
      <c r="L120" s="106">
        <f ca="1">COUNTIF(INDIRECT(ADDRESS(21,2,1,,L$2)):INDIRECT(ADDRESS(22,2,1,,L$2)),$A120)</f>
        <v>0</v>
      </c>
      <c r="M120" s="106">
        <f ca="1">COUNTIF(INDIRECT(ADDRESS(21,2,1,,M$2)):INDIRECT(ADDRESS(22,2,1,,M$2)),$A120)</f>
        <v>0</v>
      </c>
      <c r="N120" s="106">
        <f ca="1">COUNTIF(INDIRECT(ADDRESS(21,2,1,,N$2)):INDIRECT(ADDRESS(22,2,1,,N$2)),$A120)</f>
        <v>0</v>
      </c>
      <c r="O120" s="94">
        <f t="shared" ca="1" si="27"/>
        <v>0</v>
      </c>
    </row>
    <row r="121" spans="1:15" x14ac:dyDescent="0.25">
      <c r="A121" s="109" t="s">
        <v>251</v>
      </c>
      <c r="B121" s="106">
        <f ca="1">COUNTIF(INDIRECT(ADDRESS(21,2,1,,B$2)):INDIRECT(ADDRESS(22,2,1,,B$2)),$A121)</f>
        <v>0</v>
      </c>
      <c r="C121" s="106">
        <f ca="1">COUNTIF(INDIRECT(ADDRESS(21,2,1,,C$2)):INDIRECT(ADDRESS(22,2,1,,C$2)),$A121)</f>
        <v>0</v>
      </c>
      <c r="D121" s="106">
        <f ca="1">COUNTIF(INDIRECT(ADDRESS(21,2,1,,D$2)):INDIRECT(ADDRESS(22,2,1,,D$2)),$A121)</f>
        <v>0</v>
      </c>
      <c r="E121" s="106">
        <f ca="1">COUNTIF(INDIRECT(ADDRESS(21,2,1,,E$2)):INDIRECT(ADDRESS(22,2,1,,E$2)),$A121)</f>
        <v>0</v>
      </c>
      <c r="F121" s="106">
        <f ca="1">COUNTIF(INDIRECT(ADDRESS(21,2,1,,F$2)):INDIRECT(ADDRESS(22,2,1,,F$2)),$A121)</f>
        <v>0</v>
      </c>
      <c r="G121" s="106">
        <f ca="1">COUNTIF(INDIRECT(ADDRESS(21,2,1,,G$2)):INDIRECT(ADDRESS(22,2,1,,G$2)),$A121)</f>
        <v>0</v>
      </c>
      <c r="H121" s="106">
        <f ca="1">COUNTIF(INDIRECT(ADDRESS(21,2,1,,H$2)):INDIRECT(ADDRESS(22,2,1,,H$2)),$A121)</f>
        <v>0</v>
      </c>
      <c r="I121" s="106">
        <f ca="1">COUNTIF(INDIRECT(ADDRESS(21,2,1,,I$2)):INDIRECT(ADDRESS(22,2,1,,I$2)),$A121)</f>
        <v>0</v>
      </c>
      <c r="J121" s="106">
        <f ca="1">COUNTIF(INDIRECT(ADDRESS(21,2,1,,J$2)):INDIRECT(ADDRESS(22,2,1,,J$2)),$A121)</f>
        <v>0</v>
      </c>
      <c r="K121" s="106">
        <f ca="1">COUNTIF(INDIRECT(ADDRESS(21,2,1,,K$2)):INDIRECT(ADDRESS(22,2,1,,K$2)),$A121)</f>
        <v>0</v>
      </c>
      <c r="L121" s="106">
        <f ca="1">COUNTIF(INDIRECT(ADDRESS(21,2,1,,L$2)):INDIRECT(ADDRESS(22,2,1,,L$2)),$A121)</f>
        <v>0</v>
      </c>
      <c r="M121" s="106">
        <f ca="1">COUNTIF(INDIRECT(ADDRESS(21,2,1,,M$2)):INDIRECT(ADDRESS(22,2,1,,M$2)),$A121)</f>
        <v>0</v>
      </c>
      <c r="N121" s="106">
        <f ca="1">COUNTIF(INDIRECT(ADDRESS(21,2,1,,N$2)):INDIRECT(ADDRESS(22,2,1,,N$2)),$A121)</f>
        <v>0</v>
      </c>
      <c r="O121" s="94">
        <f t="shared" ca="1" si="27"/>
        <v>0</v>
      </c>
    </row>
    <row r="122" spans="1:15" x14ac:dyDescent="0.25">
      <c r="A122" s="109" t="s">
        <v>252</v>
      </c>
      <c r="B122" s="106">
        <f ca="1">COUNTIF(INDIRECT(ADDRESS(21,2,1,,B$2)):INDIRECT(ADDRESS(22,2,1,,B$2)),$A122)</f>
        <v>0</v>
      </c>
      <c r="C122" s="106">
        <f ca="1">COUNTIF(INDIRECT(ADDRESS(21,2,1,,C$2)):INDIRECT(ADDRESS(22,2,1,,C$2)),$A122)</f>
        <v>0</v>
      </c>
      <c r="D122" s="106">
        <f ca="1">COUNTIF(INDIRECT(ADDRESS(21,2,1,,D$2)):INDIRECT(ADDRESS(22,2,1,,D$2)),$A122)</f>
        <v>0</v>
      </c>
      <c r="E122" s="106">
        <f ca="1">COUNTIF(INDIRECT(ADDRESS(21,2,1,,E$2)):INDIRECT(ADDRESS(22,2,1,,E$2)),$A122)</f>
        <v>0</v>
      </c>
      <c r="F122" s="106">
        <f ca="1">COUNTIF(INDIRECT(ADDRESS(21,2,1,,F$2)):INDIRECT(ADDRESS(22,2,1,,F$2)),$A122)</f>
        <v>0</v>
      </c>
      <c r="G122" s="106">
        <f ca="1">COUNTIF(INDIRECT(ADDRESS(21,2,1,,G$2)):INDIRECT(ADDRESS(22,2,1,,G$2)),$A122)</f>
        <v>0</v>
      </c>
      <c r="H122" s="106">
        <f ca="1">COUNTIF(INDIRECT(ADDRESS(21,2,1,,H$2)):INDIRECT(ADDRESS(22,2,1,,H$2)),$A122)</f>
        <v>0</v>
      </c>
      <c r="I122" s="106">
        <f ca="1">COUNTIF(INDIRECT(ADDRESS(21,2,1,,I$2)):INDIRECT(ADDRESS(22,2,1,,I$2)),$A122)</f>
        <v>0</v>
      </c>
      <c r="J122" s="106">
        <f ca="1">COUNTIF(INDIRECT(ADDRESS(21,2,1,,J$2)):INDIRECT(ADDRESS(22,2,1,,J$2)),$A122)</f>
        <v>0</v>
      </c>
      <c r="K122" s="106">
        <f ca="1">COUNTIF(INDIRECT(ADDRESS(21,2,1,,K$2)):INDIRECT(ADDRESS(22,2,1,,K$2)),$A122)</f>
        <v>0</v>
      </c>
      <c r="L122" s="106">
        <f ca="1">COUNTIF(INDIRECT(ADDRESS(21,2,1,,L$2)):INDIRECT(ADDRESS(22,2,1,,L$2)),$A122)</f>
        <v>0</v>
      </c>
      <c r="M122" s="106">
        <f ca="1">COUNTIF(INDIRECT(ADDRESS(21,2,1,,M$2)):INDIRECT(ADDRESS(22,2,1,,M$2)),$A122)</f>
        <v>0</v>
      </c>
      <c r="N122" s="106">
        <f ca="1">COUNTIF(INDIRECT(ADDRESS(21,2,1,,N$2)):INDIRECT(ADDRESS(22,2,1,,N$2)),$A122)</f>
        <v>0</v>
      </c>
      <c r="O122" s="94">
        <f t="shared" ca="1" si="27"/>
        <v>0</v>
      </c>
    </row>
    <row r="123" spans="1:15" x14ac:dyDescent="0.25">
      <c r="A123" s="109" t="s">
        <v>253</v>
      </c>
      <c r="B123" s="106">
        <f ca="1">COUNTIF(INDIRECT(ADDRESS(21,2,1,,B$2)):INDIRECT(ADDRESS(22,2,1,,B$2)),$A123)</f>
        <v>0</v>
      </c>
      <c r="C123" s="106">
        <f ca="1">COUNTIF(INDIRECT(ADDRESS(21,2,1,,C$2)):INDIRECT(ADDRESS(22,2,1,,C$2)),$A123)</f>
        <v>0</v>
      </c>
      <c r="D123" s="106">
        <f ca="1">COUNTIF(INDIRECT(ADDRESS(21,2,1,,D$2)):INDIRECT(ADDRESS(22,2,1,,D$2)),$A123)</f>
        <v>0</v>
      </c>
      <c r="E123" s="106">
        <f ca="1">COUNTIF(INDIRECT(ADDRESS(21,2,1,,E$2)):INDIRECT(ADDRESS(22,2,1,,E$2)),$A123)</f>
        <v>0</v>
      </c>
      <c r="F123" s="106">
        <f ca="1">COUNTIF(INDIRECT(ADDRESS(21,2,1,,F$2)):INDIRECT(ADDRESS(22,2,1,,F$2)),$A123)</f>
        <v>0</v>
      </c>
      <c r="G123" s="106">
        <f ca="1">COUNTIF(INDIRECT(ADDRESS(21,2,1,,G$2)):INDIRECT(ADDRESS(22,2,1,,G$2)),$A123)</f>
        <v>0</v>
      </c>
      <c r="H123" s="106">
        <f ca="1">COUNTIF(INDIRECT(ADDRESS(21,2,1,,H$2)):INDIRECT(ADDRESS(22,2,1,,H$2)),$A123)</f>
        <v>0</v>
      </c>
      <c r="I123" s="106">
        <f ca="1">COUNTIF(INDIRECT(ADDRESS(21,2,1,,I$2)):INDIRECT(ADDRESS(22,2,1,,I$2)),$A123)</f>
        <v>0</v>
      </c>
      <c r="J123" s="106">
        <f ca="1">COUNTIF(INDIRECT(ADDRESS(21,2,1,,J$2)):INDIRECT(ADDRESS(22,2,1,,J$2)),$A123)</f>
        <v>0</v>
      </c>
      <c r="K123" s="106">
        <f ca="1">COUNTIF(INDIRECT(ADDRESS(21,2,1,,K$2)):INDIRECT(ADDRESS(22,2,1,,K$2)),$A123)</f>
        <v>0</v>
      </c>
      <c r="L123" s="106">
        <f ca="1">COUNTIF(INDIRECT(ADDRESS(21,2,1,,L$2)):INDIRECT(ADDRESS(22,2,1,,L$2)),$A123)</f>
        <v>0</v>
      </c>
      <c r="M123" s="106">
        <f ca="1">COUNTIF(INDIRECT(ADDRESS(21,2,1,,M$2)):INDIRECT(ADDRESS(22,2,1,,M$2)),$A123)</f>
        <v>0</v>
      </c>
      <c r="N123" s="106">
        <f ca="1">COUNTIF(INDIRECT(ADDRESS(21,2,1,,N$2)):INDIRECT(ADDRESS(22,2,1,,N$2)),$A123)</f>
        <v>0</v>
      </c>
      <c r="O123" s="94">
        <f t="shared" ca="1" si="27"/>
        <v>0</v>
      </c>
    </row>
    <row r="125" spans="1:15" s="28" customFormat="1" ht="13.8" thickBot="1" x14ac:dyDescent="0.3">
      <c r="A125" s="104" t="s">
        <v>195</v>
      </c>
      <c r="B125" s="102">
        <f t="shared" ref="B125:N125" ca="1" si="28">SUM(B126:B138)</f>
        <v>0</v>
      </c>
      <c r="C125" s="102">
        <f t="shared" ca="1" si="28"/>
        <v>0</v>
      </c>
      <c r="D125" s="102">
        <f t="shared" ca="1" si="28"/>
        <v>0</v>
      </c>
      <c r="E125" s="102">
        <f t="shared" ca="1" si="28"/>
        <v>0</v>
      </c>
      <c r="F125" s="102">
        <f t="shared" ca="1" si="28"/>
        <v>0</v>
      </c>
      <c r="G125" s="102">
        <f t="shared" ca="1" si="28"/>
        <v>0</v>
      </c>
      <c r="H125" s="102">
        <f t="shared" ca="1" si="28"/>
        <v>0</v>
      </c>
      <c r="I125" s="102">
        <f t="shared" ca="1" si="28"/>
        <v>0</v>
      </c>
      <c r="J125" s="102">
        <f t="shared" ca="1" si="28"/>
        <v>0</v>
      </c>
      <c r="K125" s="102">
        <f t="shared" ca="1" si="28"/>
        <v>0</v>
      </c>
      <c r="L125" s="102">
        <f t="shared" ca="1" si="28"/>
        <v>0</v>
      </c>
      <c r="M125" s="102">
        <f t="shared" ca="1" si="28"/>
        <v>0</v>
      </c>
      <c r="N125" s="102">
        <f t="shared" ca="1" si="28"/>
        <v>0</v>
      </c>
      <c r="O125" s="103"/>
    </row>
    <row r="126" spans="1:15" x14ac:dyDescent="0.25">
      <c r="A126" s="109" t="s">
        <v>257</v>
      </c>
      <c r="B126" s="106">
        <f ca="1">COUNTIF(INDIRECT(ADDRESS(21,2,1,,B$2)):INDIRECT(ADDRESS(22,2,1,,B$2)),$A126)</f>
        <v>0</v>
      </c>
      <c r="C126" s="106">
        <f ca="1">COUNTIF(INDIRECT(ADDRESS(21,2,1,,C$2)):INDIRECT(ADDRESS(22,2,1,,C$2)),$A126)</f>
        <v>0</v>
      </c>
      <c r="D126" s="106">
        <f ca="1">COUNTIF(INDIRECT(ADDRESS(21,2,1,,D$2)):INDIRECT(ADDRESS(22,2,1,,D$2)),$A126)</f>
        <v>0</v>
      </c>
      <c r="E126" s="106">
        <f ca="1">COUNTIF(INDIRECT(ADDRESS(21,2,1,,E$2)):INDIRECT(ADDRESS(22,2,1,,E$2)),$A126)</f>
        <v>0</v>
      </c>
      <c r="F126" s="106">
        <f ca="1">COUNTIF(INDIRECT(ADDRESS(21,2,1,,F$2)):INDIRECT(ADDRESS(22,2,1,,F$2)),$A126)</f>
        <v>0</v>
      </c>
      <c r="G126" s="106">
        <f ca="1">COUNTIF(INDIRECT(ADDRESS(21,2,1,,G$2)):INDIRECT(ADDRESS(22,2,1,,G$2)),$A126)</f>
        <v>0</v>
      </c>
      <c r="H126" s="106">
        <f ca="1">COUNTIF(INDIRECT(ADDRESS(21,2,1,,H$2)):INDIRECT(ADDRESS(22,2,1,,H$2)),$A126)</f>
        <v>0</v>
      </c>
      <c r="I126" s="106">
        <f ca="1">COUNTIF(INDIRECT(ADDRESS(21,2,1,,I$2)):INDIRECT(ADDRESS(22,2,1,,I$2)),$A126)</f>
        <v>0</v>
      </c>
      <c r="J126" s="106">
        <f ca="1">COUNTIF(INDIRECT(ADDRESS(21,2,1,,J$2)):INDIRECT(ADDRESS(22,2,1,,J$2)),$A126)</f>
        <v>0</v>
      </c>
      <c r="K126" s="106">
        <f ca="1">COUNTIF(INDIRECT(ADDRESS(21,2,1,,K$2)):INDIRECT(ADDRESS(22,2,1,,K$2)),$A126)</f>
        <v>0</v>
      </c>
      <c r="L126" s="106">
        <f ca="1">COUNTIF(INDIRECT(ADDRESS(21,2,1,,L$2)):INDIRECT(ADDRESS(22,2,1,,L$2)),$A126)</f>
        <v>0</v>
      </c>
      <c r="M126" s="106">
        <f ca="1">COUNTIF(INDIRECT(ADDRESS(21,2,1,,M$2)):INDIRECT(ADDRESS(22,2,1,,M$2)),$A126)</f>
        <v>0</v>
      </c>
      <c r="N126" s="106">
        <f ca="1">COUNTIF(INDIRECT(ADDRESS(21,2,1,,N$2)):INDIRECT(ADDRESS(22,2,1,,N$2)),$A126)</f>
        <v>0</v>
      </c>
      <c r="O126" s="94">
        <f t="shared" ref="O126:O133" ca="1" si="29">SUM(B126:N126)</f>
        <v>0</v>
      </c>
    </row>
    <row r="127" spans="1:15" x14ac:dyDescent="0.25">
      <c r="A127" s="109" t="s">
        <v>188</v>
      </c>
      <c r="B127" s="106">
        <f ca="1">COUNTIF(INDIRECT(ADDRESS(21,2,1,,B$2)):INDIRECT(ADDRESS(22,2,1,,B$2)),$A127)</f>
        <v>0</v>
      </c>
      <c r="C127" s="106">
        <f ca="1">COUNTIF(INDIRECT(ADDRESS(21,2,1,,C$2)):INDIRECT(ADDRESS(22,2,1,,C$2)),$A127)</f>
        <v>0</v>
      </c>
      <c r="D127" s="106">
        <f ca="1">COUNTIF(INDIRECT(ADDRESS(21,2,1,,D$2)):INDIRECT(ADDRESS(22,2,1,,D$2)),$A127)</f>
        <v>0</v>
      </c>
      <c r="E127" s="106">
        <f ca="1">COUNTIF(INDIRECT(ADDRESS(21,2,1,,E$2)):INDIRECT(ADDRESS(22,2,1,,E$2)),$A127)</f>
        <v>0</v>
      </c>
      <c r="F127" s="106">
        <f ca="1">COUNTIF(INDIRECT(ADDRESS(21,2,1,,F$2)):INDIRECT(ADDRESS(22,2,1,,F$2)),$A127)</f>
        <v>0</v>
      </c>
      <c r="G127" s="106">
        <f ca="1">COUNTIF(INDIRECT(ADDRESS(21,2,1,,G$2)):INDIRECT(ADDRESS(22,2,1,,G$2)),$A127)</f>
        <v>0</v>
      </c>
      <c r="H127" s="106">
        <f ca="1">COUNTIF(INDIRECT(ADDRESS(21,2,1,,H$2)):INDIRECT(ADDRESS(22,2,1,,H$2)),$A127)</f>
        <v>0</v>
      </c>
      <c r="I127" s="106">
        <f ca="1">COUNTIF(INDIRECT(ADDRESS(21,2,1,,I$2)):INDIRECT(ADDRESS(22,2,1,,I$2)),$A127)</f>
        <v>0</v>
      </c>
      <c r="J127" s="106">
        <f ca="1">COUNTIF(INDIRECT(ADDRESS(21,2,1,,J$2)):INDIRECT(ADDRESS(22,2,1,,J$2)),$A127)</f>
        <v>0</v>
      </c>
      <c r="K127" s="106">
        <f ca="1">COUNTIF(INDIRECT(ADDRESS(21,2,1,,K$2)):INDIRECT(ADDRESS(22,2,1,,K$2)),$A127)</f>
        <v>0</v>
      </c>
      <c r="L127" s="106">
        <f ca="1">COUNTIF(INDIRECT(ADDRESS(21,2,1,,L$2)):INDIRECT(ADDRESS(22,2,1,,L$2)),$A127)</f>
        <v>0</v>
      </c>
      <c r="M127" s="106">
        <f ca="1">COUNTIF(INDIRECT(ADDRESS(21,2,1,,M$2)):INDIRECT(ADDRESS(22,2,1,,M$2)),$A127)</f>
        <v>0</v>
      </c>
      <c r="N127" s="106">
        <f ca="1">COUNTIF(INDIRECT(ADDRESS(21,2,1,,N$2)):INDIRECT(ADDRESS(22,2,1,,N$2)),$A127)</f>
        <v>0</v>
      </c>
      <c r="O127" s="94">
        <f t="shared" ca="1" si="29"/>
        <v>0</v>
      </c>
    </row>
    <row r="128" spans="1:15" x14ac:dyDescent="0.25">
      <c r="A128" s="109" t="s">
        <v>254</v>
      </c>
      <c r="B128" s="106">
        <f ca="1">COUNTIF(INDIRECT(ADDRESS(21,2,1,,B$2)):INDIRECT(ADDRESS(22,2,1,,B$2)),$A128)</f>
        <v>0</v>
      </c>
      <c r="C128" s="106">
        <f ca="1">COUNTIF(INDIRECT(ADDRESS(21,2,1,,C$2)):INDIRECT(ADDRESS(22,2,1,,C$2)),$A128)</f>
        <v>0</v>
      </c>
      <c r="D128" s="106">
        <f ca="1">COUNTIF(INDIRECT(ADDRESS(21,2,1,,D$2)):INDIRECT(ADDRESS(22,2,1,,D$2)),$A128)</f>
        <v>0</v>
      </c>
      <c r="E128" s="106">
        <f ca="1">COUNTIF(INDIRECT(ADDRESS(21,2,1,,E$2)):INDIRECT(ADDRESS(22,2,1,,E$2)),$A128)</f>
        <v>0</v>
      </c>
      <c r="F128" s="106">
        <f ca="1">COUNTIF(INDIRECT(ADDRESS(21,2,1,,F$2)):INDIRECT(ADDRESS(22,2,1,,F$2)),$A128)</f>
        <v>0</v>
      </c>
      <c r="G128" s="106">
        <f ca="1">COUNTIF(INDIRECT(ADDRESS(21,2,1,,G$2)):INDIRECT(ADDRESS(22,2,1,,G$2)),$A128)</f>
        <v>0</v>
      </c>
      <c r="H128" s="106">
        <f ca="1">COUNTIF(INDIRECT(ADDRESS(21,2,1,,H$2)):INDIRECT(ADDRESS(22,2,1,,H$2)),$A128)</f>
        <v>0</v>
      </c>
      <c r="I128" s="106">
        <f ca="1">COUNTIF(INDIRECT(ADDRESS(21,2,1,,I$2)):INDIRECT(ADDRESS(22,2,1,,I$2)),$A128)</f>
        <v>0</v>
      </c>
      <c r="J128" s="106">
        <f ca="1">COUNTIF(INDIRECT(ADDRESS(21,2,1,,J$2)):INDIRECT(ADDRESS(22,2,1,,J$2)),$A128)</f>
        <v>0</v>
      </c>
      <c r="K128" s="106">
        <f ca="1">COUNTIF(INDIRECT(ADDRESS(21,2,1,,K$2)):INDIRECT(ADDRESS(22,2,1,,K$2)),$A128)</f>
        <v>0</v>
      </c>
      <c r="L128" s="106">
        <f ca="1">COUNTIF(INDIRECT(ADDRESS(21,2,1,,L$2)):INDIRECT(ADDRESS(22,2,1,,L$2)),$A128)</f>
        <v>0</v>
      </c>
      <c r="M128" s="106">
        <f ca="1">COUNTIF(INDIRECT(ADDRESS(21,2,1,,M$2)):INDIRECT(ADDRESS(22,2,1,,M$2)),$A128)</f>
        <v>0</v>
      </c>
      <c r="N128" s="106">
        <f ca="1">COUNTIF(INDIRECT(ADDRESS(21,2,1,,N$2)):INDIRECT(ADDRESS(22,2,1,,N$2)),$A128)</f>
        <v>0</v>
      </c>
      <c r="O128" s="94">
        <f t="shared" ca="1" si="29"/>
        <v>0</v>
      </c>
    </row>
    <row r="129" spans="1:15" x14ac:dyDescent="0.25">
      <c r="A129" s="109" t="s">
        <v>160</v>
      </c>
      <c r="B129" s="106">
        <f ca="1">COUNTIF(INDIRECT(ADDRESS(21,2,1,,B$2)):INDIRECT(ADDRESS(22,2,1,,B$2)),$A129)</f>
        <v>0</v>
      </c>
      <c r="C129" s="106">
        <f ca="1">COUNTIF(INDIRECT(ADDRESS(21,2,1,,C$2)):INDIRECT(ADDRESS(22,2,1,,C$2)),$A129)</f>
        <v>0</v>
      </c>
      <c r="D129" s="106">
        <f ca="1">COUNTIF(INDIRECT(ADDRESS(21,2,1,,D$2)):INDIRECT(ADDRESS(22,2,1,,D$2)),$A129)</f>
        <v>0</v>
      </c>
      <c r="E129" s="106">
        <f ca="1">COUNTIF(INDIRECT(ADDRESS(21,2,1,,E$2)):INDIRECT(ADDRESS(22,2,1,,E$2)),$A129)</f>
        <v>0</v>
      </c>
      <c r="F129" s="106">
        <f ca="1">COUNTIF(INDIRECT(ADDRESS(21,2,1,,F$2)):INDIRECT(ADDRESS(22,2,1,,F$2)),$A129)</f>
        <v>0</v>
      </c>
      <c r="G129" s="106">
        <f ca="1">COUNTIF(INDIRECT(ADDRESS(21,2,1,,G$2)):INDIRECT(ADDRESS(22,2,1,,G$2)),$A129)</f>
        <v>0</v>
      </c>
      <c r="H129" s="106">
        <f ca="1">COUNTIF(INDIRECT(ADDRESS(21,2,1,,H$2)):INDIRECT(ADDRESS(22,2,1,,H$2)),$A129)</f>
        <v>0</v>
      </c>
      <c r="I129" s="106">
        <f ca="1">COUNTIF(INDIRECT(ADDRESS(21,2,1,,I$2)):INDIRECT(ADDRESS(22,2,1,,I$2)),$A129)</f>
        <v>0</v>
      </c>
      <c r="J129" s="106">
        <f ca="1">COUNTIF(INDIRECT(ADDRESS(21,2,1,,J$2)):INDIRECT(ADDRESS(22,2,1,,J$2)),$A129)</f>
        <v>0</v>
      </c>
      <c r="K129" s="106">
        <f ca="1">COUNTIF(INDIRECT(ADDRESS(21,2,1,,K$2)):INDIRECT(ADDRESS(22,2,1,,K$2)),$A129)</f>
        <v>0</v>
      </c>
      <c r="L129" s="106">
        <f ca="1">COUNTIF(INDIRECT(ADDRESS(21,2,1,,L$2)):INDIRECT(ADDRESS(22,2,1,,L$2)),$A129)</f>
        <v>0</v>
      </c>
      <c r="M129" s="106">
        <f ca="1">COUNTIF(INDIRECT(ADDRESS(21,2,1,,M$2)):INDIRECT(ADDRESS(22,2,1,,M$2)),$A129)</f>
        <v>0</v>
      </c>
      <c r="N129" s="106">
        <f ca="1">COUNTIF(INDIRECT(ADDRESS(21,2,1,,N$2)):INDIRECT(ADDRESS(22,2,1,,N$2)),$A129)</f>
        <v>0</v>
      </c>
      <c r="O129" s="94">
        <f t="shared" ca="1" si="29"/>
        <v>0</v>
      </c>
    </row>
    <row r="130" spans="1:15" x14ac:dyDescent="0.25">
      <c r="A130" s="109" t="s">
        <v>255</v>
      </c>
      <c r="B130" s="106">
        <f ca="1">COUNTIF(INDIRECT(ADDRESS(21,2,1,,B$2)):INDIRECT(ADDRESS(22,2,1,,B$2)),$A130)</f>
        <v>0</v>
      </c>
      <c r="C130" s="106">
        <f ca="1">COUNTIF(INDIRECT(ADDRESS(21,2,1,,C$2)):INDIRECT(ADDRESS(22,2,1,,C$2)),$A130)</f>
        <v>0</v>
      </c>
      <c r="D130" s="106">
        <f ca="1">COUNTIF(INDIRECT(ADDRESS(21,2,1,,D$2)):INDIRECT(ADDRESS(22,2,1,,D$2)),$A130)</f>
        <v>0</v>
      </c>
      <c r="E130" s="106">
        <f ca="1">COUNTIF(INDIRECT(ADDRESS(21,2,1,,E$2)):INDIRECT(ADDRESS(22,2,1,,E$2)),$A130)</f>
        <v>0</v>
      </c>
      <c r="F130" s="106">
        <f ca="1">COUNTIF(INDIRECT(ADDRESS(21,2,1,,F$2)):INDIRECT(ADDRESS(22,2,1,,F$2)),$A130)</f>
        <v>0</v>
      </c>
      <c r="G130" s="106">
        <f ca="1">COUNTIF(INDIRECT(ADDRESS(21,2,1,,G$2)):INDIRECT(ADDRESS(22,2,1,,G$2)),$A130)</f>
        <v>0</v>
      </c>
      <c r="H130" s="106">
        <f ca="1">COUNTIF(INDIRECT(ADDRESS(21,2,1,,H$2)):INDIRECT(ADDRESS(22,2,1,,H$2)),$A130)</f>
        <v>0</v>
      </c>
      <c r="I130" s="106">
        <f ca="1">COUNTIF(INDIRECT(ADDRESS(21,2,1,,I$2)):INDIRECT(ADDRESS(22,2,1,,I$2)),$A130)</f>
        <v>0</v>
      </c>
      <c r="J130" s="106">
        <f ca="1">COUNTIF(INDIRECT(ADDRESS(21,2,1,,J$2)):INDIRECT(ADDRESS(22,2,1,,J$2)),$A130)</f>
        <v>0</v>
      </c>
      <c r="K130" s="106">
        <f ca="1">COUNTIF(INDIRECT(ADDRESS(21,2,1,,K$2)):INDIRECT(ADDRESS(22,2,1,,K$2)),$A130)</f>
        <v>0</v>
      </c>
      <c r="L130" s="106">
        <f ca="1">COUNTIF(INDIRECT(ADDRESS(21,2,1,,L$2)):INDIRECT(ADDRESS(22,2,1,,L$2)),$A130)</f>
        <v>0</v>
      </c>
      <c r="M130" s="106">
        <f ca="1">COUNTIF(INDIRECT(ADDRESS(21,2,1,,M$2)):INDIRECT(ADDRESS(22,2,1,,M$2)),$A130)</f>
        <v>0</v>
      </c>
      <c r="N130" s="106">
        <f ca="1">COUNTIF(INDIRECT(ADDRESS(21,2,1,,N$2)):INDIRECT(ADDRESS(22,2,1,,N$2)),$A130)</f>
        <v>0</v>
      </c>
      <c r="O130" s="94">
        <f t="shared" ca="1" si="29"/>
        <v>0</v>
      </c>
    </row>
    <row r="131" spans="1:15" x14ac:dyDescent="0.25">
      <c r="A131" s="109" t="s">
        <v>260</v>
      </c>
      <c r="B131" s="106">
        <f ca="1">COUNTIF(INDIRECT(ADDRESS(21,2,1,,B$2)):INDIRECT(ADDRESS(22,2,1,,B$2)),$A131)</f>
        <v>0</v>
      </c>
      <c r="C131" s="106">
        <f ca="1">COUNTIF(INDIRECT(ADDRESS(21,2,1,,C$2)):INDIRECT(ADDRESS(22,2,1,,C$2)),$A131)</f>
        <v>0</v>
      </c>
      <c r="D131" s="106">
        <f ca="1">COUNTIF(INDIRECT(ADDRESS(21,2,1,,D$2)):INDIRECT(ADDRESS(22,2,1,,D$2)),$A131)</f>
        <v>0</v>
      </c>
      <c r="E131" s="106">
        <f ca="1">COUNTIF(INDIRECT(ADDRESS(21,2,1,,E$2)):INDIRECT(ADDRESS(22,2,1,,E$2)),$A131)</f>
        <v>0</v>
      </c>
      <c r="F131" s="106">
        <f ca="1">COUNTIF(INDIRECT(ADDRESS(21,2,1,,F$2)):INDIRECT(ADDRESS(22,2,1,,F$2)),$A131)</f>
        <v>0</v>
      </c>
      <c r="G131" s="106">
        <f ca="1">COUNTIF(INDIRECT(ADDRESS(21,2,1,,G$2)):INDIRECT(ADDRESS(22,2,1,,G$2)),$A131)</f>
        <v>0</v>
      </c>
      <c r="H131" s="106">
        <f ca="1">COUNTIF(INDIRECT(ADDRESS(21,2,1,,H$2)):INDIRECT(ADDRESS(22,2,1,,H$2)),$A131)</f>
        <v>0</v>
      </c>
      <c r="I131" s="106">
        <f ca="1">COUNTIF(INDIRECT(ADDRESS(21,2,1,,I$2)):INDIRECT(ADDRESS(22,2,1,,I$2)),$A131)</f>
        <v>0</v>
      </c>
      <c r="J131" s="106">
        <f ca="1">COUNTIF(INDIRECT(ADDRESS(21,2,1,,J$2)):INDIRECT(ADDRESS(22,2,1,,J$2)),$A131)</f>
        <v>0</v>
      </c>
      <c r="K131" s="106">
        <f ca="1">COUNTIF(INDIRECT(ADDRESS(21,2,1,,K$2)):INDIRECT(ADDRESS(22,2,1,,K$2)),$A131)</f>
        <v>0</v>
      </c>
      <c r="L131" s="106">
        <f ca="1">COUNTIF(INDIRECT(ADDRESS(21,2,1,,L$2)):INDIRECT(ADDRESS(22,2,1,,L$2)),$A131)</f>
        <v>0</v>
      </c>
      <c r="M131" s="106">
        <f ca="1">COUNTIF(INDIRECT(ADDRESS(21,2,1,,M$2)):INDIRECT(ADDRESS(22,2,1,,M$2)),$A131)</f>
        <v>0</v>
      </c>
      <c r="N131" s="106">
        <f ca="1">COUNTIF(INDIRECT(ADDRESS(21,2,1,,N$2)):INDIRECT(ADDRESS(22,2,1,,N$2)),$A131)</f>
        <v>0</v>
      </c>
      <c r="O131" s="94">
        <f t="shared" ca="1" si="29"/>
        <v>0</v>
      </c>
    </row>
    <row r="132" spans="1:15" x14ac:dyDescent="0.25">
      <c r="A132" s="109" t="s">
        <v>256</v>
      </c>
      <c r="B132" s="106">
        <f ca="1">COUNTIF(INDIRECT(ADDRESS(21,2,1,,B$2)):INDIRECT(ADDRESS(22,2,1,,B$2)),$A132)</f>
        <v>0</v>
      </c>
      <c r="C132" s="106">
        <f ca="1">COUNTIF(INDIRECT(ADDRESS(21,2,1,,C$2)):INDIRECT(ADDRESS(22,2,1,,C$2)),$A132)</f>
        <v>0</v>
      </c>
      <c r="D132" s="106">
        <f ca="1">COUNTIF(INDIRECT(ADDRESS(21,2,1,,D$2)):INDIRECT(ADDRESS(22,2,1,,D$2)),$A132)</f>
        <v>0</v>
      </c>
      <c r="E132" s="106">
        <f ca="1">COUNTIF(INDIRECT(ADDRESS(21,2,1,,E$2)):INDIRECT(ADDRESS(22,2,1,,E$2)),$A132)</f>
        <v>0</v>
      </c>
      <c r="F132" s="106">
        <f ca="1">COUNTIF(INDIRECT(ADDRESS(21,2,1,,F$2)):INDIRECT(ADDRESS(22,2,1,,F$2)),$A132)</f>
        <v>0</v>
      </c>
      <c r="G132" s="106">
        <f ca="1">COUNTIF(INDIRECT(ADDRESS(21,2,1,,G$2)):INDIRECT(ADDRESS(22,2,1,,G$2)),$A132)</f>
        <v>0</v>
      </c>
      <c r="H132" s="106">
        <f ca="1">COUNTIF(INDIRECT(ADDRESS(21,2,1,,H$2)):INDIRECT(ADDRESS(22,2,1,,H$2)),$A132)</f>
        <v>0</v>
      </c>
      <c r="I132" s="106">
        <f ca="1">COUNTIF(INDIRECT(ADDRESS(21,2,1,,I$2)):INDIRECT(ADDRESS(22,2,1,,I$2)),$A132)</f>
        <v>0</v>
      </c>
      <c r="J132" s="106">
        <f ca="1">COUNTIF(INDIRECT(ADDRESS(21,2,1,,J$2)):INDIRECT(ADDRESS(22,2,1,,J$2)),$A132)</f>
        <v>0</v>
      </c>
      <c r="K132" s="106">
        <f ca="1">COUNTIF(INDIRECT(ADDRESS(21,2,1,,K$2)):INDIRECT(ADDRESS(22,2,1,,K$2)),$A132)</f>
        <v>0</v>
      </c>
      <c r="L132" s="106">
        <f ca="1">COUNTIF(INDIRECT(ADDRESS(21,2,1,,L$2)):INDIRECT(ADDRESS(22,2,1,,L$2)),$A132)</f>
        <v>0</v>
      </c>
      <c r="M132" s="106">
        <f ca="1">COUNTIF(INDIRECT(ADDRESS(21,2,1,,M$2)):INDIRECT(ADDRESS(22,2,1,,M$2)),$A132)</f>
        <v>0</v>
      </c>
      <c r="N132" s="106">
        <f ca="1">COUNTIF(INDIRECT(ADDRESS(21,2,1,,N$2)):INDIRECT(ADDRESS(22,2,1,,N$2)),$A132)</f>
        <v>0</v>
      </c>
      <c r="O132" s="94">
        <f t="shared" ca="1" si="29"/>
        <v>0</v>
      </c>
    </row>
    <row r="133" spans="1:15" x14ac:dyDescent="0.25">
      <c r="A133" s="109" t="s">
        <v>258</v>
      </c>
      <c r="B133" s="106">
        <f ca="1">COUNTIF(INDIRECT(ADDRESS(21,2,1,,B$2)):INDIRECT(ADDRESS(22,2,1,,B$2)),$A133)</f>
        <v>0</v>
      </c>
      <c r="C133" s="106">
        <f ca="1">COUNTIF(INDIRECT(ADDRESS(21,2,1,,C$2)):INDIRECT(ADDRESS(22,2,1,,C$2)),$A133)</f>
        <v>0</v>
      </c>
      <c r="D133" s="106">
        <f ca="1">COUNTIF(INDIRECT(ADDRESS(21,2,1,,D$2)):INDIRECT(ADDRESS(22,2,1,,D$2)),$A133)</f>
        <v>0</v>
      </c>
      <c r="E133" s="106">
        <f ca="1">COUNTIF(INDIRECT(ADDRESS(21,2,1,,E$2)):INDIRECT(ADDRESS(22,2,1,,E$2)),$A133)</f>
        <v>0</v>
      </c>
      <c r="F133" s="106">
        <f ca="1">COUNTIF(INDIRECT(ADDRESS(21,2,1,,F$2)):INDIRECT(ADDRESS(22,2,1,,F$2)),$A133)</f>
        <v>0</v>
      </c>
      <c r="G133" s="106">
        <f ca="1">COUNTIF(INDIRECT(ADDRESS(21,2,1,,G$2)):INDIRECT(ADDRESS(22,2,1,,G$2)),$A133)</f>
        <v>0</v>
      </c>
      <c r="H133" s="106">
        <f ca="1">COUNTIF(INDIRECT(ADDRESS(21,2,1,,H$2)):INDIRECT(ADDRESS(22,2,1,,H$2)),$A133)</f>
        <v>0</v>
      </c>
      <c r="I133" s="106">
        <f ca="1">COUNTIF(INDIRECT(ADDRESS(21,2,1,,I$2)):INDIRECT(ADDRESS(22,2,1,,I$2)),$A133)</f>
        <v>0</v>
      </c>
      <c r="J133" s="106">
        <f ca="1">COUNTIF(INDIRECT(ADDRESS(21,2,1,,J$2)):INDIRECT(ADDRESS(22,2,1,,J$2)),$A133)</f>
        <v>0</v>
      </c>
      <c r="K133" s="106">
        <f ca="1">COUNTIF(INDIRECT(ADDRESS(21,2,1,,K$2)):INDIRECT(ADDRESS(22,2,1,,K$2)),$A133)</f>
        <v>0</v>
      </c>
      <c r="L133" s="106">
        <f ca="1">COUNTIF(INDIRECT(ADDRESS(21,2,1,,L$2)):INDIRECT(ADDRESS(22,2,1,,L$2)),$A133)</f>
        <v>0</v>
      </c>
      <c r="M133" s="106">
        <f ca="1">COUNTIF(INDIRECT(ADDRESS(21,2,1,,M$2)):INDIRECT(ADDRESS(22,2,1,,M$2)),$A133)</f>
        <v>0</v>
      </c>
      <c r="N133" s="106">
        <f ca="1">COUNTIF(INDIRECT(ADDRESS(21,2,1,,N$2)):INDIRECT(ADDRESS(22,2,1,,N$2)),$A133)</f>
        <v>0</v>
      </c>
      <c r="O133" s="94">
        <f t="shared" ca="1" si="29"/>
        <v>0</v>
      </c>
    </row>
    <row r="140" spans="1:15" s="28" customFormat="1" ht="13.8" thickBot="1" x14ac:dyDescent="0.3">
      <c r="A140" s="104" t="s">
        <v>370</v>
      </c>
      <c r="B140" s="102">
        <f t="shared" ref="B140:N140" ca="1" si="30">SUM(B141:B153)</f>
        <v>1</v>
      </c>
      <c r="C140" s="102">
        <f t="shared" ca="1" si="30"/>
        <v>0</v>
      </c>
      <c r="D140" s="102">
        <f t="shared" ca="1" si="30"/>
        <v>0</v>
      </c>
      <c r="E140" s="102">
        <f t="shared" ca="1" si="30"/>
        <v>0</v>
      </c>
      <c r="F140" s="102">
        <f t="shared" ca="1" si="30"/>
        <v>0</v>
      </c>
      <c r="G140" s="102">
        <f t="shared" ca="1" si="30"/>
        <v>0</v>
      </c>
      <c r="H140" s="102">
        <f t="shared" ca="1" si="30"/>
        <v>0</v>
      </c>
      <c r="I140" s="102">
        <f t="shared" ca="1" si="30"/>
        <v>0</v>
      </c>
      <c r="J140" s="102">
        <f t="shared" ca="1" si="30"/>
        <v>2</v>
      </c>
      <c r="K140" s="102">
        <f t="shared" ca="1" si="30"/>
        <v>0</v>
      </c>
      <c r="L140" s="102">
        <f t="shared" ca="1" si="30"/>
        <v>2</v>
      </c>
      <c r="M140" s="102">
        <f t="shared" ca="1" si="30"/>
        <v>0</v>
      </c>
      <c r="N140" s="102">
        <f t="shared" ca="1" si="30"/>
        <v>0</v>
      </c>
      <c r="O140" s="103"/>
    </row>
    <row r="141" spans="1:15" x14ac:dyDescent="0.25">
      <c r="A141" s="109" t="s">
        <v>264</v>
      </c>
      <c r="B141" s="106">
        <f ca="1">COUNTIF(INDIRECT(ADDRESS(21,2,1,,B$2)):INDIRECT(ADDRESS(22,2,1,,B$2)),$A141)</f>
        <v>0</v>
      </c>
      <c r="C141" s="106">
        <f ca="1">COUNTIF(INDIRECT(ADDRESS(21,2,1,,C$2)):INDIRECT(ADDRESS(22,2,1,,C$2)),$A141)</f>
        <v>0</v>
      </c>
      <c r="D141" s="106">
        <f ca="1">COUNTIF(INDIRECT(ADDRESS(21,2,1,,D$2)):INDIRECT(ADDRESS(22,2,1,,D$2)),$A141)</f>
        <v>0</v>
      </c>
      <c r="E141" s="106">
        <f ca="1">COUNTIF(INDIRECT(ADDRESS(21,2,1,,E$2)):INDIRECT(ADDRESS(22,2,1,,E$2)),$A141)</f>
        <v>0</v>
      </c>
      <c r="F141" s="106">
        <f ca="1">COUNTIF(INDIRECT(ADDRESS(21,2,1,,F$2)):INDIRECT(ADDRESS(22,2,1,,F$2)),$A141)</f>
        <v>0</v>
      </c>
      <c r="G141" s="106">
        <f ca="1">COUNTIF(INDIRECT(ADDRESS(21,2,1,,G$2)):INDIRECT(ADDRESS(22,2,1,,G$2)),$A141)</f>
        <v>0</v>
      </c>
      <c r="H141" s="106">
        <f ca="1">COUNTIF(INDIRECT(ADDRESS(21,2,1,,H$2)):INDIRECT(ADDRESS(22,2,1,,H$2)),$A141)</f>
        <v>0</v>
      </c>
      <c r="I141" s="106">
        <f ca="1">COUNTIF(INDIRECT(ADDRESS(21,2,1,,I$2)):INDIRECT(ADDRESS(22,2,1,,I$2)),$A141)</f>
        <v>0</v>
      </c>
      <c r="J141" s="106">
        <f ca="1">COUNTIF(INDIRECT(ADDRESS(21,2,1,,J$2)):INDIRECT(ADDRESS(22,2,1,,J$2)),$A141)</f>
        <v>1</v>
      </c>
      <c r="K141" s="106">
        <f ca="1">COUNTIF(INDIRECT(ADDRESS(21,2,1,,K$2)):INDIRECT(ADDRESS(22,2,1,,K$2)),$A141)</f>
        <v>0</v>
      </c>
      <c r="L141" s="106">
        <f ca="1">COUNTIF(INDIRECT(ADDRESS(21,2,1,,L$2)):INDIRECT(ADDRESS(22,2,1,,L$2)),$A141)</f>
        <v>0</v>
      </c>
      <c r="M141" s="106">
        <f ca="1">COUNTIF(INDIRECT(ADDRESS(21,2,1,,M$2)):INDIRECT(ADDRESS(22,2,1,,M$2)),$A141)</f>
        <v>0</v>
      </c>
      <c r="N141" s="106">
        <f ca="1">COUNTIF(INDIRECT(ADDRESS(21,2,1,,N$2)):INDIRECT(ADDRESS(22,2,1,,N$2)),$A141)</f>
        <v>0</v>
      </c>
      <c r="O141" s="94">
        <f t="shared" ref="O141:O152" ca="1" si="31">SUM(B141:N141)</f>
        <v>1</v>
      </c>
    </row>
    <row r="142" spans="1:15" x14ac:dyDescent="0.25">
      <c r="A142" s="109" t="s">
        <v>181</v>
      </c>
      <c r="B142" s="106">
        <f ca="1">COUNTIF(INDIRECT(ADDRESS(21,2,1,,B$2)):INDIRECT(ADDRESS(22,2,1,,B$2)),$A142)</f>
        <v>1</v>
      </c>
      <c r="C142" s="106">
        <f ca="1">COUNTIF(INDIRECT(ADDRESS(21,2,1,,C$2)):INDIRECT(ADDRESS(22,2,1,,C$2)),$A142)</f>
        <v>0</v>
      </c>
      <c r="D142" s="106">
        <f ca="1">COUNTIF(INDIRECT(ADDRESS(21,2,1,,D$2)):INDIRECT(ADDRESS(22,2,1,,D$2)),$A142)</f>
        <v>0</v>
      </c>
      <c r="E142" s="106">
        <f ca="1">COUNTIF(INDIRECT(ADDRESS(21,2,1,,E$2)):INDIRECT(ADDRESS(22,2,1,,E$2)),$A142)</f>
        <v>0</v>
      </c>
      <c r="F142" s="106">
        <f ca="1">COUNTIF(INDIRECT(ADDRESS(21,2,1,,F$2)):INDIRECT(ADDRESS(22,2,1,,F$2)),$A142)</f>
        <v>0</v>
      </c>
      <c r="G142" s="106">
        <f ca="1">COUNTIF(INDIRECT(ADDRESS(21,2,1,,G$2)):INDIRECT(ADDRESS(22,2,1,,G$2)),$A142)</f>
        <v>0</v>
      </c>
      <c r="H142" s="106">
        <f ca="1">COUNTIF(INDIRECT(ADDRESS(21,2,1,,H$2)):INDIRECT(ADDRESS(22,2,1,,H$2)),$A142)</f>
        <v>0</v>
      </c>
      <c r="I142" s="106">
        <f ca="1">COUNTIF(INDIRECT(ADDRESS(21,2,1,,I$2)):INDIRECT(ADDRESS(22,2,1,,I$2)),$A142)</f>
        <v>0</v>
      </c>
      <c r="J142" s="106">
        <f ca="1">COUNTIF(INDIRECT(ADDRESS(21,2,1,,J$2)):INDIRECT(ADDRESS(22,2,1,,J$2)),$A142)</f>
        <v>0</v>
      </c>
      <c r="K142" s="106">
        <f ca="1">COUNTIF(INDIRECT(ADDRESS(21,2,1,,K$2)):INDIRECT(ADDRESS(22,2,1,,K$2)),$A142)</f>
        <v>0</v>
      </c>
      <c r="L142" s="106">
        <f ca="1">COUNTIF(INDIRECT(ADDRESS(21,2,1,,L$2)):INDIRECT(ADDRESS(22,2,1,,L$2)),$A142)</f>
        <v>1</v>
      </c>
      <c r="M142" s="106">
        <f ca="1">COUNTIF(INDIRECT(ADDRESS(21,2,1,,M$2)):INDIRECT(ADDRESS(22,2,1,,M$2)),$A142)</f>
        <v>0</v>
      </c>
      <c r="N142" s="106">
        <f ca="1">COUNTIF(INDIRECT(ADDRESS(21,2,1,,N$2)):INDIRECT(ADDRESS(22,2,1,,N$2)),$A142)</f>
        <v>0</v>
      </c>
      <c r="O142" s="94">
        <f t="shared" ca="1" si="31"/>
        <v>2</v>
      </c>
    </row>
    <row r="143" spans="1:15" x14ac:dyDescent="0.25">
      <c r="A143" s="109" t="s">
        <v>265</v>
      </c>
      <c r="B143" s="106">
        <f ca="1">COUNTIF(INDIRECT(ADDRESS(21,2,1,,B$2)):INDIRECT(ADDRESS(22,2,1,,B$2)),$A143)</f>
        <v>0</v>
      </c>
      <c r="C143" s="106">
        <f ca="1">COUNTIF(INDIRECT(ADDRESS(21,2,1,,C$2)):INDIRECT(ADDRESS(22,2,1,,C$2)),$A143)</f>
        <v>0</v>
      </c>
      <c r="D143" s="106">
        <f ca="1">COUNTIF(INDIRECT(ADDRESS(21,2,1,,D$2)):INDIRECT(ADDRESS(22,2,1,,D$2)),$A143)</f>
        <v>0</v>
      </c>
      <c r="E143" s="106">
        <f ca="1">COUNTIF(INDIRECT(ADDRESS(21,2,1,,E$2)):INDIRECT(ADDRESS(22,2,1,,E$2)),$A143)</f>
        <v>0</v>
      </c>
      <c r="F143" s="106">
        <f ca="1">COUNTIF(INDIRECT(ADDRESS(21,2,1,,F$2)):INDIRECT(ADDRESS(22,2,1,,F$2)),$A143)</f>
        <v>0</v>
      </c>
      <c r="G143" s="106">
        <f ca="1">COUNTIF(INDIRECT(ADDRESS(21,2,1,,G$2)):INDIRECT(ADDRESS(22,2,1,,G$2)),$A143)</f>
        <v>0</v>
      </c>
      <c r="H143" s="106">
        <f ca="1">COUNTIF(INDIRECT(ADDRESS(21,2,1,,H$2)):INDIRECT(ADDRESS(22,2,1,,H$2)),$A143)</f>
        <v>0</v>
      </c>
      <c r="I143" s="106">
        <f ca="1">COUNTIF(INDIRECT(ADDRESS(21,2,1,,I$2)):INDIRECT(ADDRESS(22,2,1,,I$2)),$A143)</f>
        <v>0</v>
      </c>
      <c r="J143" s="106">
        <f ca="1">COUNTIF(INDIRECT(ADDRESS(21,2,1,,J$2)):INDIRECT(ADDRESS(22,2,1,,J$2)),$A143)</f>
        <v>1</v>
      </c>
      <c r="K143" s="106">
        <f ca="1">COUNTIF(INDIRECT(ADDRESS(21,2,1,,K$2)):INDIRECT(ADDRESS(22,2,1,,K$2)),$A143)</f>
        <v>0</v>
      </c>
      <c r="L143" s="106">
        <f ca="1">COUNTIF(INDIRECT(ADDRESS(21,2,1,,L$2)):INDIRECT(ADDRESS(22,2,1,,L$2)),$A143)</f>
        <v>1</v>
      </c>
      <c r="M143" s="106">
        <f ca="1">COUNTIF(INDIRECT(ADDRESS(21,2,1,,M$2)):INDIRECT(ADDRESS(22,2,1,,M$2)),$A143)</f>
        <v>0</v>
      </c>
      <c r="N143" s="106">
        <f ca="1">COUNTIF(INDIRECT(ADDRESS(21,2,1,,N$2)):INDIRECT(ADDRESS(22,2,1,,N$2)),$A143)</f>
        <v>0</v>
      </c>
      <c r="O143" s="94">
        <f t="shared" ca="1" si="31"/>
        <v>2</v>
      </c>
    </row>
    <row r="144" spans="1:15" x14ac:dyDescent="0.25">
      <c r="A144" s="109" t="s">
        <v>261</v>
      </c>
      <c r="B144" s="106">
        <f ca="1">COUNTIF(INDIRECT(ADDRESS(21,2,1,,B$2)):INDIRECT(ADDRESS(22,2,1,,B$2)),$A144)</f>
        <v>0</v>
      </c>
      <c r="C144" s="106">
        <f ca="1">COUNTIF(INDIRECT(ADDRESS(21,2,1,,C$2)):INDIRECT(ADDRESS(22,2,1,,C$2)),$A144)</f>
        <v>0</v>
      </c>
      <c r="D144" s="106">
        <f ca="1">COUNTIF(INDIRECT(ADDRESS(21,2,1,,D$2)):INDIRECT(ADDRESS(22,2,1,,D$2)),$A144)</f>
        <v>0</v>
      </c>
      <c r="E144" s="106">
        <f ca="1">COUNTIF(INDIRECT(ADDRESS(21,2,1,,E$2)):INDIRECT(ADDRESS(22,2,1,,E$2)),$A144)</f>
        <v>0</v>
      </c>
      <c r="F144" s="106">
        <f ca="1">COUNTIF(INDIRECT(ADDRESS(21,2,1,,F$2)):INDIRECT(ADDRESS(22,2,1,,F$2)),$A144)</f>
        <v>0</v>
      </c>
      <c r="G144" s="106">
        <f ca="1">COUNTIF(INDIRECT(ADDRESS(21,2,1,,G$2)):INDIRECT(ADDRESS(22,2,1,,G$2)),$A144)</f>
        <v>0</v>
      </c>
      <c r="H144" s="106">
        <f ca="1">COUNTIF(INDIRECT(ADDRESS(21,2,1,,H$2)):INDIRECT(ADDRESS(22,2,1,,H$2)),$A144)</f>
        <v>0</v>
      </c>
      <c r="I144" s="106">
        <f ca="1">COUNTIF(INDIRECT(ADDRESS(21,2,1,,I$2)):INDIRECT(ADDRESS(22,2,1,,I$2)),$A144)</f>
        <v>0</v>
      </c>
      <c r="J144" s="106">
        <f ca="1">COUNTIF(INDIRECT(ADDRESS(21,2,1,,J$2)):INDIRECT(ADDRESS(22,2,1,,J$2)),$A144)</f>
        <v>0</v>
      </c>
      <c r="K144" s="106">
        <f ca="1">COUNTIF(INDIRECT(ADDRESS(21,2,1,,K$2)):INDIRECT(ADDRESS(22,2,1,,K$2)),$A144)</f>
        <v>0</v>
      </c>
      <c r="L144" s="106">
        <f ca="1">COUNTIF(INDIRECT(ADDRESS(21,2,1,,L$2)):INDIRECT(ADDRESS(22,2,1,,L$2)),$A144)</f>
        <v>0</v>
      </c>
      <c r="M144" s="106">
        <f ca="1">COUNTIF(INDIRECT(ADDRESS(21,2,1,,M$2)):INDIRECT(ADDRESS(22,2,1,,M$2)),$A144)</f>
        <v>0</v>
      </c>
      <c r="N144" s="106">
        <f ca="1">COUNTIF(INDIRECT(ADDRESS(21,2,1,,N$2)):INDIRECT(ADDRESS(22,2,1,,N$2)),$A144)</f>
        <v>0</v>
      </c>
      <c r="O144" s="94">
        <f t="shared" ca="1" si="31"/>
        <v>0</v>
      </c>
    </row>
    <row r="145" spans="1:15" x14ac:dyDescent="0.25">
      <c r="A145" s="109" t="s">
        <v>266</v>
      </c>
      <c r="B145" s="106">
        <f ca="1">COUNTIF(INDIRECT(ADDRESS(21,2,1,,B$2)):INDIRECT(ADDRESS(22,2,1,,B$2)),$A145)</f>
        <v>0</v>
      </c>
      <c r="C145" s="106">
        <f ca="1">COUNTIF(INDIRECT(ADDRESS(21,2,1,,C$2)):INDIRECT(ADDRESS(22,2,1,,C$2)),$A145)</f>
        <v>0</v>
      </c>
      <c r="D145" s="106">
        <f ca="1">COUNTIF(INDIRECT(ADDRESS(21,2,1,,D$2)):INDIRECT(ADDRESS(22,2,1,,D$2)),$A145)</f>
        <v>0</v>
      </c>
      <c r="E145" s="106">
        <f ca="1">COUNTIF(INDIRECT(ADDRESS(21,2,1,,E$2)):INDIRECT(ADDRESS(22,2,1,,E$2)),$A145)</f>
        <v>0</v>
      </c>
      <c r="F145" s="106">
        <f ca="1">COUNTIF(INDIRECT(ADDRESS(21,2,1,,F$2)):INDIRECT(ADDRESS(22,2,1,,F$2)),$A145)</f>
        <v>0</v>
      </c>
      <c r="G145" s="106">
        <f ca="1">COUNTIF(INDIRECT(ADDRESS(21,2,1,,G$2)):INDIRECT(ADDRESS(22,2,1,,G$2)),$A145)</f>
        <v>0</v>
      </c>
      <c r="H145" s="106">
        <f ca="1">COUNTIF(INDIRECT(ADDRESS(21,2,1,,H$2)):INDIRECT(ADDRESS(22,2,1,,H$2)),$A145)</f>
        <v>0</v>
      </c>
      <c r="I145" s="106">
        <f ca="1">COUNTIF(INDIRECT(ADDRESS(21,2,1,,I$2)):INDIRECT(ADDRESS(22,2,1,,I$2)),$A145)</f>
        <v>0</v>
      </c>
      <c r="J145" s="106">
        <f ca="1">COUNTIF(INDIRECT(ADDRESS(21,2,1,,J$2)):INDIRECT(ADDRESS(22,2,1,,J$2)),$A145)</f>
        <v>0</v>
      </c>
      <c r="K145" s="106">
        <f ca="1">COUNTIF(INDIRECT(ADDRESS(21,2,1,,K$2)):INDIRECT(ADDRESS(22,2,1,,K$2)),$A145)</f>
        <v>0</v>
      </c>
      <c r="L145" s="106">
        <f ca="1">COUNTIF(INDIRECT(ADDRESS(21,2,1,,L$2)):INDIRECT(ADDRESS(22,2,1,,L$2)),$A145)</f>
        <v>0</v>
      </c>
      <c r="M145" s="106">
        <f ca="1">COUNTIF(INDIRECT(ADDRESS(21,2,1,,M$2)):INDIRECT(ADDRESS(22,2,1,,M$2)),$A145)</f>
        <v>0</v>
      </c>
      <c r="N145" s="106">
        <f ca="1">COUNTIF(INDIRECT(ADDRESS(21,2,1,,N$2)):INDIRECT(ADDRESS(22,2,1,,N$2)),$A145)</f>
        <v>0</v>
      </c>
      <c r="O145" s="94">
        <f t="shared" ca="1" si="31"/>
        <v>0</v>
      </c>
    </row>
    <row r="146" spans="1:15" x14ac:dyDescent="0.25">
      <c r="A146" s="109" t="s">
        <v>259</v>
      </c>
      <c r="B146" s="106">
        <f ca="1">COUNTIF(INDIRECT(ADDRESS(21,2,1,,B$2)):INDIRECT(ADDRESS(22,2,1,,B$2)),$A146)</f>
        <v>0</v>
      </c>
      <c r="C146" s="106">
        <f ca="1">COUNTIF(INDIRECT(ADDRESS(21,2,1,,C$2)):INDIRECT(ADDRESS(22,2,1,,C$2)),$A146)</f>
        <v>0</v>
      </c>
      <c r="D146" s="106">
        <f ca="1">COUNTIF(INDIRECT(ADDRESS(21,2,1,,D$2)):INDIRECT(ADDRESS(22,2,1,,D$2)),$A146)</f>
        <v>0</v>
      </c>
      <c r="E146" s="106">
        <f ca="1">COUNTIF(INDIRECT(ADDRESS(21,2,1,,E$2)):INDIRECT(ADDRESS(22,2,1,,E$2)),$A146)</f>
        <v>0</v>
      </c>
      <c r="F146" s="106">
        <f ca="1">COUNTIF(INDIRECT(ADDRESS(21,2,1,,F$2)):INDIRECT(ADDRESS(22,2,1,,F$2)),$A146)</f>
        <v>0</v>
      </c>
      <c r="G146" s="106">
        <f ca="1">COUNTIF(INDIRECT(ADDRESS(21,2,1,,G$2)):INDIRECT(ADDRESS(22,2,1,,G$2)),$A146)</f>
        <v>0</v>
      </c>
      <c r="H146" s="106">
        <f ca="1">COUNTIF(INDIRECT(ADDRESS(21,2,1,,H$2)):INDIRECT(ADDRESS(22,2,1,,H$2)),$A146)</f>
        <v>0</v>
      </c>
      <c r="I146" s="106">
        <f ca="1">COUNTIF(INDIRECT(ADDRESS(21,2,1,,I$2)):INDIRECT(ADDRESS(22,2,1,,I$2)),$A146)</f>
        <v>0</v>
      </c>
      <c r="J146" s="106">
        <f ca="1">COUNTIF(INDIRECT(ADDRESS(21,2,1,,J$2)):INDIRECT(ADDRESS(22,2,1,,J$2)),$A146)</f>
        <v>0</v>
      </c>
      <c r="K146" s="106">
        <f ca="1">COUNTIF(INDIRECT(ADDRESS(21,2,1,,K$2)):INDIRECT(ADDRESS(22,2,1,,K$2)),$A146)</f>
        <v>0</v>
      </c>
      <c r="L146" s="106">
        <f ca="1">COUNTIF(INDIRECT(ADDRESS(21,2,1,,L$2)):INDIRECT(ADDRESS(22,2,1,,L$2)),$A146)</f>
        <v>0</v>
      </c>
      <c r="M146" s="106">
        <f ca="1">COUNTIF(INDIRECT(ADDRESS(21,2,1,,M$2)):INDIRECT(ADDRESS(22,2,1,,M$2)),$A146)</f>
        <v>0</v>
      </c>
      <c r="N146" s="106">
        <f ca="1">COUNTIF(INDIRECT(ADDRESS(21,2,1,,N$2)):INDIRECT(ADDRESS(22,2,1,,N$2)),$A146)</f>
        <v>0</v>
      </c>
      <c r="O146" s="94">
        <f t="shared" ca="1" si="31"/>
        <v>0</v>
      </c>
    </row>
    <row r="147" spans="1:15" x14ac:dyDescent="0.25">
      <c r="A147" s="109" t="s">
        <v>173</v>
      </c>
      <c r="B147" s="106">
        <f ca="1">COUNTIF(INDIRECT(ADDRESS(21,2,1,,B$2)):INDIRECT(ADDRESS(22,2,1,,B$2)),$A147)</f>
        <v>0</v>
      </c>
      <c r="C147" s="106">
        <f ca="1">COUNTIF(INDIRECT(ADDRESS(21,2,1,,C$2)):INDIRECT(ADDRESS(22,2,1,,C$2)),$A147)</f>
        <v>0</v>
      </c>
      <c r="D147" s="106">
        <f ca="1">COUNTIF(INDIRECT(ADDRESS(21,2,1,,D$2)):INDIRECT(ADDRESS(22,2,1,,D$2)),$A147)</f>
        <v>0</v>
      </c>
      <c r="E147" s="106">
        <f ca="1">COUNTIF(INDIRECT(ADDRESS(21,2,1,,E$2)):INDIRECT(ADDRESS(22,2,1,,E$2)),$A147)</f>
        <v>0</v>
      </c>
      <c r="F147" s="106">
        <f ca="1">COUNTIF(INDIRECT(ADDRESS(21,2,1,,F$2)):INDIRECT(ADDRESS(22,2,1,,F$2)),$A147)</f>
        <v>0</v>
      </c>
      <c r="G147" s="106">
        <f ca="1">COUNTIF(INDIRECT(ADDRESS(21,2,1,,G$2)):INDIRECT(ADDRESS(22,2,1,,G$2)),$A147)</f>
        <v>0</v>
      </c>
      <c r="H147" s="106">
        <f ca="1">COUNTIF(INDIRECT(ADDRESS(21,2,1,,H$2)):INDIRECT(ADDRESS(22,2,1,,H$2)),$A147)</f>
        <v>0</v>
      </c>
      <c r="I147" s="106">
        <f ca="1">COUNTIF(INDIRECT(ADDRESS(21,2,1,,I$2)):INDIRECT(ADDRESS(22,2,1,,I$2)),$A147)</f>
        <v>0</v>
      </c>
      <c r="J147" s="106">
        <f ca="1">COUNTIF(INDIRECT(ADDRESS(21,2,1,,J$2)):INDIRECT(ADDRESS(22,2,1,,J$2)),$A147)</f>
        <v>0</v>
      </c>
      <c r="K147" s="106">
        <f ca="1">COUNTIF(INDIRECT(ADDRESS(21,2,1,,K$2)):INDIRECT(ADDRESS(22,2,1,,K$2)),$A147)</f>
        <v>0</v>
      </c>
      <c r="L147" s="106">
        <f ca="1">COUNTIF(INDIRECT(ADDRESS(21,2,1,,L$2)):INDIRECT(ADDRESS(22,2,1,,L$2)),$A147)</f>
        <v>0</v>
      </c>
      <c r="M147" s="106">
        <f ca="1">COUNTIF(INDIRECT(ADDRESS(21,2,1,,M$2)):INDIRECT(ADDRESS(22,2,1,,M$2)),$A147)</f>
        <v>0</v>
      </c>
      <c r="N147" s="106">
        <f ca="1">COUNTIF(INDIRECT(ADDRESS(21,2,1,,N$2)):INDIRECT(ADDRESS(22,2,1,,N$2)),$A147)</f>
        <v>0</v>
      </c>
      <c r="O147" s="94">
        <f t="shared" ca="1" si="31"/>
        <v>0</v>
      </c>
    </row>
    <row r="148" spans="1:15" x14ac:dyDescent="0.25">
      <c r="A148" s="109" t="s">
        <v>263</v>
      </c>
      <c r="B148" s="106">
        <f ca="1">COUNTIF(INDIRECT(ADDRESS(21,2,1,,B$2)):INDIRECT(ADDRESS(22,2,1,,B$2)),$A148)</f>
        <v>0</v>
      </c>
      <c r="C148" s="106">
        <f ca="1">COUNTIF(INDIRECT(ADDRESS(21,2,1,,C$2)):INDIRECT(ADDRESS(22,2,1,,C$2)),$A148)</f>
        <v>0</v>
      </c>
      <c r="D148" s="106">
        <f ca="1">COUNTIF(INDIRECT(ADDRESS(21,2,1,,D$2)):INDIRECT(ADDRESS(22,2,1,,D$2)),$A148)</f>
        <v>0</v>
      </c>
      <c r="E148" s="106">
        <f ca="1">COUNTIF(INDIRECT(ADDRESS(21,2,1,,E$2)):INDIRECT(ADDRESS(22,2,1,,E$2)),$A148)</f>
        <v>0</v>
      </c>
      <c r="F148" s="106">
        <f ca="1">COUNTIF(INDIRECT(ADDRESS(21,2,1,,F$2)):INDIRECT(ADDRESS(22,2,1,,F$2)),$A148)</f>
        <v>0</v>
      </c>
      <c r="G148" s="106">
        <f ca="1">COUNTIF(INDIRECT(ADDRESS(21,2,1,,G$2)):INDIRECT(ADDRESS(22,2,1,,G$2)),$A148)</f>
        <v>0</v>
      </c>
      <c r="H148" s="106">
        <f ca="1">COUNTIF(INDIRECT(ADDRESS(21,2,1,,H$2)):INDIRECT(ADDRESS(22,2,1,,H$2)),$A148)</f>
        <v>0</v>
      </c>
      <c r="I148" s="106">
        <f ca="1">COUNTIF(INDIRECT(ADDRESS(21,2,1,,I$2)):INDIRECT(ADDRESS(22,2,1,,I$2)),$A148)</f>
        <v>0</v>
      </c>
      <c r="J148" s="106">
        <f ca="1">COUNTIF(INDIRECT(ADDRESS(21,2,1,,J$2)):INDIRECT(ADDRESS(22,2,1,,J$2)),$A148)</f>
        <v>0</v>
      </c>
      <c r="K148" s="106">
        <f ca="1">COUNTIF(INDIRECT(ADDRESS(21,2,1,,K$2)):INDIRECT(ADDRESS(22,2,1,,K$2)),$A148)</f>
        <v>0</v>
      </c>
      <c r="L148" s="106">
        <f ca="1">COUNTIF(INDIRECT(ADDRESS(21,2,1,,L$2)):INDIRECT(ADDRESS(22,2,1,,L$2)),$A148)</f>
        <v>0</v>
      </c>
      <c r="M148" s="106">
        <f ca="1">COUNTIF(INDIRECT(ADDRESS(21,2,1,,M$2)):INDIRECT(ADDRESS(22,2,1,,M$2)),$A148)</f>
        <v>0</v>
      </c>
      <c r="N148" s="106">
        <f ca="1">COUNTIF(INDIRECT(ADDRESS(21,2,1,,N$2)):INDIRECT(ADDRESS(22,2,1,,N$2)),$A148)</f>
        <v>0</v>
      </c>
      <c r="O148" s="94">
        <f t="shared" ca="1" si="31"/>
        <v>0</v>
      </c>
    </row>
    <row r="149" spans="1:15" x14ac:dyDescent="0.25">
      <c r="A149" s="109" t="s">
        <v>262</v>
      </c>
      <c r="B149" s="106">
        <f ca="1">COUNTIF(INDIRECT(ADDRESS(21,2,1,,B$2)):INDIRECT(ADDRESS(22,2,1,,B$2)),$A149)</f>
        <v>0</v>
      </c>
      <c r="C149" s="106">
        <f ca="1">COUNTIF(INDIRECT(ADDRESS(21,2,1,,C$2)):INDIRECT(ADDRESS(22,2,1,,C$2)),$A149)</f>
        <v>0</v>
      </c>
      <c r="D149" s="106">
        <f ca="1">COUNTIF(INDIRECT(ADDRESS(21,2,1,,D$2)):INDIRECT(ADDRESS(22,2,1,,D$2)),$A149)</f>
        <v>0</v>
      </c>
      <c r="E149" s="106">
        <f ca="1">COUNTIF(INDIRECT(ADDRESS(21,2,1,,E$2)):INDIRECT(ADDRESS(22,2,1,,E$2)),$A149)</f>
        <v>0</v>
      </c>
      <c r="F149" s="106">
        <f ca="1">COUNTIF(INDIRECT(ADDRESS(21,2,1,,F$2)):INDIRECT(ADDRESS(22,2,1,,F$2)),$A149)</f>
        <v>0</v>
      </c>
      <c r="G149" s="106">
        <f ca="1">COUNTIF(INDIRECT(ADDRESS(21,2,1,,G$2)):INDIRECT(ADDRESS(22,2,1,,G$2)),$A149)</f>
        <v>0</v>
      </c>
      <c r="H149" s="106">
        <f ca="1">COUNTIF(INDIRECT(ADDRESS(21,2,1,,H$2)):INDIRECT(ADDRESS(22,2,1,,H$2)),$A149)</f>
        <v>0</v>
      </c>
      <c r="I149" s="106">
        <f ca="1">COUNTIF(INDIRECT(ADDRESS(21,2,1,,I$2)):INDIRECT(ADDRESS(22,2,1,,I$2)),$A149)</f>
        <v>0</v>
      </c>
      <c r="J149" s="106">
        <f ca="1">COUNTIF(INDIRECT(ADDRESS(21,2,1,,J$2)):INDIRECT(ADDRESS(22,2,1,,J$2)),$A149)</f>
        <v>0</v>
      </c>
      <c r="K149" s="106">
        <f ca="1">COUNTIF(INDIRECT(ADDRESS(21,2,1,,K$2)):INDIRECT(ADDRESS(22,2,1,,K$2)),$A149)</f>
        <v>0</v>
      </c>
      <c r="L149" s="106">
        <f ca="1">COUNTIF(INDIRECT(ADDRESS(21,2,1,,L$2)):INDIRECT(ADDRESS(22,2,1,,L$2)),$A149)</f>
        <v>0</v>
      </c>
      <c r="M149" s="106">
        <f ca="1">COUNTIF(INDIRECT(ADDRESS(21,2,1,,M$2)):INDIRECT(ADDRESS(22,2,1,,M$2)),$A149)</f>
        <v>0</v>
      </c>
      <c r="N149" s="106">
        <f ca="1">COUNTIF(INDIRECT(ADDRESS(21,2,1,,N$2)):INDIRECT(ADDRESS(22,2,1,,N$2)),$A149)</f>
        <v>0</v>
      </c>
      <c r="O149" s="94">
        <f t="shared" ca="1" si="31"/>
        <v>0</v>
      </c>
    </row>
    <row r="150" spans="1:15" x14ac:dyDescent="0.25">
      <c r="A150" s="109" t="s">
        <v>161</v>
      </c>
      <c r="B150" s="106">
        <f ca="1">COUNTIF(INDIRECT(ADDRESS(21,2,1,,B$2)):INDIRECT(ADDRESS(22,2,1,,B$2)),$A150)</f>
        <v>0</v>
      </c>
      <c r="C150" s="106">
        <f ca="1">COUNTIF(INDIRECT(ADDRESS(21,2,1,,C$2)):INDIRECT(ADDRESS(22,2,1,,C$2)),$A150)</f>
        <v>0</v>
      </c>
      <c r="D150" s="106">
        <f ca="1">COUNTIF(INDIRECT(ADDRESS(21,2,1,,D$2)):INDIRECT(ADDRESS(22,2,1,,D$2)),$A150)</f>
        <v>0</v>
      </c>
      <c r="E150" s="106">
        <f ca="1">COUNTIF(INDIRECT(ADDRESS(21,2,1,,E$2)):INDIRECT(ADDRESS(22,2,1,,E$2)),$A150)</f>
        <v>0</v>
      </c>
      <c r="F150" s="106">
        <f ca="1">COUNTIF(INDIRECT(ADDRESS(21,2,1,,F$2)):INDIRECT(ADDRESS(22,2,1,,F$2)),$A150)</f>
        <v>0</v>
      </c>
      <c r="G150" s="106">
        <f ca="1">COUNTIF(INDIRECT(ADDRESS(21,2,1,,G$2)):INDIRECT(ADDRESS(22,2,1,,G$2)),$A150)</f>
        <v>0</v>
      </c>
      <c r="H150" s="106">
        <f ca="1">COUNTIF(INDIRECT(ADDRESS(21,2,1,,H$2)):INDIRECT(ADDRESS(22,2,1,,H$2)),$A150)</f>
        <v>0</v>
      </c>
      <c r="I150" s="106">
        <f ca="1">COUNTIF(INDIRECT(ADDRESS(21,2,1,,I$2)):INDIRECT(ADDRESS(22,2,1,,I$2)),$A150)</f>
        <v>0</v>
      </c>
      <c r="J150" s="106">
        <f ca="1">COUNTIF(INDIRECT(ADDRESS(21,2,1,,J$2)):INDIRECT(ADDRESS(22,2,1,,J$2)),$A150)</f>
        <v>0</v>
      </c>
      <c r="K150" s="106">
        <f ca="1">COUNTIF(INDIRECT(ADDRESS(21,2,1,,K$2)):INDIRECT(ADDRESS(22,2,1,,K$2)),$A150)</f>
        <v>0</v>
      </c>
      <c r="L150" s="106">
        <f ca="1">COUNTIF(INDIRECT(ADDRESS(21,2,1,,L$2)):INDIRECT(ADDRESS(22,2,1,,L$2)),$A150)</f>
        <v>0</v>
      </c>
      <c r="M150" s="106">
        <f ca="1">COUNTIF(INDIRECT(ADDRESS(21,2,1,,M$2)):INDIRECT(ADDRESS(22,2,1,,M$2)),$A150)</f>
        <v>0</v>
      </c>
      <c r="N150" s="106">
        <f ca="1">COUNTIF(INDIRECT(ADDRESS(21,2,1,,N$2)):INDIRECT(ADDRESS(22,2,1,,N$2)),$A150)</f>
        <v>0</v>
      </c>
      <c r="O150" s="94">
        <f t="shared" ca="1" si="31"/>
        <v>0</v>
      </c>
    </row>
    <row r="151" spans="1:15" x14ac:dyDescent="0.25">
      <c r="A151" s="109" t="s">
        <v>164</v>
      </c>
      <c r="B151" s="106">
        <f ca="1">COUNTIF(INDIRECT(ADDRESS(21,2,1,,B$2)):INDIRECT(ADDRESS(22,2,1,,B$2)),$A151)</f>
        <v>0</v>
      </c>
      <c r="C151" s="106">
        <f ca="1">COUNTIF(INDIRECT(ADDRESS(21,2,1,,C$2)):INDIRECT(ADDRESS(22,2,1,,C$2)),$A151)</f>
        <v>0</v>
      </c>
      <c r="D151" s="106">
        <f ca="1">COUNTIF(INDIRECT(ADDRESS(21,2,1,,D$2)):INDIRECT(ADDRESS(22,2,1,,D$2)),$A151)</f>
        <v>0</v>
      </c>
      <c r="E151" s="106">
        <f ca="1">COUNTIF(INDIRECT(ADDRESS(21,2,1,,E$2)):INDIRECT(ADDRESS(22,2,1,,E$2)),$A151)</f>
        <v>0</v>
      </c>
      <c r="F151" s="106">
        <f ca="1">COUNTIF(INDIRECT(ADDRESS(21,2,1,,F$2)):INDIRECT(ADDRESS(22,2,1,,F$2)),$A151)</f>
        <v>0</v>
      </c>
      <c r="G151" s="106">
        <f ca="1">COUNTIF(INDIRECT(ADDRESS(21,2,1,,G$2)):INDIRECT(ADDRESS(22,2,1,,G$2)),$A151)</f>
        <v>0</v>
      </c>
      <c r="H151" s="106">
        <f ca="1">COUNTIF(INDIRECT(ADDRESS(21,2,1,,H$2)):INDIRECT(ADDRESS(22,2,1,,H$2)),$A151)</f>
        <v>0</v>
      </c>
      <c r="I151" s="106">
        <f ca="1">COUNTIF(INDIRECT(ADDRESS(21,2,1,,I$2)):INDIRECT(ADDRESS(22,2,1,,I$2)),$A151)</f>
        <v>0</v>
      </c>
      <c r="J151" s="106">
        <f ca="1">COUNTIF(INDIRECT(ADDRESS(21,2,1,,J$2)):INDIRECT(ADDRESS(22,2,1,,J$2)),$A151)</f>
        <v>0</v>
      </c>
      <c r="K151" s="106">
        <f ca="1">COUNTIF(INDIRECT(ADDRESS(21,2,1,,K$2)):INDIRECT(ADDRESS(22,2,1,,K$2)),$A151)</f>
        <v>0</v>
      </c>
      <c r="L151" s="106">
        <f ca="1">COUNTIF(INDIRECT(ADDRESS(21,2,1,,L$2)):INDIRECT(ADDRESS(22,2,1,,L$2)),$A151)</f>
        <v>0</v>
      </c>
      <c r="M151" s="106">
        <f ca="1">COUNTIF(INDIRECT(ADDRESS(21,2,1,,M$2)):INDIRECT(ADDRESS(22,2,1,,M$2)),$A151)</f>
        <v>0</v>
      </c>
      <c r="N151" s="106">
        <f ca="1">COUNTIF(INDIRECT(ADDRESS(21,2,1,,N$2)):INDIRECT(ADDRESS(22,2,1,,N$2)),$A151)</f>
        <v>0</v>
      </c>
      <c r="O151" s="94">
        <f t="shared" ca="1" si="31"/>
        <v>0</v>
      </c>
    </row>
    <row r="152" spans="1:15" x14ac:dyDescent="0.25">
      <c r="A152" s="109" t="s">
        <v>267</v>
      </c>
      <c r="B152" s="106">
        <f ca="1">COUNTIF(INDIRECT(ADDRESS(21,2,1,,B$2)):INDIRECT(ADDRESS(22,2,1,,B$2)),$A152)</f>
        <v>0</v>
      </c>
      <c r="C152" s="106">
        <f ca="1">COUNTIF(INDIRECT(ADDRESS(21,2,1,,C$2)):INDIRECT(ADDRESS(22,2,1,,C$2)),$A152)</f>
        <v>0</v>
      </c>
      <c r="D152" s="106">
        <f ca="1">COUNTIF(INDIRECT(ADDRESS(21,2,1,,D$2)):INDIRECT(ADDRESS(22,2,1,,D$2)),$A152)</f>
        <v>0</v>
      </c>
      <c r="E152" s="106">
        <f ca="1">COUNTIF(INDIRECT(ADDRESS(21,2,1,,E$2)):INDIRECT(ADDRESS(22,2,1,,E$2)),$A152)</f>
        <v>0</v>
      </c>
      <c r="F152" s="106">
        <f ca="1">COUNTIF(INDIRECT(ADDRESS(21,2,1,,F$2)):INDIRECT(ADDRESS(22,2,1,,F$2)),$A152)</f>
        <v>0</v>
      </c>
      <c r="G152" s="106">
        <f ca="1">COUNTIF(INDIRECT(ADDRESS(21,2,1,,G$2)):INDIRECT(ADDRESS(22,2,1,,G$2)),$A152)</f>
        <v>0</v>
      </c>
      <c r="H152" s="106">
        <f ca="1">COUNTIF(INDIRECT(ADDRESS(21,2,1,,H$2)):INDIRECT(ADDRESS(22,2,1,,H$2)),$A152)</f>
        <v>0</v>
      </c>
      <c r="I152" s="106">
        <f ca="1">COUNTIF(INDIRECT(ADDRESS(21,2,1,,I$2)):INDIRECT(ADDRESS(22,2,1,,I$2)),$A152)</f>
        <v>0</v>
      </c>
      <c r="J152" s="106">
        <f ca="1">COUNTIF(INDIRECT(ADDRESS(21,2,1,,J$2)):INDIRECT(ADDRESS(22,2,1,,J$2)),$A152)</f>
        <v>0</v>
      </c>
      <c r="K152" s="106">
        <f ca="1">COUNTIF(INDIRECT(ADDRESS(21,2,1,,K$2)):INDIRECT(ADDRESS(22,2,1,,K$2)),$A152)</f>
        <v>0</v>
      </c>
      <c r="L152" s="106">
        <f ca="1">COUNTIF(INDIRECT(ADDRESS(21,2,1,,L$2)):INDIRECT(ADDRESS(22,2,1,,L$2)),$A152)</f>
        <v>0</v>
      </c>
      <c r="M152" s="106">
        <f ca="1">COUNTIF(INDIRECT(ADDRESS(21,2,1,,M$2)):INDIRECT(ADDRESS(22,2,1,,M$2)),$A152)</f>
        <v>0</v>
      </c>
      <c r="N152" s="106">
        <f ca="1">COUNTIF(INDIRECT(ADDRESS(21,2,1,,N$2)):INDIRECT(ADDRESS(22,2,1,,N$2)),$A152)</f>
        <v>0</v>
      </c>
      <c r="O152" s="94">
        <f t="shared" ca="1" si="31"/>
        <v>0</v>
      </c>
    </row>
    <row r="155" spans="1:15" s="28" customFormat="1" ht="13.8" thickBot="1" x14ac:dyDescent="0.3">
      <c r="A155" s="104" t="s">
        <v>196</v>
      </c>
      <c r="B155" s="102">
        <f t="shared" ref="B155:N155" ca="1" si="32">SUM(B156:B168)</f>
        <v>1</v>
      </c>
      <c r="C155" s="102">
        <f t="shared" ca="1" si="32"/>
        <v>1</v>
      </c>
      <c r="D155" s="102">
        <f t="shared" ca="1" si="32"/>
        <v>0</v>
      </c>
      <c r="E155" s="102">
        <f t="shared" ca="1" si="32"/>
        <v>0</v>
      </c>
      <c r="F155" s="102">
        <f t="shared" ca="1" si="32"/>
        <v>0</v>
      </c>
      <c r="G155" s="102">
        <f t="shared" ca="1" si="32"/>
        <v>0</v>
      </c>
      <c r="H155" s="102">
        <f t="shared" ca="1" si="32"/>
        <v>0</v>
      </c>
      <c r="I155" s="102">
        <f t="shared" ca="1" si="32"/>
        <v>0</v>
      </c>
      <c r="J155" s="102">
        <f t="shared" ca="1" si="32"/>
        <v>0</v>
      </c>
      <c r="K155" s="102">
        <f t="shared" ca="1" si="32"/>
        <v>2</v>
      </c>
      <c r="L155" s="102">
        <f t="shared" ca="1" si="32"/>
        <v>0</v>
      </c>
      <c r="M155" s="102">
        <f t="shared" ca="1" si="32"/>
        <v>0</v>
      </c>
      <c r="N155" s="102">
        <f t="shared" ca="1" si="32"/>
        <v>1</v>
      </c>
      <c r="O155" s="103"/>
    </row>
    <row r="156" spans="1:15" x14ac:dyDescent="0.25">
      <c r="A156" s="109" t="s">
        <v>156</v>
      </c>
      <c r="B156" s="106">
        <f ca="1">COUNTIF(INDIRECT(ADDRESS(21,2,1,,B$2)):INDIRECT(ADDRESS(22,2,1,,B$2)),$A156)</f>
        <v>1</v>
      </c>
      <c r="C156" s="106">
        <f ca="1">COUNTIF(INDIRECT(ADDRESS(21,2,1,,C$2)):INDIRECT(ADDRESS(22,2,1,,C$2)),$A156)</f>
        <v>0</v>
      </c>
      <c r="D156" s="106">
        <f ca="1">COUNTIF(INDIRECT(ADDRESS(21,2,1,,D$2)):INDIRECT(ADDRESS(22,2,1,,D$2)),$A156)</f>
        <v>0</v>
      </c>
      <c r="E156" s="106">
        <f ca="1">COUNTIF(INDIRECT(ADDRESS(21,2,1,,E$2)):INDIRECT(ADDRESS(22,2,1,,E$2)),$A156)</f>
        <v>0</v>
      </c>
      <c r="F156" s="106">
        <f ca="1">COUNTIF(INDIRECT(ADDRESS(21,2,1,,F$2)):INDIRECT(ADDRESS(22,2,1,,F$2)),$A156)</f>
        <v>0</v>
      </c>
      <c r="G156" s="106">
        <f ca="1">COUNTIF(INDIRECT(ADDRESS(21,2,1,,G$2)):INDIRECT(ADDRESS(22,2,1,,G$2)),$A156)</f>
        <v>0</v>
      </c>
      <c r="H156" s="106">
        <f ca="1">COUNTIF(INDIRECT(ADDRESS(21,2,1,,H$2)):INDIRECT(ADDRESS(22,2,1,,H$2)),$A156)</f>
        <v>0</v>
      </c>
      <c r="I156" s="106">
        <f ca="1">COUNTIF(INDIRECT(ADDRESS(21,2,1,,I$2)):INDIRECT(ADDRESS(22,2,1,,I$2)),$A156)</f>
        <v>0</v>
      </c>
      <c r="J156" s="106">
        <f ca="1">COUNTIF(INDIRECT(ADDRESS(21,2,1,,J$2)):INDIRECT(ADDRESS(22,2,1,,J$2)),$A156)</f>
        <v>0</v>
      </c>
      <c r="K156" s="106">
        <f ca="1">COUNTIF(INDIRECT(ADDRESS(21,2,1,,K$2)):INDIRECT(ADDRESS(22,2,1,,K$2)),$A156)</f>
        <v>1</v>
      </c>
      <c r="L156" s="106">
        <f ca="1">COUNTIF(INDIRECT(ADDRESS(21,2,1,,L$2)):INDIRECT(ADDRESS(22,2,1,,L$2)),$A156)</f>
        <v>0</v>
      </c>
      <c r="M156" s="106">
        <f ca="1">COUNTIF(INDIRECT(ADDRESS(21,2,1,,M$2)):INDIRECT(ADDRESS(22,2,1,,M$2)),$A156)</f>
        <v>0</v>
      </c>
      <c r="N156" s="106">
        <f ca="1">COUNTIF(INDIRECT(ADDRESS(21,2,1,,N$2)):INDIRECT(ADDRESS(22,2,1,,N$2)),$A156)</f>
        <v>0</v>
      </c>
      <c r="O156" s="94">
        <f t="shared" ref="O156:O167" ca="1" si="33">SUM(B156:N156)</f>
        <v>2</v>
      </c>
    </row>
    <row r="157" spans="1:15" x14ac:dyDescent="0.25">
      <c r="A157" s="109" t="s">
        <v>179</v>
      </c>
      <c r="B157" s="106">
        <f ca="1">COUNTIF(INDIRECT(ADDRESS(21,2,1,,B$2)):INDIRECT(ADDRESS(22,2,1,,B$2)),$A157)</f>
        <v>0</v>
      </c>
      <c r="C157" s="106">
        <f ca="1">COUNTIF(INDIRECT(ADDRESS(21,2,1,,C$2)):INDIRECT(ADDRESS(22,2,1,,C$2)),$A157)</f>
        <v>1</v>
      </c>
      <c r="D157" s="106">
        <f ca="1">COUNTIF(INDIRECT(ADDRESS(21,2,1,,D$2)):INDIRECT(ADDRESS(22,2,1,,D$2)),$A157)</f>
        <v>0</v>
      </c>
      <c r="E157" s="106">
        <f ca="1">COUNTIF(INDIRECT(ADDRESS(21,2,1,,E$2)):INDIRECT(ADDRESS(22,2,1,,E$2)),$A157)</f>
        <v>0</v>
      </c>
      <c r="F157" s="106">
        <f ca="1">COUNTIF(INDIRECT(ADDRESS(21,2,1,,F$2)):INDIRECT(ADDRESS(22,2,1,,F$2)),$A157)</f>
        <v>0</v>
      </c>
      <c r="G157" s="106">
        <f ca="1">COUNTIF(INDIRECT(ADDRESS(21,2,1,,G$2)):INDIRECT(ADDRESS(22,2,1,,G$2)),$A157)</f>
        <v>0</v>
      </c>
      <c r="H157" s="106">
        <f ca="1">COUNTIF(INDIRECT(ADDRESS(21,2,1,,H$2)):INDIRECT(ADDRESS(22,2,1,,H$2)),$A157)</f>
        <v>0</v>
      </c>
      <c r="I157" s="106">
        <f ca="1">COUNTIF(INDIRECT(ADDRESS(21,2,1,,I$2)):INDIRECT(ADDRESS(22,2,1,,I$2)),$A157)</f>
        <v>0</v>
      </c>
      <c r="J157" s="106">
        <f ca="1">COUNTIF(INDIRECT(ADDRESS(21,2,1,,J$2)):INDIRECT(ADDRESS(22,2,1,,J$2)),$A157)</f>
        <v>0</v>
      </c>
      <c r="K157" s="106">
        <f ca="1">COUNTIF(INDIRECT(ADDRESS(21,2,1,,K$2)):INDIRECT(ADDRESS(22,2,1,,K$2)),$A157)</f>
        <v>1</v>
      </c>
      <c r="L157" s="106">
        <f ca="1">COUNTIF(INDIRECT(ADDRESS(21,2,1,,L$2)):INDIRECT(ADDRESS(22,2,1,,L$2)),$A157)</f>
        <v>0</v>
      </c>
      <c r="M157" s="106">
        <f ca="1">COUNTIF(INDIRECT(ADDRESS(21,2,1,,M$2)):INDIRECT(ADDRESS(22,2,1,,M$2)),$A157)</f>
        <v>0</v>
      </c>
      <c r="N157" s="106">
        <f ca="1">COUNTIF(INDIRECT(ADDRESS(21,2,1,,N$2)):INDIRECT(ADDRESS(22,2,1,,N$2)),$A157)</f>
        <v>0</v>
      </c>
      <c r="O157" s="94">
        <f t="shared" ca="1" si="33"/>
        <v>2</v>
      </c>
    </row>
    <row r="158" spans="1:15" x14ac:dyDescent="0.25">
      <c r="A158" s="109" t="s">
        <v>171</v>
      </c>
      <c r="B158" s="106">
        <f ca="1">COUNTIF(INDIRECT(ADDRESS(21,2,1,,B$2)):INDIRECT(ADDRESS(22,2,1,,B$2)),$A158)</f>
        <v>0</v>
      </c>
      <c r="C158" s="106">
        <f ca="1">COUNTIF(INDIRECT(ADDRESS(21,2,1,,C$2)):INDIRECT(ADDRESS(22,2,1,,C$2)),$A158)</f>
        <v>0</v>
      </c>
      <c r="D158" s="106">
        <f ca="1">COUNTIF(INDIRECT(ADDRESS(21,2,1,,D$2)):INDIRECT(ADDRESS(22,2,1,,D$2)),$A158)</f>
        <v>0</v>
      </c>
      <c r="E158" s="106">
        <f ca="1">COUNTIF(INDIRECT(ADDRESS(21,2,1,,E$2)):INDIRECT(ADDRESS(22,2,1,,E$2)),$A158)</f>
        <v>0</v>
      </c>
      <c r="F158" s="106">
        <f ca="1">COUNTIF(INDIRECT(ADDRESS(21,2,1,,F$2)):INDIRECT(ADDRESS(22,2,1,,F$2)),$A158)</f>
        <v>0</v>
      </c>
      <c r="G158" s="106">
        <f ca="1">COUNTIF(INDIRECT(ADDRESS(21,2,1,,G$2)):INDIRECT(ADDRESS(22,2,1,,G$2)),$A158)</f>
        <v>0</v>
      </c>
      <c r="H158" s="106">
        <f ca="1">COUNTIF(INDIRECT(ADDRESS(21,2,1,,H$2)):INDIRECT(ADDRESS(22,2,1,,H$2)),$A158)</f>
        <v>0</v>
      </c>
      <c r="I158" s="106">
        <f ca="1">COUNTIF(INDIRECT(ADDRESS(21,2,1,,I$2)):INDIRECT(ADDRESS(22,2,1,,I$2)),$A158)</f>
        <v>0</v>
      </c>
      <c r="J158" s="106">
        <f ca="1">COUNTIF(INDIRECT(ADDRESS(21,2,1,,J$2)):INDIRECT(ADDRESS(22,2,1,,J$2)),$A158)</f>
        <v>0</v>
      </c>
      <c r="K158" s="106">
        <f ca="1">COUNTIF(INDIRECT(ADDRESS(21,2,1,,K$2)):INDIRECT(ADDRESS(22,2,1,,K$2)),$A158)</f>
        <v>0</v>
      </c>
      <c r="L158" s="106">
        <f ca="1">COUNTIF(INDIRECT(ADDRESS(21,2,1,,L$2)):INDIRECT(ADDRESS(22,2,1,,L$2)),$A158)</f>
        <v>0</v>
      </c>
      <c r="M158" s="106">
        <f ca="1">COUNTIF(INDIRECT(ADDRESS(21,2,1,,M$2)):INDIRECT(ADDRESS(22,2,1,,M$2)),$A158)</f>
        <v>0</v>
      </c>
      <c r="N158" s="106">
        <f ca="1">COUNTIF(INDIRECT(ADDRESS(21,2,1,,N$2)):INDIRECT(ADDRESS(22,2,1,,N$2)),$A158)</f>
        <v>0</v>
      </c>
      <c r="O158" s="94">
        <f t="shared" ca="1" si="33"/>
        <v>0</v>
      </c>
    </row>
    <row r="159" spans="1:15" x14ac:dyDescent="0.25">
      <c r="A159" s="109" t="s">
        <v>169</v>
      </c>
      <c r="B159" s="106">
        <f ca="1">COUNTIF(INDIRECT(ADDRESS(21,2,1,,B$2)):INDIRECT(ADDRESS(22,2,1,,B$2)),$A159)</f>
        <v>0</v>
      </c>
      <c r="C159" s="106">
        <f ca="1">COUNTIF(INDIRECT(ADDRESS(21,2,1,,C$2)):INDIRECT(ADDRESS(22,2,1,,C$2)),$A159)</f>
        <v>0</v>
      </c>
      <c r="D159" s="106">
        <f ca="1">COUNTIF(INDIRECT(ADDRESS(21,2,1,,D$2)):INDIRECT(ADDRESS(22,2,1,,D$2)),$A159)</f>
        <v>0</v>
      </c>
      <c r="E159" s="106">
        <f ca="1">COUNTIF(INDIRECT(ADDRESS(21,2,1,,E$2)):INDIRECT(ADDRESS(22,2,1,,E$2)),$A159)</f>
        <v>0</v>
      </c>
      <c r="F159" s="106">
        <f ca="1">COUNTIF(INDIRECT(ADDRESS(21,2,1,,F$2)):INDIRECT(ADDRESS(22,2,1,,F$2)),$A159)</f>
        <v>0</v>
      </c>
      <c r="G159" s="106">
        <f ca="1">COUNTIF(INDIRECT(ADDRESS(21,2,1,,G$2)):INDIRECT(ADDRESS(22,2,1,,G$2)),$A159)</f>
        <v>0</v>
      </c>
      <c r="H159" s="106">
        <f ca="1">COUNTIF(INDIRECT(ADDRESS(21,2,1,,H$2)):INDIRECT(ADDRESS(22,2,1,,H$2)),$A159)</f>
        <v>0</v>
      </c>
      <c r="I159" s="106">
        <f ca="1">COUNTIF(INDIRECT(ADDRESS(21,2,1,,I$2)):INDIRECT(ADDRESS(22,2,1,,I$2)),$A159)</f>
        <v>0</v>
      </c>
      <c r="J159" s="106">
        <f ca="1">COUNTIF(INDIRECT(ADDRESS(21,2,1,,J$2)):INDIRECT(ADDRESS(22,2,1,,J$2)),$A159)</f>
        <v>0</v>
      </c>
      <c r="K159" s="106">
        <f ca="1">COUNTIF(INDIRECT(ADDRESS(21,2,1,,K$2)):INDIRECT(ADDRESS(22,2,1,,K$2)),$A159)</f>
        <v>0</v>
      </c>
      <c r="L159" s="106">
        <f ca="1">COUNTIF(INDIRECT(ADDRESS(21,2,1,,L$2)):INDIRECT(ADDRESS(22,2,1,,L$2)),$A159)</f>
        <v>0</v>
      </c>
      <c r="M159" s="106">
        <f ca="1">COUNTIF(INDIRECT(ADDRESS(21,2,1,,M$2)):INDIRECT(ADDRESS(22,2,1,,M$2)),$A159)</f>
        <v>0</v>
      </c>
      <c r="N159" s="106">
        <f ca="1">COUNTIF(INDIRECT(ADDRESS(21,2,1,,N$2)):INDIRECT(ADDRESS(22,2,1,,N$2)),$A159)</f>
        <v>1</v>
      </c>
      <c r="O159" s="94">
        <f t="shared" ca="1" si="33"/>
        <v>1</v>
      </c>
    </row>
    <row r="160" spans="1:15" x14ac:dyDescent="0.25">
      <c r="A160" s="109" t="s">
        <v>167</v>
      </c>
      <c r="B160" s="106">
        <f ca="1">COUNTIF(INDIRECT(ADDRESS(21,2,1,,B$2)):INDIRECT(ADDRESS(22,2,1,,B$2)),$A160)</f>
        <v>0</v>
      </c>
      <c r="C160" s="106">
        <f ca="1">COUNTIF(INDIRECT(ADDRESS(21,2,1,,C$2)):INDIRECT(ADDRESS(22,2,1,,C$2)),$A160)</f>
        <v>0</v>
      </c>
      <c r="D160" s="106">
        <f ca="1">COUNTIF(INDIRECT(ADDRESS(21,2,1,,D$2)):INDIRECT(ADDRESS(22,2,1,,D$2)),$A160)</f>
        <v>0</v>
      </c>
      <c r="E160" s="106">
        <f ca="1">COUNTIF(INDIRECT(ADDRESS(21,2,1,,E$2)):INDIRECT(ADDRESS(22,2,1,,E$2)),$A160)</f>
        <v>0</v>
      </c>
      <c r="F160" s="106">
        <f ca="1">COUNTIF(INDIRECT(ADDRESS(21,2,1,,F$2)):INDIRECT(ADDRESS(22,2,1,,F$2)),$A160)</f>
        <v>0</v>
      </c>
      <c r="G160" s="106">
        <f ca="1">COUNTIF(INDIRECT(ADDRESS(21,2,1,,G$2)):INDIRECT(ADDRESS(22,2,1,,G$2)),$A160)</f>
        <v>0</v>
      </c>
      <c r="H160" s="106">
        <f ca="1">COUNTIF(INDIRECT(ADDRESS(21,2,1,,H$2)):INDIRECT(ADDRESS(22,2,1,,H$2)),$A160)</f>
        <v>0</v>
      </c>
      <c r="I160" s="106">
        <f ca="1">COUNTIF(INDIRECT(ADDRESS(21,2,1,,I$2)):INDIRECT(ADDRESS(22,2,1,,I$2)),$A160)</f>
        <v>0</v>
      </c>
      <c r="J160" s="106">
        <f ca="1">COUNTIF(INDIRECT(ADDRESS(21,2,1,,J$2)):INDIRECT(ADDRESS(22,2,1,,J$2)),$A160)</f>
        <v>0</v>
      </c>
      <c r="K160" s="106">
        <f ca="1">COUNTIF(INDIRECT(ADDRESS(21,2,1,,K$2)):INDIRECT(ADDRESS(22,2,1,,K$2)),$A160)</f>
        <v>0</v>
      </c>
      <c r="L160" s="106">
        <f ca="1">COUNTIF(INDIRECT(ADDRESS(21,2,1,,L$2)):INDIRECT(ADDRESS(22,2,1,,L$2)),$A160)</f>
        <v>0</v>
      </c>
      <c r="M160" s="106">
        <f ca="1">COUNTIF(INDIRECT(ADDRESS(21,2,1,,M$2)):INDIRECT(ADDRESS(22,2,1,,M$2)),$A160)</f>
        <v>0</v>
      </c>
      <c r="N160" s="106">
        <f ca="1">COUNTIF(INDIRECT(ADDRESS(21,2,1,,N$2)):INDIRECT(ADDRESS(22,2,1,,N$2)),$A160)</f>
        <v>0</v>
      </c>
      <c r="O160" s="94">
        <f t="shared" ca="1" si="33"/>
        <v>0</v>
      </c>
    </row>
    <row r="161" spans="1:15" x14ac:dyDescent="0.25">
      <c r="A161" s="109" t="s">
        <v>268</v>
      </c>
      <c r="B161" s="106">
        <f ca="1">COUNTIF(INDIRECT(ADDRESS(21,2,1,,B$2)):INDIRECT(ADDRESS(22,2,1,,B$2)),$A161)</f>
        <v>0</v>
      </c>
      <c r="C161" s="106">
        <f ca="1">COUNTIF(INDIRECT(ADDRESS(21,2,1,,C$2)):INDIRECT(ADDRESS(22,2,1,,C$2)),$A161)</f>
        <v>0</v>
      </c>
      <c r="D161" s="106">
        <f ca="1">COUNTIF(INDIRECT(ADDRESS(21,2,1,,D$2)):INDIRECT(ADDRESS(22,2,1,,D$2)),$A161)</f>
        <v>0</v>
      </c>
      <c r="E161" s="106">
        <f ca="1">COUNTIF(INDIRECT(ADDRESS(21,2,1,,E$2)):INDIRECT(ADDRESS(22,2,1,,E$2)),$A161)</f>
        <v>0</v>
      </c>
      <c r="F161" s="106">
        <f ca="1">COUNTIF(INDIRECT(ADDRESS(21,2,1,,F$2)):INDIRECT(ADDRESS(22,2,1,,F$2)),$A161)</f>
        <v>0</v>
      </c>
      <c r="G161" s="106">
        <f ca="1">COUNTIF(INDIRECT(ADDRESS(21,2,1,,G$2)):INDIRECT(ADDRESS(22,2,1,,G$2)),$A161)</f>
        <v>0</v>
      </c>
      <c r="H161" s="106">
        <f ca="1">COUNTIF(INDIRECT(ADDRESS(21,2,1,,H$2)):INDIRECT(ADDRESS(22,2,1,,H$2)),$A161)</f>
        <v>0</v>
      </c>
      <c r="I161" s="106">
        <f ca="1">COUNTIF(INDIRECT(ADDRESS(21,2,1,,I$2)):INDIRECT(ADDRESS(22,2,1,,I$2)),$A161)</f>
        <v>0</v>
      </c>
      <c r="J161" s="106">
        <f ca="1">COUNTIF(INDIRECT(ADDRESS(21,2,1,,J$2)):INDIRECT(ADDRESS(22,2,1,,J$2)),$A161)</f>
        <v>0</v>
      </c>
      <c r="K161" s="106">
        <f ca="1">COUNTIF(INDIRECT(ADDRESS(21,2,1,,K$2)):INDIRECT(ADDRESS(22,2,1,,K$2)),$A161)</f>
        <v>0</v>
      </c>
      <c r="L161" s="106">
        <f ca="1">COUNTIF(INDIRECT(ADDRESS(21,2,1,,L$2)):INDIRECT(ADDRESS(22,2,1,,L$2)),$A161)</f>
        <v>0</v>
      </c>
      <c r="M161" s="106">
        <f ca="1">COUNTIF(INDIRECT(ADDRESS(21,2,1,,M$2)):INDIRECT(ADDRESS(22,2,1,,M$2)),$A161)</f>
        <v>0</v>
      </c>
      <c r="N161" s="106">
        <f ca="1">COUNTIF(INDIRECT(ADDRESS(21,2,1,,N$2)):INDIRECT(ADDRESS(22,2,1,,N$2)),$A161)</f>
        <v>0</v>
      </c>
      <c r="O161" s="94">
        <f t="shared" ca="1" si="33"/>
        <v>0</v>
      </c>
    </row>
    <row r="162" spans="1:15" x14ac:dyDescent="0.25">
      <c r="A162" s="109" t="s">
        <v>270</v>
      </c>
      <c r="B162" s="106">
        <f ca="1">COUNTIF(INDIRECT(ADDRESS(21,2,1,,B$2)):INDIRECT(ADDRESS(22,2,1,,B$2)),$A162)</f>
        <v>0</v>
      </c>
      <c r="C162" s="106">
        <f ca="1">COUNTIF(INDIRECT(ADDRESS(21,2,1,,C$2)):INDIRECT(ADDRESS(22,2,1,,C$2)),$A162)</f>
        <v>0</v>
      </c>
      <c r="D162" s="106">
        <f ca="1">COUNTIF(INDIRECT(ADDRESS(21,2,1,,D$2)):INDIRECT(ADDRESS(22,2,1,,D$2)),$A162)</f>
        <v>0</v>
      </c>
      <c r="E162" s="106">
        <f ca="1">COUNTIF(INDIRECT(ADDRESS(21,2,1,,E$2)):INDIRECT(ADDRESS(22,2,1,,E$2)),$A162)</f>
        <v>0</v>
      </c>
      <c r="F162" s="106">
        <f ca="1">COUNTIF(INDIRECT(ADDRESS(21,2,1,,F$2)):INDIRECT(ADDRESS(22,2,1,,F$2)),$A162)</f>
        <v>0</v>
      </c>
      <c r="G162" s="106">
        <f ca="1">COUNTIF(INDIRECT(ADDRESS(21,2,1,,G$2)):INDIRECT(ADDRESS(22,2,1,,G$2)),$A162)</f>
        <v>0</v>
      </c>
      <c r="H162" s="106">
        <f ca="1">COUNTIF(INDIRECT(ADDRESS(21,2,1,,H$2)):INDIRECT(ADDRESS(22,2,1,,H$2)),$A162)</f>
        <v>0</v>
      </c>
      <c r="I162" s="106">
        <f ca="1">COUNTIF(INDIRECT(ADDRESS(21,2,1,,I$2)):INDIRECT(ADDRESS(22,2,1,,I$2)),$A162)</f>
        <v>0</v>
      </c>
      <c r="J162" s="106">
        <f ca="1">COUNTIF(INDIRECT(ADDRESS(21,2,1,,J$2)):INDIRECT(ADDRESS(22,2,1,,J$2)),$A162)</f>
        <v>0</v>
      </c>
      <c r="K162" s="106">
        <f ca="1">COUNTIF(INDIRECT(ADDRESS(21,2,1,,K$2)):INDIRECT(ADDRESS(22,2,1,,K$2)),$A162)</f>
        <v>0</v>
      </c>
      <c r="L162" s="106">
        <f ca="1">COUNTIF(INDIRECT(ADDRESS(21,2,1,,L$2)):INDIRECT(ADDRESS(22,2,1,,L$2)),$A162)</f>
        <v>0</v>
      </c>
      <c r="M162" s="106">
        <f ca="1">COUNTIF(INDIRECT(ADDRESS(21,2,1,,M$2)):INDIRECT(ADDRESS(22,2,1,,M$2)),$A162)</f>
        <v>0</v>
      </c>
      <c r="N162" s="106">
        <f ca="1">COUNTIF(INDIRECT(ADDRESS(21,2,1,,N$2)):INDIRECT(ADDRESS(22,2,1,,N$2)),$A162)</f>
        <v>0</v>
      </c>
      <c r="O162" s="94">
        <f t="shared" ca="1" si="33"/>
        <v>0</v>
      </c>
    </row>
    <row r="163" spans="1:15" x14ac:dyDescent="0.25">
      <c r="A163" s="109" t="s">
        <v>157</v>
      </c>
      <c r="B163" s="106">
        <f ca="1">COUNTIF(INDIRECT(ADDRESS(21,2,1,,B$2)):INDIRECT(ADDRESS(22,2,1,,B$2)),$A163)</f>
        <v>0</v>
      </c>
      <c r="C163" s="106">
        <f ca="1">COUNTIF(INDIRECT(ADDRESS(21,2,1,,C$2)):INDIRECT(ADDRESS(22,2,1,,C$2)),$A163)</f>
        <v>0</v>
      </c>
      <c r="D163" s="106">
        <f ca="1">COUNTIF(INDIRECT(ADDRESS(21,2,1,,D$2)):INDIRECT(ADDRESS(22,2,1,,D$2)),$A163)</f>
        <v>0</v>
      </c>
      <c r="E163" s="106">
        <f ca="1">COUNTIF(INDIRECT(ADDRESS(21,2,1,,E$2)):INDIRECT(ADDRESS(22,2,1,,E$2)),$A163)</f>
        <v>0</v>
      </c>
      <c r="F163" s="106">
        <f ca="1">COUNTIF(INDIRECT(ADDRESS(21,2,1,,F$2)):INDIRECT(ADDRESS(22,2,1,,F$2)),$A163)</f>
        <v>0</v>
      </c>
      <c r="G163" s="106">
        <f ca="1">COUNTIF(INDIRECT(ADDRESS(21,2,1,,G$2)):INDIRECT(ADDRESS(22,2,1,,G$2)),$A163)</f>
        <v>0</v>
      </c>
      <c r="H163" s="106">
        <f ca="1">COUNTIF(INDIRECT(ADDRESS(21,2,1,,H$2)):INDIRECT(ADDRESS(22,2,1,,H$2)),$A163)</f>
        <v>0</v>
      </c>
      <c r="I163" s="106">
        <f ca="1">COUNTIF(INDIRECT(ADDRESS(21,2,1,,I$2)):INDIRECT(ADDRESS(22,2,1,,I$2)),$A163)</f>
        <v>0</v>
      </c>
      <c r="J163" s="106">
        <f ca="1">COUNTIF(INDIRECT(ADDRESS(21,2,1,,J$2)):INDIRECT(ADDRESS(22,2,1,,J$2)),$A163)</f>
        <v>0</v>
      </c>
      <c r="K163" s="106">
        <f ca="1">COUNTIF(INDIRECT(ADDRESS(21,2,1,,K$2)):INDIRECT(ADDRESS(22,2,1,,K$2)),$A163)</f>
        <v>0</v>
      </c>
      <c r="L163" s="106">
        <f ca="1">COUNTIF(INDIRECT(ADDRESS(21,2,1,,L$2)):INDIRECT(ADDRESS(22,2,1,,L$2)),$A163)</f>
        <v>0</v>
      </c>
      <c r="M163" s="106">
        <f ca="1">COUNTIF(INDIRECT(ADDRESS(21,2,1,,M$2)):INDIRECT(ADDRESS(22,2,1,,M$2)),$A163)</f>
        <v>0</v>
      </c>
      <c r="N163" s="106">
        <f ca="1">COUNTIF(INDIRECT(ADDRESS(21,2,1,,N$2)):INDIRECT(ADDRESS(22,2,1,,N$2)),$A163)</f>
        <v>0</v>
      </c>
      <c r="O163" s="94">
        <f t="shared" ca="1" si="33"/>
        <v>0</v>
      </c>
    </row>
    <row r="164" spans="1:15" x14ac:dyDescent="0.25">
      <c r="A164" s="109" t="s">
        <v>271</v>
      </c>
      <c r="B164" s="106">
        <f ca="1">COUNTIF(INDIRECT(ADDRESS(21,2,1,,B$2)):INDIRECT(ADDRESS(22,2,1,,B$2)),$A164)</f>
        <v>0</v>
      </c>
      <c r="C164" s="106">
        <f ca="1">COUNTIF(INDIRECT(ADDRESS(21,2,1,,C$2)):INDIRECT(ADDRESS(22,2,1,,C$2)),$A164)</f>
        <v>0</v>
      </c>
      <c r="D164" s="106">
        <f ca="1">COUNTIF(INDIRECT(ADDRESS(21,2,1,,D$2)):INDIRECT(ADDRESS(22,2,1,,D$2)),$A164)</f>
        <v>0</v>
      </c>
      <c r="E164" s="106">
        <f ca="1">COUNTIF(INDIRECT(ADDRESS(21,2,1,,E$2)):INDIRECT(ADDRESS(22,2,1,,E$2)),$A164)</f>
        <v>0</v>
      </c>
      <c r="F164" s="106">
        <f ca="1">COUNTIF(INDIRECT(ADDRESS(21,2,1,,F$2)):INDIRECT(ADDRESS(22,2,1,,F$2)),$A164)</f>
        <v>0</v>
      </c>
      <c r="G164" s="106">
        <f ca="1">COUNTIF(INDIRECT(ADDRESS(21,2,1,,G$2)):INDIRECT(ADDRESS(22,2,1,,G$2)),$A164)</f>
        <v>0</v>
      </c>
      <c r="H164" s="106">
        <f ca="1">COUNTIF(INDIRECT(ADDRESS(21,2,1,,H$2)):INDIRECT(ADDRESS(22,2,1,,H$2)),$A164)</f>
        <v>0</v>
      </c>
      <c r="I164" s="106">
        <f ca="1">COUNTIF(INDIRECT(ADDRESS(21,2,1,,I$2)):INDIRECT(ADDRESS(22,2,1,,I$2)),$A164)</f>
        <v>0</v>
      </c>
      <c r="J164" s="106">
        <f ca="1">COUNTIF(INDIRECT(ADDRESS(21,2,1,,J$2)):INDIRECT(ADDRESS(22,2,1,,J$2)),$A164)</f>
        <v>0</v>
      </c>
      <c r="K164" s="106">
        <f ca="1">COUNTIF(INDIRECT(ADDRESS(21,2,1,,K$2)):INDIRECT(ADDRESS(22,2,1,,K$2)),$A164)</f>
        <v>0</v>
      </c>
      <c r="L164" s="106">
        <f ca="1">COUNTIF(INDIRECT(ADDRESS(21,2,1,,L$2)):INDIRECT(ADDRESS(22,2,1,,L$2)),$A164)</f>
        <v>0</v>
      </c>
      <c r="M164" s="106">
        <f ca="1">COUNTIF(INDIRECT(ADDRESS(21,2,1,,M$2)):INDIRECT(ADDRESS(22,2,1,,M$2)),$A164)</f>
        <v>0</v>
      </c>
      <c r="N164" s="106">
        <f ca="1">COUNTIF(INDIRECT(ADDRESS(21,2,1,,N$2)):INDIRECT(ADDRESS(22,2,1,,N$2)),$A164)</f>
        <v>0</v>
      </c>
      <c r="O164" s="94">
        <f t="shared" ca="1" si="33"/>
        <v>0</v>
      </c>
    </row>
    <row r="165" spans="1:15" x14ac:dyDescent="0.25">
      <c r="A165" s="109" t="s">
        <v>172</v>
      </c>
      <c r="B165" s="106">
        <f ca="1">COUNTIF(INDIRECT(ADDRESS(21,2,1,,B$2)):INDIRECT(ADDRESS(22,2,1,,B$2)),$A165)</f>
        <v>0</v>
      </c>
      <c r="C165" s="106">
        <f ca="1">COUNTIF(INDIRECT(ADDRESS(21,2,1,,C$2)):INDIRECT(ADDRESS(22,2,1,,C$2)),$A165)</f>
        <v>0</v>
      </c>
      <c r="D165" s="106">
        <f ca="1">COUNTIF(INDIRECT(ADDRESS(21,2,1,,D$2)):INDIRECT(ADDRESS(22,2,1,,D$2)),$A165)</f>
        <v>0</v>
      </c>
      <c r="E165" s="106">
        <f ca="1">COUNTIF(INDIRECT(ADDRESS(21,2,1,,E$2)):INDIRECT(ADDRESS(22,2,1,,E$2)),$A165)</f>
        <v>0</v>
      </c>
      <c r="F165" s="106">
        <f ca="1">COUNTIF(INDIRECT(ADDRESS(21,2,1,,F$2)):INDIRECT(ADDRESS(22,2,1,,F$2)),$A165)</f>
        <v>0</v>
      </c>
      <c r="G165" s="106">
        <f ca="1">COUNTIF(INDIRECT(ADDRESS(21,2,1,,G$2)):INDIRECT(ADDRESS(22,2,1,,G$2)),$A165)</f>
        <v>0</v>
      </c>
      <c r="H165" s="106">
        <f ca="1">COUNTIF(INDIRECT(ADDRESS(21,2,1,,H$2)):INDIRECT(ADDRESS(22,2,1,,H$2)),$A165)</f>
        <v>0</v>
      </c>
      <c r="I165" s="106">
        <f ca="1">COUNTIF(INDIRECT(ADDRESS(21,2,1,,I$2)):INDIRECT(ADDRESS(22,2,1,,I$2)),$A165)</f>
        <v>0</v>
      </c>
      <c r="J165" s="106">
        <f ca="1">COUNTIF(INDIRECT(ADDRESS(21,2,1,,J$2)):INDIRECT(ADDRESS(22,2,1,,J$2)),$A165)</f>
        <v>0</v>
      </c>
      <c r="K165" s="106">
        <f ca="1">COUNTIF(INDIRECT(ADDRESS(21,2,1,,K$2)):INDIRECT(ADDRESS(22,2,1,,K$2)),$A165)</f>
        <v>0</v>
      </c>
      <c r="L165" s="106">
        <f ca="1">COUNTIF(INDIRECT(ADDRESS(21,2,1,,L$2)):INDIRECT(ADDRESS(22,2,1,,L$2)),$A165)</f>
        <v>0</v>
      </c>
      <c r="M165" s="106">
        <f ca="1">COUNTIF(INDIRECT(ADDRESS(21,2,1,,M$2)):INDIRECT(ADDRESS(22,2,1,,M$2)),$A165)</f>
        <v>0</v>
      </c>
      <c r="N165" s="106">
        <f ca="1">COUNTIF(INDIRECT(ADDRESS(21,2,1,,N$2)):INDIRECT(ADDRESS(22,2,1,,N$2)),$A165)</f>
        <v>0</v>
      </c>
      <c r="O165" s="94">
        <f t="shared" ca="1" si="33"/>
        <v>0</v>
      </c>
    </row>
    <row r="166" spans="1:15" x14ac:dyDescent="0.25">
      <c r="A166" s="109" t="s">
        <v>269</v>
      </c>
      <c r="B166" s="106">
        <f ca="1">COUNTIF(INDIRECT(ADDRESS(21,2,1,,B$2)):INDIRECT(ADDRESS(22,2,1,,B$2)),$A166)</f>
        <v>0</v>
      </c>
      <c r="C166" s="106">
        <f ca="1">COUNTIF(INDIRECT(ADDRESS(21,2,1,,C$2)):INDIRECT(ADDRESS(22,2,1,,C$2)),$A166)</f>
        <v>0</v>
      </c>
      <c r="D166" s="106">
        <f ca="1">COUNTIF(INDIRECT(ADDRESS(21,2,1,,D$2)):INDIRECT(ADDRESS(22,2,1,,D$2)),$A166)</f>
        <v>0</v>
      </c>
      <c r="E166" s="106">
        <f ca="1">COUNTIF(INDIRECT(ADDRESS(21,2,1,,E$2)):INDIRECT(ADDRESS(22,2,1,,E$2)),$A166)</f>
        <v>0</v>
      </c>
      <c r="F166" s="106">
        <f ca="1">COUNTIF(INDIRECT(ADDRESS(21,2,1,,F$2)):INDIRECT(ADDRESS(22,2,1,,F$2)),$A166)</f>
        <v>0</v>
      </c>
      <c r="G166" s="106">
        <f ca="1">COUNTIF(INDIRECT(ADDRESS(21,2,1,,G$2)):INDIRECT(ADDRESS(22,2,1,,G$2)),$A166)</f>
        <v>0</v>
      </c>
      <c r="H166" s="106">
        <f ca="1">COUNTIF(INDIRECT(ADDRESS(21,2,1,,H$2)):INDIRECT(ADDRESS(22,2,1,,H$2)),$A166)</f>
        <v>0</v>
      </c>
      <c r="I166" s="106">
        <f ca="1">COUNTIF(INDIRECT(ADDRESS(21,2,1,,I$2)):INDIRECT(ADDRESS(22,2,1,,I$2)),$A166)</f>
        <v>0</v>
      </c>
      <c r="J166" s="106">
        <f ca="1">COUNTIF(INDIRECT(ADDRESS(21,2,1,,J$2)):INDIRECT(ADDRESS(22,2,1,,J$2)),$A166)</f>
        <v>0</v>
      </c>
      <c r="K166" s="106">
        <f ca="1">COUNTIF(INDIRECT(ADDRESS(21,2,1,,K$2)):INDIRECT(ADDRESS(22,2,1,,K$2)),$A166)</f>
        <v>0</v>
      </c>
      <c r="L166" s="106">
        <f ca="1">COUNTIF(INDIRECT(ADDRESS(21,2,1,,L$2)):INDIRECT(ADDRESS(22,2,1,,L$2)),$A166)</f>
        <v>0</v>
      </c>
      <c r="M166" s="106">
        <f ca="1">COUNTIF(INDIRECT(ADDRESS(21,2,1,,M$2)):INDIRECT(ADDRESS(22,2,1,,M$2)),$A166)</f>
        <v>0</v>
      </c>
      <c r="N166" s="106">
        <f ca="1">COUNTIF(INDIRECT(ADDRESS(21,2,1,,N$2)):INDIRECT(ADDRESS(22,2,1,,N$2)),$A166)</f>
        <v>0</v>
      </c>
      <c r="O166" s="94">
        <f t="shared" ca="1" si="33"/>
        <v>0</v>
      </c>
    </row>
    <row r="167" spans="1:15" x14ac:dyDescent="0.25">
      <c r="A167" s="109" t="s">
        <v>180</v>
      </c>
      <c r="B167" s="106">
        <f ca="1">COUNTIF(INDIRECT(ADDRESS(21,2,1,,B$2)):INDIRECT(ADDRESS(22,2,1,,B$2)),$A167)</f>
        <v>0</v>
      </c>
      <c r="C167" s="106">
        <f ca="1">COUNTIF(INDIRECT(ADDRESS(21,2,1,,C$2)):INDIRECT(ADDRESS(22,2,1,,C$2)),$A167)</f>
        <v>0</v>
      </c>
      <c r="D167" s="106">
        <f ca="1">COUNTIF(INDIRECT(ADDRESS(21,2,1,,D$2)):INDIRECT(ADDRESS(22,2,1,,D$2)),$A167)</f>
        <v>0</v>
      </c>
      <c r="E167" s="106">
        <f ca="1">COUNTIF(INDIRECT(ADDRESS(21,2,1,,E$2)):INDIRECT(ADDRESS(22,2,1,,E$2)),$A167)</f>
        <v>0</v>
      </c>
      <c r="F167" s="106">
        <f ca="1">COUNTIF(INDIRECT(ADDRESS(21,2,1,,F$2)):INDIRECT(ADDRESS(22,2,1,,F$2)),$A167)</f>
        <v>0</v>
      </c>
      <c r="G167" s="106">
        <f ca="1">COUNTIF(INDIRECT(ADDRESS(21,2,1,,G$2)):INDIRECT(ADDRESS(22,2,1,,G$2)),$A167)</f>
        <v>0</v>
      </c>
      <c r="H167" s="106">
        <f ca="1">COUNTIF(INDIRECT(ADDRESS(21,2,1,,H$2)):INDIRECT(ADDRESS(22,2,1,,H$2)),$A167)</f>
        <v>0</v>
      </c>
      <c r="I167" s="106">
        <f ca="1">COUNTIF(INDIRECT(ADDRESS(21,2,1,,I$2)):INDIRECT(ADDRESS(22,2,1,,I$2)),$A167)</f>
        <v>0</v>
      </c>
      <c r="J167" s="106">
        <f ca="1">COUNTIF(INDIRECT(ADDRESS(21,2,1,,J$2)):INDIRECT(ADDRESS(22,2,1,,J$2)),$A167)</f>
        <v>0</v>
      </c>
      <c r="K167" s="106">
        <f ca="1">COUNTIF(INDIRECT(ADDRESS(21,2,1,,K$2)):INDIRECT(ADDRESS(22,2,1,,K$2)),$A167)</f>
        <v>0</v>
      </c>
      <c r="L167" s="106">
        <f ca="1">COUNTIF(INDIRECT(ADDRESS(21,2,1,,L$2)):INDIRECT(ADDRESS(22,2,1,,L$2)),$A167)</f>
        <v>0</v>
      </c>
      <c r="M167" s="106">
        <f ca="1">COUNTIF(INDIRECT(ADDRESS(21,2,1,,M$2)):INDIRECT(ADDRESS(22,2,1,,M$2)),$A167)</f>
        <v>0</v>
      </c>
      <c r="N167" s="106">
        <f ca="1">COUNTIF(INDIRECT(ADDRESS(21,2,1,,N$2)):INDIRECT(ADDRESS(22,2,1,,N$2)),$A167)</f>
        <v>0</v>
      </c>
      <c r="O167" s="94">
        <f t="shared" ca="1" si="33"/>
        <v>0</v>
      </c>
    </row>
    <row r="170" spans="1:15" s="28" customFormat="1" ht="13.8" thickBot="1" x14ac:dyDescent="0.3">
      <c r="A170" s="104" t="s">
        <v>197</v>
      </c>
      <c r="B170" s="102">
        <f t="shared" ref="B170:N170" ca="1" si="34">SUM(B171:B183)</f>
        <v>0</v>
      </c>
      <c r="C170" s="102">
        <f t="shared" ca="1" si="34"/>
        <v>0</v>
      </c>
      <c r="D170" s="102">
        <f t="shared" ca="1" si="34"/>
        <v>0</v>
      </c>
      <c r="E170" s="102">
        <f t="shared" ca="1" si="34"/>
        <v>0</v>
      </c>
      <c r="F170" s="102">
        <f t="shared" ca="1" si="34"/>
        <v>0</v>
      </c>
      <c r="G170" s="102">
        <f t="shared" ca="1" si="34"/>
        <v>0</v>
      </c>
      <c r="H170" s="102">
        <f t="shared" ca="1" si="34"/>
        <v>0</v>
      </c>
      <c r="I170" s="102">
        <f t="shared" ca="1" si="34"/>
        <v>0</v>
      </c>
      <c r="J170" s="102">
        <f t="shared" ca="1" si="34"/>
        <v>0</v>
      </c>
      <c r="K170" s="102">
        <f t="shared" ca="1" si="34"/>
        <v>0</v>
      </c>
      <c r="L170" s="102">
        <f t="shared" ca="1" si="34"/>
        <v>0</v>
      </c>
      <c r="M170" s="102">
        <f t="shared" ca="1" si="34"/>
        <v>0</v>
      </c>
      <c r="N170" s="102">
        <f t="shared" ca="1" si="34"/>
        <v>0</v>
      </c>
      <c r="O170" s="103"/>
    </row>
    <row r="171" spans="1:15" x14ac:dyDescent="0.25">
      <c r="A171" s="109" t="s">
        <v>278</v>
      </c>
      <c r="B171" s="106">
        <f ca="1">COUNTIF(INDIRECT(ADDRESS(21,2,1,,B$2)):INDIRECT(ADDRESS(22,2,1,,B$2)),$A171)</f>
        <v>0</v>
      </c>
      <c r="C171" s="106">
        <f ca="1">COUNTIF(INDIRECT(ADDRESS(21,2,1,,C$2)):INDIRECT(ADDRESS(22,2,1,,C$2)),$A171)</f>
        <v>0</v>
      </c>
      <c r="D171" s="106">
        <f ca="1">COUNTIF(INDIRECT(ADDRESS(21,2,1,,D$2)):INDIRECT(ADDRESS(22,2,1,,D$2)),$A171)</f>
        <v>0</v>
      </c>
      <c r="E171" s="106">
        <f ca="1">COUNTIF(INDIRECT(ADDRESS(21,2,1,,E$2)):INDIRECT(ADDRESS(22,2,1,,E$2)),$A171)</f>
        <v>0</v>
      </c>
      <c r="F171" s="106">
        <f ca="1">COUNTIF(INDIRECT(ADDRESS(21,2,1,,F$2)):INDIRECT(ADDRESS(22,2,1,,F$2)),$A171)</f>
        <v>0</v>
      </c>
      <c r="G171" s="106">
        <f ca="1">COUNTIF(INDIRECT(ADDRESS(21,2,1,,G$2)):INDIRECT(ADDRESS(22,2,1,,G$2)),$A171)</f>
        <v>0</v>
      </c>
      <c r="H171" s="106">
        <f ca="1">COUNTIF(INDIRECT(ADDRESS(21,2,1,,H$2)):INDIRECT(ADDRESS(22,2,1,,H$2)),$A171)</f>
        <v>0</v>
      </c>
      <c r="I171" s="106">
        <f ca="1">COUNTIF(INDIRECT(ADDRESS(21,2,1,,I$2)):INDIRECT(ADDRESS(22,2,1,,I$2)),$A171)</f>
        <v>0</v>
      </c>
      <c r="J171" s="106">
        <f ca="1">COUNTIF(INDIRECT(ADDRESS(21,2,1,,J$2)):INDIRECT(ADDRESS(22,2,1,,J$2)),$A171)</f>
        <v>0</v>
      </c>
      <c r="K171" s="106">
        <f ca="1">COUNTIF(INDIRECT(ADDRESS(21,2,1,,K$2)):INDIRECT(ADDRESS(22,2,1,,K$2)),$A171)</f>
        <v>0</v>
      </c>
      <c r="L171" s="106">
        <f ca="1">COUNTIF(INDIRECT(ADDRESS(21,2,1,,L$2)):INDIRECT(ADDRESS(22,2,1,,L$2)),$A171)</f>
        <v>0</v>
      </c>
      <c r="M171" s="106">
        <f ca="1">COUNTIF(INDIRECT(ADDRESS(21,2,1,,M$2)):INDIRECT(ADDRESS(22,2,1,,M$2)),$A171)</f>
        <v>0</v>
      </c>
      <c r="N171" s="106">
        <f ca="1">COUNTIF(INDIRECT(ADDRESS(21,2,1,,N$2)):INDIRECT(ADDRESS(22,2,1,,N$2)),$A171)</f>
        <v>0</v>
      </c>
      <c r="O171" s="94">
        <f t="shared" ref="O171:O182" ca="1" si="35">SUM(B171:N171)</f>
        <v>0</v>
      </c>
    </row>
    <row r="172" spans="1:15" x14ac:dyDescent="0.25">
      <c r="A172" s="109" t="s">
        <v>168</v>
      </c>
      <c r="B172" s="106">
        <f ca="1">COUNTIF(INDIRECT(ADDRESS(21,2,1,,B$2)):INDIRECT(ADDRESS(22,2,1,,B$2)),$A172)</f>
        <v>0</v>
      </c>
      <c r="C172" s="106">
        <f ca="1">COUNTIF(INDIRECT(ADDRESS(21,2,1,,C$2)):INDIRECT(ADDRESS(22,2,1,,C$2)),$A172)</f>
        <v>0</v>
      </c>
      <c r="D172" s="106">
        <f ca="1">COUNTIF(INDIRECT(ADDRESS(21,2,1,,D$2)):INDIRECT(ADDRESS(22,2,1,,D$2)),$A172)</f>
        <v>0</v>
      </c>
      <c r="E172" s="106">
        <f ca="1">COUNTIF(INDIRECT(ADDRESS(21,2,1,,E$2)):INDIRECT(ADDRESS(22,2,1,,E$2)),$A172)</f>
        <v>0</v>
      </c>
      <c r="F172" s="106">
        <f ca="1">COUNTIF(INDIRECT(ADDRESS(21,2,1,,F$2)):INDIRECT(ADDRESS(22,2,1,,F$2)),$A172)</f>
        <v>0</v>
      </c>
      <c r="G172" s="106">
        <f ca="1">COUNTIF(INDIRECT(ADDRESS(21,2,1,,G$2)):INDIRECT(ADDRESS(22,2,1,,G$2)),$A172)</f>
        <v>0</v>
      </c>
      <c r="H172" s="106">
        <f ca="1">COUNTIF(INDIRECT(ADDRESS(21,2,1,,H$2)):INDIRECT(ADDRESS(22,2,1,,H$2)),$A172)</f>
        <v>0</v>
      </c>
      <c r="I172" s="106">
        <f ca="1">COUNTIF(INDIRECT(ADDRESS(21,2,1,,I$2)):INDIRECT(ADDRESS(22,2,1,,I$2)),$A172)</f>
        <v>0</v>
      </c>
      <c r="J172" s="106">
        <f ca="1">COUNTIF(INDIRECT(ADDRESS(21,2,1,,J$2)):INDIRECT(ADDRESS(22,2,1,,J$2)),$A172)</f>
        <v>0</v>
      </c>
      <c r="K172" s="106">
        <f ca="1">COUNTIF(INDIRECT(ADDRESS(21,2,1,,K$2)):INDIRECT(ADDRESS(22,2,1,,K$2)),$A172)</f>
        <v>0</v>
      </c>
      <c r="L172" s="106">
        <f ca="1">COUNTIF(INDIRECT(ADDRESS(21,2,1,,L$2)):INDIRECT(ADDRESS(22,2,1,,L$2)),$A172)</f>
        <v>0</v>
      </c>
      <c r="M172" s="106">
        <f ca="1">COUNTIF(INDIRECT(ADDRESS(21,2,1,,M$2)):INDIRECT(ADDRESS(22,2,1,,M$2)),$A172)</f>
        <v>0</v>
      </c>
      <c r="N172" s="106">
        <f ca="1">COUNTIF(INDIRECT(ADDRESS(21,2,1,,N$2)):INDIRECT(ADDRESS(22,2,1,,N$2)),$A172)</f>
        <v>0</v>
      </c>
      <c r="O172" s="94">
        <f t="shared" ca="1" si="35"/>
        <v>0</v>
      </c>
    </row>
    <row r="173" spans="1:15" x14ac:dyDescent="0.25">
      <c r="A173" s="109" t="s">
        <v>272</v>
      </c>
      <c r="B173" s="106">
        <f ca="1">COUNTIF(INDIRECT(ADDRESS(21,2,1,,B$2)):INDIRECT(ADDRESS(22,2,1,,B$2)),$A173)</f>
        <v>0</v>
      </c>
      <c r="C173" s="106">
        <f ca="1">COUNTIF(INDIRECT(ADDRESS(21,2,1,,C$2)):INDIRECT(ADDRESS(22,2,1,,C$2)),$A173)</f>
        <v>0</v>
      </c>
      <c r="D173" s="106">
        <f ca="1">COUNTIF(INDIRECT(ADDRESS(21,2,1,,D$2)):INDIRECT(ADDRESS(22,2,1,,D$2)),$A173)</f>
        <v>0</v>
      </c>
      <c r="E173" s="106">
        <f ca="1">COUNTIF(INDIRECT(ADDRESS(21,2,1,,E$2)):INDIRECT(ADDRESS(22,2,1,,E$2)),$A173)</f>
        <v>0</v>
      </c>
      <c r="F173" s="106">
        <f ca="1">COUNTIF(INDIRECT(ADDRESS(21,2,1,,F$2)):INDIRECT(ADDRESS(22,2,1,,F$2)),$A173)</f>
        <v>0</v>
      </c>
      <c r="G173" s="106">
        <f ca="1">COUNTIF(INDIRECT(ADDRESS(21,2,1,,G$2)):INDIRECT(ADDRESS(22,2,1,,G$2)),$A173)</f>
        <v>0</v>
      </c>
      <c r="H173" s="106">
        <f ca="1">COUNTIF(INDIRECT(ADDRESS(21,2,1,,H$2)):INDIRECT(ADDRESS(22,2,1,,H$2)),$A173)</f>
        <v>0</v>
      </c>
      <c r="I173" s="106">
        <f ca="1">COUNTIF(INDIRECT(ADDRESS(21,2,1,,I$2)):INDIRECT(ADDRESS(22,2,1,,I$2)),$A173)</f>
        <v>0</v>
      </c>
      <c r="J173" s="106">
        <f ca="1">COUNTIF(INDIRECT(ADDRESS(21,2,1,,J$2)):INDIRECT(ADDRESS(22,2,1,,J$2)),$A173)</f>
        <v>0</v>
      </c>
      <c r="K173" s="106">
        <f ca="1">COUNTIF(INDIRECT(ADDRESS(21,2,1,,K$2)):INDIRECT(ADDRESS(22,2,1,,K$2)),$A173)</f>
        <v>0</v>
      </c>
      <c r="L173" s="106">
        <f ca="1">COUNTIF(INDIRECT(ADDRESS(21,2,1,,L$2)):INDIRECT(ADDRESS(22,2,1,,L$2)),$A173)</f>
        <v>0</v>
      </c>
      <c r="M173" s="106">
        <f ca="1">COUNTIF(INDIRECT(ADDRESS(21,2,1,,M$2)):INDIRECT(ADDRESS(22,2,1,,M$2)),$A173)</f>
        <v>0</v>
      </c>
      <c r="N173" s="106">
        <f ca="1">COUNTIF(INDIRECT(ADDRESS(21,2,1,,N$2)):INDIRECT(ADDRESS(22,2,1,,N$2)),$A173)</f>
        <v>0</v>
      </c>
      <c r="O173" s="94">
        <f t="shared" ca="1" si="35"/>
        <v>0</v>
      </c>
    </row>
    <row r="174" spans="1:15" x14ac:dyDescent="0.25">
      <c r="A174" s="109" t="s">
        <v>273</v>
      </c>
      <c r="B174" s="106">
        <f ca="1">COUNTIF(INDIRECT(ADDRESS(21,2,1,,B$2)):INDIRECT(ADDRESS(22,2,1,,B$2)),$A174)</f>
        <v>0</v>
      </c>
      <c r="C174" s="106">
        <f ca="1">COUNTIF(INDIRECT(ADDRESS(21,2,1,,C$2)):INDIRECT(ADDRESS(22,2,1,,C$2)),$A174)</f>
        <v>0</v>
      </c>
      <c r="D174" s="106">
        <f ca="1">COUNTIF(INDIRECT(ADDRESS(21,2,1,,D$2)):INDIRECT(ADDRESS(22,2,1,,D$2)),$A174)</f>
        <v>0</v>
      </c>
      <c r="E174" s="106">
        <f ca="1">COUNTIF(INDIRECT(ADDRESS(21,2,1,,E$2)):INDIRECT(ADDRESS(22,2,1,,E$2)),$A174)</f>
        <v>0</v>
      </c>
      <c r="F174" s="106">
        <f ca="1">COUNTIF(INDIRECT(ADDRESS(21,2,1,,F$2)):INDIRECT(ADDRESS(22,2,1,,F$2)),$A174)</f>
        <v>0</v>
      </c>
      <c r="G174" s="106">
        <f ca="1">COUNTIF(INDIRECT(ADDRESS(21,2,1,,G$2)):INDIRECT(ADDRESS(22,2,1,,G$2)),$A174)</f>
        <v>0</v>
      </c>
      <c r="H174" s="106">
        <f ca="1">COUNTIF(INDIRECT(ADDRESS(21,2,1,,H$2)):INDIRECT(ADDRESS(22,2,1,,H$2)),$A174)</f>
        <v>0</v>
      </c>
      <c r="I174" s="106">
        <f ca="1">COUNTIF(INDIRECT(ADDRESS(21,2,1,,I$2)):INDIRECT(ADDRESS(22,2,1,,I$2)),$A174)</f>
        <v>0</v>
      </c>
      <c r="J174" s="106">
        <f ca="1">COUNTIF(INDIRECT(ADDRESS(21,2,1,,J$2)):INDIRECT(ADDRESS(22,2,1,,J$2)),$A174)</f>
        <v>0</v>
      </c>
      <c r="K174" s="106">
        <f ca="1">COUNTIF(INDIRECT(ADDRESS(21,2,1,,K$2)):INDIRECT(ADDRESS(22,2,1,,K$2)),$A174)</f>
        <v>0</v>
      </c>
      <c r="L174" s="106">
        <f ca="1">COUNTIF(INDIRECT(ADDRESS(21,2,1,,L$2)):INDIRECT(ADDRESS(22,2,1,,L$2)),$A174)</f>
        <v>0</v>
      </c>
      <c r="M174" s="106">
        <f ca="1">COUNTIF(INDIRECT(ADDRESS(21,2,1,,M$2)):INDIRECT(ADDRESS(22,2,1,,M$2)),$A174)</f>
        <v>0</v>
      </c>
      <c r="N174" s="106">
        <f ca="1">COUNTIF(INDIRECT(ADDRESS(21,2,1,,N$2)):INDIRECT(ADDRESS(22,2,1,,N$2)),$A174)</f>
        <v>0</v>
      </c>
      <c r="O174" s="94">
        <f t="shared" ca="1" si="35"/>
        <v>0</v>
      </c>
    </row>
    <row r="175" spans="1:15" x14ac:dyDescent="0.25">
      <c r="A175" s="109" t="s">
        <v>274</v>
      </c>
      <c r="B175" s="106">
        <f ca="1">COUNTIF(INDIRECT(ADDRESS(21,2,1,,B$2)):INDIRECT(ADDRESS(22,2,1,,B$2)),$A175)</f>
        <v>0</v>
      </c>
      <c r="C175" s="106">
        <f ca="1">COUNTIF(INDIRECT(ADDRESS(21,2,1,,C$2)):INDIRECT(ADDRESS(22,2,1,,C$2)),$A175)</f>
        <v>0</v>
      </c>
      <c r="D175" s="106">
        <f ca="1">COUNTIF(INDIRECT(ADDRESS(21,2,1,,D$2)):INDIRECT(ADDRESS(22,2,1,,D$2)),$A175)</f>
        <v>0</v>
      </c>
      <c r="E175" s="106">
        <f ca="1">COUNTIF(INDIRECT(ADDRESS(21,2,1,,E$2)):INDIRECT(ADDRESS(22,2,1,,E$2)),$A175)</f>
        <v>0</v>
      </c>
      <c r="F175" s="106">
        <f ca="1">COUNTIF(INDIRECT(ADDRESS(21,2,1,,F$2)):INDIRECT(ADDRESS(22,2,1,,F$2)),$A175)</f>
        <v>0</v>
      </c>
      <c r="G175" s="106">
        <f ca="1">COUNTIF(INDIRECT(ADDRESS(21,2,1,,G$2)):INDIRECT(ADDRESS(22,2,1,,G$2)),$A175)</f>
        <v>0</v>
      </c>
      <c r="H175" s="106">
        <f ca="1">COUNTIF(INDIRECT(ADDRESS(21,2,1,,H$2)):INDIRECT(ADDRESS(22,2,1,,H$2)),$A175)</f>
        <v>0</v>
      </c>
      <c r="I175" s="106">
        <f ca="1">COUNTIF(INDIRECT(ADDRESS(21,2,1,,I$2)):INDIRECT(ADDRESS(22,2,1,,I$2)),$A175)</f>
        <v>0</v>
      </c>
      <c r="J175" s="106">
        <f ca="1">COUNTIF(INDIRECT(ADDRESS(21,2,1,,J$2)):INDIRECT(ADDRESS(22,2,1,,J$2)),$A175)</f>
        <v>0</v>
      </c>
      <c r="K175" s="106">
        <f ca="1">COUNTIF(INDIRECT(ADDRESS(21,2,1,,K$2)):INDIRECT(ADDRESS(22,2,1,,K$2)),$A175)</f>
        <v>0</v>
      </c>
      <c r="L175" s="106">
        <f ca="1">COUNTIF(INDIRECT(ADDRESS(21,2,1,,L$2)):INDIRECT(ADDRESS(22,2,1,,L$2)),$A175)</f>
        <v>0</v>
      </c>
      <c r="M175" s="106">
        <f ca="1">COUNTIF(INDIRECT(ADDRESS(21,2,1,,M$2)):INDIRECT(ADDRESS(22,2,1,,M$2)),$A175)</f>
        <v>0</v>
      </c>
      <c r="N175" s="106">
        <f ca="1">COUNTIF(INDIRECT(ADDRESS(21,2,1,,N$2)):INDIRECT(ADDRESS(22,2,1,,N$2)),$A175)</f>
        <v>0</v>
      </c>
      <c r="O175" s="94">
        <f t="shared" ca="1" si="35"/>
        <v>0</v>
      </c>
    </row>
    <row r="176" spans="1:15" x14ac:dyDescent="0.25">
      <c r="A176" s="109" t="s">
        <v>275</v>
      </c>
      <c r="B176" s="106">
        <f ca="1">COUNTIF(INDIRECT(ADDRESS(21,2,1,,B$2)):INDIRECT(ADDRESS(22,2,1,,B$2)),$A176)</f>
        <v>0</v>
      </c>
      <c r="C176" s="106">
        <f ca="1">COUNTIF(INDIRECT(ADDRESS(21,2,1,,C$2)):INDIRECT(ADDRESS(22,2,1,,C$2)),$A176)</f>
        <v>0</v>
      </c>
      <c r="D176" s="106">
        <f ca="1">COUNTIF(INDIRECT(ADDRESS(21,2,1,,D$2)):INDIRECT(ADDRESS(22,2,1,,D$2)),$A176)</f>
        <v>0</v>
      </c>
      <c r="E176" s="106">
        <f ca="1">COUNTIF(INDIRECT(ADDRESS(21,2,1,,E$2)):INDIRECT(ADDRESS(22,2,1,,E$2)),$A176)</f>
        <v>0</v>
      </c>
      <c r="F176" s="106">
        <f ca="1">COUNTIF(INDIRECT(ADDRESS(21,2,1,,F$2)):INDIRECT(ADDRESS(22,2,1,,F$2)),$A176)</f>
        <v>0</v>
      </c>
      <c r="G176" s="106">
        <f ca="1">COUNTIF(INDIRECT(ADDRESS(21,2,1,,G$2)):INDIRECT(ADDRESS(22,2,1,,G$2)),$A176)</f>
        <v>0</v>
      </c>
      <c r="H176" s="106">
        <f ca="1">COUNTIF(INDIRECT(ADDRESS(21,2,1,,H$2)):INDIRECT(ADDRESS(22,2,1,,H$2)),$A176)</f>
        <v>0</v>
      </c>
      <c r="I176" s="106">
        <f ca="1">COUNTIF(INDIRECT(ADDRESS(21,2,1,,I$2)):INDIRECT(ADDRESS(22,2,1,,I$2)),$A176)</f>
        <v>0</v>
      </c>
      <c r="J176" s="106">
        <f ca="1">COUNTIF(INDIRECT(ADDRESS(21,2,1,,J$2)):INDIRECT(ADDRESS(22,2,1,,J$2)),$A176)</f>
        <v>0</v>
      </c>
      <c r="K176" s="106">
        <f ca="1">COUNTIF(INDIRECT(ADDRESS(21,2,1,,K$2)):INDIRECT(ADDRESS(22,2,1,,K$2)),$A176)</f>
        <v>0</v>
      </c>
      <c r="L176" s="106">
        <f ca="1">COUNTIF(INDIRECT(ADDRESS(21,2,1,,L$2)):INDIRECT(ADDRESS(22,2,1,,L$2)),$A176)</f>
        <v>0</v>
      </c>
      <c r="M176" s="106">
        <f ca="1">COUNTIF(INDIRECT(ADDRESS(21,2,1,,M$2)):INDIRECT(ADDRESS(22,2,1,,M$2)),$A176)</f>
        <v>0</v>
      </c>
      <c r="N176" s="106">
        <f ca="1">COUNTIF(INDIRECT(ADDRESS(21,2,1,,N$2)):INDIRECT(ADDRESS(22,2,1,,N$2)),$A176)</f>
        <v>0</v>
      </c>
      <c r="O176" s="94">
        <f t="shared" ca="1" si="35"/>
        <v>0</v>
      </c>
    </row>
    <row r="177" spans="1:15" x14ac:dyDescent="0.25">
      <c r="A177" s="109" t="s">
        <v>276</v>
      </c>
      <c r="B177" s="106">
        <f ca="1">COUNTIF(INDIRECT(ADDRESS(21,2,1,,B$2)):INDIRECT(ADDRESS(22,2,1,,B$2)),$A177)</f>
        <v>0</v>
      </c>
      <c r="C177" s="106">
        <f ca="1">COUNTIF(INDIRECT(ADDRESS(21,2,1,,C$2)):INDIRECT(ADDRESS(22,2,1,,C$2)),$A177)</f>
        <v>0</v>
      </c>
      <c r="D177" s="106">
        <f ca="1">COUNTIF(INDIRECT(ADDRESS(21,2,1,,D$2)):INDIRECT(ADDRESS(22,2,1,,D$2)),$A177)</f>
        <v>0</v>
      </c>
      <c r="E177" s="106">
        <f ca="1">COUNTIF(INDIRECT(ADDRESS(21,2,1,,E$2)):INDIRECT(ADDRESS(22,2,1,,E$2)),$A177)</f>
        <v>0</v>
      </c>
      <c r="F177" s="106">
        <f ca="1">COUNTIF(INDIRECT(ADDRESS(21,2,1,,F$2)):INDIRECT(ADDRESS(22,2,1,,F$2)),$A177)</f>
        <v>0</v>
      </c>
      <c r="G177" s="106">
        <f ca="1">COUNTIF(INDIRECT(ADDRESS(21,2,1,,G$2)):INDIRECT(ADDRESS(22,2,1,,G$2)),$A177)</f>
        <v>0</v>
      </c>
      <c r="H177" s="106">
        <f ca="1">COUNTIF(INDIRECT(ADDRESS(21,2,1,,H$2)):INDIRECT(ADDRESS(22,2,1,,H$2)),$A177)</f>
        <v>0</v>
      </c>
      <c r="I177" s="106">
        <f ca="1">COUNTIF(INDIRECT(ADDRESS(21,2,1,,I$2)):INDIRECT(ADDRESS(22,2,1,,I$2)),$A177)</f>
        <v>0</v>
      </c>
      <c r="J177" s="106">
        <f ca="1">COUNTIF(INDIRECT(ADDRESS(21,2,1,,J$2)):INDIRECT(ADDRESS(22,2,1,,J$2)),$A177)</f>
        <v>0</v>
      </c>
      <c r="K177" s="106">
        <f ca="1">COUNTIF(INDIRECT(ADDRESS(21,2,1,,K$2)):INDIRECT(ADDRESS(22,2,1,,K$2)),$A177)</f>
        <v>0</v>
      </c>
      <c r="L177" s="106">
        <f ca="1">COUNTIF(INDIRECT(ADDRESS(21,2,1,,L$2)):INDIRECT(ADDRESS(22,2,1,,L$2)),$A177)</f>
        <v>0</v>
      </c>
      <c r="M177" s="106">
        <f ca="1">COUNTIF(INDIRECT(ADDRESS(21,2,1,,M$2)):INDIRECT(ADDRESS(22,2,1,,M$2)),$A177)</f>
        <v>0</v>
      </c>
      <c r="N177" s="106">
        <f ca="1">COUNTIF(INDIRECT(ADDRESS(21,2,1,,N$2)):INDIRECT(ADDRESS(22,2,1,,N$2)),$A177)</f>
        <v>0</v>
      </c>
      <c r="O177" s="94">
        <f t="shared" ca="1" si="35"/>
        <v>0</v>
      </c>
    </row>
    <row r="178" spans="1:15" x14ac:dyDescent="0.25">
      <c r="A178" s="109" t="s">
        <v>277</v>
      </c>
      <c r="B178" s="106">
        <f ca="1">COUNTIF(INDIRECT(ADDRESS(21,2,1,,B$2)):INDIRECT(ADDRESS(22,2,1,,B$2)),$A178)</f>
        <v>0</v>
      </c>
      <c r="C178" s="106">
        <f ca="1">COUNTIF(INDIRECT(ADDRESS(21,2,1,,C$2)):INDIRECT(ADDRESS(22,2,1,,C$2)),$A178)</f>
        <v>0</v>
      </c>
      <c r="D178" s="106">
        <f ca="1">COUNTIF(INDIRECT(ADDRESS(21,2,1,,D$2)):INDIRECT(ADDRESS(22,2,1,,D$2)),$A178)</f>
        <v>0</v>
      </c>
      <c r="E178" s="106">
        <f ca="1">COUNTIF(INDIRECT(ADDRESS(21,2,1,,E$2)):INDIRECT(ADDRESS(22,2,1,,E$2)),$A178)</f>
        <v>0</v>
      </c>
      <c r="F178" s="106">
        <f ca="1">COUNTIF(INDIRECT(ADDRESS(21,2,1,,F$2)):INDIRECT(ADDRESS(22,2,1,,F$2)),$A178)</f>
        <v>0</v>
      </c>
      <c r="G178" s="106">
        <f ca="1">COUNTIF(INDIRECT(ADDRESS(21,2,1,,G$2)):INDIRECT(ADDRESS(22,2,1,,G$2)),$A178)</f>
        <v>0</v>
      </c>
      <c r="H178" s="106">
        <f ca="1">COUNTIF(INDIRECT(ADDRESS(21,2,1,,H$2)):INDIRECT(ADDRESS(22,2,1,,H$2)),$A178)</f>
        <v>0</v>
      </c>
      <c r="I178" s="106">
        <f ca="1">COUNTIF(INDIRECT(ADDRESS(21,2,1,,I$2)):INDIRECT(ADDRESS(22,2,1,,I$2)),$A178)</f>
        <v>0</v>
      </c>
      <c r="J178" s="106">
        <f ca="1">COUNTIF(INDIRECT(ADDRESS(21,2,1,,J$2)):INDIRECT(ADDRESS(22,2,1,,J$2)),$A178)</f>
        <v>0</v>
      </c>
      <c r="K178" s="106">
        <f ca="1">COUNTIF(INDIRECT(ADDRESS(21,2,1,,K$2)):INDIRECT(ADDRESS(22,2,1,,K$2)),$A178)</f>
        <v>0</v>
      </c>
      <c r="L178" s="106">
        <f ca="1">COUNTIF(INDIRECT(ADDRESS(21,2,1,,L$2)):INDIRECT(ADDRESS(22,2,1,,L$2)),$A178)</f>
        <v>0</v>
      </c>
      <c r="M178" s="106">
        <f ca="1">COUNTIF(INDIRECT(ADDRESS(21,2,1,,M$2)):INDIRECT(ADDRESS(22,2,1,,M$2)),$A178)</f>
        <v>0</v>
      </c>
      <c r="N178" s="106">
        <f ca="1">COUNTIF(INDIRECT(ADDRESS(21,2,1,,N$2)):INDIRECT(ADDRESS(22,2,1,,N$2)),$A178)</f>
        <v>0</v>
      </c>
      <c r="O178" s="94">
        <f t="shared" ca="1" si="35"/>
        <v>0</v>
      </c>
    </row>
    <row r="179" spans="1:15" x14ac:dyDescent="0.25">
      <c r="A179" s="109" t="s">
        <v>299</v>
      </c>
      <c r="B179" s="106">
        <f ca="1">COUNTIF(INDIRECT(ADDRESS(21,2,1,,B$2)):INDIRECT(ADDRESS(22,2,1,,B$2)),$A179)</f>
        <v>0</v>
      </c>
      <c r="C179" s="106">
        <f ca="1">COUNTIF(INDIRECT(ADDRESS(21,2,1,,C$2)):INDIRECT(ADDRESS(22,2,1,,C$2)),$A179)</f>
        <v>0</v>
      </c>
      <c r="D179" s="106">
        <f ca="1">COUNTIF(INDIRECT(ADDRESS(21,2,1,,D$2)):INDIRECT(ADDRESS(22,2,1,,D$2)),$A179)</f>
        <v>0</v>
      </c>
      <c r="E179" s="106">
        <f ca="1">COUNTIF(INDIRECT(ADDRESS(21,2,1,,E$2)):INDIRECT(ADDRESS(22,2,1,,E$2)),$A179)</f>
        <v>0</v>
      </c>
      <c r="F179" s="106">
        <f ca="1">COUNTIF(INDIRECT(ADDRESS(21,2,1,,F$2)):INDIRECT(ADDRESS(22,2,1,,F$2)),$A179)</f>
        <v>0</v>
      </c>
      <c r="G179" s="106">
        <f ca="1">COUNTIF(INDIRECT(ADDRESS(21,2,1,,G$2)):INDIRECT(ADDRESS(22,2,1,,G$2)),$A179)</f>
        <v>0</v>
      </c>
      <c r="H179" s="106">
        <f ca="1">COUNTIF(INDIRECT(ADDRESS(21,2,1,,H$2)):INDIRECT(ADDRESS(22,2,1,,H$2)),$A179)</f>
        <v>0</v>
      </c>
      <c r="I179" s="106">
        <f ca="1">COUNTIF(INDIRECT(ADDRESS(21,2,1,,I$2)):INDIRECT(ADDRESS(22,2,1,,I$2)),$A179)</f>
        <v>0</v>
      </c>
      <c r="J179" s="106">
        <f ca="1">COUNTIF(INDIRECT(ADDRESS(21,2,1,,J$2)):INDIRECT(ADDRESS(22,2,1,,J$2)),$A179)</f>
        <v>0</v>
      </c>
      <c r="K179" s="106">
        <f ca="1">COUNTIF(INDIRECT(ADDRESS(21,2,1,,K$2)):INDIRECT(ADDRESS(22,2,1,,K$2)),$A179)</f>
        <v>0</v>
      </c>
      <c r="L179" s="106">
        <f ca="1">COUNTIF(INDIRECT(ADDRESS(21,2,1,,L$2)):INDIRECT(ADDRESS(22,2,1,,L$2)),$A179)</f>
        <v>0</v>
      </c>
      <c r="M179" s="106">
        <f ca="1">COUNTIF(INDIRECT(ADDRESS(21,2,1,,M$2)):INDIRECT(ADDRESS(22,2,1,,M$2)),$A179)</f>
        <v>0</v>
      </c>
      <c r="N179" s="106">
        <f ca="1">COUNTIF(INDIRECT(ADDRESS(21,2,1,,N$2)):INDIRECT(ADDRESS(22,2,1,,N$2)),$A179)</f>
        <v>0</v>
      </c>
      <c r="O179" s="94">
        <f t="shared" ca="1" si="35"/>
        <v>0</v>
      </c>
    </row>
    <row r="180" spans="1:15" x14ac:dyDescent="0.25">
      <c r="A180" s="109" t="s">
        <v>300</v>
      </c>
      <c r="B180" s="106">
        <f ca="1">COUNTIF(INDIRECT(ADDRESS(21,2,1,,B$2)):INDIRECT(ADDRESS(22,2,1,,B$2)),$A180)</f>
        <v>0</v>
      </c>
      <c r="C180" s="106">
        <f ca="1">COUNTIF(INDIRECT(ADDRESS(21,2,1,,C$2)):INDIRECT(ADDRESS(22,2,1,,C$2)),$A180)</f>
        <v>0</v>
      </c>
      <c r="D180" s="106">
        <f ca="1">COUNTIF(INDIRECT(ADDRESS(21,2,1,,D$2)):INDIRECT(ADDRESS(22,2,1,,D$2)),$A180)</f>
        <v>0</v>
      </c>
      <c r="E180" s="106">
        <f ca="1">COUNTIF(INDIRECT(ADDRESS(21,2,1,,E$2)):INDIRECT(ADDRESS(22,2,1,,E$2)),$A180)</f>
        <v>0</v>
      </c>
      <c r="F180" s="106">
        <f ca="1">COUNTIF(INDIRECT(ADDRESS(21,2,1,,F$2)):INDIRECT(ADDRESS(22,2,1,,F$2)),$A180)</f>
        <v>0</v>
      </c>
      <c r="G180" s="106">
        <f ca="1">COUNTIF(INDIRECT(ADDRESS(21,2,1,,G$2)):INDIRECT(ADDRESS(22,2,1,,G$2)),$A180)</f>
        <v>0</v>
      </c>
      <c r="H180" s="106">
        <f ca="1">COUNTIF(INDIRECT(ADDRESS(21,2,1,,H$2)):INDIRECT(ADDRESS(22,2,1,,H$2)),$A180)</f>
        <v>0</v>
      </c>
      <c r="I180" s="106">
        <f ca="1">COUNTIF(INDIRECT(ADDRESS(21,2,1,,I$2)):INDIRECT(ADDRESS(22,2,1,,I$2)),$A180)</f>
        <v>0</v>
      </c>
      <c r="J180" s="106">
        <f ca="1">COUNTIF(INDIRECT(ADDRESS(21,2,1,,J$2)):INDIRECT(ADDRESS(22,2,1,,J$2)),$A180)</f>
        <v>0</v>
      </c>
      <c r="K180" s="106">
        <f ca="1">COUNTIF(INDIRECT(ADDRESS(21,2,1,,K$2)):INDIRECT(ADDRESS(22,2,1,,K$2)),$A180)</f>
        <v>0</v>
      </c>
      <c r="L180" s="106">
        <f ca="1">COUNTIF(INDIRECT(ADDRESS(21,2,1,,L$2)):INDIRECT(ADDRESS(22,2,1,,L$2)),$A180)</f>
        <v>0</v>
      </c>
      <c r="M180" s="106">
        <f ca="1">COUNTIF(INDIRECT(ADDRESS(21,2,1,,M$2)):INDIRECT(ADDRESS(22,2,1,,M$2)),$A180)</f>
        <v>0</v>
      </c>
      <c r="N180" s="106">
        <f ca="1">COUNTIF(INDIRECT(ADDRESS(21,2,1,,N$2)):INDIRECT(ADDRESS(22,2,1,,N$2)),$A180)</f>
        <v>0</v>
      </c>
      <c r="O180" s="94">
        <f t="shared" ca="1" si="35"/>
        <v>0</v>
      </c>
    </row>
    <row r="181" spans="1:15" x14ac:dyDescent="0.25">
      <c r="A181" s="109" t="s">
        <v>301</v>
      </c>
      <c r="B181" s="106">
        <f ca="1">COUNTIF(INDIRECT(ADDRESS(21,2,1,,B$2)):INDIRECT(ADDRESS(22,2,1,,B$2)),$A181)</f>
        <v>0</v>
      </c>
      <c r="C181" s="106">
        <f ca="1">COUNTIF(INDIRECT(ADDRESS(21,2,1,,C$2)):INDIRECT(ADDRESS(22,2,1,,C$2)),$A181)</f>
        <v>0</v>
      </c>
      <c r="D181" s="106">
        <f ca="1">COUNTIF(INDIRECT(ADDRESS(21,2,1,,D$2)):INDIRECT(ADDRESS(22,2,1,,D$2)),$A181)</f>
        <v>0</v>
      </c>
      <c r="E181" s="106">
        <f ca="1">COUNTIF(INDIRECT(ADDRESS(21,2,1,,E$2)):INDIRECT(ADDRESS(22,2,1,,E$2)),$A181)</f>
        <v>0</v>
      </c>
      <c r="F181" s="106">
        <f ca="1">COUNTIF(INDIRECT(ADDRESS(21,2,1,,F$2)):INDIRECT(ADDRESS(22,2,1,,F$2)),$A181)</f>
        <v>0</v>
      </c>
      <c r="G181" s="106">
        <f ca="1">COUNTIF(INDIRECT(ADDRESS(21,2,1,,G$2)):INDIRECT(ADDRESS(22,2,1,,G$2)),$A181)</f>
        <v>0</v>
      </c>
      <c r="H181" s="106">
        <f ca="1">COUNTIF(INDIRECT(ADDRESS(21,2,1,,H$2)):INDIRECT(ADDRESS(22,2,1,,H$2)),$A181)</f>
        <v>0</v>
      </c>
      <c r="I181" s="106">
        <f ca="1">COUNTIF(INDIRECT(ADDRESS(21,2,1,,I$2)):INDIRECT(ADDRESS(22,2,1,,I$2)),$A181)</f>
        <v>0</v>
      </c>
      <c r="J181" s="106">
        <f ca="1">COUNTIF(INDIRECT(ADDRESS(21,2,1,,J$2)):INDIRECT(ADDRESS(22,2,1,,J$2)),$A181)</f>
        <v>0</v>
      </c>
      <c r="K181" s="106">
        <f ca="1">COUNTIF(INDIRECT(ADDRESS(21,2,1,,K$2)):INDIRECT(ADDRESS(22,2,1,,K$2)),$A181)</f>
        <v>0</v>
      </c>
      <c r="L181" s="106">
        <f ca="1">COUNTIF(INDIRECT(ADDRESS(21,2,1,,L$2)):INDIRECT(ADDRESS(22,2,1,,L$2)),$A181)</f>
        <v>0</v>
      </c>
      <c r="M181" s="106">
        <f ca="1">COUNTIF(INDIRECT(ADDRESS(21,2,1,,M$2)):INDIRECT(ADDRESS(22,2,1,,M$2)),$A181)</f>
        <v>0</v>
      </c>
      <c r="N181" s="106">
        <f ca="1">COUNTIF(INDIRECT(ADDRESS(21,2,1,,N$2)):INDIRECT(ADDRESS(22,2,1,,N$2)),$A181)</f>
        <v>0</v>
      </c>
      <c r="O181" s="94">
        <f t="shared" ca="1" si="35"/>
        <v>0</v>
      </c>
    </row>
    <row r="182" spans="1:15" x14ac:dyDescent="0.25">
      <c r="A182" s="109" t="s">
        <v>240</v>
      </c>
      <c r="B182" s="106">
        <f ca="1">COUNTIF(INDIRECT(ADDRESS(21,2,1,,B$2)):INDIRECT(ADDRESS(22,2,1,,B$2)),$A182)</f>
        <v>0</v>
      </c>
      <c r="C182" s="106">
        <f ca="1">COUNTIF(INDIRECT(ADDRESS(21,2,1,,C$2)):INDIRECT(ADDRESS(22,2,1,,C$2)),$A182)</f>
        <v>0</v>
      </c>
      <c r="D182" s="106">
        <f ca="1">COUNTIF(INDIRECT(ADDRESS(21,2,1,,D$2)):INDIRECT(ADDRESS(22,2,1,,D$2)),$A182)</f>
        <v>0</v>
      </c>
      <c r="E182" s="106">
        <f ca="1">COUNTIF(INDIRECT(ADDRESS(21,2,1,,E$2)):INDIRECT(ADDRESS(22,2,1,,E$2)),$A182)</f>
        <v>0</v>
      </c>
      <c r="F182" s="106">
        <f ca="1">COUNTIF(INDIRECT(ADDRESS(21,2,1,,F$2)):INDIRECT(ADDRESS(22,2,1,,F$2)),$A182)</f>
        <v>0</v>
      </c>
      <c r="G182" s="106">
        <f ca="1">COUNTIF(INDIRECT(ADDRESS(21,2,1,,G$2)):INDIRECT(ADDRESS(22,2,1,,G$2)),$A182)</f>
        <v>0</v>
      </c>
      <c r="H182" s="106">
        <f ca="1">COUNTIF(INDIRECT(ADDRESS(21,2,1,,H$2)):INDIRECT(ADDRESS(22,2,1,,H$2)),$A182)</f>
        <v>0</v>
      </c>
      <c r="I182" s="106">
        <f ca="1">COUNTIF(INDIRECT(ADDRESS(21,2,1,,I$2)):INDIRECT(ADDRESS(22,2,1,,I$2)),$A182)</f>
        <v>0</v>
      </c>
      <c r="J182" s="106">
        <f ca="1">COUNTIF(INDIRECT(ADDRESS(21,2,1,,J$2)):INDIRECT(ADDRESS(22,2,1,,J$2)),$A182)</f>
        <v>0</v>
      </c>
      <c r="K182" s="106">
        <f ca="1">COUNTIF(INDIRECT(ADDRESS(21,2,1,,K$2)):INDIRECT(ADDRESS(22,2,1,,K$2)),$A182)</f>
        <v>0</v>
      </c>
      <c r="L182" s="106">
        <f ca="1">COUNTIF(INDIRECT(ADDRESS(21,2,1,,L$2)):INDIRECT(ADDRESS(22,2,1,,L$2)),$A182)</f>
        <v>0</v>
      </c>
      <c r="M182" s="106">
        <f ca="1">COUNTIF(INDIRECT(ADDRESS(21,2,1,,M$2)):INDIRECT(ADDRESS(22,2,1,,M$2)),$A182)</f>
        <v>0</v>
      </c>
      <c r="N182" s="106">
        <f ca="1">COUNTIF(INDIRECT(ADDRESS(21,2,1,,N$2)):INDIRECT(ADDRESS(22,2,1,,N$2)),$A182)</f>
        <v>0</v>
      </c>
      <c r="O182" s="94">
        <f t="shared" ca="1" si="35"/>
        <v>0</v>
      </c>
    </row>
    <row r="185" spans="1:15" s="28" customFormat="1" ht="13.8" thickBot="1" x14ac:dyDescent="0.3">
      <c r="A185" s="104" t="s">
        <v>198</v>
      </c>
      <c r="B185" s="102">
        <f t="shared" ref="B185:N185" ca="1" si="36">SUM(B186:B198)</f>
        <v>0</v>
      </c>
      <c r="C185" s="102">
        <f t="shared" ca="1" si="36"/>
        <v>0</v>
      </c>
      <c r="D185" s="102">
        <f t="shared" ca="1" si="36"/>
        <v>0</v>
      </c>
      <c r="E185" s="102">
        <f t="shared" ca="1" si="36"/>
        <v>0</v>
      </c>
      <c r="F185" s="102">
        <f t="shared" ca="1" si="36"/>
        <v>0</v>
      </c>
      <c r="G185" s="102">
        <f t="shared" ca="1" si="36"/>
        <v>0</v>
      </c>
      <c r="H185" s="102">
        <f t="shared" ca="1" si="36"/>
        <v>0</v>
      </c>
      <c r="I185" s="102">
        <f t="shared" ca="1" si="36"/>
        <v>0</v>
      </c>
      <c r="J185" s="102">
        <f t="shared" ca="1" si="36"/>
        <v>0</v>
      </c>
      <c r="K185" s="102">
        <f t="shared" ca="1" si="36"/>
        <v>0</v>
      </c>
      <c r="L185" s="102">
        <f t="shared" ca="1" si="36"/>
        <v>0</v>
      </c>
      <c r="M185" s="102">
        <f t="shared" ca="1" si="36"/>
        <v>0</v>
      </c>
      <c r="N185" s="102">
        <f t="shared" ca="1" si="36"/>
        <v>0</v>
      </c>
      <c r="O185" s="103"/>
    </row>
    <row r="186" spans="1:15" x14ac:dyDescent="0.25">
      <c r="A186" s="109" t="s">
        <v>279</v>
      </c>
      <c r="B186" s="106">
        <f ca="1">COUNTIF(INDIRECT(ADDRESS(21,2,1,,B$2)):INDIRECT(ADDRESS(22,2,1,,B$2)),$A186)</f>
        <v>0</v>
      </c>
      <c r="C186" s="106">
        <f ca="1">COUNTIF(INDIRECT(ADDRESS(21,2,1,,C$2)):INDIRECT(ADDRESS(22,2,1,,C$2)),$A186)</f>
        <v>0</v>
      </c>
      <c r="D186" s="106">
        <f ca="1">COUNTIF(INDIRECT(ADDRESS(21,2,1,,D$2)):INDIRECT(ADDRESS(22,2,1,,D$2)),$A186)</f>
        <v>0</v>
      </c>
      <c r="E186" s="106">
        <f ca="1">COUNTIF(INDIRECT(ADDRESS(21,2,1,,E$2)):INDIRECT(ADDRESS(22,2,1,,E$2)),$A186)</f>
        <v>0</v>
      </c>
      <c r="F186" s="106">
        <f ca="1">COUNTIF(INDIRECT(ADDRESS(21,2,1,,F$2)):INDIRECT(ADDRESS(22,2,1,,F$2)),$A186)</f>
        <v>0</v>
      </c>
      <c r="G186" s="106">
        <f ca="1">COUNTIF(INDIRECT(ADDRESS(21,2,1,,G$2)):INDIRECT(ADDRESS(22,2,1,,G$2)),$A186)</f>
        <v>0</v>
      </c>
      <c r="H186" s="106">
        <f ca="1">COUNTIF(INDIRECT(ADDRESS(21,2,1,,H$2)):INDIRECT(ADDRESS(22,2,1,,H$2)),$A186)</f>
        <v>0</v>
      </c>
      <c r="I186" s="106">
        <f ca="1">COUNTIF(INDIRECT(ADDRESS(21,2,1,,I$2)):INDIRECT(ADDRESS(22,2,1,,I$2)),$A186)</f>
        <v>0</v>
      </c>
      <c r="J186" s="106">
        <f ca="1">COUNTIF(INDIRECT(ADDRESS(21,2,1,,J$2)):INDIRECT(ADDRESS(22,2,1,,J$2)),$A186)</f>
        <v>0</v>
      </c>
      <c r="K186" s="106">
        <f ca="1">COUNTIF(INDIRECT(ADDRESS(21,2,1,,K$2)):INDIRECT(ADDRESS(22,2,1,,K$2)),$A186)</f>
        <v>0</v>
      </c>
      <c r="L186" s="106">
        <f ca="1">COUNTIF(INDIRECT(ADDRESS(21,2,1,,L$2)):INDIRECT(ADDRESS(22,2,1,,L$2)),$A186)</f>
        <v>0</v>
      </c>
      <c r="M186" s="106">
        <f ca="1">COUNTIF(INDIRECT(ADDRESS(21,2,1,,M$2)):INDIRECT(ADDRESS(22,2,1,,M$2)),$A186)</f>
        <v>0</v>
      </c>
      <c r="N186" s="106">
        <f ca="1">COUNTIF(INDIRECT(ADDRESS(21,2,1,,N$2)):INDIRECT(ADDRESS(22,2,1,,N$2)),$A186)</f>
        <v>0</v>
      </c>
      <c r="O186" s="94">
        <f t="shared" ref="O186:O193" ca="1" si="37">SUM(B186:N186)</f>
        <v>0</v>
      </c>
    </row>
    <row r="187" spans="1:15" x14ac:dyDescent="0.25">
      <c r="A187" s="109" t="s">
        <v>280</v>
      </c>
      <c r="B187" s="106">
        <f ca="1">COUNTIF(INDIRECT(ADDRESS(21,2,1,,B$2)):INDIRECT(ADDRESS(22,2,1,,B$2)),$A187)</f>
        <v>0</v>
      </c>
      <c r="C187" s="106">
        <f ca="1">COUNTIF(INDIRECT(ADDRESS(21,2,1,,C$2)):INDIRECT(ADDRESS(22,2,1,,C$2)),$A187)</f>
        <v>0</v>
      </c>
      <c r="D187" s="106">
        <f ca="1">COUNTIF(INDIRECT(ADDRESS(21,2,1,,D$2)):INDIRECT(ADDRESS(22,2,1,,D$2)),$A187)</f>
        <v>0</v>
      </c>
      <c r="E187" s="106">
        <f ca="1">COUNTIF(INDIRECT(ADDRESS(21,2,1,,E$2)):INDIRECT(ADDRESS(22,2,1,,E$2)),$A187)</f>
        <v>0</v>
      </c>
      <c r="F187" s="106">
        <f ca="1">COUNTIF(INDIRECT(ADDRESS(21,2,1,,F$2)):INDIRECT(ADDRESS(22,2,1,,F$2)),$A187)</f>
        <v>0</v>
      </c>
      <c r="G187" s="106">
        <f ca="1">COUNTIF(INDIRECT(ADDRESS(21,2,1,,G$2)):INDIRECT(ADDRESS(22,2,1,,G$2)),$A187)</f>
        <v>0</v>
      </c>
      <c r="H187" s="106">
        <f ca="1">COUNTIF(INDIRECT(ADDRESS(21,2,1,,H$2)):INDIRECT(ADDRESS(22,2,1,,H$2)),$A187)</f>
        <v>0</v>
      </c>
      <c r="I187" s="106">
        <f ca="1">COUNTIF(INDIRECT(ADDRESS(21,2,1,,I$2)):INDIRECT(ADDRESS(22,2,1,,I$2)),$A187)</f>
        <v>0</v>
      </c>
      <c r="J187" s="106">
        <f ca="1">COUNTIF(INDIRECT(ADDRESS(21,2,1,,J$2)):INDIRECT(ADDRESS(22,2,1,,J$2)),$A187)</f>
        <v>0</v>
      </c>
      <c r="K187" s="106">
        <f ca="1">COUNTIF(INDIRECT(ADDRESS(21,2,1,,K$2)):INDIRECT(ADDRESS(22,2,1,,K$2)),$A187)</f>
        <v>0</v>
      </c>
      <c r="L187" s="106">
        <f ca="1">COUNTIF(INDIRECT(ADDRESS(21,2,1,,L$2)):INDIRECT(ADDRESS(22,2,1,,L$2)),$A187)</f>
        <v>0</v>
      </c>
      <c r="M187" s="106">
        <f ca="1">COUNTIF(INDIRECT(ADDRESS(21,2,1,,M$2)):INDIRECT(ADDRESS(22,2,1,,M$2)),$A187)</f>
        <v>0</v>
      </c>
      <c r="N187" s="106">
        <f ca="1">COUNTIF(INDIRECT(ADDRESS(21,2,1,,N$2)):INDIRECT(ADDRESS(22,2,1,,N$2)),$A187)</f>
        <v>0</v>
      </c>
      <c r="O187" s="94">
        <f t="shared" ca="1" si="37"/>
        <v>0</v>
      </c>
    </row>
    <row r="188" spans="1:15" x14ac:dyDescent="0.25">
      <c r="A188" s="109" t="s">
        <v>286</v>
      </c>
      <c r="B188" s="106">
        <f ca="1">COUNTIF(INDIRECT(ADDRESS(21,2,1,,B$2)):INDIRECT(ADDRESS(22,2,1,,B$2)),$A188)</f>
        <v>0</v>
      </c>
      <c r="C188" s="106">
        <f ca="1">COUNTIF(INDIRECT(ADDRESS(21,2,1,,C$2)):INDIRECT(ADDRESS(22,2,1,,C$2)),$A188)</f>
        <v>0</v>
      </c>
      <c r="D188" s="106">
        <f ca="1">COUNTIF(INDIRECT(ADDRESS(21,2,1,,D$2)):INDIRECT(ADDRESS(22,2,1,,D$2)),$A188)</f>
        <v>0</v>
      </c>
      <c r="E188" s="106">
        <f ca="1">COUNTIF(INDIRECT(ADDRESS(21,2,1,,E$2)):INDIRECT(ADDRESS(22,2,1,,E$2)),$A188)</f>
        <v>0</v>
      </c>
      <c r="F188" s="106">
        <f ca="1">COUNTIF(INDIRECT(ADDRESS(21,2,1,,F$2)):INDIRECT(ADDRESS(22,2,1,,F$2)),$A188)</f>
        <v>0</v>
      </c>
      <c r="G188" s="106">
        <f ca="1">COUNTIF(INDIRECT(ADDRESS(21,2,1,,G$2)):INDIRECT(ADDRESS(22,2,1,,G$2)),$A188)</f>
        <v>0</v>
      </c>
      <c r="H188" s="106">
        <f ca="1">COUNTIF(INDIRECT(ADDRESS(21,2,1,,H$2)):INDIRECT(ADDRESS(22,2,1,,H$2)),$A188)</f>
        <v>0</v>
      </c>
      <c r="I188" s="106">
        <f ca="1">COUNTIF(INDIRECT(ADDRESS(21,2,1,,I$2)):INDIRECT(ADDRESS(22,2,1,,I$2)),$A188)</f>
        <v>0</v>
      </c>
      <c r="J188" s="106">
        <f ca="1">COUNTIF(INDIRECT(ADDRESS(21,2,1,,J$2)):INDIRECT(ADDRESS(22,2,1,,J$2)),$A188)</f>
        <v>0</v>
      </c>
      <c r="K188" s="106">
        <f ca="1">COUNTIF(INDIRECT(ADDRESS(21,2,1,,K$2)):INDIRECT(ADDRESS(22,2,1,,K$2)),$A188)</f>
        <v>0</v>
      </c>
      <c r="L188" s="106">
        <f ca="1">COUNTIF(INDIRECT(ADDRESS(21,2,1,,L$2)):INDIRECT(ADDRESS(22,2,1,,L$2)),$A188)</f>
        <v>0</v>
      </c>
      <c r="M188" s="106">
        <f ca="1">COUNTIF(INDIRECT(ADDRESS(21,2,1,,M$2)):INDIRECT(ADDRESS(22,2,1,,M$2)),$A188)</f>
        <v>0</v>
      </c>
      <c r="N188" s="106">
        <f ca="1">COUNTIF(INDIRECT(ADDRESS(21,2,1,,N$2)):INDIRECT(ADDRESS(22,2,1,,N$2)),$A188)</f>
        <v>0</v>
      </c>
      <c r="O188" s="94">
        <f t="shared" ca="1" si="37"/>
        <v>0</v>
      </c>
    </row>
    <row r="189" spans="1:15" x14ac:dyDescent="0.25">
      <c r="A189" s="109" t="s">
        <v>283</v>
      </c>
      <c r="B189" s="106">
        <f ca="1">COUNTIF(INDIRECT(ADDRESS(21,2,1,,B$2)):INDIRECT(ADDRESS(22,2,1,,B$2)),$A189)</f>
        <v>0</v>
      </c>
      <c r="C189" s="106">
        <f ca="1">COUNTIF(INDIRECT(ADDRESS(21,2,1,,C$2)):INDIRECT(ADDRESS(22,2,1,,C$2)),$A189)</f>
        <v>0</v>
      </c>
      <c r="D189" s="106">
        <f ca="1">COUNTIF(INDIRECT(ADDRESS(21,2,1,,D$2)):INDIRECT(ADDRESS(22,2,1,,D$2)),$A189)</f>
        <v>0</v>
      </c>
      <c r="E189" s="106">
        <f ca="1">COUNTIF(INDIRECT(ADDRESS(21,2,1,,E$2)):INDIRECT(ADDRESS(22,2,1,,E$2)),$A189)</f>
        <v>0</v>
      </c>
      <c r="F189" s="106">
        <f ca="1">COUNTIF(INDIRECT(ADDRESS(21,2,1,,F$2)):INDIRECT(ADDRESS(22,2,1,,F$2)),$A189)</f>
        <v>0</v>
      </c>
      <c r="G189" s="106">
        <f ca="1">COUNTIF(INDIRECT(ADDRESS(21,2,1,,G$2)):INDIRECT(ADDRESS(22,2,1,,G$2)),$A189)</f>
        <v>0</v>
      </c>
      <c r="H189" s="106">
        <f ca="1">COUNTIF(INDIRECT(ADDRESS(21,2,1,,H$2)):INDIRECT(ADDRESS(22,2,1,,H$2)),$A189)</f>
        <v>0</v>
      </c>
      <c r="I189" s="106">
        <f ca="1">COUNTIF(INDIRECT(ADDRESS(21,2,1,,I$2)):INDIRECT(ADDRESS(22,2,1,,I$2)),$A189)</f>
        <v>0</v>
      </c>
      <c r="J189" s="106">
        <f ca="1">COUNTIF(INDIRECT(ADDRESS(21,2,1,,J$2)):INDIRECT(ADDRESS(22,2,1,,J$2)),$A189)</f>
        <v>0</v>
      </c>
      <c r="K189" s="106">
        <f ca="1">COUNTIF(INDIRECT(ADDRESS(21,2,1,,K$2)):INDIRECT(ADDRESS(22,2,1,,K$2)),$A189)</f>
        <v>0</v>
      </c>
      <c r="L189" s="106">
        <f ca="1">COUNTIF(INDIRECT(ADDRESS(21,2,1,,L$2)):INDIRECT(ADDRESS(22,2,1,,L$2)),$A189)</f>
        <v>0</v>
      </c>
      <c r="M189" s="106">
        <f ca="1">COUNTIF(INDIRECT(ADDRESS(21,2,1,,M$2)):INDIRECT(ADDRESS(22,2,1,,M$2)),$A189)</f>
        <v>0</v>
      </c>
      <c r="N189" s="106">
        <f ca="1">COUNTIF(INDIRECT(ADDRESS(21,2,1,,N$2)):INDIRECT(ADDRESS(22,2,1,,N$2)),$A189)</f>
        <v>0</v>
      </c>
      <c r="O189" s="94">
        <f t="shared" ca="1" si="37"/>
        <v>0</v>
      </c>
    </row>
    <row r="190" spans="1:15" x14ac:dyDescent="0.25">
      <c r="A190" s="109" t="s">
        <v>284</v>
      </c>
      <c r="B190" s="106">
        <f ca="1">COUNTIF(INDIRECT(ADDRESS(21,2,1,,B$2)):INDIRECT(ADDRESS(22,2,1,,B$2)),$A190)</f>
        <v>0</v>
      </c>
      <c r="C190" s="106">
        <f ca="1">COUNTIF(INDIRECT(ADDRESS(21,2,1,,C$2)):INDIRECT(ADDRESS(22,2,1,,C$2)),$A190)</f>
        <v>0</v>
      </c>
      <c r="D190" s="106">
        <f ca="1">COUNTIF(INDIRECT(ADDRESS(21,2,1,,D$2)):INDIRECT(ADDRESS(22,2,1,,D$2)),$A190)</f>
        <v>0</v>
      </c>
      <c r="E190" s="106">
        <f ca="1">COUNTIF(INDIRECT(ADDRESS(21,2,1,,E$2)):INDIRECT(ADDRESS(22,2,1,,E$2)),$A190)</f>
        <v>0</v>
      </c>
      <c r="F190" s="106">
        <f ca="1">COUNTIF(INDIRECT(ADDRESS(21,2,1,,F$2)):INDIRECT(ADDRESS(22,2,1,,F$2)),$A190)</f>
        <v>0</v>
      </c>
      <c r="G190" s="106">
        <f ca="1">COUNTIF(INDIRECT(ADDRESS(21,2,1,,G$2)):INDIRECT(ADDRESS(22,2,1,,G$2)),$A190)</f>
        <v>0</v>
      </c>
      <c r="H190" s="106">
        <f ca="1">COUNTIF(INDIRECT(ADDRESS(21,2,1,,H$2)):INDIRECT(ADDRESS(22,2,1,,H$2)),$A190)</f>
        <v>0</v>
      </c>
      <c r="I190" s="106">
        <f ca="1">COUNTIF(INDIRECT(ADDRESS(21,2,1,,I$2)):INDIRECT(ADDRESS(22,2,1,,I$2)),$A190)</f>
        <v>0</v>
      </c>
      <c r="J190" s="106">
        <f ca="1">COUNTIF(INDIRECT(ADDRESS(21,2,1,,J$2)):INDIRECT(ADDRESS(22,2,1,,J$2)),$A190)</f>
        <v>0</v>
      </c>
      <c r="K190" s="106">
        <f ca="1">COUNTIF(INDIRECT(ADDRESS(21,2,1,,K$2)):INDIRECT(ADDRESS(22,2,1,,K$2)),$A190)</f>
        <v>0</v>
      </c>
      <c r="L190" s="106">
        <f ca="1">COUNTIF(INDIRECT(ADDRESS(21,2,1,,L$2)):INDIRECT(ADDRESS(22,2,1,,L$2)),$A190)</f>
        <v>0</v>
      </c>
      <c r="M190" s="106">
        <f ca="1">COUNTIF(INDIRECT(ADDRESS(21,2,1,,M$2)):INDIRECT(ADDRESS(22,2,1,,M$2)),$A190)</f>
        <v>0</v>
      </c>
      <c r="N190" s="106">
        <f ca="1">COUNTIF(INDIRECT(ADDRESS(21,2,1,,N$2)):INDIRECT(ADDRESS(22,2,1,,N$2)),$A190)</f>
        <v>0</v>
      </c>
      <c r="O190" s="94">
        <f t="shared" ca="1" si="37"/>
        <v>0</v>
      </c>
    </row>
    <row r="191" spans="1:15" x14ac:dyDescent="0.25">
      <c r="A191" s="109" t="s">
        <v>281</v>
      </c>
      <c r="B191" s="106">
        <f ca="1">COUNTIF(INDIRECT(ADDRESS(21,2,1,,B$2)):INDIRECT(ADDRESS(22,2,1,,B$2)),$A191)</f>
        <v>0</v>
      </c>
      <c r="C191" s="106">
        <f ca="1">COUNTIF(INDIRECT(ADDRESS(21,2,1,,C$2)):INDIRECT(ADDRESS(22,2,1,,C$2)),$A191)</f>
        <v>0</v>
      </c>
      <c r="D191" s="106">
        <f ca="1">COUNTIF(INDIRECT(ADDRESS(21,2,1,,D$2)):INDIRECT(ADDRESS(22,2,1,,D$2)),$A191)</f>
        <v>0</v>
      </c>
      <c r="E191" s="106">
        <f ca="1">COUNTIF(INDIRECT(ADDRESS(21,2,1,,E$2)):INDIRECT(ADDRESS(22,2,1,,E$2)),$A191)</f>
        <v>0</v>
      </c>
      <c r="F191" s="106">
        <f ca="1">COUNTIF(INDIRECT(ADDRESS(21,2,1,,F$2)):INDIRECT(ADDRESS(22,2,1,,F$2)),$A191)</f>
        <v>0</v>
      </c>
      <c r="G191" s="106">
        <f ca="1">COUNTIF(INDIRECT(ADDRESS(21,2,1,,G$2)):INDIRECT(ADDRESS(22,2,1,,G$2)),$A191)</f>
        <v>0</v>
      </c>
      <c r="H191" s="106">
        <f ca="1">COUNTIF(INDIRECT(ADDRESS(21,2,1,,H$2)):INDIRECT(ADDRESS(22,2,1,,H$2)),$A191)</f>
        <v>0</v>
      </c>
      <c r="I191" s="106">
        <f ca="1">COUNTIF(INDIRECT(ADDRESS(21,2,1,,I$2)):INDIRECT(ADDRESS(22,2,1,,I$2)),$A191)</f>
        <v>0</v>
      </c>
      <c r="J191" s="106">
        <f ca="1">COUNTIF(INDIRECT(ADDRESS(21,2,1,,J$2)):INDIRECT(ADDRESS(22,2,1,,J$2)),$A191)</f>
        <v>0</v>
      </c>
      <c r="K191" s="106">
        <f ca="1">COUNTIF(INDIRECT(ADDRESS(21,2,1,,K$2)):INDIRECT(ADDRESS(22,2,1,,K$2)),$A191)</f>
        <v>0</v>
      </c>
      <c r="L191" s="106">
        <f ca="1">COUNTIF(INDIRECT(ADDRESS(21,2,1,,L$2)):INDIRECT(ADDRESS(22,2,1,,L$2)),$A191)</f>
        <v>0</v>
      </c>
      <c r="M191" s="106">
        <f ca="1">COUNTIF(INDIRECT(ADDRESS(21,2,1,,M$2)):INDIRECT(ADDRESS(22,2,1,,M$2)),$A191)</f>
        <v>0</v>
      </c>
      <c r="N191" s="106">
        <f ca="1">COUNTIF(INDIRECT(ADDRESS(21,2,1,,N$2)):INDIRECT(ADDRESS(22,2,1,,N$2)),$A191)</f>
        <v>0</v>
      </c>
      <c r="O191" s="94">
        <f t="shared" ca="1" si="37"/>
        <v>0</v>
      </c>
    </row>
    <row r="192" spans="1:15" x14ac:dyDescent="0.25">
      <c r="A192" s="109" t="s">
        <v>282</v>
      </c>
      <c r="B192" s="106">
        <f ca="1">COUNTIF(INDIRECT(ADDRESS(21,2,1,,B$2)):INDIRECT(ADDRESS(22,2,1,,B$2)),$A192)</f>
        <v>0</v>
      </c>
      <c r="C192" s="106">
        <f ca="1">COUNTIF(INDIRECT(ADDRESS(21,2,1,,C$2)):INDIRECT(ADDRESS(22,2,1,,C$2)),$A192)</f>
        <v>0</v>
      </c>
      <c r="D192" s="106">
        <f ca="1">COUNTIF(INDIRECT(ADDRESS(21,2,1,,D$2)):INDIRECT(ADDRESS(22,2,1,,D$2)),$A192)</f>
        <v>0</v>
      </c>
      <c r="E192" s="106">
        <f ca="1">COUNTIF(INDIRECT(ADDRESS(21,2,1,,E$2)):INDIRECT(ADDRESS(22,2,1,,E$2)),$A192)</f>
        <v>0</v>
      </c>
      <c r="F192" s="106">
        <f ca="1">COUNTIF(INDIRECT(ADDRESS(21,2,1,,F$2)):INDIRECT(ADDRESS(22,2,1,,F$2)),$A192)</f>
        <v>0</v>
      </c>
      <c r="G192" s="106">
        <f ca="1">COUNTIF(INDIRECT(ADDRESS(21,2,1,,G$2)):INDIRECT(ADDRESS(22,2,1,,G$2)),$A192)</f>
        <v>0</v>
      </c>
      <c r="H192" s="106">
        <f ca="1">COUNTIF(INDIRECT(ADDRESS(21,2,1,,H$2)):INDIRECT(ADDRESS(22,2,1,,H$2)),$A192)</f>
        <v>0</v>
      </c>
      <c r="I192" s="106">
        <f ca="1">COUNTIF(INDIRECT(ADDRESS(21,2,1,,I$2)):INDIRECT(ADDRESS(22,2,1,,I$2)),$A192)</f>
        <v>0</v>
      </c>
      <c r="J192" s="106">
        <f ca="1">COUNTIF(INDIRECT(ADDRESS(21,2,1,,J$2)):INDIRECT(ADDRESS(22,2,1,,J$2)),$A192)</f>
        <v>0</v>
      </c>
      <c r="K192" s="106">
        <f ca="1">COUNTIF(INDIRECT(ADDRESS(21,2,1,,K$2)):INDIRECT(ADDRESS(22,2,1,,K$2)),$A192)</f>
        <v>0</v>
      </c>
      <c r="L192" s="106">
        <f ca="1">COUNTIF(INDIRECT(ADDRESS(21,2,1,,L$2)):INDIRECT(ADDRESS(22,2,1,,L$2)),$A192)</f>
        <v>0</v>
      </c>
      <c r="M192" s="106">
        <f ca="1">COUNTIF(INDIRECT(ADDRESS(21,2,1,,M$2)):INDIRECT(ADDRESS(22,2,1,,M$2)),$A192)</f>
        <v>0</v>
      </c>
      <c r="N192" s="106">
        <f ca="1">COUNTIF(INDIRECT(ADDRESS(21,2,1,,N$2)):INDIRECT(ADDRESS(22,2,1,,N$2)),$A192)</f>
        <v>0</v>
      </c>
      <c r="O192" s="94">
        <f t="shared" ca="1" si="37"/>
        <v>0</v>
      </c>
    </row>
    <row r="193" spans="1:15" x14ac:dyDescent="0.25">
      <c r="A193" s="109" t="s">
        <v>285</v>
      </c>
      <c r="B193" s="106">
        <f ca="1">COUNTIF(INDIRECT(ADDRESS(21,2,1,,B$2)):INDIRECT(ADDRESS(22,2,1,,B$2)),$A193)</f>
        <v>0</v>
      </c>
      <c r="C193" s="106">
        <f ca="1">COUNTIF(INDIRECT(ADDRESS(21,2,1,,C$2)):INDIRECT(ADDRESS(22,2,1,,C$2)),$A193)</f>
        <v>0</v>
      </c>
      <c r="D193" s="106">
        <f ca="1">COUNTIF(INDIRECT(ADDRESS(21,2,1,,D$2)):INDIRECT(ADDRESS(22,2,1,,D$2)),$A193)</f>
        <v>0</v>
      </c>
      <c r="E193" s="106">
        <f ca="1">COUNTIF(INDIRECT(ADDRESS(21,2,1,,E$2)):INDIRECT(ADDRESS(22,2,1,,E$2)),$A193)</f>
        <v>0</v>
      </c>
      <c r="F193" s="106">
        <f ca="1">COUNTIF(INDIRECT(ADDRESS(21,2,1,,F$2)):INDIRECT(ADDRESS(22,2,1,,F$2)),$A193)</f>
        <v>0</v>
      </c>
      <c r="G193" s="106">
        <f ca="1">COUNTIF(INDIRECT(ADDRESS(21,2,1,,G$2)):INDIRECT(ADDRESS(22,2,1,,G$2)),$A193)</f>
        <v>0</v>
      </c>
      <c r="H193" s="106">
        <f ca="1">COUNTIF(INDIRECT(ADDRESS(21,2,1,,H$2)):INDIRECT(ADDRESS(22,2,1,,H$2)),$A193)</f>
        <v>0</v>
      </c>
      <c r="I193" s="106">
        <f ca="1">COUNTIF(INDIRECT(ADDRESS(21,2,1,,I$2)):INDIRECT(ADDRESS(22,2,1,,I$2)),$A193)</f>
        <v>0</v>
      </c>
      <c r="J193" s="106">
        <f ca="1">COUNTIF(INDIRECT(ADDRESS(21,2,1,,J$2)):INDIRECT(ADDRESS(22,2,1,,J$2)),$A193)</f>
        <v>0</v>
      </c>
      <c r="K193" s="106">
        <f ca="1">COUNTIF(INDIRECT(ADDRESS(21,2,1,,K$2)):INDIRECT(ADDRESS(22,2,1,,K$2)),$A193)</f>
        <v>0</v>
      </c>
      <c r="L193" s="106">
        <f ca="1">COUNTIF(INDIRECT(ADDRESS(21,2,1,,L$2)):INDIRECT(ADDRESS(22,2,1,,L$2)),$A193)</f>
        <v>0</v>
      </c>
      <c r="M193" s="106">
        <f ca="1">COUNTIF(INDIRECT(ADDRESS(21,2,1,,M$2)):INDIRECT(ADDRESS(22,2,1,,M$2)),$A193)</f>
        <v>0</v>
      </c>
      <c r="N193" s="106">
        <f ca="1">COUNTIF(INDIRECT(ADDRESS(21,2,1,,N$2)):INDIRECT(ADDRESS(22,2,1,,N$2)),$A193)</f>
        <v>0</v>
      </c>
      <c r="O193" s="94">
        <f t="shared" ca="1" si="37"/>
        <v>0</v>
      </c>
    </row>
  </sheetData>
  <sortState ref="A186:O193">
    <sortCondition descending="1" ref="O186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8033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45720</xdr:rowOff>
                  </from>
                  <to>
                    <xdr:col>0</xdr:col>
                    <xdr:colOff>861060</xdr:colOff>
                    <xdr:row>1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56</v>
      </c>
    </row>
    <row r="2" spans="1:4" x14ac:dyDescent="0.25">
      <c r="A2" s="28" t="s">
        <v>57</v>
      </c>
    </row>
    <row r="3" spans="1:4" x14ac:dyDescent="0.25">
      <c r="B3" t="s">
        <v>58</v>
      </c>
    </row>
    <row r="4" spans="1:4" x14ac:dyDescent="0.25">
      <c r="B4" t="s">
        <v>60</v>
      </c>
    </row>
    <row r="5" spans="1:4" x14ac:dyDescent="0.25">
      <c r="A5" s="28" t="s">
        <v>59</v>
      </c>
    </row>
    <row r="6" spans="1:4" x14ac:dyDescent="0.25">
      <c r="B6" t="s">
        <v>61</v>
      </c>
    </row>
    <row r="7" spans="1:4" x14ac:dyDescent="0.25">
      <c r="C7" t="s">
        <v>62</v>
      </c>
    </row>
    <row r="8" spans="1:4" x14ac:dyDescent="0.25">
      <c r="C8" t="s">
        <v>82</v>
      </c>
    </row>
    <row r="9" spans="1:4" x14ac:dyDescent="0.25">
      <c r="B9" t="s">
        <v>70</v>
      </c>
    </row>
    <row r="10" spans="1:4" x14ac:dyDescent="0.25">
      <c r="C10" t="s">
        <v>71</v>
      </c>
    </row>
    <row r="11" spans="1:4" x14ac:dyDescent="0.25">
      <c r="C11" t="s">
        <v>81</v>
      </c>
    </row>
    <row r="12" spans="1:4" x14ac:dyDescent="0.25">
      <c r="C12" t="s">
        <v>66</v>
      </c>
    </row>
    <row r="13" spans="1:4" x14ac:dyDescent="0.25">
      <c r="C13" t="s">
        <v>72</v>
      </c>
    </row>
    <row r="14" spans="1:4" x14ac:dyDescent="0.25">
      <c r="D14" t="s">
        <v>73</v>
      </c>
    </row>
    <row r="15" spans="1:4" x14ac:dyDescent="0.25">
      <c r="D15" t="s">
        <v>74</v>
      </c>
    </row>
    <row r="16" spans="1:4" x14ac:dyDescent="0.25">
      <c r="B16" t="s">
        <v>69</v>
      </c>
    </row>
    <row r="17" spans="2:3" x14ac:dyDescent="0.25">
      <c r="C17" t="s">
        <v>63</v>
      </c>
    </row>
    <row r="18" spans="2:3" x14ac:dyDescent="0.25">
      <c r="C18" t="s">
        <v>64</v>
      </c>
    </row>
    <row r="25" spans="2:3" x14ac:dyDescent="0.25">
      <c r="B25" t="s">
        <v>68</v>
      </c>
    </row>
    <row r="26" spans="2:3" x14ac:dyDescent="0.25">
      <c r="C26" t="s">
        <v>65</v>
      </c>
    </row>
    <row r="27" spans="2:3" x14ac:dyDescent="0.25">
      <c r="C27" t="s">
        <v>67</v>
      </c>
    </row>
    <row r="31" spans="2:3" x14ac:dyDescent="0.25">
      <c r="B31" t="s">
        <v>75</v>
      </c>
    </row>
    <row r="32" spans="2:3" x14ac:dyDescent="0.25">
      <c r="C32" t="s">
        <v>76</v>
      </c>
    </row>
    <row r="34" spans="1:3" x14ac:dyDescent="0.25">
      <c r="C34" t="s">
        <v>77</v>
      </c>
    </row>
    <row r="36" spans="1:3" x14ac:dyDescent="0.25">
      <c r="B36" t="s">
        <v>83</v>
      </c>
    </row>
    <row r="38" spans="1:3" ht="15.6" x14ac:dyDescent="0.3">
      <c r="A38" s="57" t="s">
        <v>84</v>
      </c>
    </row>
    <row r="39" spans="1:3" x14ac:dyDescent="0.25">
      <c r="A39" s="28" t="s">
        <v>85</v>
      </c>
    </row>
    <row r="40" spans="1:3" x14ac:dyDescent="0.25">
      <c r="B40" t="s">
        <v>86</v>
      </c>
    </row>
    <row r="41" spans="1:3" x14ac:dyDescent="0.25">
      <c r="B41" t="s">
        <v>87</v>
      </c>
    </row>
    <row r="42" spans="1:3" x14ac:dyDescent="0.25">
      <c r="A42" s="28" t="s">
        <v>88</v>
      </c>
    </row>
    <row r="43" spans="1:3" x14ac:dyDescent="0.25">
      <c r="B43" t="s">
        <v>89</v>
      </c>
    </row>
    <row r="44" spans="1:3" x14ac:dyDescent="0.25">
      <c r="B44" t="s">
        <v>120</v>
      </c>
    </row>
    <row r="45" spans="1:3" x14ac:dyDescent="0.25">
      <c r="A45" s="28" t="s">
        <v>90</v>
      </c>
    </row>
    <row r="46" spans="1:3" x14ac:dyDescent="0.25">
      <c r="B46" t="s">
        <v>91</v>
      </c>
    </row>
    <row r="47" spans="1:3" x14ac:dyDescent="0.25">
      <c r="B47" t="s">
        <v>92</v>
      </c>
    </row>
    <row r="48" spans="1:3" x14ac:dyDescent="0.25">
      <c r="C48" t="s">
        <v>93</v>
      </c>
    </row>
    <row r="49" spans="1:3" x14ac:dyDescent="0.25">
      <c r="C49" t="s">
        <v>94</v>
      </c>
    </row>
    <row r="50" spans="1:3" x14ac:dyDescent="0.25">
      <c r="C50" t="s">
        <v>95</v>
      </c>
    </row>
    <row r="51" spans="1:3" x14ac:dyDescent="0.25">
      <c r="B51" t="s">
        <v>96</v>
      </c>
    </row>
    <row r="52" spans="1:3" x14ac:dyDescent="0.25">
      <c r="B52" t="s">
        <v>121</v>
      </c>
    </row>
    <row r="53" spans="1:3" x14ac:dyDescent="0.25">
      <c r="C53" t="s">
        <v>122</v>
      </c>
    </row>
    <row r="54" spans="1:3" x14ac:dyDescent="0.25">
      <c r="A54" s="28" t="s">
        <v>97</v>
      </c>
    </row>
    <row r="55" spans="1:3" x14ac:dyDescent="0.25">
      <c r="B55" t="s">
        <v>98</v>
      </c>
    </row>
    <row r="56" spans="1:3" x14ac:dyDescent="0.25">
      <c r="B56" t="s">
        <v>99</v>
      </c>
    </row>
    <row r="57" spans="1:3" x14ac:dyDescent="0.25">
      <c r="B57" t="s">
        <v>100</v>
      </c>
    </row>
    <row r="58" spans="1:3" x14ac:dyDescent="0.25">
      <c r="B58" t="s">
        <v>131</v>
      </c>
    </row>
    <row r="59" spans="1:3" x14ac:dyDescent="0.25">
      <c r="C59" t="s">
        <v>130</v>
      </c>
    </row>
    <row r="60" spans="1:3" x14ac:dyDescent="0.25">
      <c r="C60" t="s">
        <v>101</v>
      </c>
    </row>
    <row r="61" spans="1:3" x14ac:dyDescent="0.25">
      <c r="C61" t="s">
        <v>102</v>
      </c>
    </row>
    <row r="62" spans="1:3" x14ac:dyDescent="0.25">
      <c r="B62" t="s">
        <v>123</v>
      </c>
    </row>
    <row r="63" spans="1:3" x14ac:dyDescent="0.25">
      <c r="C63" t="s">
        <v>124</v>
      </c>
    </row>
    <row r="64" spans="1:3" x14ac:dyDescent="0.25">
      <c r="A64" s="28" t="s">
        <v>103</v>
      </c>
    </row>
    <row r="65" spans="1:3" x14ac:dyDescent="0.25">
      <c r="B65" t="s">
        <v>104</v>
      </c>
    </row>
    <row r="66" spans="1:3" x14ac:dyDescent="0.25">
      <c r="B66" t="s">
        <v>105</v>
      </c>
    </row>
    <row r="67" spans="1:3" x14ac:dyDescent="0.25">
      <c r="B67" t="s">
        <v>106</v>
      </c>
    </row>
    <row r="68" spans="1:3" x14ac:dyDescent="0.25">
      <c r="B68" t="s">
        <v>107</v>
      </c>
    </row>
    <row r="69" spans="1:3" x14ac:dyDescent="0.25">
      <c r="B69" t="s">
        <v>112</v>
      </c>
    </row>
    <row r="70" spans="1:3" x14ac:dyDescent="0.25">
      <c r="B70" t="s">
        <v>113</v>
      </c>
    </row>
    <row r="71" spans="1:3" x14ac:dyDescent="0.25">
      <c r="B71" t="s">
        <v>108</v>
      </c>
    </row>
    <row r="72" spans="1:3" x14ac:dyDescent="0.25">
      <c r="B72" t="s">
        <v>109</v>
      </c>
    </row>
    <row r="73" spans="1:3" x14ac:dyDescent="0.25">
      <c r="B73" t="s">
        <v>110</v>
      </c>
    </row>
    <row r="74" spans="1:3" x14ac:dyDescent="0.25">
      <c r="B74" t="s">
        <v>111</v>
      </c>
    </row>
    <row r="75" spans="1:3" x14ac:dyDescent="0.25">
      <c r="A75" s="28" t="s">
        <v>125</v>
      </c>
    </row>
    <row r="76" spans="1:3" x14ac:dyDescent="0.25">
      <c r="B76" t="s">
        <v>126</v>
      </c>
    </row>
    <row r="77" spans="1:3" x14ac:dyDescent="0.25">
      <c r="C77" t="s">
        <v>127</v>
      </c>
    </row>
    <row r="78" spans="1:3" x14ac:dyDescent="0.25">
      <c r="B78" t="s">
        <v>128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46</vt:i4>
      </vt:variant>
    </vt:vector>
  </HeadingPairs>
  <TitlesOfParts>
    <vt:vector size="68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Featured!big10_conf</vt:lpstr>
      <vt:lpstr>big10_conf</vt:lpstr>
      <vt:lpstr>Featured!big12_conf</vt:lpstr>
      <vt:lpstr>big12_conf</vt:lpstr>
      <vt:lpstr>Featured!bigeast_conf</vt:lpstr>
      <vt:lpstr>bigeast_conf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Featured!wac_conf</vt:lpstr>
      <vt:lpstr>wac_conf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2015-05-13T03:52:45Z</dcterms:modified>
</cp:coreProperties>
</file>